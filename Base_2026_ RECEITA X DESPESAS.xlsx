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G:\Meu Drive\brasantos\_Base_Final\"/>
    </mc:Choice>
  </mc:AlternateContent>
  <xr:revisionPtr revIDLastSave="0" documentId="13_ncr:1_{0EDD0288-5AD8-41BB-B6C0-320E892431CE}" xr6:coauthVersionLast="47" xr6:coauthVersionMax="47" xr10:uidLastSave="{00000000-0000-0000-0000-000000000000}"/>
  <bookViews>
    <workbookView xWindow="15" yWindow="-16320" windowWidth="29040" windowHeight="15720" firstSheet="6" activeTab="11" xr2:uid="{00000000-000D-0000-FFFF-FFFF00000000}"/>
  </bookViews>
  <sheets>
    <sheet name="2026_RECEITA_BRASANTOS" sheetId="145" r:id="rId1"/>
    <sheet name="2026_RECEITA _JJB SERV" sheetId="146" r:id="rId2"/>
    <sheet name="2026_RECEITA_JJB ADM" sheetId="147" r:id="rId3"/>
    <sheet name="TA Empresa" sheetId="115" r:id="rId4"/>
    <sheet name="TA Cliente " sheetId="144" r:id="rId5"/>
    <sheet name="TA Fornecedor" sheetId="129" r:id="rId6"/>
    <sheet name="TA Gerencial" sheetId="100" r:id="rId7"/>
    <sheet name="TA Status" sheetId="116" r:id="rId8"/>
    <sheet name="2026_MATRIZ_DESPESAS" sheetId="149" r:id="rId9"/>
    <sheet name="JAN" sheetId="131" r:id="rId10"/>
    <sheet name="FEV" sheetId="134" r:id="rId11"/>
    <sheet name="MAR" sheetId="135" r:id="rId12"/>
    <sheet name="ABR" sheetId="136" r:id="rId13"/>
    <sheet name="MAI" sheetId="137" r:id="rId14"/>
    <sheet name="JUN" sheetId="121" r:id="rId15"/>
    <sheet name="JUL" sheetId="138" r:id="rId16"/>
    <sheet name="AGO" sheetId="139" r:id="rId17"/>
    <sheet name="SET" sheetId="140" r:id="rId18"/>
    <sheet name="OUT" sheetId="141" r:id="rId19"/>
    <sheet name="NOV" sheetId="132" r:id="rId20"/>
    <sheet name="DEZ" sheetId="133" r:id="rId21"/>
    <sheet name="RESUMO" sheetId="143" r:id="rId22"/>
  </sheets>
  <definedNames>
    <definedName name="_xlnm._FilterDatabase" localSheetId="8" hidden="1">'2026_MATRIZ_DESPESAS'!#REF!</definedName>
    <definedName name="_xlnm._FilterDatabase" localSheetId="1" hidden="1">'2026_RECEITA _JJB SERV'!$B$16:$AT$178</definedName>
    <definedName name="_xlnm._FilterDatabase" localSheetId="0" hidden="1">'2026_RECEITA_BRASANTOS'!$B$16:$AS$253</definedName>
    <definedName name="_xlnm._FilterDatabase" localSheetId="2" hidden="1">'2026_RECEITA_JJB ADM'!$B$16:$AT$126</definedName>
    <definedName name="_xlnm._FilterDatabase" localSheetId="12" hidden="1">ABR!#REF!</definedName>
    <definedName name="_xlnm._FilterDatabase" localSheetId="16" hidden="1">AGO!#REF!</definedName>
    <definedName name="_xlnm._FilterDatabase" localSheetId="20" hidden="1">DEZ!#REF!</definedName>
    <definedName name="_xlnm._FilterDatabase" localSheetId="10" hidden="1">FEV!#REF!</definedName>
    <definedName name="_xlnm._FilterDatabase" localSheetId="9" hidden="1">JAN!#REF!</definedName>
    <definedName name="_xlnm._FilterDatabase" localSheetId="15" hidden="1">JUL!#REF!</definedName>
    <definedName name="_xlnm._FilterDatabase" localSheetId="14" hidden="1">JUN!#REF!</definedName>
    <definedName name="_xlnm._FilterDatabase" localSheetId="13" hidden="1">MAI!#REF!</definedName>
    <definedName name="_xlnm._FilterDatabase" localSheetId="11" hidden="1">MAR!#REF!</definedName>
    <definedName name="_xlnm._FilterDatabase" localSheetId="19" hidden="1">NOV!#REF!</definedName>
    <definedName name="_xlnm._FilterDatabase" localSheetId="18" hidden="1">OUT!#REF!</definedName>
    <definedName name="_xlnm._FilterDatabase" localSheetId="17" hidden="1">SET!#REF!</definedName>
    <definedName name="AGOSTO" localSheetId="8">#REF!</definedName>
    <definedName name="AGOSTO" localSheetId="12">#REF!</definedName>
    <definedName name="AGOSTO" localSheetId="16">#REF!</definedName>
    <definedName name="AGOSTO" localSheetId="20">#REF!</definedName>
    <definedName name="AGOSTO" localSheetId="10">#REF!</definedName>
    <definedName name="AGOSTO" localSheetId="9">#REF!</definedName>
    <definedName name="AGOSTO" localSheetId="15">#REF!</definedName>
    <definedName name="AGOSTO" localSheetId="14">#REF!</definedName>
    <definedName name="AGOSTO" localSheetId="13">#REF!</definedName>
    <definedName name="AGOSTO" localSheetId="11">#REF!</definedName>
    <definedName name="AGOSTO" localSheetId="19">#REF!</definedName>
    <definedName name="AGOSTO" localSheetId="18">#REF!</definedName>
    <definedName name="AGOSTO" localSheetId="17">#REF!</definedName>
    <definedName name="AGOSTO" localSheetId="5">#REF!</definedName>
    <definedName name="AGOSTO">#REF!</definedName>
    <definedName name="_xlnm.Print_Area" localSheetId="8">'2026_MATRIZ_DESPESAS'!$B$1:$T$305</definedName>
    <definedName name="_xlnm.Print_Area" localSheetId="1">'2026_RECEITA _JJB SERV'!$B$1:$AT$189</definedName>
    <definedName name="_xlnm.Print_Area" localSheetId="2">'2026_RECEITA_JJB ADM'!$B$1:$AT$137</definedName>
    <definedName name="_xlnm.Print_Area" localSheetId="10">FEV!$B$1:$T$362</definedName>
    <definedName name="_xlnm.Print_Area" localSheetId="9">JAN!$B$1:$T$6</definedName>
    <definedName name="_xlnm.Print_Area" localSheetId="15">JUL!$B$1:$T$6</definedName>
    <definedName name="_xlnm.Print_Area" localSheetId="14">JUN!$B$1:$T$6</definedName>
    <definedName name="_xlnm.Print_Area" localSheetId="13">MAI!$B$1:$T$6</definedName>
    <definedName name="_xlnm.Print_Area" localSheetId="11">MAR!$B$1:$T$6</definedName>
    <definedName name="_xlnm.Print_Area" localSheetId="19">NOV!$B$1:$T$21</definedName>
    <definedName name="_xlnm.Print_Area" localSheetId="4">'TA Cliente '!$B$1:$AH$39</definedName>
    <definedName name="_xlnm.Print_Area" localSheetId="6">'TA Gerencial'!$B$1:$F$164</definedName>
    <definedName name="_xlnm.Print_Titles" localSheetId="8">'2026_MATRIZ_DESPESAS'!$2:$6</definedName>
    <definedName name="_xlnm.Print_Titles" localSheetId="12">ABR!$2:$6</definedName>
    <definedName name="_xlnm.Print_Titles" localSheetId="16">AGO!$2:$6</definedName>
    <definedName name="_xlnm.Print_Titles" localSheetId="20">DEZ!$2:$6</definedName>
    <definedName name="_xlnm.Print_Titles" localSheetId="10">FEV!$2:$6</definedName>
    <definedName name="_xlnm.Print_Titles" localSheetId="9">JAN!$2:$6</definedName>
    <definedName name="_xlnm.Print_Titles" localSheetId="15">JUL!$2:$6</definedName>
    <definedName name="_xlnm.Print_Titles" localSheetId="14">JUN!$2:$6</definedName>
    <definedName name="_xlnm.Print_Titles" localSheetId="13">MAI!$2:$6</definedName>
    <definedName name="_xlnm.Print_Titles" localSheetId="11">MAR!$2:$6</definedName>
    <definedName name="_xlnm.Print_Titles" localSheetId="19">NOV!$2:$6</definedName>
    <definedName name="_xlnm.Print_Titles" localSheetId="18">OUT!$2:$6</definedName>
    <definedName name="_xlnm.Print_Titles" localSheetId="17">SET!$2:$6</definedName>
    <definedName name="WinCal4" localSheetId="8">#REF!</definedName>
    <definedName name="WinCal4" localSheetId="12">#REF!</definedName>
    <definedName name="WinCal4" localSheetId="16">#REF!</definedName>
    <definedName name="WinCal4" localSheetId="20">#REF!</definedName>
    <definedName name="WinCal4" localSheetId="10">#REF!</definedName>
    <definedName name="WinCal4" localSheetId="9">#REF!</definedName>
    <definedName name="WinCal4" localSheetId="15">#REF!</definedName>
    <definedName name="WinCal4" localSheetId="14">#REF!</definedName>
    <definedName name="WinCal4" localSheetId="13">#REF!</definedName>
    <definedName name="WinCal4" localSheetId="11">#REF!</definedName>
    <definedName name="WinCal4" localSheetId="19">#REF!</definedName>
    <definedName name="WinCal4" localSheetId="18">#REF!</definedName>
    <definedName name="WinCal4" localSheetId="17">#REF!</definedName>
    <definedName name="WinCal4" localSheetId="5">#REF!</definedName>
    <definedName name="WinCal4">#REF!</definedName>
    <definedName name="WinCal5" localSheetId="8">#REF!</definedName>
    <definedName name="WinCal5" localSheetId="12">#REF!</definedName>
    <definedName name="WinCal5" localSheetId="16">#REF!</definedName>
    <definedName name="WinCal5" localSheetId="20">#REF!</definedName>
    <definedName name="WinCal5" localSheetId="10">#REF!</definedName>
    <definedName name="WinCal5" localSheetId="9">#REF!</definedName>
    <definedName name="WinCal5" localSheetId="15">#REF!</definedName>
    <definedName name="WinCal5" localSheetId="14">#REF!</definedName>
    <definedName name="WinCal5" localSheetId="13">#REF!</definedName>
    <definedName name="WinCal5" localSheetId="11">#REF!</definedName>
    <definedName name="WinCal5" localSheetId="19">#REF!</definedName>
    <definedName name="WinCal5" localSheetId="18">#REF!</definedName>
    <definedName name="WinCal5" localSheetId="17">#REF!</definedName>
    <definedName name="WinCal5" localSheetId="5">#REF!</definedName>
    <definedName name="WinCal5">#REF!</definedName>
    <definedName name="WinCalendar_Calendar_4" localSheetId="8">#REF!</definedName>
    <definedName name="WinCalendar_Calendar_4" localSheetId="12">#REF!</definedName>
    <definedName name="WinCalendar_Calendar_4" localSheetId="16">#REF!</definedName>
    <definedName name="WinCalendar_Calendar_4" localSheetId="20">#REF!</definedName>
    <definedName name="WinCalendar_Calendar_4" localSheetId="10">#REF!</definedName>
    <definedName name="WinCalendar_Calendar_4" localSheetId="9">#REF!</definedName>
    <definedName name="WinCalendar_Calendar_4" localSheetId="15">#REF!</definedName>
    <definedName name="WinCalendar_Calendar_4" localSheetId="14">#REF!</definedName>
    <definedName name="WinCalendar_Calendar_4" localSheetId="13">#REF!</definedName>
    <definedName name="WinCalendar_Calendar_4" localSheetId="11">#REF!</definedName>
    <definedName name="WinCalendar_Calendar_4" localSheetId="19">#REF!</definedName>
    <definedName name="WinCalendar_Calendar_4" localSheetId="18">#REF!</definedName>
    <definedName name="WinCalendar_Calendar_4" localSheetId="17">#REF!</definedName>
    <definedName name="WinCalendar_Calendar_4" localSheetId="5">#REF!</definedName>
    <definedName name="WinCalendar_Calendar_4">#REF!</definedName>
    <definedName name="WinCalendar_Calendar_5" localSheetId="8">#REF!</definedName>
    <definedName name="WinCalendar_Calendar_5" localSheetId="12">#REF!</definedName>
    <definedName name="WinCalendar_Calendar_5" localSheetId="16">#REF!</definedName>
    <definedName name="WinCalendar_Calendar_5" localSheetId="20">#REF!</definedName>
    <definedName name="WinCalendar_Calendar_5" localSheetId="10">#REF!</definedName>
    <definedName name="WinCalendar_Calendar_5" localSheetId="9">#REF!</definedName>
    <definedName name="WinCalendar_Calendar_5" localSheetId="15">#REF!</definedName>
    <definedName name="WinCalendar_Calendar_5" localSheetId="14">#REF!</definedName>
    <definedName name="WinCalendar_Calendar_5" localSheetId="13">#REF!</definedName>
    <definedName name="WinCalendar_Calendar_5" localSheetId="11">#REF!</definedName>
    <definedName name="WinCalendar_Calendar_5" localSheetId="19">#REF!</definedName>
    <definedName name="WinCalendar_Calendar_5" localSheetId="18">#REF!</definedName>
    <definedName name="WinCalendar_Calendar_5" localSheetId="17">#REF!</definedName>
    <definedName name="WinCalendar_Calendar_5" localSheetId="5">#REF!</definedName>
    <definedName name="WinCalendar_Calendar_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35" l="1"/>
  <c r="B9" i="135" s="1"/>
  <c r="B10" i="135" s="1"/>
  <c r="B11" i="135" s="1"/>
  <c r="B12" i="135" s="1"/>
  <c r="B13" i="135" s="1"/>
  <c r="B14" i="135" s="1"/>
  <c r="B15" i="135" s="1"/>
  <c r="B16" i="135" s="1"/>
  <c r="B17" i="135" s="1"/>
  <c r="B18" i="135" s="1"/>
  <c r="B19" i="135" s="1"/>
  <c r="B20" i="135" s="1"/>
  <c r="B21" i="135" s="1"/>
  <c r="B22" i="135" s="1"/>
  <c r="B23" i="135" s="1"/>
  <c r="B24" i="135" s="1"/>
  <c r="B25" i="135" s="1"/>
  <c r="B26" i="135" s="1"/>
  <c r="B27" i="135" s="1"/>
  <c r="B28" i="135" s="1"/>
  <c r="B29" i="135" s="1"/>
  <c r="B30" i="135" s="1"/>
  <c r="B31" i="135" s="1"/>
  <c r="B32" i="135" s="1"/>
  <c r="B33" i="135" s="1"/>
  <c r="B34" i="135" s="1"/>
  <c r="B35" i="135" s="1"/>
  <c r="B36" i="135" s="1"/>
  <c r="B37" i="135" s="1"/>
  <c r="B38" i="135" s="1"/>
  <c r="B39" i="135" s="1"/>
  <c r="B40" i="135" s="1"/>
  <c r="B41" i="135" s="1"/>
  <c r="B42" i="135" s="1"/>
  <c r="B43" i="135" s="1"/>
  <c r="B44" i="135" s="1"/>
  <c r="B45" i="135" s="1"/>
  <c r="B46" i="135" s="1"/>
  <c r="B47" i="135" s="1"/>
  <c r="B48" i="135" s="1"/>
  <c r="B49" i="135" s="1"/>
  <c r="B50" i="135" s="1"/>
  <c r="B51" i="135" s="1"/>
  <c r="B52" i="135" s="1"/>
  <c r="B53" i="135" s="1"/>
  <c r="B54" i="135" s="1"/>
  <c r="B55" i="135" s="1"/>
  <c r="B56" i="135" s="1"/>
  <c r="B57" i="135" s="1"/>
  <c r="B58" i="135" s="1"/>
  <c r="B59" i="135" s="1"/>
  <c r="B60" i="135" s="1"/>
  <c r="B61" i="135" s="1"/>
  <c r="B62" i="135" s="1"/>
  <c r="B63" i="135" s="1"/>
  <c r="B64" i="135" s="1"/>
  <c r="B65" i="135" s="1"/>
  <c r="B66" i="135" s="1"/>
  <c r="B67" i="135" s="1"/>
  <c r="B68" i="135" s="1"/>
  <c r="B69" i="135" s="1"/>
  <c r="B70" i="135" s="1"/>
  <c r="B71" i="135" s="1"/>
  <c r="B72" i="135" s="1"/>
  <c r="B73" i="135" s="1"/>
  <c r="B74" i="135" s="1"/>
  <c r="B75" i="135" s="1"/>
  <c r="B76" i="135" s="1"/>
  <c r="B77" i="135" s="1"/>
  <c r="B78" i="135" s="1"/>
  <c r="B79" i="135" s="1"/>
  <c r="B80" i="135" s="1"/>
  <c r="B81" i="135" s="1"/>
  <c r="B82" i="135" s="1"/>
  <c r="B83" i="135" s="1"/>
  <c r="B84" i="135" s="1"/>
  <c r="B85" i="135" s="1"/>
  <c r="B86" i="135" s="1"/>
  <c r="B87" i="135" s="1"/>
  <c r="B88" i="135" s="1"/>
  <c r="B89" i="135" s="1"/>
  <c r="B90" i="135" s="1"/>
  <c r="B91" i="135" s="1"/>
  <c r="B92" i="135" s="1"/>
  <c r="B93" i="135" s="1"/>
  <c r="B94" i="135" s="1"/>
  <c r="B95" i="135" s="1"/>
  <c r="B96" i="135" s="1"/>
  <c r="B97" i="135" s="1"/>
  <c r="B98" i="135" s="1"/>
  <c r="B99" i="135" s="1"/>
  <c r="B100" i="135" s="1"/>
  <c r="B101" i="135" s="1"/>
  <c r="B102" i="135" s="1"/>
  <c r="B103" i="135" s="1"/>
  <c r="B104" i="135" s="1"/>
  <c r="B105" i="135" s="1"/>
  <c r="B106" i="135" s="1"/>
  <c r="B107" i="135" s="1"/>
  <c r="B108" i="135" s="1"/>
  <c r="B109" i="135" s="1"/>
  <c r="B110" i="135" s="1"/>
  <c r="B111" i="135" s="1"/>
  <c r="B112" i="135" s="1"/>
  <c r="B113" i="135" s="1"/>
  <c r="B114" i="135" s="1"/>
  <c r="B115" i="135" s="1"/>
  <c r="B116" i="135" s="1"/>
  <c r="B117" i="135" s="1"/>
  <c r="B118" i="135" s="1"/>
  <c r="B119" i="135" s="1"/>
  <c r="B120" i="135" s="1"/>
  <c r="B121" i="135" s="1"/>
  <c r="B122" i="135" s="1"/>
  <c r="B123" i="135" s="1"/>
  <c r="B124" i="135" s="1"/>
  <c r="B125" i="135" s="1"/>
  <c r="B126" i="135" s="1"/>
  <c r="B127" i="135" s="1"/>
  <c r="B128" i="135" s="1"/>
  <c r="B129" i="135" s="1"/>
  <c r="B130" i="135" s="1"/>
  <c r="B131" i="135" s="1"/>
  <c r="B132" i="135" s="1"/>
  <c r="B133" i="135" s="1"/>
  <c r="B134" i="135" s="1"/>
  <c r="B135" i="135" s="1"/>
  <c r="B136" i="135" s="1"/>
  <c r="B137" i="135" s="1"/>
  <c r="B138" i="135" s="1"/>
  <c r="B139" i="135" s="1"/>
  <c r="B140" i="135" s="1"/>
  <c r="B141" i="135" s="1"/>
  <c r="B142" i="135" s="1"/>
  <c r="B143" i="135" s="1"/>
  <c r="B144" i="135" s="1"/>
  <c r="B145" i="135" s="1"/>
  <c r="B146" i="135" s="1"/>
  <c r="B147" i="135" s="1"/>
  <c r="B148" i="135" s="1"/>
  <c r="B149" i="135" s="1"/>
  <c r="B150" i="135" s="1"/>
  <c r="B151" i="135" s="1"/>
  <c r="B152" i="135" s="1"/>
  <c r="B153" i="135" s="1"/>
  <c r="B154" i="135" s="1"/>
  <c r="B155" i="135" s="1"/>
  <c r="B156" i="135" s="1"/>
  <c r="B157" i="135" s="1"/>
  <c r="B158" i="135" s="1"/>
  <c r="B159" i="135" s="1"/>
  <c r="B160" i="135" s="1"/>
  <c r="B161" i="135" s="1"/>
  <c r="B162" i="135" s="1"/>
  <c r="B163" i="135" s="1"/>
  <c r="B164" i="135" s="1"/>
  <c r="B165" i="135" s="1"/>
  <c r="B166" i="135" s="1"/>
  <c r="B167" i="135" s="1"/>
  <c r="B168" i="135" s="1"/>
  <c r="B169" i="135" s="1"/>
  <c r="B170" i="135" s="1"/>
  <c r="B171" i="135" s="1"/>
  <c r="B172" i="135" s="1"/>
  <c r="B173" i="135" s="1"/>
  <c r="B174" i="135" s="1"/>
  <c r="B175" i="135" s="1"/>
  <c r="B176" i="135" s="1"/>
  <c r="B177" i="135" s="1"/>
  <c r="B178" i="135" s="1"/>
  <c r="B179" i="135" s="1"/>
  <c r="B180" i="135" s="1"/>
  <c r="B181" i="135" s="1"/>
  <c r="B182" i="135" s="1"/>
  <c r="B183" i="135" s="1"/>
  <c r="B184" i="135" s="1"/>
  <c r="B185" i="135" s="1"/>
  <c r="B186" i="135" s="1"/>
  <c r="B187" i="135" s="1"/>
  <c r="B188" i="135" s="1"/>
  <c r="B189" i="135" s="1"/>
  <c r="B190" i="135" s="1"/>
  <c r="B191" i="135" s="1"/>
  <c r="B192" i="135" s="1"/>
  <c r="B193" i="135" s="1"/>
  <c r="B194" i="135" s="1"/>
  <c r="B195" i="135" s="1"/>
  <c r="B196" i="135" s="1"/>
  <c r="B197" i="135" s="1"/>
  <c r="B198" i="135" s="1"/>
  <c r="B199" i="135" s="1"/>
  <c r="B200" i="135" s="1"/>
  <c r="B201" i="135" s="1"/>
  <c r="B202" i="135" s="1"/>
  <c r="B203" i="135" s="1"/>
  <c r="B204" i="135" s="1"/>
  <c r="B205" i="135" s="1"/>
  <c r="B206" i="135" s="1"/>
  <c r="B207" i="135" s="1"/>
  <c r="B208" i="135" s="1"/>
  <c r="B209" i="135" s="1"/>
  <c r="B210" i="135" s="1"/>
  <c r="B211" i="135" s="1"/>
  <c r="B212" i="135" s="1"/>
  <c r="B213" i="135" s="1"/>
  <c r="B214" i="135" s="1"/>
  <c r="B215" i="135" s="1"/>
  <c r="B216" i="135" s="1"/>
  <c r="B217" i="135" s="1"/>
  <c r="B218" i="135" s="1"/>
  <c r="B219" i="135" s="1"/>
  <c r="B220" i="135" s="1"/>
  <c r="B221" i="135" s="1"/>
  <c r="B222" i="135" s="1"/>
  <c r="B223" i="135" s="1"/>
  <c r="B224" i="135" s="1"/>
  <c r="B225" i="135" s="1"/>
  <c r="B226" i="135" s="1"/>
  <c r="B227" i="135" s="1"/>
  <c r="B228" i="135" s="1"/>
  <c r="B229" i="135" s="1"/>
  <c r="B230" i="135" s="1"/>
  <c r="B231" i="135" s="1"/>
  <c r="B232" i="135" s="1"/>
  <c r="B233" i="135" s="1"/>
  <c r="B234" i="135" s="1"/>
  <c r="B235" i="135" s="1"/>
  <c r="B236" i="135" s="1"/>
  <c r="B237" i="135" s="1"/>
  <c r="B238" i="135" s="1"/>
  <c r="B239" i="135" s="1"/>
  <c r="B240" i="135" s="1"/>
  <c r="B241" i="135" s="1"/>
  <c r="B242" i="135" s="1"/>
  <c r="B243" i="135" s="1"/>
  <c r="B244" i="135" s="1"/>
  <c r="B245" i="135" s="1"/>
  <c r="B246" i="135" s="1"/>
  <c r="B247" i="135" s="1"/>
  <c r="B248" i="135" s="1"/>
  <c r="B249" i="135" s="1"/>
  <c r="B250" i="135" s="1"/>
  <c r="B251" i="135" s="1"/>
  <c r="B252" i="135" s="1"/>
  <c r="B253" i="135" s="1"/>
  <c r="B254" i="135" s="1"/>
  <c r="B255" i="135" s="1"/>
  <c r="B256" i="135" s="1"/>
  <c r="B257" i="135" s="1"/>
  <c r="B258" i="135" s="1"/>
  <c r="B259" i="135" s="1"/>
  <c r="B260" i="135" s="1"/>
  <c r="B261" i="135" s="1"/>
  <c r="B262" i="135" s="1"/>
  <c r="B263" i="135" s="1"/>
  <c r="B264" i="135" s="1"/>
  <c r="B265" i="135" s="1"/>
  <c r="B266" i="135" s="1"/>
  <c r="B267" i="135" s="1"/>
  <c r="B268" i="135" s="1"/>
  <c r="B269" i="135" s="1"/>
  <c r="B270" i="135" s="1"/>
  <c r="B271" i="135" s="1"/>
  <c r="B272" i="135" s="1"/>
  <c r="B273" i="135" s="1"/>
  <c r="B274" i="135" s="1"/>
  <c r="B275" i="135" s="1"/>
  <c r="B276" i="135" s="1"/>
  <c r="B277" i="135" s="1"/>
  <c r="B278" i="135" s="1"/>
  <c r="B279" i="135" s="1"/>
  <c r="B280" i="135" s="1"/>
  <c r="B281" i="135" s="1"/>
  <c r="B282" i="135" s="1"/>
  <c r="B283" i="135" s="1"/>
  <c r="B284" i="135" s="1"/>
  <c r="B285" i="135" s="1"/>
  <c r="B286" i="135" s="1"/>
  <c r="B287" i="135" s="1"/>
  <c r="B288" i="135" s="1"/>
  <c r="B289" i="135" s="1"/>
  <c r="B290" i="135" s="1"/>
  <c r="B291" i="135" s="1"/>
  <c r="B292" i="135" s="1"/>
  <c r="B293" i="135" s="1"/>
  <c r="B294" i="135" s="1"/>
  <c r="X422" i="134"/>
  <c r="X426" i="134" s="1"/>
  <c r="T422" i="134"/>
  <c r="T426" i="134" s="1"/>
  <c r="AB410" i="134"/>
  <c r="X410" i="134"/>
  <c r="T410" i="134"/>
  <c r="AB409" i="134"/>
  <c r="X409" i="134"/>
  <c r="T409" i="134"/>
  <c r="AB408" i="134"/>
  <c r="X408" i="134"/>
  <c r="T408" i="134"/>
  <c r="AB402" i="134"/>
  <c r="X402" i="134"/>
  <c r="T402" i="134"/>
  <c r="AB401" i="134"/>
  <c r="X401" i="134"/>
  <c r="T401" i="134"/>
  <c r="AB400" i="134"/>
  <c r="X400" i="134"/>
  <c r="T400" i="134"/>
  <c r="X394" i="134"/>
  <c r="T394" i="134"/>
  <c r="X393" i="134"/>
  <c r="T393" i="134"/>
  <c r="X392" i="134"/>
  <c r="X395" i="134" s="1"/>
  <c r="X396" i="134" s="1"/>
  <c r="T392" i="134"/>
  <c r="AB386" i="134"/>
  <c r="X386" i="134"/>
  <c r="T386" i="134"/>
  <c r="AB385" i="134"/>
  <c r="X385" i="134"/>
  <c r="T385" i="134"/>
  <c r="AB384" i="134"/>
  <c r="X384" i="134"/>
  <c r="T384" i="134"/>
  <c r="AB378" i="134"/>
  <c r="X378" i="134"/>
  <c r="T378" i="134"/>
  <c r="AB377" i="134"/>
  <c r="X377" i="134"/>
  <c r="T377" i="134"/>
  <c r="AB376" i="134"/>
  <c r="X376" i="134"/>
  <c r="T376" i="134"/>
  <c r="AB370" i="134"/>
  <c r="X370" i="134"/>
  <c r="T370" i="134"/>
  <c r="AB369" i="134"/>
  <c r="X369" i="134"/>
  <c r="T369" i="134"/>
  <c r="AB368" i="134"/>
  <c r="X368" i="134"/>
  <c r="T368" i="134"/>
  <c r="X437" i="131"/>
  <c r="X434" i="131"/>
  <c r="X438" i="131" s="1"/>
  <c r="T434" i="131"/>
  <c r="AB430" i="131"/>
  <c r="X430" i="131"/>
  <c r="T430" i="131"/>
  <c r="AB429" i="131"/>
  <c r="AB431" i="131" s="1"/>
  <c r="AB432" i="131" s="1"/>
  <c r="X429" i="131"/>
  <c r="T429" i="131"/>
  <c r="AB428" i="131"/>
  <c r="X428" i="131"/>
  <c r="X431" i="131" s="1"/>
  <c r="X432" i="131" s="1"/>
  <c r="T428" i="131"/>
  <c r="AB422" i="131"/>
  <c r="X422" i="131"/>
  <c r="T422" i="131"/>
  <c r="AB421" i="131"/>
  <c r="X421" i="131"/>
  <c r="T421" i="131"/>
  <c r="AB420" i="131"/>
  <c r="X420" i="131"/>
  <c r="T420" i="131"/>
  <c r="X414" i="131"/>
  <c r="X415" i="131" s="1"/>
  <c r="X416" i="131" s="1"/>
  <c r="T414" i="131"/>
  <c r="T415" i="131" s="1"/>
  <c r="T416" i="131" s="1"/>
  <c r="X413" i="131"/>
  <c r="T413" i="131"/>
  <c r="X412" i="131"/>
  <c r="T412" i="131"/>
  <c r="AB406" i="131"/>
  <c r="X406" i="131"/>
  <c r="T406" i="131"/>
  <c r="T407" i="131" s="1"/>
  <c r="T408" i="131" s="1"/>
  <c r="AB405" i="131"/>
  <c r="X405" i="131"/>
  <c r="T405" i="131"/>
  <c r="AB404" i="131"/>
  <c r="X404" i="131"/>
  <c r="T404" i="131"/>
  <c r="X399" i="131"/>
  <c r="X400" i="131" s="1"/>
  <c r="AB398" i="131"/>
  <c r="X398" i="131"/>
  <c r="T398" i="131"/>
  <c r="AB397" i="131"/>
  <c r="X397" i="131"/>
  <c r="T397" i="131"/>
  <c r="AB396" i="131"/>
  <c r="AB399" i="131" s="1"/>
  <c r="AB400" i="131" s="1"/>
  <c r="X396" i="131"/>
  <c r="T396" i="131"/>
  <c r="AB390" i="131"/>
  <c r="X390" i="131"/>
  <c r="T390" i="131"/>
  <c r="AB389" i="131"/>
  <c r="X389" i="131"/>
  <c r="T389" i="131"/>
  <c r="T391" i="131" s="1"/>
  <c r="T392" i="131" s="1"/>
  <c r="AB388" i="131"/>
  <c r="AB391" i="131" s="1"/>
  <c r="AB392" i="131" s="1"/>
  <c r="X388" i="131"/>
  <c r="X391" i="131" s="1"/>
  <c r="X392" i="131" s="1"/>
  <c r="T388" i="131"/>
  <c r="AB312" i="149"/>
  <c r="AB320" i="149"/>
  <c r="AB319" i="149"/>
  <c r="AB318" i="149"/>
  <c r="T356" i="149"/>
  <c r="T359" i="149" s="1"/>
  <c r="AB352" i="149"/>
  <c r="AB351" i="149"/>
  <c r="AB350" i="149"/>
  <c r="X352" i="149"/>
  <c r="T352" i="149"/>
  <c r="X351" i="149"/>
  <c r="T351" i="149"/>
  <c r="X350" i="149"/>
  <c r="T350" i="149"/>
  <c r="X336" i="149"/>
  <c r="AB328" i="149"/>
  <c r="X335" i="149"/>
  <c r="AB327" i="149"/>
  <c r="X334" i="149"/>
  <c r="AB326" i="149"/>
  <c r="AB329" i="149" s="1"/>
  <c r="AB330" i="149" s="1"/>
  <c r="AB344" i="149"/>
  <c r="T336" i="149"/>
  <c r="AB343" i="149"/>
  <c r="AB345" i="149" s="1"/>
  <c r="AB346" i="149" s="1"/>
  <c r="T335" i="149"/>
  <c r="AB342" i="149"/>
  <c r="T334" i="149"/>
  <c r="X356" i="149"/>
  <c r="X358" i="149" s="1"/>
  <c r="X344" i="149"/>
  <c r="T344" i="149"/>
  <c r="X343" i="149"/>
  <c r="T343" i="149"/>
  <c r="X342" i="149"/>
  <c r="T342" i="149"/>
  <c r="X328" i="149"/>
  <c r="T328" i="149"/>
  <c r="X327" i="149"/>
  <c r="T327" i="149"/>
  <c r="X326" i="149"/>
  <c r="T326" i="149"/>
  <c r="X320" i="149"/>
  <c r="T320" i="149"/>
  <c r="X319" i="149"/>
  <c r="T319" i="149"/>
  <c r="X318" i="149"/>
  <c r="X321" i="149" s="1"/>
  <c r="X322" i="149" s="1"/>
  <c r="T318" i="149"/>
  <c r="T321" i="149" s="1"/>
  <c r="T322" i="149" s="1"/>
  <c r="X312" i="149"/>
  <c r="T312" i="149"/>
  <c r="AB311" i="149"/>
  <c r="X311" i="149"/>
  <c r="T311" i="149"/>
  <c r="AB310" i="149"/>
  <c r="X310" i="149"/>
  <c r="T310" i="149"/>
  <c r="AB379" i="134" l="1"/>
  <c r="AB380" i="134" s="1"/>
  <c r="AB403" i="134"/>
  <c r="AB404" i="134" s="1"/>
  <c r="AB411" i="134"/>
  <c r="AB412" i="134" s="1"/>
  <c r="T379" i="134"/>
  <c r="T380" i="134" s="1"/>
  <c r="X371" i="134"/>
  <c r="X372" i="134" s="1"/>
  <c r="X411" i="134"/>
  <c r="X412" i="134" s="1"/>
  <c r="T371" i="134"/>
  <c r="T372" i="134" s="1"/>
  <c r="T395" i="134"/>
  <c r="T396" i="134" s="1"/>
  <c r="T387" i="134"/>
  <c r="T388" i="134" s="1"/>
  <c r="AB387" i="134"/>
  <c r="AB388" i="134" s="1"/>
  <c r="AB371" i="134"/>
  <c r="AB372" i="134" s="1"/>
  <c r="T411" i="134"/>
  <c r="T412" i="134" s="1"/>
  <c r="X379" i="134"/>
  <c r="X380" i="134" s="1"/>
  <c r="X387" i="134"/>
  <c r="X388" i="134" s="1"/>
  <c r="X403" i="134"/>
  <c r="X404" i="134" s="1"/>
  <c r="T403" i="134"/>
  <c r="T404" i="134" s="1"/>
  <c r="X424" i="134"/>
  <c r="X425" i="134"/>
  <c r="X427" i="134"/>
  <c r="X428" i="134" s="1"/>
  <c r="T424" i="134"/>
  <c r="T425" i="134"/>
  <c r="T431" i="131"/>
  <c r="T432" i="131" s="1"/>
  <c r="AB407" i="131"/>
  <c r="AB408" i="131" s="1"/>
  <c r="AB423" i="131"/>
  <c r="AB424" i="131" s="1"/>
  <c r="X407" i="131"/>
  <c r="X408" i="131" s="1"/>
  <c r="X436" i="131"/>
  <c r="X439" i="131" s="1"/>
  <c r="X440" i="131" s="1"/>
  <c r="T399" i="131"/>
  <c r="T400" i="131" s="1"/>
  <c r="X423" i="131"/>
  <c r="X424" i="131" s="1"/>
  <c r="T423" i="131"/>
  <c r="T424" i="131" s="1"/>
  <c r="T436" i="131"/>
  <c r="T439" i="131" s="1"/>
  <c r="T440" i="131" s="1"/>
  <c r="T437" i="131"/>
  <c r="T438" i="131"/>
  <c r="AB353" i="149"/>
  <c r="AB354" i="149" s="1"/>
  <c r="X345" i="149"/>
  <c r="X346" i="149" s="1"/>
  <c r="T337" i="149"/>
  <c r="T338" i="149" s="1"/>
  <c r="T313" i="149"/>
  <c r="T314" i="149" s="1"/>
  <c r="X353" i="149"/>
  <c r="X354" i="149" s="1"/>
  <c r="X313" i="149"/>
  <c r="X314" i="149" s="1"/>
  <c r="AB313" i="149"/>
  <c r="AB314" i="149" s="1"/>
  <c r="T329" i="149"/>
  <c r="T330" i="149" s="1"/>
  <c r="X329" i="149"/>
  <c r="X330" i="149" s="1"/>
  <c r="X360" i="149"/>
  <c r="X361" i="149" s="1"/>
  <c r="X362" i="149" s="1"/>
  <c r="X337" i="149"/>
  <c r="X338" i="149" s="1"/>
  <c r="AB321" i="149"/>
  <c r="AB322" i="149" s="1"/>
  <c r="T345" i="149"/>
  <c r="T346" i="149" s="1"/>
  <c r="T353" i="149"/>
  <c r="T354" i="149" s="1"/>
  <c r="X359" i="149"/>
  <c r="T360" i="149"/>
  <c r="T358" i="149"/>
  <c r="T427" i="134" l="1"/>
  <c r="T428" i="134" s="1"/>
  <c r="T361" i="149"/>
  <c r="T362" i="149" s="1"/>
  <c r="AB418" i="134" l="1"/>
  <c r="AB417" i="134"/>
  <c r="AB416" i="134"/>
  <c r="X418" i="134"/>
  <c r="T418" i="134"/>
  <c r="X417" i="134"/>
  <c r="T417" i="134"/>
  <c r="X416" i="134"/>
  <c r="T416" i="134"/>
  <c r="Q233" i="135"/>
  <c r="T233" i="135" s="1"/>
  <c r="D233" i="135"/>
  <c r="C233" i="135" s="1"/>
  <c r="Q38" i="135"/>
  <c r="T419" i="134" l="1"/>
  <c r="T420" i="134" s="1"/>
  <c r="X419" i="134"/>
  <c r="X420" i="134" s="1"/>
  <c r="AB419" i="134"/>
  <c r="AB420" i="134" s="1"/>
  <c r="Q271" i="135"/>
  <c r="T271" i="135" s="1"/>
  <c r="Q270" i="135"/>
  <c r="Q269" i="135"/>
  <c r="T269" i="135" s="1"/>
  <c r="Q266" i="135"/>
  <c r="T266" i="135" s="1"/>
  <c r="Q265" i="135"/>
  <c r="T265" i="135" s="1"/>
  <c r="Q264" i="135"/>
  <c r="T264" i="135" s="1"/>
  <c r="Q263" i="135"/>
  <c r="T263" i="135" s="1"/>
  <c r="Q261" i="135"/>
  <c r="T261" i="135" s="1"/>
  <c r="Q260" i="135"/>
  <c r="T260" i="135" s="1"/>
  <c r="Q259" i="135"/>
  <c r="T259" i="135" s="1"/>
  <c r="Q258" i="135"/>
  <c r="T258" i="135" s="1"/>
  <c r="Q257" i="135"/>
  <c r="T257" i="135" s="1"/>
  <c r="Q232" i="135"/>
  <c r="T232" i="135" s="1"/>
  <c r="Q231" i="135"/>
  <c r="Q225" i="135"/>
  <c r="T225" i="135" s="1"/>
  <c r="Q178" i="135"/>
  <c r="T178" i="135" s="1"/>
  <c r="Q163" i="135"/>
  <c r="T163" i="135" s="1"/>
  <c r="Q153" i="135"/>
  <c r="T153" i="135" s="1"/>
  <c r="Q143" i="135"/>
  <c r="T143" i="135" s="1"/>
  <c r="Q111" i="135"/>
  <c r="T111" i="135" s="1"/>
  <c r="Q79" i="135"/>
  <c r="T79" i="135" s="1"/>
  <c r="Q75" i="135"/>
  <c r="T75" i="135" s="1"/>
  <c r="Q69" i="135"/>
  <c r="T69" i="135" s="1"/>
  <c r="Q65" i="135"/>
  <c r="T65" i="135" s="1"/>
  <c r="Q55" i="135"/>
  <c r="T55" i="135" s="1"/>
  <c r="Q45" i="135"/>
  <c r="T45" i="135" s="1"/>
  <c r="D33" i="135"/>
  <c r="C33" i="135" s="1"/>
  <c r="D34" i="135"/>
  <c r="C34" i="135" s="1"/>
  <c r="D35" i="135"/>
  <c r="C35" i="135" s="1"/>
  <c r="D36" i="135"/>
  <c r="C36" i="135" s="1"/>
  <c r="D37" i="135"/>
  <c r="C37" i="135" s="1"/>
  <c r="D38" i="135"/>
  <c r="C38" i="135" s="1"/>
  <c r="D39" i="135"/>
  <c r="C39" i="135" s="1"/>
  <c r="D40" i="135"/>
  <c r="C40" i="135" s="1"/>
  <c r="D41" i="135"/>
  <c r="C41" i="135" s="1"/>
  <c r="D42" i="135"/>
  <c r="C42" i="135" s="1"/>
  <c r="D43" i="135"/>
  <c r="C43" i="135" s="1"/>
  <c r="D44" i="135"/>
  <c r="C44" i="135" s="1"/>
  <c r="D45" i="135"/>
  <c r="C45" i="135" s="1"/>
  <c r="D46" i="135"/>
  <c r="C46" i="135" s="1"/>
  <c r="D47" i="135"/>
  <c r="C47" i="135" s="1"/>
  <c r="D48" i="135"/>
  <c r="C48" i="135" s="1"/>
  <c r="D49" i="135"/>
  <c r="C49" i="135" s="1"/>
  <c r="D50" i="135"/>
  <c r="C50" i="135" s="1"/>
  <c r="D51" i="135"/>
  <c r="C51" i="135" s="1"/>
  <c r="D52" i="135"/>
  <c r="C52" i="135" s="1"/>
  <c r="D53" i="135"/>
  <c r="C53" i="135" s="1"/>
  <c r="D54" i="135"/>
  <c r="C54" i="135" s="1"/>
  <c r="D55" i="135"/>
  <c r="C55" i="135" s="1"/>
  <c r="D56" i="135"/>
  <c r="C56" i="135" s="1"/>
  <c r="D57" i="135"/>
  <c r="C57" i="135" s="1"/>
  <c r="D58" i="135"/>
  <c r="C58" i="135" s="1"/>
  <c r="D59" i="135"/>
  <c r="C59" i="135" s="1"/>
  <c r="D60" i="135"/>
  <c r="C60" i="135" s="1"/>
  <c r="D61" i="135"/>
  <c r="C61" i="135" s="1"/>
  <c r="D62" i="135"/>
  <c r="C62" i="135" s="1"/>
  <c r="D63" i="135"/>
  <c r="C63" i="135" s="1"/>
  <c r="D64" i="135"/>
  <c r="C64" i="135" s="1"/>
  <c r="D65" i="135"/>
  <c r="C65" i="135" s="1"/>
  <c r="D66" i="135"/>
  <c r="C66" i="135" s="1"/>
  <c r="D67" i="135"/>
  <c r="C67" i="135" s="1"/>
  <c r="D68" i="135"/>
  <c r="C68" i="135" s="1"/>
  <c r="D69" i="135"/>
  <c r="C69" i="135" s="1"/>
  <c r="D70" i="135"/>
  <c r="C70" i="135" s="1"/>
  <c r="D71" i="135"/>
  <c r="C71" i="135" s="1"/>
  <c r="D72" i="135"/>
  <c r="C72" i="135" s="1"/>
  <c r="D73" i="135"/>
  <c r="C73" i="135" s="1"/>
  <c r="D74" i="135"/>
  <c r="C74" i="135" s="1"/>
  <c r="D75" i="135"/>
  <c r="C75" i="135" s="1"/>
  <c r="D76" i="135"/>
  <c r="C76" i="135" s="1"/>
  <c r="D77" i="135"/>
  <c r="C77" i="135" s="1"/>
  <c r="D78" i="135"/>
  <c r="C78" i="135" s="1"/>
  <c r="D79" i="135"/>
  <c r="C79" i="135" s="1"/>
  <c r="D80" i="135"/>
  <c r="C80" i="135" s="1"/>
  <c r="D81" i="135"/>
  <c r="C81" i="135" s="1"/>
  <c r="D82" i="135"/>
  <c r="C82" i="135" s="1"/>
  <c r="D83" i="135"/>
  <c r="C83" i="135" s="1"/>
  <c r="D84" i="135"/>
  <c r="C84" i="135" s="1"/>
  <c r="D85" i="135"/>
  <c r="C85" i="135" s="1"/>
  <c r="D86" i="135"/>
  <c r="C86" i="135" s="1"/>
  <c r="D87" i="135"/>
  <c r="C87" i="135" s="1"/>
  <c r="D88" i="135"/>
  <c r="C88" i="135" s="1"/>
  <c r="D89" i="135"/>
  <c r="C89" i="135" s="1"/>
  <c r="D90" i="135"/>
  <c r="C90" i="135" s="1"/>
  <c r="D91" i="135"/>
  <c r="C91" i="135" s="1"/>
  <c r="D92" i="135"/>
  <c r="C92" i="135" s="1"/>
  <c r="D93" i="135"/>
  <c r="C93" i="135" s="1"/>
  <c r="D94" i="135"/>
  <c r="C94" i="135" s="1"/>
  <c r="D95" i="135"/>
  <c r="C95" i="135" s="1"/>
  <c r="D96" i="135"/>
  <c r="C96" i="135" s="1"/>
  <c r="D97" i="135"/>
  <c r="C97" i="135" s="1"/>
  <c r="D98" i="135"/>
  <c r="C98" i="135" s="1"/>
  <c r="D99" i="135"/>
  <c r="C99" i="135" s="1"/>
  <c r="D100" i="135"/>
  <c r="C100" i="135" s="1"/>
  <c r="D101" i="135"/>
  <c r="C101" i="135" s="1"/>
  <c r="D102" i="135"/>
  <c r="C102" i="135" s="1"/>
  <c r="D103" i="135"/>
  <c r="C103" i="135" s="1"/>
  <c r="D104" i="135"/>
  <c r="C104" i="135" s="1"/>
  <c r="D105" i="135"/>
  <c r="C105" i="135" s="1"/>
  <c r="D106" i="135"/>
  <c r="C106" i="135" s="1"/>
  <c r="D107" i="135"/>
  <c r="C107" i="135" s="1"/>
  <c r="D108" i="135"/>
  <c r="C108" i="135" s="1"/>
  <c r="D109" i="135"/>
  <c r="C109" i="135" s="1"/>
  <c r="D110" i="135"/>
  <c r="C110" i="135" s="1"/>
  <c r="D111" i="135"/>
  <c r="C111" i="135" s="1"/>
  <c r="D112" i="135"/>
  <c r="C112" i="135" s="1"/>
  <c r="D113" i="135"/>
  <c r="C113" i="135" s="1"/>
  <c r="D114" i="135"/>
  <c r="C114" i="135" s="1"/>
  <c r="D115" i="135"/>
  <c r="C115" i="135" s="1"/>
  <c r="D116" i="135"/>
  <c r="C116" i="135" s="1"/>
  <c r="D117" i="135"/>
  <c r="C117" i="135" s="1"/>
  <c r="D118" i="135"/>
  <c r="C118" i="135" s="1"/>
  <c r="D119" i="135"/>
  <c r="C119" i="135" s="1"/>
  <c r="D120" i="135"/>
  <c r="C120" i="135" s="1"/>
  <c r="D121" i="135"/>
  <c r="C121" i="135" s="1"/>
  <c r="D122" i="135"/>
  <c r="C122" i="135" s="1"/>
  <c r="D123" i="135"/>
  <c r="C123" i="135" s="1"/>
  <c r="D124" i="135"/>
  <c r="C124" i="135" s="1"/>
  <c r="D125" i="135"/>
  <c r="C125" i="135" s="1"/>
  <c r="D126" i="135"/>
  <c r="C126" i="135" s="1"/>
  <c r="D127" i="135"/>
  <c r="C127" i="135" s="1"/>
  <c r="D128" i="135"/>
  <c r="C128" i="135" s="1"/>
  <c r="D129" i="135"/>
  <c r="C129" i="135" s="1"/>
  <c r="D130" i="135"/>
  <c r="C130" i="135" s="1"/>
  <c r="D131" i="135"/>
  <c r="C131" i="135" s="1"/>
  <c r="D132" i="135"/>
  <c r="C132" i="135" s="1"/>
  <c r="D133" i="135"/>
  <c r="C133" i="135" s="1"/>
  <c r="D134" i="135"/>
  <c r="C134" i="135" s="1"/>
  <c r="D135" i="135"/>
  <c r="C135" i="135" s="1"/>
  <c r="D136" i="135"/>
  <c r="C136" i="135" s="1"/>
  <c r="D137" i="135"/>
  <c r="C137" i="135" s="1"/>
  <c r="D138" i="135"/>
  <c r="C138" i="135" s="1"/>
  <c r="D139" i="135"/>
  <c r="C139" i="135" s="1"/>
  <c r="D140" i="135"/>
  <c r="C140" i="135" s="1"/>
  <c r="D141" i="135"/>
  <c r="C141" i="135" s="1"/>
  <c r="D142" i="135"/>
  <c r="C142" i="135" s="1"/>
  <c r="D143" i="135"/>
  <c r="C143" i="135" s="1"/>
  <c r="D144" i="135"/>
  <c r="C144" i="135" s="1"/>
  <c r="D145" i="135"/>
  <c r="C145" i="135" s="1"/>
  <c r="D146" i="135"/>
  <c r="C146" i="135" s="1"/>
  <c r="D147" i="135"/>
  <c r="C147" i="135" s="1"/>
  <c r="D148" i="135"/>
  <c r="C148" i="135" s="1"/>
  <c r="D149" i="135"/>
  <c r="C149" i="135" s="1"/>
  <c r="D150" i="135"/>
  <c r="C150" i="135" s="1"/>
  <c r="D151" i="135"/>
  <c r="C151" i="135" s="1"/>
  <c r="D152" i="135"/>
  <c r="C152" i="135" s="1"/>
  <c r="D153" i="135"/>
  <c r="C153" i="135" s="1"/>
  <c r="D154" i="135"/>
  <c r="C154" i="135" s="1"/>
  <c r="D155" i="135"/>
  <c r="C155" i="135" s="1"/>
  <c r="D156" i="135"/>
  <c r="C156" i="135" s="1"/>
  <c r="D157" i="135"/>
  <c r="C157" i="135" s="1"/>
  <c r="D158" i="135"/>
  <c r="C158" i="135" s="1"/>
  <c r="D159" i="135"/>
  <c r="C159" i="135" s="1"/>
  <c r="D160" i="135"/>
  <c r="C160" i="135" s="1"/>
  <c r="D161" i="135"/>
  <c r="C161" i="135" s="1"/>
  <c r="D162" i="135"/>
  <c r="C162" i="135" s="1"/>
  <c r="D163" i="135"/>
  <c r="C163" i="135" s="1"/>
  <c r="D164" i="135"/>
  <c r="C164" i="135" s="1"/>
  <c r="D165" i="135"/>
  <c r="C165" i="135" s="1"/>
  <c r="D166" i="135"/>
  <c r="C166" i="135" s="1"/>
  <c r="D167" i="135"/>
  <c r="C167" i="135" s="1"/>
  <c r="D168" i="135"/>
  <c r="C168" i="135" s="1"/>
  <c r="D169" i="135"/>
  <c r="C169" i="135" s="1"/>
  <c r="D170" i="135"/>
  <c r="C170" i="135" s="1"/>
  <c r="D171" i="135"/>
  <c r="C171" i="135" s="1"/>
  <c r="D172" i="135"/>
  <c r="C172" i="135" s="1"/>
  <c r="D173" i="135"/>
  <c r="C173" i="135" s="1"/>
  <c r="D174" i="135"/>
  <c r="C174" i="135" s="1"/>
  <c r="D175" i="135"/>
  <c r="C175" i="135" s="1"/>
  <c r="D176" i="135"/>
  <c r="C176" i="135" s="1"/>
  <c r="D177" i="135"/>
  <c r="C177" i="135" s="1"/>
  <c r="D178" i="135"/>
  <c r="C178" i="135" s="1"/>
  <c r="D179" i="135"/>
  <c r="C179" i="135" s="1"/>
  <c r="D180" i="135"/>
  <c r="C180" i="135" s="1"/>
  <c r="D181" i="135"/>
  <c r="C181" i="135" s="1"/>
  <c r="D182" i="135"/>
  <c r="C182" i="135" s="1"/>
  <c r="D183" i="135"/>
  <c r="C183" i="135" s="1"/>
  <c r="D184" i="135"/>
  <c r="C184" i="135" s="1"/>
  <c r="D185" i="135"/>
  <c r="C185" i="135" s="1"/>
  <c r="D186" i="135"/>
  <c r="C186" i="135" s="1"/>
  <c r="D187" i="135"/>
  <c r="C187" i="135" s="1"/>
  <c r="D188" i="135"/>
  <c r="C188" i="135" s="1"/>
  <c r="D189" i="135"/>
  <c r="C189" i="135" s="1"/>
  <c r="D190" i="135"/>
  <c r="C190" i="135" s="1"/>
  <c r="D191" i="135"/>
  <c r="C191" i="135" s="1"/>
  <c r="D192" i="135"/>
  <c r="C192" i="135" s="1"/>
  <c r="D193" i="135"/>
  <c r="C193" i="135" s="1"/>
  <c r="D194" i="135"/>
  <c r="C194" i="135" s="1"/>
  <c r="D195" i="135"/>
  <c r="C195" i="135" s="1"/>
  <c r="D196" i="135"/>
  <c r="C196" i="135" s="1"/>
  <c r="D197" i="135"/>
  <c r="C197" i="135" s="1"/>
  <c r="D198" i="135"/>
  <c r="C198" i="135" s="1"/>
  <c r="D199" i="135"/>
  <c r="C199" i="135" s="1"/>
  <c r="D200" i="135"/>
  <c r="C200" i="135" s="1"/>
  <c r="D201" i="135"/>
  <c r="C201" i="135" s="1"/>
  <c r="D202" i="135"/>
  <c r="C202" i="135" s="1"/>
  <c r="D203" i="135"/>
  <c r="C203" i="135" s="1"/>
  <c r="D204" i="135"/>
  <c r="C204" i="135" s="1"/>
  <c r="D205" i="135"/>
  <c r="C205" i="135" s="1"/>
  <c r="D206" i="135"/>
  <c r="C206" i="135" s="1"/>
  <c r="D207" i="135"/>
  <c r="C207" i="135" s="1"/>
  <c r="D208" i="135"/>
  <c r="C208" i="135" s="1"/>
  <c r="D209" i="135"/>
  <c r="C209" i="135" s="1"/>
  <c r="D210" i="135"/>
  <c r="C210" i="135" s="1"/>
  <c r="D211" i="135"/>
  <c r="C211" i="135" s="1"/>
  <c r="D212" i="135"/>
  <c r="C212" i="135" s="1"/>
  <c r="D213" i="135"/>
  <c r="C213" i="135" s="1"/>
  <c r="D214" i="135"/>
  <c r="C214" i="135" s="1"/>
  <c r="D215" i="135"/>
  <c r="C215" i="135" s="1"/>
  <c r="D216" i="135"/>
  <c r="C216" i="135" s="1"/>
  <c r="D217" i="135"/>
  <c r="C217" i="135" s="1"/>
  <c r="D218" i="135"/>
  <c r="C218" i="135" s="1"/>
  <c r="D219" i="135"/>
  <c r="C219" i="135" s="1"/>
  <c r="D220" i="135"/>
  <c r="C220" i="135" s="1"/>
  <c r="D221" i="135"/>
  <c r="C221" i="135" s="1"/>
  <c r="D222" i="135"/>
  <c r="C222" i="135" s="1"/>
  <c r="D223" i="135"/>
  <c r="C223" i="135" s="1"/>
  <c r="D224" i="135"/>
  <c r="C224" i="135" s="1"/>
  <c r="D225" i="135"/>
  <c r="C225" i="135" s="1"/>
  <c r="D226" i="135"/>
  <c r="C226" i="135" s="1"/>
  <c r="D227" i="135"/>
  <c r="C227" i="135" s="1"/>
  <c r="D228" i="135"/>
  <c r="C228" i="135" s="1"/>
  <c r="D229" i="135"/>
  <c r="C229" i="135" s="1"/>
  <c r="D230" i="135"/>
  <c r="C230" i="135" s="1"/>
  <c r="D231" i="135"/>
  <c r="C231" i="135" s="1"/>
  <c r="D232" i="135"/>
  <c r="C232" i="135" s="1"/>
  <c r="D234" i="135"/>
  <c r="C234" i="135" s="1"/>
  <c r="D235" i="135"/>
  <c r="C235" i="135" s="1"/>
  <c r="D236" i="135"/>
  <c r="C236" i="135" s="1"/>
  <c r="D237" i="135"/>
  <c r="C237" i="135" s="1"/>
  <c r="D238" i="135"/>
  <c r="C238" i="135" s="1"/>
  <c r="D239" i="135"/>
  <c r="C239" i="135" s="1"/>
  <c r="D240" i="135"/>
  <c r="C240" i="135" s="1"/>
  <c r="D241" i="135"/>
  <c r="C241" i="135" s="1"/>
  <c r="D242" i="135"/>
  <c r="C242" i="135" s="1"/>
  <c r="D243" i="135"/>
  <c r="C243" i="135" s="1"/>
  <c r="D244" i="135"/>
  <c r="C244" i="135" s="1"/>
  <c r="D245" i="135"/>
  <c r="C245" i="135" s="1"/>
  <c r="D246" i="135"/>
  <c r="C246" i="135" s="1"/>
  <c r="D247" i="135"/>
  <c r="C247" i="135" s="1"/>
  <c r="D248" i="135"/>
  <c r="C248" i="135" s="1"/>
  <c r="D249" i="135"/>
  <c r="C249" i="135" s="1"/>
  <c r="D250" i="135"/>
  <c r="C250" i="135" s="1"/>
  <c r="D251" i="135"/>
  <c r="C251" i="135" s="1"/>
  <c r="D252" i="135"/>
  <c r="C252" i="135" s="1"/>
  <c r="D253" i="135"/>
  <c r="C253" i="135" s="1"/>
  <c r="D254" i="135"/>
  <c r="C254" i="135" s="1"/>
  <c r="D255" i="135"/>
  <c r="C255" i="135" s="1"/>
  <c r="D256" i="135"/>
  <c r="C256" i="135" s="1"/>
  <c r="D257" i="135"/>
  <c r="C257" i="135" s="1"/>
  <c r="D258" i="135"/>
  <c r="C258" i="135" s="1"/>
  <c r="D259" i="135"/>
  <c r="C259" i="135" s="1"/>
  <c r="D260" i="135"/>
  <c r="C260" i="135" s="1"/>
  <c r="D261" i="135"/>
  <c r="C261" i="135" s="1"/>
  <c r="D262" i="135"/>
  <c r="C262" i="135" s="1"/>
  <c r="D263" i="135"/>
  <c r="C263" i="135" s="1"/>
  <c r="D264" i="135"/>
  <c r="C264" i="135" s="1"/>
  <c r="D265" i="135"/>
  <c r="C265" i="135" s="1"/>
  <c r="D266" i="135"/>
  <c r="C266" i="135" s="1"/>
  <c r="D267" i="135"/>
  <c r="C267" i="135" s="1"/>
  <c r="D268" i="135"/>
  <c r="C268" i="135" s="1"/>
  <c r="D269" i="135"/>
  <c r="C269" i="135" s="1"/>
  <c r="D270" i="135"/>
  <c r="C270" i="135" s="1"/>
  <c r="D271" i="135"/>
  <c r="C271" i="135" s="1"/>
  <c r="D272" i="135"/>
  <c r="C272" i="135" s="1"/>
  <c r="D273" i="135"/>
  <c r="C273" i="135" s="1"/>
  <c r="D274" i="135"/>
  <c r="C274" i="135" s="1"/>
  <c r="D275" i="135"/>
  <c r="C275" i="135" s="1"/>
  <c r="D276" i="135"/>
  <c r="C276" i="135" s="1"/>
  <c r="D277" i="135"/>
  <c r="C277" i="135" s="1"/>
  <c r="D278" i="135"/>
  <c r="C278" i="135" s="1"/>
  <c r="D279" i="135"/>
  <c r="C279" i="135" s="1"/>
  <c r="D280" i="135"/>
  <c r="C280" i="135" s="1"/>
  <c r="D281" i="135"/>
  <c r="C281" i="135" s="1"/>
  <c r="D282" i="135"/>
  <c r="C282" i="135" s="1"/>
  <c r="D283" i="135"/>
  <c r="C283" i="135" s="1"/>
  <c r="D284" i="135"/>
  <c r="C284" i="135" s="1"/>
  <c r="D285" i="135"/>
  <c r="C285" i="135" s="1"/>
  <c r="D286" i="135"/>
  <c r="C286" i="135" s="1"/>
  <c r="D287" i="135"/>
  <c r="C287" i="135" s="1"/>
  <c r="D288" i="135"/>
  <c r="C288" i="135" s="1"/>
  <c r="D289" i="135"/>
  <c r="C289" i="135" s="1"/>
  <c r="D290" i="135"/>
  <c r="C290" i="135" s="1"/>
  <c r="D291" i="135"/>
  <c r="C291" i="135" s="1"/>
  <c r="D292" i="135"/>
  <c r="C292" i="135" s="1"/>
  <c r="D293" i="135"/>
  <c r="C293" i="135" s="1"/>
  <c r="D294" i="135"/>
  <c r="C294" i="135" s="1"/>
  <c r="T33" i="135"/>
  <c r="T34" i="135"/>
  <c r="T35" i="135"/>
  <c r="T36" i="135"/>
  <c r="T37" i="135"/>
  <c r="T38" i="135"/>
  <c r="T39" i="135"/>
  <c r="T40" i="135"/>
  <c r="T41" i="135"/>
  <c r="T42" i="135"/>
  <c r="T43" i="135"/>
  <c r="T44" i="135"/>
  <c r="T46" i="135"/>
  <c r="T47" i="135"/>
  <c r="T48" i="135"/>
  <c r="T49" i="135"/>
  <c r="T50" i="135"/>
  <c r="T51" i="135"/>
  <c r="T52" i="135"/>
  <c r="T53" i="135"/>
  <c r="T54" i="135"/>
  <c r="T56" i="135"/>
  <c r="T57" i="135"/>
  <c r="T58" i="135"/>
  <c r="T59" i="135"/>
  <c r="T60" i="135"/>
  <c r="T61" i="135"/>
  <c r="T62" i="135"/>
  <c r="T63" i="135"/>
  <c r="T64" i="135"/>
  <c r="T66" i="135"/>
  <c r="T67" i="135"/>
  <c r="T68" i="135"/>
  <c r="T70" i="135"/>
  <c r="T71" i="135"/>
  <c r="T72" i="135"/>
  <c r="T73" i="135"/>
  <c r="T74" i="135"/>
  <c r="T76" i="135"/>
  <c r="T77" i="135"/>
  <c r="T78" i="135"/>
  <c r="T80" i="135"/>
  <c r="T81" i="135"/>
  <c r="T82" i="135"/>
  <c r="T83" i="135"/>
  <c r="T84" i="135"/>
  <c r="T85" i="135"/>
  <c r="T86" i="135"/>
  <c r="T87" i="135"/>
  <c r="T88" i="135"/>
  <c r="T89" i="135"/>
  <c r="T90" i="135"/>
  <c r="T91" i="135"/>
  <c r="T92" i="135"/>
  <c r="T93" i="135"/>
  <c r="T94" i="135"/>
  <c r="T95" i="135"/>
  <c r="T96" i="135"/>
  <c r="T97" i="135"/>
  <c r="T98" i="135"/>
  <c r="T99" i="135"/>
  <c r="T100" i="135"/>
  <c r="T101" i="135"/>
  <c r="T102" i="135"/>
  <c r="T103" i="135"/>
  <c r="T104" i="135"/>
  <c r="T105" i="135"/>
  <c r="T106" i="135"/>
  <c r="T107" i="135"/>
  <c r="T108" i="135"/>
  <c r="T109" i="135"/>
  <c r="T110" i="135"/>
  <c r="T112" i="135"/>
  <c r="T113" i="135"/>
  <c r="T114" i="135"/>
  <c r="T115" i="135"/>
  <c r="T116" i="135"/>
  <c r="T117" i="135"/>
  <c r="T118" i="135"/>
  <c r="T119" i="135"/>
  <c r="T120" i="135"/>
  <c r="T121" i="135"/>
  <c r="T122" i="135"/>
  <c r="T123" i="135"/>
  <c r="T124" i="135"/>
  <c r="T125" i="135"/>
  <c r="T126" i="135"/>
  <c r="T127" i="135"/>
  <c r="T128" i="135"/>
  <c r="T129" i="135"/>
  <c r="T130" i="135"/>
  <c r="T131" i="135"/>
  <c r="T132" i="135"/>
  <c r="T133" i="135"/>
  <c r="T134" i="135"/>
  <c r="T135" i="135"/>
  <c r="T136" i="135"/>
  <c r="T137" i="135"/>
  <c r="T138" i="135"/>
  <c r="T139" i="135"/>
  <c r="T140" i="135"/>
  <c r="T141" i="135"/>
  <c r="T142" i="135"/>
  <c r="T144" i="135"/>
  <c r="T145" i="135"/>
  <c r="T146" i="135"/>
  <c r="T147" i="135"/>
  <c r="T148" i="135"/>
  <c r="T149" i="135"/>
  <c r="T150" i="135"/>
  <c r="T151" i="135"/>
  <c r="T152" i="135"/>
  <c r="T154" i="135"/>
  <c r="T155" i="135"/>
  <c r="T156" i="135"/>
  <c r="T157" i="135"/>
  <c r="T158" i="135"/>
  <c r="T159" i="135"/>
  <c r="T160" i="135"/>
  <c r="T161" i="135"/>
  <c r="T162" i="135"/>
  <c r="T164" i="135"/>
  <c r="T165" i="135"/>
  <c r="T166" i="135"/>
  <c r="T167" i="135"/>
  <c r="T168" i="135"/>
  <c r="T169" i="135"/>
  <c r="T170" i="135"/>
  <c r="T171" i="135"/>
  <c r="T172" i="135"/>
  <c r="T173" i="135"/>
  <c r="T174" i="135"/>
  <c r="T175" i="135"/>
  <c r="T176" i="135"/>
  <c r="T177" i="135"/>
  <c r="T179" i="135"/>
  <c r="T180" i="135"/>
  <c r="T181" i="135"/>
  <c r="T182" i="135"/>
  <c r="T183" i="135"/>
  <c r="T184" i="135"/>
  <c r="T185" i="135"/>
  <c r="T186" i="135"/>
  <c r="T187" i="135"/>
  <c r="T188" i="135"/>
  <c r="T189" i="135"/>
  <c r="T190" i="135"/>
  <c r="T191" i="135"/>
  <c r="T192" i="135"/>
  <c r="T193" i="135"/>
  <c r="T194" i="135"/>
  <c r="T195" i="135"/>
  <c r="T196" i="135"/>
  <c r="T197" i="135"/>
  <c r="T198" i="135"/>
  <c r="T199" i="135"/>
  <c r="T200" i="135"/>
  <c r="T201" i="135"/>
  <c r="T202" i="135"/>
  <c r="T203" i="135"/>
  <c r="T204" i="135"/>
  <c r="T205" i="135"/>
  <c r="T206" i="135"/>
  <c r="T207" i="135"/>
  <c r="T208" i="135"/>
  <c r="T209" i="135"/>
  <c r="T210" i="135"/>
  <c r="T211" i="135"/>
  <c r="T212" i="135"/>
  <c r="T213" i="135"/>
  <c r="T214" i="135"/>
  <c r="T215" i="135"/>
  <c r="T216" i="135"/>
  <c r="T217" i="135"/>
  <c r="T218" i="135"/>
  <c r="T219" i="135"/>
  <c r="T220" i="135"/>
  <c r="T221" i="135"/>
  <c r="T222" i="135"/>
  <c r="T223" i="135"/>
  <c r="T224" i="135"/>
  <c r="T226" i="135"/>
  <c r="T227" i="135"/>
  <c r="T228" i="135"/>
  <c r="T229" i="135"/>
  <c r="T230" i="135"/>
  <c r="T231" i="135"/>
  <c r="T234" i="135"/>
  <c r="T235" i="135"/>
  <c r="T236" i="135"/>
  <c r="T237" i="135"/>
  <c r="T238" i="135"/>
  <c r="T239" i="135"/>
  <c r="T240" i="135"/>
  <c r="T241" i="135"/>
  <c r="T242" i="135"/>
  <c r="T243" i="135"/>
  <c r="T244" i="135"/>
  <c r="T245" i="135"/>
  <c r="T246" i="135"/>
  <c r="T247" i="135"/>
  <c r="T248" i="135"/>
  <c r="T249" i="135"/>
  <c r="T250" i="135"/>
  <c r="T251" i="135"/>
  <c r="T252" i="135"/>
  <c r="T253" i="135"/>
  <c r="T254" i="135"/>
  <c r="T255" i="135"/>
  <c r="T256" i="135"/>
  <c r="T262" i="135"/>
  <c r="T267" i="135"/>
  <c r="T268" i="135"/>
  <c r="T270" i="135"/>
  <c r="T272" i="135"/>
  <c r="T273" i="135"/>
  <c r="T274" i="135"/>
  <c r="T275" i="135"/>
  <c r="T276" i="135"/>
  <c r="T277" i="135"/>
  <c r="T278" i="135"/>
  <c r="T279" i="135"/>
  <c r="T280" i="135"/>
  <c r="T281" i="135"/>
  <c r="T282" i="135"/>
  <c r="T283" i="135"/>
  <c r="T284" i="135"/>
  <c r="T285" i="135"/>
  <c r="T286" i="135"/>
  <c r="T287" i="135"/>
  <c r="T288" i="135"/>
  <c r="T289" i="135"/>
  <c r="T290" i="135"/>
  <c r="T291" i="135"/>
  <c r="T292" i="135"/>
  <c r="T293" i="135"/>
  <c r="T294" i="135"/>
  <c r="Q29" i="135" l="1"/>
  <c r="G320" i="149"/>
  <c r="H320" i="149"/>
  <c r="F320" i="149"/>
  <c r="I319" i="149"/>
  <c r="G378" i="134"/>
  <c r="T18" i="134"/>
  <c r="T19" i="134"/>
  <c r="T20" i="134"/>
  <c r="H378" i="134"/>
  <c r="F378" i="134"/>
  <c r="I377" i="134"/>
  <c r="I376" i="134"/>
  <c r="H369" i="134"/>
  <c r="H372" i="134" s="1"/>
  <c r="G369" i="134"/>
  <c r="G372" i="134" s="1"/>
  <c r="F369" i="134"/>
  <c r="F372" i="134" s="1"/>
  <c r="I368" i="134"/>
  <c r="I367" i="134"/>
  <c r="J398" i="131"/>
  <c r="G398" i="131"/>
  <c r="H398" i="131"/>
  <c r="F398" i="131"/>
  <c r="I397" i="131"/>
  <c r="I398" i="131" s="1"/>
  <c r="H389" i="131"/>
  <c r="H390" i="131" s="1"/>
  <c r="G389" i="131"/>
  <c r="G390" i="131" s="1"/>
  <c r="F389" i="131"/>
  <c r="F392" i="131" s="1"/>
  <c r="T28" i="131"/>
  <c r="T29" i="131"/>
  <c r="T30" i="131"/>
  <c r="I396" i="131"/>
  <c r="I395" i="131"/>
  <c r="I388" i="131"/>
  <c r="I387" i="131"/>
  <c r="F96" i="100"/>
  <c r="T32" i="135"/>
  <c r="T31" i="135"/>
  <c r="T34" i="149"/>
  <c r="T35" i="149"/>
  <c r="Q111" i="149"/>
  <c r="I375" i="134" l="1"/>
  <c r="I378" i="134" s="1"/>
  <c r="J378" i="134" s="1"/>
  <c r="I369" i="134"/>
  <c r="J369" i="134" s="1"/>
  <c r="G370" i="134"/>
  <c r="H370" i="134"/>
  <c r="I372" i="134"/>
  <c r="J368" i="134"/>
  <c r="F370" i="134"/>
  <c r="J388" i="131"/>
  <c r="I389" i="131"/>
  <c r="J389" i="131" s="1"/>
  <c r="G392" i="131"/>
  <c r="H392" i="131"/>
  <c r="F390" i="131"/>
  <c r="I390" i="131" s="1"/>
  <c r="J390" i="131" s="1"/>
  <c r="T68" i="144"/>
  <c r="T23" i="144"/>
  <c r="T22" i="144"/>
  <c r="T63" i="144"/>
  <c r="T62" i="144"/>
  <c r="T71" i="144"/>
  <c r="Q79" i="149"/>
  <c r="Q69" i="149"/>
  <c r="I370" i="134" l="1"/>
  <c r="J370" i="134" s="1"/>
  <c r="I392" i="131"/>
  <c r="Q163" i="149"/>
  <c r="Q153" i="149"/>
  <c r="Q143" i="149"/>
  <c r="Q178" i="149"/>
  <c r="Y258" i="145"/>
  <c r="H323" i="149" l="1"/>
  <c r="G323" i="149"/>
  <c r="F323" i="149"/>
  <c r="I322" i="149"/>
  <c r="Q28" i="149"/>
  <c r="Q27" i="149"/>
  <c r="Q20" i="149"/>
  <c r="Q19" i="149"/>
  <c r="Q18" i="149"/>
  <c r="Q17" i="149"/>
  <c r="Q16" i="149"/>
  <c r="Q15" i="149"/>
  <c r="Q14" i="149"/>
  <c r="Q13" i="149"/>
  <c r="Q12" i="149"/>
  <c r="Q11" i="149"/>
  <c r="Q10" i="149"/>
  <c r="Q9" i="149"/>
  <c r="Q8" i="149"/>
  <c r="G311" i="149"/>
  <c r="G312" i="149" s="1"/>
  <c r="H311" i="149"/>
  <c r="H312" i="149" s="1"/>
  <c r="F311" i="149"/>
  <c r="F314" i="149" s="1"/>
  <c r="I310" i="149"/>
  <c r="I309" i="149"/>
  <c r="T30" i="149"/>
  <c r="T31" i="149"/>
  <c r="T32" i="149"/>
  <c r="J310" i="149" l="1"/>
  <c r="I323" i="149"/>
  <c r="F312" i="149"/>
  <c r="I312" i="149" s="1"/>
  <c r="J312" i="149" s="1"/>
  <c r="H314" i="149"/>
  <c r="G314" i="149"/>
  <c r="I311" i="149"/>
  <c r="J311" i="149" s="1"/>
  <c r="T17" i="149"/>
  <c r="Q28" i="135"/>
  <c r="T28" i="135"/>
  <c r="T29" i="135"/>
  <c r="T30" i="135"/>
  <c r="T12" i="149"/>
  <c r="I314" i="149" l="1"/>
  <c r="T24" i="149"/>
  <c r="T21" i="149"/>
  <c r="T22" i="149" l="1"/>
  <c r="T27" i="149"/>
  <c r="T28" i="149"/>
  <c r="T23" i="149"/>
  <c r="T25" i="149"/>
  <c r="T26" i="149"/>
  <c r="T20" i="149"/>
  <c r="T19" i="149"/>
  <c r="T18" i="149"/>
  <c r="T14" i="149"/>
  <c r="T16" i="149"/>
  <c r="T13" i="149"/>
  <c r="D267" i="149"/>
  <c r="D261" i="149"/>
  <c r="D255" i="149"/>
  <c r="D247" i="149"/>
  <c r="T99" i="149"/>
  <c r="T100" i="149"/>
  <c r="T101" i="149"/>
  <c r="T102" i="149"/>
  <c r="T103" i="149"/>
  <c r="T15" i="149" l="1"/>
  <c r="I318" i="149"/>
  <c r="I317" i="149"/>
  <c r="I320" i="149" s="1"/>
  <c r="S305" i="149"/>
  <c r="R305" i="149"/>
  <c r="T303" i="149"/>
  <c r="T302" i="149"/>
  <c r="T301" i="149"/>
  <c r="T300" i="149"/>
  <c r="T299" i="149"/>
  <c r="T298" i="149"/>
  <c r="T297" i="149"/>
  <c r="T295" i="149"/>
  <c r="T294" i="149"/>
  <c r="T293" i="149"/>
  <c r="T292" i="149"/>
  <c r="T291" i="149"/>
  <c r="T290" i="149"/>
  <c r="T289" i="149"/>
  <c r="T288" i="149"/>
  <c r="T287" i="149"/>
  <c r="T286" i="149"/>
  <c r="T285" i="149"/>
  <c r="T284" i="149"/>
  <c r="T283" i="149"/>
  <c r="T282" i="149"/>
  <c r="T281" i="149"/>
  <c r="T279" i="149"/>
  <c r="Q278" i="149"/>
  <c r="T278" i="149" s="1"/>
  <c r="Q277" i="149"/>
  <c r="T277" i="149" s="1"/>
  <c r="Q276" i="149"/>
  <c r="T276" i="149" s="1"/>
  <c r="T275" i="149"/>
  <c r="T274" i="149"/>
  <c r="Q272" i="149"/>
  <c r="T272" i="149" s="1"/>
  <c r="Q271" i="149"/>
  <c r="T271" i="149" s="1"/>
  <c r="Q270" i="149"/>
  <c r="T270" i="149" s="1"/>
  <c r="Q269" i="149"/>
  <c r="T269" i="149" s="1"/>
  <c r="T268" i="149"/>
  <c r="Q266" i="149"/>
  <c r="T266" i="149" s="1"/>
  <c r="Q265" i="149"/>
  <c r="T265" i="149" s="1"/>
  <c r="Q264" i="149"/>
  <c r="T264" i="149" s="1"/>
  <c r="Q263" i="149"/>
  <c r="T263" i="149" s="1"/>
  <c r="Q262" i="149"/>
  <c r="T262" i="149" s="1"/>
  <c r="T260" i="149"/>
  <c r="T259" i="149"/>
  <c r="T258" i="149"/>
  <c r="T257" i="149"/>
  <c r="T256" i="149"/>
  <c r="T254" i="149"/>
  <c r="T253" i="149"/>
  <c r="T252" i="149"/>
  <c r="T251" i="149"/>
  <c r="T250" i="149"/>
  <c r="T249" i="149"/>
  <c r="T248" i="149"/>
  <c r="T246" i="149"/>
  <c r="T245" i="149"/>
  <c r="T244" i="149"/>
  <c r="T243" i="149"/>
  <c r="T242" i="149"/>
  <c r="T241" i="149"/>
  <c r="T240" i="149"/>
  <c r="T239" i="149"/>
  <c r="D238" i="149"/>
  <c r="T237" i="149"/>
  <c r="T236" i="149"/>
  <c r="T235" i="149"/>
  <c r="Q233" i="149"/>
  <c r="T233" i="149" s="1"/>
  <c r="Q232" i="149"/>
  <c r="T232" i="149" s="1"/>
  <c r="T230" i="149"/>
  <c r="T229" i="149"/>
  <c r="T228" i="149"/>
  <c r="T227" i="149"/>
  <c r="T226" i="149"/>
  <c r="Q225" i="149"/>
  <c r="T225" i="149" s="1"/>
  <c r="T224" i="149"/>
  <c r="T223" i="149"/>
  <c r="T222" i="149"/>
  <c r="T221" i="149"/>
  <c r="T220" i="149"/>
  <c r="T219" i="149"/>
  <c r="T218" i="149"/>
  <c r="T217" i="149"/>
  <c r="T216" i="149"/>
  <c r="T215" i="149"/>
  <c r="T214" i="149"/>
  <c r="T213" i="149"/>
  <c r="T212" i="149"/>
  <c r="T211" i="149"/>
  <c r="T210" i="149"/>
  <c r="T209" i="149"/>
  <c r="T208" i="149"/>
  <c r="T207" i="149"/>
  <c r="T206" i="149"/>
  <c r="T205" i="149"/>
  <c r="T204" i="149"/>
  <c r="T203" i="149"/>
  <c r="T202" i="149"/>
  <c r="T201" i="149"/>
  <c r="T200" i="149"/>
  <c r="T199" i="149"/>
  <c r="T198" i="149"/>
  <c r="T197" i="149"/>
  <c r="T196" i="149"/>
  <c r="T195" i="149"/>
  <c r="T194" i="149"/>
  <c r="T193" i="149"/>
  <c r="T192" i="149"/>
  <c r="T191" i="149"/>
  <c r="T190" i="149"/>
  <c r="T189" i="149"/>
  <c r="T188" i="149"/>
  <c r="T187" i="149"/>
  <c r="T186" i="149"/>
  <c r="T185" i="149"/>
  <c r="T184" i="149"/>
  <c r="T183" i="149"/>
  <c r="T182" i="149"/>
  <c r="T181" i="149"/>
  <c r="T180" i="149"/>
  <c r="T179" i="149"/>
  <c r="T178" i="149"/>
  <c r="T177" i="149"/>
  <c r="T176" i="149"/>
  <c r="T175" i="149"/>
  <c r="T174" i="149"/>
  <c r="T173" i="149"/>
  <c r="T172" i="149"/>
  <c r="T171" i="149"/>
  <c r="T170" i="149"/>
  <c r="T169" i="149"/>
  <c r="T168" i="149"/>
  <c r="T167" i="149"/>
  <c r="T166" i="149"/>
  <c r="T165" i="149"/>
  <c r="T164" i="149"/>
  <c r="T163" i="149"/>
  <c r="T162" i="149"/>
  <c r="T161" i="149"/>
  <c r="T160" i="149"/>
  <c r="T159" i="149"/>
  <c r="T158" i="149"/>
  <c r="T157" i="149"/>
  <c r="T156" i="149"/>
  <c r="T155" i="149"/>
  <c r="T154" i="149"/>
  <c r="T153" i="149"/>
  <c r="T152" i="149"/>
  <c r="T151" i="149"/>
  <c r="T150" i="149"/>
  <c r="T149" i="149"/>
  <c r="T148" i="149"/>
  <c r="T147" i="149"/>
  <c r="T146" i="149"/>
  <c r="T145" i="149"/>
  <c r="T144" i="149"/>
  <c r="T143" i="149"/>
  <c r="T142" i="149"/>
  <c r="T141" i="149"/>
  <c r="T140" i="149"/>
  <c r="T139" i="149"/>
  <c r="T138" i="149"/>
  <c r="T137" i="149"/>
  <c r="T136" i="149"/>
  <c r="T135" i="149"/>
  <c r="T134" i="149"/>
  <c r="T133" i="149"/>
  <c r="T132" i="149"/>
  <c r="T131" i="149"/>
  <c r="T130" i="149"/>
  <c r="T129" i="149"/>
  <c r="T128" i="149"/>
  <c r="T127" i="149"/>
  <c r="T126" i="149"/>
  <c r="T125" i="149"/>
  <c r="T124" i="149"/>
  <c r="T123" i="149"/>
  <c r="T122" i="149"/>
  <c r="T121" i="149"/>
  <c r="T120" i="149"/>
  <c r="T119" i="149"/>
  <c r="T118" i="149"/>
  <c r="T117" i="149"/>
  <c r="T116" i="149"/>
  <c r="T115" i="149"/>
  <c r="T114" i="149"/>
  <c r="T113" i="149"/>
  <c r="T112" i="149"/>
  <c r="T111" i="149"/>
  <c r="T110" i="149"/>
  <c r="T109" i="149"/>
  <c r="T108" i="149"/>
  <c r="T107" i="149"/>
  <c r="T106" i="149"/>
  <c r="T105" i="149"/>
  <c r="T104" i="149"/>
  <c r="T98" i="149"/>
  <c r="T97" i="149"/>
  <c r="T96" i="149"/>
  <c r="T95" i="149"/>
  <c r="T94" i="149"/>
  <c r="T93" i="149"/>
  <c r="T92" i="149"/>
  <c r="T91" i="149"/>
  <c r="T90" i="149"/>
  <c r="T89" i="149"/>
  <c r="T88" i="149"/>
  <c r="T87" i="149"/>
  <c r="T86" i="149"/>
  <c r="T85" i="149"/>
  <c r="T84" i="149"/>
  <c r="T83" i="149"/>
  <c r="T82" i="149"/>
  <c r="T81" i="149"/>
  <c r="T80" i="149"/>
  <c r="T79" i="149"/>
  <c r="T78" i="149"/>
  <c r="T77" i="149"/>
  <c r="T76" i="149"/>
  <c r="Q75" i="149"/>
  <c r="T75" i="149" s="1"/>
  <c r="T74" i="149"/>
  <c r="T73" i="149"/>
  <c r="T72" i="149"/>
  <c r="T71" i="149"/>
  <c r="T70" i="149"/>
  <c r="T69" i="149"/>
  <c r="T68" i="149"/>
  <c r="T67" i="149"/>
  <c r="T66" i="149"/>
  <c r="Q65" i="149"/>
  <c r="T65" i="149" s="1"/>
  <c r="T64" i="149"/>
  <c r="T63" i="149"/>
  <c r="T62" i="149"/>
  <c r="T61" i="149"/>
  <c r="T60" i="149"/>
  <c r="T59" i="149"/>
  <c r="T58" i="149"/>
  <c r="T57" i="149"/>
  <c r="T56" i="149"/>
  <c r="Q55" i="149"/>
  <c r="T55" i="149" s="1"/>
  <c r="T54" i="149"/>
  <c r="T53" i="149"/>
  <c r="T52" i="149"/>
  <c r="T51" i="149"/>
  <c r="T50" i="149"/>
  <c r="T49" i="149"/>
  <c r="T48" i="149"/>
  <c r="T47" i="149"/>
  <c r="T46" i="149"/>
  <c r="Q45" i="149"/>
  <c r="T45" i="149" s="1"/>
  <c r="T44" i="149"/>
  <c r="D43" i="149"/>
  <c r="T42" i="149"/>
  <c r="T41" i="149"/>
  <c r="T40" i="149"/>
  <c r="T39" i="149"/>
  <c r="T38" i="149"/>
  <c r="Q37" i="149"/>
  <c r="T37" i="149" s="1"/>
  <c r="T11" i="149"/>
  <c r="T10" i="149"/>
  <c r="T9" i="149"/>
  <c r="T8" i="149"/>
  <c r="D2" i="149"/>
  <c r="T228" i="134"/>
  <c r="T229" i="134"/>
  <c r="T230" i="134"/>
  <c r="T231" i="134"/>
  <c r="T232" i="134"/>
  <c r="T233" i="134"/>
  <c r="T234" i="134"/>
  <c r="T235" i="134"/>
  <c r="T236" i="134"/>
  <c r="T237" i="134"/>
  <c r="T238" i="134"/>
  <c r="T239" i="134"/>
  <c r="T240" i="134"/>
  <c r="T241" i="134"/>
  <c r="T242" i="134"/>
  <c r="T243" i="134"/>
  <c r="T245" i="134"/>
  <c r="T246" i="134"/>
  <c r="T247" i="134"/>
  <c r="T248" i="134"/>
  <c r="T249" i="134"/>
  <c r="T250" i="134"/>
  <c r="T251" i="134"/>
  <c r="T252" i="134"/>
  <c r="T253" i="134"/>
  <c r="T254" i="134"/>
  <c r="T255" i="134"/>
  <c r="T256" i="134"/>
  <c r="T257" i="134"/>
  <c r="T258" i="134"/>
  <c r="T259" i="134"/>
  <c r="T260" i="134"/>
  <c r="T261" i="134"/>
  <c r="T262" i="134"/>
  <c r="T263" i="134"/>
  <c r="T264" i="134"/>
  <c r="T265" i="134"/>
  <c r="T266" i="134"/>
  <c r="T267" i="134"/>
  <c r="T25" i="135"/>
  <c r="T24" i="135"/>
  <c r="T23" i="135"/>
  <c r="T26" i="135"/>
  <c r="T214" i="134"/>
  <c r="T215" i="134"/>
  <c r="T216" i="134"/>
  <c r="T217" i="134"/>
  <c r="T218" i="134"/>
  <c r="T219" i="134"/>
  <c r="T220" i="134"/>
  <c r="T221" i="134"/>
  <c r="T222" i="134"/>
  <c r="T223" i="134"/>
  <c r="T224" i="134"/>
  <c r="T225" i="134"/>
  <c r="T226" i="134"/>
  <c r="Q21" i="135"/>
  <c r="AQ124" i="147"/>
  <c r="AR124" i="147" s="1"/>
  <c r="AG124" i="147"/>
  <c r="AC124" i="147"/>
  <c r="AH124" i="147" s="1"/>
  <c r="X124" i="147"/>
  <c r="T124" i="147"/>
  <c r="O124" i="147"/>
  <c r="K124" i="147"/>
  <c r="P124" i="147" s="1"/>
  <c r="AQ123" i="147"/>
  <c r="AR123" i="147" s="1"/>
  <c r="AG123" i="147"/>
  <c r="AC123" i="147"/>
  <c r="AH123" i="147" s="1"/>
  <c r="X123" i="147"/>
  <c r="T123" i="147"/>
  <c r="Y123" i="147" s="1"/>
  <c r="O123" i="147"/>
  <c r="K123" i="147"/>
  <c r="AQ122" i="147"/>
  <c r="AR122" i="147" s="1"/>
  <c r="AG122" i="147"/>
  <c r="AC122" i="147"/>
  <c r="AH122" i="147" s="1"/>
  <c r="X122" i="147"/>
  <c r="T122" i="147"/>
  <c r="Y122" i="147" s="1"/>
  <c r="O122" i="147"/>
  <c r="K122" i="147"/>
  <c r="AQ121" i="147"/>
  <c r="AR121" i="147" s="1"/>
  <c r="AG121" i="147"/>
  <c r="AC121" i="147"/>
  <c r="X121" i="147"/>
  <c r="T121" i="147"/>
  <c r="Y121" i="147" s="1"/>
  <c r="O121" i="147"/>
  <c r="K121" i="147"/>
  <c r="P121" i="147" s="1"/>
  <c r="AI167" i="146"/>
  <c r="J320" i="149" l="1"/>
  <c r="Q305" i="149"/>
  <c r="T305" i="149"/>
  <c r="V305" i="149" s="1"/>
  <c r="AH121" i="147"/>
  <c r="P122" i="147"/>
  <c r="AI122" i="147" s="1"/>
  <c r="P123" i="147"/>
  <c r="Y124" i="147"/>
  <c r="AI124" i="147" s="1"/>
  <c r="AK122" i="147"/>
  <c r="AS122" i="147" s="1"/>
  <c r="AT122" i="147" s="1"/>
  <c r="AJ122" i="147"/>
  <c r="AI123" i="147"/>
  <c r="AJ124" i="147"/>
  <c r="AK124" i="147"/>
  <c r="AS124" i="147" s="1"/>
  <c r="AT124" i="147" s="1"/>
  <c r="AI121" i="147"/>
  <c r="E168" i="146"/>
  <c r="J314" i="149" l="1"/>
  <c r="AK121" i="147"/>
  <c r="AS121" i="147" s="1"/>
  <c r="AT121" i="147" s="1"/>
  <c r="AJ121" i="147"/>
  <c r="AJ123" i="147"/>
  <c r="AK123" i="147"/>
  <c r="AS123" i="147" s="1"/>
  <c r="AT123" i="147" s="1"/>
  <c r="AQ168" i="146"/>
  <c r="AR168" i="146" s="1"/>
  <c r="AG168" i="146"/>
  <c r="AC168" i="146"/>
  <c r="X168" i="146"/>
  <c r="T168" i="146"/>
  <c r="O168" i="146"/>
  <c r="K168" i="146"/>
  <c r="P168" i="146" s="1"/>
  <c r="AP252" i="145"/>
  <c r="AO252" i="145"/>
  <c r="AQ252" i="145" s="1"/>
  <c r="AN252" i="145"/>
  <c r="AM252" i="145"/>
  <c r="AL252" i="145"/>
  <c r="AG252" i="145"/>
  <c r="AC252" i="145"/>
  <c r="AH252" i="145" s="1"/>
  <c r="X252" i="145"/>
  <c r="T252" i="145"/>
  <c r="O252" i="145"/>
  <c r="K252" i="145"/>
  <c r="P252" i="145" s="1"/>
  <c r="AP251" i="145"/>
  <c r="AO251" i="145"/>
  <c r="AN251" i="145"/>
  <c r="AM251" i="145"/>
  <c r="AL251" i="145"/>
  <c r="AG251" i="145"/>
  <c r="AC251" i="145"/>
  <c r="AH251" i="145" s="1"/>
  <c r="X251" i="145"/>
  <c r="T251" i="145"/>
  <c r="O251" i="145"/>
  <c r="K251" i="145"/>
  <c r="AP250" i="145"/>
  <c r="AO250" i="145"/>
  <c r="AN250" i="145"/>
  <c r="AM250" i="145"/>
  <c r="AL250" i="145"/>
  <c r="AG250" i="145"/>
  <c r="AC250" i="145"/>
  <c r="AH250" i="145" s="1"/>
  <c r="X250" i="145"/>
  <c r="T250" i="145"/>
  <c r="Y250" i="145" s="1"/>
  <c r="O250" i="145"/>
  <c r="K250" i="145"/>
  <c r="P250" i="145" s="1"/>
  <c r="AI250" i="145" s="1"/>
  <c r="AP249" i="145"/>
  <c r="AO249" i="145"/>
  <c r="AN249" i="145"/>
  <c r="AM249" i="145"/>
  <c r="AL249" i="145"/>
  <c r="AQ249" i="145" s="1"/>
  <c r="AG249" i="145"/>
  <c r="AC249" i="145"/>
  <c r="X249" i="145"/>
  <c r="T249" i="145"/>
  <c r="O249" i="145"/>
  <c r="K249" i="145"/>
  <c r="P249" i="145" s="1"/>
  <c r="AS246" i="145"/>
  <c r="T19" i="135"/>
  <c r="T20" i="135"/>
  <c r="T21" i="135"/>
  <c r="T22" i="135"/>
  <c r="T27" i="135"/>
  <c r="AH168" i="146" l="1"/>
  <c r="Y168" i="146"/>
  <c r="Y252" i="145"/>
  <c r="AI252" i="145"/>
  <c r="AK252" i="145" s="1"/>
  <c r="AR252" i="145" s="1"/>
  <c r="AS252" i="145" s="1"/>
  <c r="AH249" i="145"/>
  <c r="Y249" i="145"/>
  <c r="AI249" i="145" s="1"/>
  <c r="AQ250" i="145"/>
  <c r="P251" i="145"/>
  <c r="Y251" i="145"/>
  <c r="AQ251" i="145"/>
  <c r="AJ250" i="145"/>
  <c r="AK250" i="145"/>
  <c r="AR250" i="145" s="1"/>
  <c r="AS250" i="145" s="1"/>
  <c r="T299" i="134"/>
  <c r="T300" i="134"/>
  <c r="T301" i="134"/>
  <c r="T302" i="134"/>
  <c r="T303" i="134"/>
  <c r="T304" i="134"/>
  <c r="T305" i="134"/>
  <c r="Q359" i="134"/>
  <c r="T359" i="134" s="1"/>
  <c r="Q361" i="134"/>
  <c r="T361" i="134" s="1"/>
  <c r="Q360" i="134"/>
  <c r="T360" i="134" s="1"/>
  <c r="Q325" i="134"/>
  <c r="T326" i="134"/>
  <c r="Q309" i="134"/>
  <c r="Q12" i="135"/>
  <c r="Q11" i="135"/>
  <c r="T353" i="134"/>
  <c r="T354" i="134"/>
  <c r="T355" i="134"/>
  <c r="T356" i="134"/>
  <c r="T357" i="134"/>
  <c r="T358" i="134"/>
  <c r="AI168" i="146" l="1"/>
  <c r="AK168" i="146" s="1"/>
  <c r="AS168" i="146" s="1"/>
  <c r="AT168" i="146" s="1"/>
  <c r="AK249" i="145"/>
  <c r="AR249" i="145" s="1"/>
  <c r="AS249" i="145" s="1"/>
  <c r="AJ249" i="145"/>
  <c r="AJ252" i="145"/>
  <c r="AI251" i="145"/>
  <c r="AJ251" i="145" s="1"/>
  <c r="AK251" i="145"/>
  <c r="AR251" i="145" s="1"/>
  <c r="AS251" i="145" s="1"/>
  <c r="T331" i="134"/>
  <c r="T332" i="134"/>
  <c r="T333" i="134"/>
  <c r="T334" i="134"/>
  <c r="T335" i="134"/>
  <c r="T336" i="134"/>
  <c r="T337" i="134"/>
  <c r="T338" i="134"/>
  <c r="T339" i="134"/>
  <c r="T340" i="134"/>
  <c r="T341" i="134"/>
  <c r="T342" i="134"/>
  <c r="T343" i="134"/>
  <c r="T344" i="134"/>
  <c r="T345" i="134"/>
  <c r="T346" i="134"/>
  <c r="T347" i="134"/>
  <c r="T348" i="134"/>
  <c r="T349" i="134"/>
  <c r="T350" i="134"/>
  <c r="AJ168" i="146" l="1"/>
  <c r="T324" i="134" l="1"/>
  <c r="Q272" i="134" l="1"/>
  <c r="Q271" i="134"/>
  <c r="Q270" i="134"/>
  <c r="Q268" i="134"/>
  <c r="Q269" i="134"/>
  <c r="D141" i="147" l="1"/>
  <c r="D142" i="147"/>
  <c r="D143" i="147"/>
  <c r="D144" i="147"/>
  <c r="D140" i="147"/>
  <c r="C146" i="147"/>
  <c r="Q202" i="134"/>
  <c r="I187" i="146"/>
  <c r="E195" i="146"/>
  <c r="E196" i="146"/>
  <c r="E197" i="146"/>
  <c r="E198" i="146"/>
  <c r="E194" i="146"/>
  <c r="E200" i="146" s="1"/>
  <c r="AG175" i="146"/>
  <c r="AC175" i="146"/>
  <c r="X175" i="146"/>
  <c r="T175" i="146"/>
  <c r="O175" i="146"/>
  <c r="K175" i="146"/>
  <c r="E175" i="146"/>
  <c r="AQ174" i="146"/>
  <c r="AR174" i="146" s="1"/>
  <c r="AG174" i="146"/>
  <c r="AC174" i="146"/>
  <c r="X174" i="146"/>
  <c r="T174" i="146"/>
  <c r="O174" i="146"/>
  <c r="K174" i="146"/>
  <c r="AQ173" i="146"/>
  <c r="AR173" i="146" s="1"/>
  <c r="AG173" i="146"/>
  <c r="AC173" i="146"/>
  <c r="X173" i="146"/>
  <c r="T173" i="146"/>
  <c r="O173" i="146"/>
  <c r="K173" i="146"/>
  <c r="AQ172" i="146"/>
  <c r="AR172" i="146" s="1"/>
  <c r="AG172" i="146"/>
  <c r="AC172" i="146"/>
  <c r="X172" i="146"/>
  <c r="T172" i="146"/>
  <c r="O172" i="146"/>
  <c r="K172" i="146"/>
  <c r="AQ171" i="146"/>
  <c r="AR171" i="146" s="1"/>
  <c r="AG171" i="146"/>
  <c r="AC171" i="146"/>
  <c r="X171" i="146"/>
  <c r="T171" i="146"/>
  <c r="O171" i="146"/>
  <c r="K171" i="146"/>
  <c r="AQ170" i="146"/>
  <c r="AR170" i="146" s="1"/>
  <c r="AG170" i="146"/>
  <c r="AC170" i="146"/>
  <c r="X170" i="146"/>
  <c r="T170" i="146"/>
  <c r="O170" i="146"/>
  <c r="K170" i="146"/>
  <c r="AG169" i="146"/>
  <c r="AC169" i="146"/>
  <c r="X169" i="146"/>
  <c r="T169" i="146"/>
  <c r="O169" i="146"/>
  <c r="K169" i="146"/>
  <c r="E169" i="146"/>
  <c r="AQ169" i="146" s="1"/>
  <c r="AR169" i="146" s="1"/>
  <c r="AQ167" i="146"/>
  <c r="AR167" i="146" s="1"/>
  <c r="AG167" i="146"/>
  <c r="AC167" i="146"/>
  <c r="X167" i="146"/>
  <c r="T167" i="146"/>
  <c r="O167" i="146"/>
  <c r="K167" i="146"/>
  <c r="F167" i="146"/>
  <c r="AQ166" i="146"/>
  <c r="AR166" i="146" s="1"/>
  <c r="AG166" i="146"/>
  <c r="AC166" i="146"/>
  <c r="X166" i="146"/>
  <c r="T166" i="146"/>
  <c r="O166" i="146"/>
  <c r="K166" i="146"/>
  <c r="E204" i="146"/>
  <c r="E205" i="146"/>
  <c r="E206" i="146"/>
  <c r="E207" i="146"/>
  <c r="E208" i="146"/>
  <c r="D200" i="146"/>
  <c r="D210" i="146"/>
  <c r="D146" i="147" l="1"/>
  <c r="P166" i="146"/>
  <c r="AH167" i="146"/>
  <c r="Y174" i="146"/>
  <c r="Y171" i="146"/>
  <c r="P173" i="146"/>
  <c r="Y167" i="146"/>
  <c r="P170" i="146"/>
  <c r="P175" i="146"/>
  <c r="P171" i="146"/>
  <c r="Y173" i="146"/>
  <c r="Y170" i="146"/>
  <c r="P172" i="146"/>
  <c r="Y175" i="146"/>
  <c r="Y166" i="146"/>
  <c r="AH170" i="146"/>
  <c r="P174" i="146"/>
  <c r="AH175" i="146"/>
  <c r="AH173" i="146"/>
  <c r="AH171" i="146"/>
  <c r="AH174" i="146"/>
  <c r="AH166" i="146"/>
  <c r="P169" i="146"/>
  <c r="Y172" i="146"/>
  <c r="Y169" i="146"/>
  <c r="AH172" i="146"/>
  <c r="P167" i="146"/>
  <c r="AH169" i="146"/>
  <c r="AQ175" i="146"/>
  <c r="AR175" i="146" s="1"/>
  <c r="AS175" i="146" s="1"/>
  <c r="AT175" i="146" s="1"/>
  <c r="E210" i="146"/>
  <c r="Q209" i="134"/>
  <c r="AK167" i="146" l="1"/>
  <c r="AS167" i="146" s="1"/>
  <c r="AT167" i="146" s="1"/>
  <c r="AI170" i="146"/>
  <c r="AK170" i="146" s="1"/>
  <c r="AS170" i="146" s="1"/>
  <c r="AT170" i="146" s="1"/>
  <c r="AI173" i="146"/>
  <c r="AK173" i="146" s="1"/>
  <c r="AS173" i="146" s="1"/>
  <c r="AT173" i="146" s="1"/>
  <c r="AI171" i="146"/>
  <c r="AJ171" i="146" s="1"/>
  <c r="AI175" i="146"/>
  <c r="AJ175" i="146" s="1"/>
  <c r="AI166" i="146"/>
  <c r="AJ166" i="146" s="1"/>
  <c r="AI174" i="146"/>
  <c r="AK174" i="146" s="1"/>
  <c r="AS174" i="146" s="1"/>
  <c r="AT174" i="146" s="1"/>
  <c r="AI172" i="146"/>
  <c r="AJ172" i="146" s="1"/>
  <c r="AJ173" i="146"/>
  <c r="AK172" i="146"/>
  <c r="AS172" i="146" s="1"/>
  <c r="AT172" i="146" s="1"/>
  <c r="AK166" i="146"/>
  <c r="AS166" i="146" s="1"/>
  <c r="AT166" i="146" s="1"/>
  <c r="AI169" i="146"/>
  <c r="Q237" i="131"/>
  <c r="T237" i="131" s="1"/>
  <c r="T295" i="131"/>
  <c r="T296" i="131"/>
  <c r="T297" i="131"/>
  <c r="T298" i="131"/>
  <c r="T275" i="131"/>
  <c r="T276" i="131"/>
  <c r="T277" i="131"/>
  <c r="T278" i="131"/>
  <c r="T279" i="131"/>
  <c r="T280" i="131"/>
  <c r="T281" i="131"/>
  <c r="T282" i="131"/>
  <c r="T283" i="131"/>
  <c r="T284" i="131"/>
  <c r="T285" i="131"/>
  <c r="T286" i="131"/>
  <c r="T287" i="131"/>
  <c r="T288" i="131"/>
  <c r="T289" i="131"/>
  <c r="T290" i="131"/>
  <c r="T291" i="131"/>
  <c r="T292" i="131"/>
  <c r="T293" i="131"/>
  <c r="T294" i="131"/>
  <c r="T271" i="131"/>
  <c r="T272" i="131"/>
  <c r="T264" i="131"/>
  <c r="T265" i="131"/>
  <c r="T266" i="131"/>
  <c r="T267" i="131"/>
  <c r="T268" i="131"/>
  <c r="T269" i="131"/>
  <c r="T270" i="131"/>
  <c r="T273" i="131"/>
  <c r="AK171" i="146" l="1"/>
  <c r="AS171" i="146" s="1"/>
  <c r="AT171" i="146" s="1"/>
  <c r="AJ170" i="146"/>
  <c r="AJ174" i="146"/>
  <c r="AJ167" i="146"/>
  <c r="AJ169" i="146"/>
  <c r="AK169" i="146"/>
  <c r="AS169" i="146" s="1"/>
  <c r="AT169" i="146" s="1"/>
  <c r="T244" i="131"/>
  <c r="T245" i="131"/>
  <c r="T246" i="131"/>
  <c r="T247" i="131"/>
  <c r="T248" i="131"/>
  <c r="T249" i="131"/>
  <c r="T250" i="131"/>
  <c r="T251" i="131"/>
  <c r="T252" i="131"/>
  <c r="T253" i="131"/>
  <c r="T254" i="131"/>
  <c r="T255" i="131"/>
  <c r="T256" i="131"/>
  <c r="T257" i="131"/>
  <c r="T258" i="131"/>
  <c r="T259" i="131"/>
  <c r="T260" i="131"/>
  <c r="T261" i="131"/>
  <c r="T262" i="131"/>
  <c r="T291" i="134"/>
  <c r="Q140" i="134" l="1"/>
  <c r="T140" i="134" s="1"/>
  <c r="Q93" i="134"/>
  <c r="T93" i="134" s="1"/>
  <c r="Q185" i="134"/>
  <c r="T185" i="134" s="1"/>
  <c r="Q58" i="134"/>
  <c r="T58" i="134" s="1"/>
  <c r="Q115" i="134"/>
  <c r="T115" i="134" s="1"/>
  <c r="Q48" i="134"/>
  <c r="T48" i="134" s="1"/>
  <c r="Q165" i="134"/>
  <c r="T165" i="134" s="1"/>
  <c r="Q155" i="134"/>
  <c r="T155" i="134" s="1"/>
  <c r="T309" i="134"/>
  <c r="Q282" i="134"/>
  <c r="T282" i="134" s="1"/>
  <c r="Q281" i="134"/>
  <c r="T281" i="134" s="1"/>
  <c r="Q280" i="134"/>
  <c r="T280" i="134" s="1"/>
  <c r="Q277" i="134"/>
  <c r="T277" i="134" s="1"/>
  <c r="Q276" i="134"/>
  <c r="T276" i="134" s="1"/>
  <c r="Q275" i="134"/>
  <c r="T275" i="134" s="1"/>
  <c r="Q274" i="134"/>
  <c r="T274" i="134" s="1"/>
  <c r="T271" i="134"/>
  <c r="T270" i="134"/>
  <c r="T209" i="134"/>
  <c r="Q208" i="134"/>
  <c r="T208" i="134" s="1"/>
  <c r="Q130" i="134"/>
  <c r="T130" i="134" s="1"/>
  <c r="Q103" i="134"/>
  <c r="T103" i="134" s="1"/>
  <c r="T83" i="134"/>
  <c r="Q52" i="134"/>
  <c r="T52" i="134" s="1"/>
  <c r="Q42" i="134"/>
  <c r="Q32" i="134"/>
  <c r="Q28" i="134"/>
  <c r="Q22" i="134"/>
  <c r="Q13" i="134"/>
  <c r="T49" i="134"/>
  <c r="T50" i="134"/>
  <c r="T51" i="134"/>
  <c r="T53" i="134"/>
  <c r="T54" i="134"/>
  <c r="T55" i="134"/>
  <c r="T56" i="134"/>
  <c r="T57" i="134"/>
  <c r="T59" i="134"/>
  <c r="T60" i="134"/>
  <c r="T61" i="134"/>
  <c r="T62" i="134"/>
  <c r="T63" i="134"/>
  <c r="T64" i="134"/>
  <c r="T65" i="134"/>
  <c r="T66" i="134"/>
  <c r="T67" i="134"/>
  <c r="T68" i="134"/>
  <c r="T69" i="134"/>
  <c r="T70" i="134"/>
  <c r="T71" i="134"/>
  <c r="T72" i="134"/>
  <c r="T73" i="134"/>
  <c r="T74" i="134"/>
  <c r="T75" i="134"/>
  <c r="T76" i="134"/>
  <c r="T77" i="134"/>
  <c r="T78" i="134"/>
  <c r="T79" i="134"/>
  <c r="T80" i="134"/>
  <c r="T81" i="134"/>
  <c r="T82" i="134"/>
  <c r="T84" i="134"/>
  <c r="T85" i="134"/>
  <c r="T86" i="134"/>
  <c r="T87" i="134"/>
  <c r="T88" i="134"/>
  <c r="T89" i="134"/>
  <c r="T90" i="134"/>
  <c r="T91" i="134"/>
  <c r="T92" i="134"/>
  <c r="T94" i="134"/>
  <c r="T95" i="134"/>
  <c r="T96" i="134"/>
  <c r="T97" i="134"/>
  <c r="T98" i="134"/>
  <c r="T99" i="134"/>
  <c r="T100" i="134"/>
  <c r="T101" i="134"/>
  <c r="T102" i="134"/>
  <c r="T104" i="134"/>
  <c r="T105" i="134"/>
  <c r="T106" i="134"/>
  <c r="T107" i="134"/>
  <c r="T108" i="134"/>
  <c r="T109" i="134"/>
  <c r="T110" i="134"/>
  <c r="T111" i="134"/>
  <c r="T112" i="134"/>
  <c r="T113" i="134"/>
  <c r="T114" i="134"/>
  <c r="T116" i="134"/>
  <c r="T117" i="134"/>
  <c r="T118" i="134"/>
  <c r="T119" i="134"/>
  <c r="T120" i="134"/>
  <c r="T121" i="134"/>
  <c r="T122" i="134"/>
  <c r="T123" i="134"/>
  <c r="T124" i="134"/>
  <c r="T125" i="134"/>
  <c r="T126" i="134"/>
  <c r="T127" i="134"/>
  <c r="T128" i="134"/>
  <c r="T129" i="134"/>
  <c r="T131" i="134"/>
  <c r="T132" i="134"/>
  <c r="T133" i="134"/>
  <c r="T134" i="134"/>
  <c r="T135" i="134"/>
  <c r="T136" i="134"/>
  <c r="T137" i="134"/>
  <c r="T138" i="134"/>
  <c r="T139" i="134"/>
  <c r="T141" i="134"/>
  <c r="T142" i="134"/>
  <c r="T143" i="134"/>
  <c r="T144" i="134"/>
  <c r="T145" i="134"/>
  <c r="T146" i="134"/>
  <c r="T147" i="134"/>
  <c r="T148" i="134"/>
  <c r="T149" i="134"/>
  <c r="T150" i="134"/>
  <c r="T151" i="134"/>
  <c r="T152" i="134"/>
  <c r="T153" i="134"/>
  <c r="T154" i="134"/>
  <c r="T156" i="134"/>
  <c r="T157" i="134"/>
  <c r="T158" i="134"/>
  <c r="T159" i="134"/>
  <c r="T160" i="134"/>
  <c r="T161" i="134"/>
  <c r="T162" i="134"/>
  <c r="T163" i="134"/>
  <c r="T164" i="134"/>
  <c r="T166" i="134"/>
  <c r="T167" i="134"/>
  <c r="T168" i="134"/>
  <c r="T169" i="134"/>
  <c r="T170" i="134"/>
  <c r="T171" i="134"/>
  <c r="T172" i="134"/>
  <c r="T173" i="134"/>
  <c r="T174" i="134"/>
  <c r="T175" i="134"/>
  <c r="T176" i="134"/>
  <c r="T177" i="134"/>
  <c r="T178" i="134"/>
  <c r="T179" i="134"/>
  <c r="T180" i="134"/>
  <c r="T181" i="134"/>
  <c r="T182" i="134"/>
  <c r="T183" i="134"/>
  <c r="T184" i="134"/>
  <c r="T186" i="134"/>
  <c r="T187" i="134"/>
  <c r="T188" i="134"/>
  <c r="T189" i="134"/>
  <c r="T190" i="134"/>
  <c r="T191" i="134"/>
  <c r="T192" i="134"/>
  <c r="T193" i="134"/>
  <c r="T194" i="134"/>
  <c r="T195" i="134"/>
  <c r="T196" i="134"/>
  <c r="T197" i="134"/>
  <c r="T198" i="134"/>
  <c r="T199" i="134"/>
  <c r="T200" i="134"/>
  <c r="T201" i="134"/>
  <c r="T202" i="134"/>
  <c r="T203" i="134"/>
  <c r="T204" i="134"/>
  <c r="T205" i="134"/>
  <c r="T206" i="134"/>
  <c r="T207" i="134"/>
  <c r="T210" i="134"/>
  <c r="T211" i="134"/>
  <c r="T212" i="134"/>
  <c r="T213" i="134"/>
  <c r="T227" i="134"/>
  <c r="T244" i="134"/>
  <c r="T268" i="134"/>
  <c r="T269" i="134"/>
  <c r="T272" i="134"/>
  <c r="T273" i="134"/>
  <c r="T278" i="134"/>
  <c r="T279" i="134"/>
  <c r="T283" i="134"/>
  <c r="T284" i="134"/>
  <c r="T285" i="134"/>
  <c r="T286" i="134"/>
  <c r="T287" i="134"/>
  <c r="T288" i="134"/>
  <c r="T289" i="134"/>
  <c r="T290" i="134"/>
  <c r="T292" i="134"/>
  <c r="T293" i="134"/>
  <c r="T294" i="134"/>
  <c r="T295" i="134"/>
  <c r="T296" i="134"/>
  <c r="T297" i="134"/>
  <c r="T298" i="134"/>
  <c r="T306" i="134"/>
  <c r="T307" i="134"/>
  <c r="T308" i="134"/>
  <c r="T310" i="134"/>
  <c r="T311" i="134"/>
  <c r="T312" i="134"/>
  <c r="T313" i="134"/>
  <c r="T314" i="134"/>
  <c r="T315" i="134"/>
  <c r="T316" i="134"/>
  <c r="T317" i="134"/>
  <c r="T318" i="134"/>
  <c r="T319" i="134"/>
  <c r="T320" i="134"/>
  <c r="T321" i="134"/>
  <c r="T322" i="134"/>
  <c r="T323" i="134"/>
  <c r="T325" i="134"/>
  <c r="T327" i="134"/>
  <c r="T328" i="134"/>
  <c r="T329" i="134"/>
  <c r="T330" i="134"/>
  <c r="T351" i="134"/>
  <c r="T352" i="134"/>
  <c r="E247" i="145"/>
  <c r="AP247" i="145" s="1"/>
  <c r="AM247" i="145" l="1"/>
  <c r="AQ247" i="145" s="1"/>
  <c r="AN247" i="145"/>
  <c r="AO247" i="145"/>
  <c r="D230" i="146"/>
  <c r="AQ157" i="146"/>
  <c r="AR157" i="146" s="1"/>
  <c r="AG157" i="146"/>
  <c r="AC157" i="146"/>
  <c r="X157" i="146"/>
  <c r="T157" i="146"/>
  <c r="O157" i="146"/>
  <c r="K157" i="146"/>
  <c r="T13" i="134"/>
  <c r="T14" i="134"/>
  <c r="T15" i="134"/>
  <c r="T16" i="134"/>
  <c r="T17" i="134"/>
  <c r="T21" i="134"/>
  <c r="T22" i="134"/>
  <c r="T23" i="134"/>
  <c r="T24" i="134"/>
  <c r="T25" i="134"/>
  <c r="T26" i="134"/>
  <c r="T27" i="134"/>
  <c r="T28" i="134"/>
  <c r="T29" i="134"/>
  <c r="T30" i="134"/>
  <c r="T31" i="134"/>
  <c r="T32" i="134"/>
  <c r="T33" i="134"/>
  <c r="T34" i="134"/>
  <c r="T35" i="134"/>
  <c r="T36" i="134"/>
  <c r="T37" i="134"/>
  <c r="T38" i="134"/>
  <c r="T39" i="134"/>
  <c r="AH157" i="146" l="1"/>
  <c r="P157" i="146"/>
  <c r="Y157" i="146"/>
  <c r="AI157" i="146" l="1"/>
  <c r="AG119" i="147"/>
  <c r="AC119" i="147"/>
  <c r="X119" i="147"/>
  <c r="T119" i="147"/>
  <c r="O119" i="147"/>
  <c r="K119" i="147"/>
  <c r="AQ119" i="147"/>
  <c r="AR119" i="147" s="1"/>
  <c r="AQ118" i="147"/>
  <c r="AR118" i="147" s="1"/>
  <c r="AG118" i="147"/>
  <c r="AC118" i="147"/>
  <c r="X118" i="147"/>
  <c r="T118" i="147"/>
  <c r="O118" i="147"/>
  <c r="K118" i="147"/>
  <c r="AG117" i="147"/>
  <c r="AC117" i="147"/>
  <c r="X117" i="147"/>
  <c r="T117" i="147"/>
  <c r="O117" i="147"/>
  <c r="K117" i="147"/>
  <c r="AG116" i="147"/>
  <c r="AC116" i="147"/>
  <c r="X116" i="147"/>
  <c r="T116" i="147"/>
  <c r="O116" i="147"/>
  <c r="K116" i="147"/>
  <c r="Y117" i="147" l="1"/>
  <c r="P118" i="147"/>
  <c r="AH119" i="147"/>
  <c r="AH117" i="147"/>
  <c r="P117" i="147"/>
  <c r="P119" i="147"/>
  <c r="P116" i="147"/>
  <c r="AH116" i="147"/>
  <c r="Y119" i="147"/>
  <c r="AJ157" i="146"/>
  <c r="AK157" i="146"/>
  <c r="AS157" i="146" s="1"/>
  <c r="AT157" i="146" s="1"/>
  <c r="AU167" i="146" s="1"/>
  <c r="AH118" i="147"/>
  <c r="Y118" i="147"/>
  <c r="Y116" i="147"/>
  <c r="AQ116" i="147"/>
  <c r="AR116" i="147" s="1"/>
  <c r="AQ117" i="147"/>
  <c r="AR117" i="147" s="1"/>
  <c r="AI117" i="147" l="1"/>
  <c r="AJ117" i="147" s="1"/>
  <c r="AI119" i="147"/>
  <c r="AJ119" i="147" s="1"/>
  <c r="AI118" i="147"/>
  <c r="AJ118" i="147" s="1"/>
  <c r="AI116" i="147"/>
  <c r="AJ116" i="147" s="1"/>
  <c r="AK118" i="147" l="1"/>
  <c r="AS118" i="147" s="1"/>
  <c r="AT118" i="147" s="1"/>
  <c r="AU123" i="147" s="1"/>
  <c r="AK117" i="147"/>
  <c r="AS117" i="147" s="1"/>
  <c r="AT117" i="147" s="1"/>
  <c r="AU122" i="147" s="1"/>
  <c r="AV122" i="147" s="1"/>
  <c r="AK119" i="147"/>
  <c r="AS119" i="147" s="1"/>
  <c r="AT119" i="147" s="1"/>
  <c r="AK116" i="147"/>
  <c r="AS116" i="147" s="1"/>
  <c r="AT116" i="147" s="1"/>
  <c r="T7" i="134"/>
  <c r="T8" i="134"/>
  <c r="T9" i="134"/>
  <c r="T10" i="134"/>
  <c r="T11" i="134"/>
  <c r="T40" i="134"/>
  <c r="T41" i="134"/>
  <c r="T42" i="134"/>
  <c r="T43" i="134"/>
  <c r="T44" i="134"/>
  <c r="T45" i="134"/>
  <c r="T46" i="134"/>
  <c r="T47" i="134"/>
  <c r="Q12" i="134"/>
  <c r="T12" i="134" s="1"/>
  <c r="AM245" i="145"/>
  <c r="AM244" i="145"/>
  <c r="AM243" i="145"/>
  <c r="AM242" i="145"/>
  <c r="E164" i="146"/>
  <c r="AQ164" i="146" l="1"/>
  <c r="AR164" i="146" s="1"/>
  <c r="AS164" i="146" s="1"/>
  <c r="AT164" i="146" s="1"/>
  <c r="AG164" i="146"/>
  <c r="AC164" i="146"/>
  <c r="X164" i="146"/>
  <c r="T164" i="146"/>
  <c r="O164" i="146"/>
  <c r="K164" i="146"/>
  <c r="AQ163" i="146"/>
  <c r="AR163" i="146" s="1"/>
  <c r="AG163" i="146"/>
  <c r="AC163" i="146"/>
  <c r="X163" i="146"/>
  <c r="T163" i="146"/>
  <c r="O163" i="146"/>
  <c r="K163" i="146"/>
  <c r="AG162" i="146"/>
  <c r="AC162" i="146"/>
  <c r="X162" i="146"/>
  <c r="T162" i="146"/>
  <c r="O162" i="146"/>
  <c r="K162" i="146"/>
  <c r="P162" i="146" s="1"/>
  <c r="AQ162" i="146"/>
  <c r="AR162" i="146" s="1"/>
  <c r="AQ161" i="146"/>
  <c r="AR161" i="146" s="1"/>
  <c r="AG161" i="146"/>
  <c r="AC161" i="146"/>
  <c r="AH161" i="146" s="1"/>
  <c r="X161" i="146"/>
  <c r="T161" i="146"/>
  <c r="O161" i="146"/>
  <c r="K161" i="146"/>
  <c r="AG160" i="146"/>
  <c r="AC160" i="146"/>
  <c r="X160" i="146"/>
  <c r="T160" i="146"/>
  <c r="O160" i="146"/>
  <c r="K160" i="146"/>
  <c r="AG159" i="146"/>
  <c r="AC159" i="146"/>
  <c r="X159" i="146"/>
  <c r="T159" i="146"/>
  <c r="O159" i="146"/>
  <c r="K159" i="146"/>
  <c r="AQ159" i="146"/>
  <c r="AR159" i="146" s="1"/>
  <c r="AG158" i="146"/>
  <c r="AC158" i="146"/>
  <c r="X158" i="146"/>
  <c r="T158" i="146"/>
  <c r="O158" i="146"/>
  <c r="K158" i="146"/>
  <c r="E158" i="146"/>
  <c r="AG156" i="146"/>
  <c r="AC156" i="146"/>
  <c r="X156" i="146"/>
  <c r="T156" i="146"/>
  <c r="O156" i="146"/>
  <c r="K156" i="146"/>
  <c r="AQ156" i="146"/>
  <c r="AR156" i="146" s="1"/>
  <c r="AP245" i="145"/>
  <c r="AP244" i="145"/>
  <c r="AP243" i="145"/>
  <c r="AP242" i="145"/>
  <c r="AO245" i="145"/>
  <c r="AO244" i="145"/>
  <c r="AO243" i="145"/>
  <c r="AO242" i="145"/>
  <c r="AN245" i="145"/>
  <c r="AN244" i="145"/>
  <c r="AN243" i="145"/>
  <c r="AN242" i="145"/>
  <c r="AL245" i="145"/>
  <c r="AL244" i="145"/>
  <c r="AL243" i="145"/>
  <c r="AL242" i="145"/>
  <c r="P158" i="146" l="1"/>
  <c r="P160" i="146"/>
  <c r="AH158" i="146"/>
  <c r="Y156" i="146"/>
  <c r="P161" i="146"/>
  <c r="Y163" i="146"/>
  <c r="AH160" i="146"/>
  <c r="AH159" i="146"/>
  <c r="Y164" i="146"/>
  <c r="Y159" i="146"/>
  <c r="P164" i="146"/>
  <c r="AH162" i="146"/>
  <c r="Y161" i="146"/>
  <c r="Y160" i="146"/>
  <c r="P159" i="146"/>
  <c r="Y162" i="146"/>
  <c r="P156" i="146"/>
  <c r="P163" i="146"/>
  <c r="AH163" i="146"/>
  <c r="AH156" i="146"/>
  <c r="AH164" i="146"/>
  <c r="Y158" i="146"/>
  <c r="AQ160" i="146"/>
  <c r="AR160" i="146" s="1"/>
  <c r="AQ158" i="146"/>
  <c r="AR158" i="146" s="1"/>
  <c r="T381" i="131"/>
  <c r="T378" i="131"/>
  <c r="T380" i="131"/>
  <c r="T382" i="131"/>
  <c r="T375" i="131"/>
  <c r="T376" i="131"/>
  <c r="T377" i="131"/>
  <c r="T379" i="131"/>
  <c r="T374" i="131"/>
  <c r="T367" i="131"/>
  <c r="T368" i="131"/>
  <c r="T369" i="131"/>
  <c r="T370" i="131"/>
  <c r="T371" i="131"/>
  <c r="T372" i="131"/>
  <c r="T373" i="131"/>
  <c r="AI158" i="146" l="1"/>
  <c r="AJ158" i="146" s="1"/>
  <c r="AI161" i="146"/>
  <c r="AK161" i="146" s="1"/>
  <c r="AS161" i="146" s="1"/>
  <c r="AT161" i="146" s="1"/>
  <c r="AI159" i="146"/>
  <c r="AJ159" i="146" s="1"/>
  <c r="AI160" i="146"/>
  <c r="AJ160" i="146" s="1"/>
  <c r="AI162" i="146"/>
  <c r="AJ162" i="146" s="1"/>
  <c r="AI164" i="146"/>
  <c r="AJ164" i="146" s="1"/>
  <c r="AI163" i="146"/>
  <c r="AK163" i="146" s="1"/>
  <c r="AS163" i="146" s="1"/>
  <c r="AT163" i="146" s="1"/>
  <c r="AK160" i="146"/>
  <c r="AS160" i="146" s="1"/>
  <c r="AT160" i="146" s="1"/>
  <c r="AI156" i="146"/>
  <c r="AK156" i="146" s="1"/>
  <c r="Q363" i="131"/>
  <c r="T363" i="131" s="1"/>
  <c r="T300" i="131"/>
  <c r="T299" i="131"/>
  <c r="T360" i="131"/>
  <c r="T361" i="131"/>
  <c r="T362" i="131"/>
  <c r="T364" i="131"/>
  <c r="Q306" i="131"/>
  <c r="AK158" i="146" l="1"/>
  <c r="AS158" i="146" s="1"/>
  <c r="AT158" i="146" s="1"/>
  <c r="AU168" i="146" s="1"/>
  <c r="AJ161" i="146"/>
  <c r="AK162" i="146"/>
  <c r="AS162" i="146" s="1"/>
  <c r="AT162" i="146" s="1"/>
  <c r="AK159" i="146"/>
  <c r="AS159" i="146" s="1"/>
  <c r="AT159" i="146" s="1"/>
  <c r="AJ163" i="146"/>
  <c r="AJ156" i="146"/>
  <c r="AS156" i="146"/>
  <c r="AT156" i="146" s="1"/>
  <c r="Q302" i="131"/>
  <c r="T304" i="131"/>
  <c r="T346" i="131"/>
  <c r="Q236" i="131"/>
  <c r="T236" i="131" s="1"/>
  <c r="T352" i="131" l="1"/>
  <c r="T353" i="131"/>
  <c r="T20" i="131" l="1"/>
  <c r="Q15" i="131"/>
  <c r="T15" i="131" s="1"/>
  <c r="T357" i="131"/>
  <c r="T358" i="131"/>
  <c r="T359" i="131"/>
  <c r="T365" i="131"/>
  <c r="T366" i="131"/>
  <c r="T14" i="131"/>
  <c r="T16" i="131"/>
  <c r="T17" i="131"/>
  <c r="T18" i="131"/>
  <c r="T19" i="131"/>
  <c r="T21" i="131"/>
  <c r="T22" i="131"/>
  <c r="T23" i="131"/>
  <c r="T24" i="131"/>
  <c r="T25" i="131"/>
  <c r="T26" i="131"/>
  <c r="Q31" i="131"/>
  <c r="T31" i="131" s="1"/>
  <c r="T8" i="131"/>
  <c r="T27" i="131"/>
  <c r="T351" i="131" l="1"/>
  <c r="T354" i="131"/>
  <c r="T355" i="131"/>
  <c r="T356" i="131"/>
  <c r="AG245" i="145"/>
  <c r="AC245" i="145"/>
  <c r="X245" i="145"/>
  <c r="T245" i="145"/>
  <c r="O245" i="145"/>
  <c r="K245" i="145"/>
  <c r="AG244" i="145"/>
  <c r="AC244" i="145"/>
  <c r="X244" i="145"/>
  <c r="T244" i="145"/>
  <c r="O244" i="145"/>
  <c r="K244" i="145"/>
  <c r="AG243" i="145"/>
  <c r="AC243" i="145"/>
  <c r="X243" i="145"/>
  <c r="T243" i="145"/>
  <c r="O243" i="145"/>
  <c r="K243" i="145"/>
  <c r="AG242" i="145"/>
  <c r="AC242" i="145"/>
  <c r="X242" i="145"/>
  <c r="T242" i="145"/>
  <c r="O242" i="145"/>
  <c r="K242" i="145"/>
  <c r="AS241" i="145"/>
  <c r="Y245" i="145" l="1"/>
  <c r="P243" i="145"/>
  <c r="Y244" i="145"/>
  <c r="AH243" i="145"/>
  <c r="AQ244" i="145"/>
  <c r="Y242" i="145"/>
  <c r="AH244" i="145"/>
  <c r="AH242" i="145"/>
  <c r="P242" i="145"/>
  <c r="Y243" i="145"/>
  <c r="AH245" i="145"/>
  <c r="P244" i="145"/>
  <c r="AQ242" i="145"/>
  <c r="AQ243" i="145"/>
  <c r="P245" i="145"/>
  <c r="AQ245" i="145"/>
  <c r="Q234" i="131"/>
  <c r="Q349" i="131"/>
  <c r="AI244" i="145" l="1"/>
  <c r="AK244" i="145" s="1"/>
  <c r="AI243" i="145"/>
  <c r="AJ243" i="145" s="1"/>
  <c r="AI242" i="145"/>
  <c r="AK242" i="145" s="1"/>
  <c r="AR242" i="145" s="1"/>
  <c r="AS242" i="145" s="1"/>
  <c r="AI245" i="145"/>
  <c r="T349" i="131"/>
  <c r="T350" i="131"/>
  <c r="T348" i="131"/>
  <c r="AJ244" i="145" l="1"/>
  <c r="AK243" i="145"/>
  <c r="AR243" i="145" s="1"/>
  <c r="AS243" i="145" s="1"/>
  <c r="AR244" i="145"/>
  <c r="AS244" i="145" s="1"/>
  <c r="AJ242" i="145"/>
  <c r="AJ245" i="145"/>
  <c r="AK245" i="145"/>
  <c r="AR245" i="145" s="1"/>
  <c r="AS245" i="145" s="1"/>
  <c r="T343" i="131"/>
  <c r="T344" i="131"/>
  <c r="T345" i="131"/>
  <c r="T347" i="131"/>
  <c r="AS240" i="145" l="1"/>
  <c r="Q129" i="131"/>
  <c r="Q119" i="131"/>
  <c r="Q109" i="131"/>
  <c r="D155" i="147"/>
  <c r="D154" i="147"/>
  <c r="D153" i="147"/>
  <c r="D152" i="147"/>
  <c r="D151" i="147"/>
  <c r="D157" i="147" s="1"/>
  <c r="C157" i="147"/>
  <c r="Q166" i="131" l="1"/>
  <c r="Q156" i="131"/>
  <c r="Q211" i="131"/>
  <c r="Q141" i="131"/>
  <c r="Q67" i="131"/>
  <c r="Q191" i="131"/>
  <c r="Q44" i="131"/>
  <c r="Q181" i="131"/>
  <c r="T341" i="131" l="1"/>
  <c r="T342" i="131"/>
  <c r="T144" i="131" l="1"/>
  <c r="T145" i="131"/>
  <c r="T146" i="131"/>
  <c r="T147" i="131"/>
  <c r="T148" i="131"/>
  <c r="Q79" i="131"/>
  <c r="Q64" i="131"/>
  <c r="T335" i="131"/>
  <c r="T336" i="131"/>
  <c r="T337" i="131"/>
  <c r="T338" i="131"/>
  <c r="T339" i="131"/>
  <c r="T340" i="131"/>
  <c r="Q334" i="131"/>
  <c r="Q333" i="131"/>
  <c r="Q332" i="131"/>
  <c r="T331" i="131" l="1"/>
  <c r="T332" i="131"/>
  <c r="T333" i="131"/>
  <c r="T334" i="131"/>
  <c r="T158" i="131"/>
  <c r="T159" i="131"/>
  <c r="T160" i="131"/>
  <c r="T161" i="131"/>
  <c r="T162" i="131"/>
  <c r="T163" i="131"/>
  <c r="T164" i="131"/>
  <c r="T165" i="131"/>
  <c r="T166" i="131"/>
  <c r="T167" i="131"/>
  <c r="T168" i="131"/>
  <c r="T169" i="131"/>
  <c r="T170" i="131"/>
  <c r="T171" i="131"/>
  <c r="T172" i="131"/>
  <c r="T173" i="131"/>
  <c r="T174" i="131"/>
  <c r="T175" i="131"/>
  <c r="T176" i="131"/>
  <c r="T177" i="131"/>
  <c r="T178" i="131"/>
  <c r="T179" i="131"/>
  <c r="T180" i="131"/>
  <c r="T181" i="131"/>
  <c r="T182" i="131"/>
  <c r="T183" i="131"/>
  <c r="T184" i="131"/>
  <c r="T185" i="131"/>
  <c r="T186" i="131"/>
  <c r="T187" i="131"/>
  <c r="T188" i="131"/>
  <c r="T189" i="131"/>
  <c r="T190" i="131"/>
  <c r="T191" i="131"/>
  <c r="T192" i="131"/>
  <c r="T193" i="131"/>
  <c r="T194" i="131"/>
  <c r="T195" i="131"/>
  <c r="T196" i="131"/>
  <c r="T197" i="131"/>
  <c r="T198" i="131"/>
  <c r="T199" i="131"/>
  <c r="T200" i="131"/>
  <c r="T201" i="131"/>
  <c r="T202" i="131"/>
  <c r="T203" i="131"/>
  <c r="T204" i="131"/>
  <c r="T205" i="131"/>
  <c r="T206" i="131"/>
  <c r="T207" i="131"/>
  <c r="T208" i="131"/>
  <c r="T209" i="131"/>
  <c r="T210" i="131"/>
  <c r="T211" i="131"/>
  <c r="T212" i="131"/>
  <c r="T213" i="131"/>
  <c r="T214" i="131"/>
  <c r="T215" i="131"/>
  <c r="T216" i="131"/>
  <c r="T217" i="131"/>
  <c r="T218" i="131"/>
  <c r="T219" i="131"/>
  <c r="T220" i="131"/>
  <c r="T221" i="131"/>
  <c r="T222" i="131"/>
  <c r="T223" i="131"/>
  <c r="T224" i="131"/>
  <c r="T225" i="131"/>
  <c r="T226" i="131"/>
  <c r="T227" i="131"/>
  <c r="T228" i="131"/>
  <c r="T229" i="131"/>
  <c r="T230" i="131"/>
  <c r="T231" i="131"/>
  <c r="T232" i="131"/>
  <c r="T233" i="131"/>
  <c r="T235" i="131"/>
  <c r="T238" i="131"/>
  <c r="T239" i="131"/>
  <c r="T240" i="131"/>
  <c r="T241" i="131"/>
  <c r="T242" i="131"/>
  <c r="T243" i="131"/>
  <c r="T263" i="131"/>
  <c r="T274" i="131"/>
  <c r="T301" i="131"/>
  <c r="T302" i="131"/>
  <c r="T303" i="131"/>
  <c r="T305" i="131"/>
  <c r="T306" i="131"/>
  <c r="T311" i="131"/>
  <c r="T315" i="131"/>
  <c r="T316" i="131"/>
  <c r="T317" i="131"/>
  <c r="T318" i="131"/>
  <c r="T319" i="131"/>
  <c r="T320" i="131"/>
  <c r="T321" i="131"/>
  <c r="T322" i="131"/>
  <c r="T323" i="131"/>
  <c r="T324" i="131"/>
  <c r="T325" i="131"/>
  <c r="T326" i="131"/>
  <c r="T327" i="131"/>
  <c r="T328" i="131"/>
  <c r="T329" i="131"/>
  <c r="T330" i="131"/>
  <c r="Q314" i="131"/>
  <c r="T314" i="131" s="1"/>
  <c r="Q313" i="131"/>
  <c r="T313" i="131" s="1"/>
  <c r="Q312" i="131"/>
  <c r="T312" i="131" s="1"/>
  <c r="Q310" i="131"/>
  <c r="T310" i="131" s="1"/>
  <c r="Q309" i="131"/>
  <c r="T309" i="131" s="1"/>
  <c r="Q308" i="131"/>
  <c r="T308" i="131" s="1"/>
  <c r="Q307" i="131"/>
  <c r="T307" i="131" s="1"/>
  <c r="T234" i="131"/>
  <c r="AG114" i="147" l="1"/>
  <c r="AC114" i="147"/>
  <c r="X114" i="147"/>
  <c r="T114" i="147"/>
  <c r="O114" i="147"/>
  <c r="K114" i="147"/>
  <c r="E114" i="147"/>
  <c r="AQ113" i="147"/>
  <c r="AR113" i="147" s="1"/>
  <c r="AG113" i="147"/>
  <c r="AC113" i="147"/>
  <c r="X113" i="147"/>
  <c r="T113" i="147"/>
  <c r="O113" i="147"/>
  <c r="K113" i="147"/>
  <c r="AG112" i="147"/>
  <c r="AC112" i="147"/>
  <c r="X112" i="147"/>
  <c r="T112" i="147"/>
  <c r="O112" i="147"/>
  <c r="K112" i="147"/>
  <c r="E112" i="147"/>
  <c r="AQ112" i="147" s="1"/>
  <c r="AR112" i="147" s="1"/>
  <c r="AG111" i="147"/>
  <c r="AC111" i="147"/>
  <c r="X111" i="147"/>
  <c r="T111" i="147"/>
  <c r="O111" i="147"/>
  <c r="K111" i="147"/>
  <c r="E111" i="147"/>
  <c r="AQ154" i="146"/>
  <c r="AR154" i="146" s="1"/>
  <c r="AS154" i="146" s="1"/>
  <c r="AT154" i="146" s="1"/>
  <c r="AG154" i="146"/>
  <c r="AC154" i="146"/>
  <c r="X154" i="146"/>
  <c r="T154" i="146"/>
  <c r="O154" i="146"/>
  <c r="K154" i="146"/>
  <c r="AQ153" i="146"/>
  <c r="AR153" i="146" s="1"/>
  <c r="AG153" i="146"/>
  <c r="AC153" i="146"/>
  <c r="X153" i="146"/>
  <c r="T153" i="146"/>
  <c r="O153" i="146"/>
  <c r="K153" i="146"/>
  <c r="AG152" i="146"/>
  <c r="AC152" i="146"/>
  <c r="X152" i="146"/>
  <c r="T152" i="146"/>
  <c r="O152" i="146"/>
  <c r="K152" i="146"/>
  <c r="E152" i="146"/>
  <c r="AQ152" i="146" s="1"/>
  <c r="AR152" i="146" s="1"/>
  <c r="AQ151" i="146"/>
  <c r="AR151" i="146" s="1"/>
  <c r="AG151" i="146"/>
  <c r="AC151" i="146"/>
  <c r="X151" i="146"/>
  <c r="T151" i="146"/>
  <c r="O151" i="146"/>
  <c r="K151" i="146"/>
  <c r="AG150" i="146"/>
  <c r="AC150" i="146"/>
  <c r="X150" i="146"/>
  <c r="T150" i="146"/>
  <c r="O150" i="146"/>
  <c r="K150" i="146"/>
  <c r="E150" i="146"/>
  <c r="AG149" i="146"/>
  <c r="AC149" i="146"/>
  <c r="X149" i="146"/>
  <c r="T149" i="146"/>
  <c r="O149" i="146"/>
  <c r="K149" i="146"/>
  <c r="E149" i="146"/>
  <c r="AQ149" i="146" s="1"/>
  <c r="AR149" i="146" s="1"/>
  <c r="AG148" i="146"/>
  <c r="AC148" i="146"/>
  <c r="X148" i="146"/>
  <c r="T148" i="146"/>
  <c r="O148" i="146"/>
  <c r="K148" i="146"/>
  <c r="E148" i="146"/>
  <c r="AQ147" i="146"/>
  <c r="AR147" i="146" s="1"/>
  <c r="AG147" i="146"/>
  <c r="AC147" i="146"/>
  <c r="X147" i="146"/>
  <c r="T147" i="146"/>
  <c r="O147" i="146"/>
  <c r="K147" i="146"/>
  <c r="AG146" i="146"/>
  <c r="AC146" i="146"/>
  <c r="X146" i="146"/>
  <c r="T146" i="146"/>
  <c r="O146" i="146"/>
  <c r="K146" i="146"/>
  <c r="E146" i="146"/>
  <c r="AQ146" i="146" s="1"/>
  <c r="AR146" i="146" s="1"/>
  <c r="AG239" i="145"/>
  <c r="AC239" i="145"/>
  <c r="X239" i="145"/>
  <c r="T239" i="145"/>
  <c r="O239" i="145"/>
  <c r="K239" i="145"/>
  <c r="E239" i="145"/>
  <c r="AG238" i="145"/>
  <c r="AC238" i="145"/>
  <c r="X238" i="145"/>
  <c r="T238" i="145"/>
  <c r="O238" i="145"/>
  <c r="K238" i="145"/>
  <c r="E238" i="145"/>
  <c r="AG237" i="145"/>
  <c r="AC237" i="145"/>
  <c r="X237" i="145"/>
  <c r="T237" i="145"/>
  <c r="O237" i="145"/>
  <c r="K237" i="145"/>
  <c r="E237" i="145"/>
  <c r="AG236" i="145"/>
  <c r="AC236" i="145"/>
  <c r="X236" i="145"/>
  <c r="T236" i="145"/>
  <c r="O236" i="145"/>
  <c r="K236" i="145"/>
  <c r="E236" i="145"/>
  <c r="AH114" i="147" l="1"/>
  <c r="Y113" i="147"/>
  <c r="AQ114" i="147"/>
  <c r="AR114" i="147" s="1"/>
  <c r="P111" i="147"/>
  <c r="P236" i="145"/>
  <c r="Y239" i="145"/>
  <c r="Y112" i="147"/>
  <c r="AH113" i="147"/>
  <c r="P114" i="147"/>
  <c r="Y114" i="147"/>
  <c r="P113" i="147"/>
  <c r="AH111" i="147"/>
  <c r="AH146" i="146"/>
  <c r="AH154" i="146"/>
  <c r="Y148" i="146"/>
  <c r="P150" i="146"/>
  <c r="P147" i="146"/>
  <c r="AH148" i="146"/>
  <c r="Y150" i="146"/>
  <c r="P152" i="146"/>
  <c r="Y147" i="146"/>
  <c r="AH147" i="146"/>
  <c r="AH150" i="146"/>
  <c r="Y152" i="146"/>
  <c r="Y154" i="146"/>
  <c r="Y237" i="145"/>
  <c r="AH237" i="145"/>
  <c r="AH238" i="145"/>
  <c r="AH112" i="147"/>
  <c r="Y111" i="147"/>
  <c r="P112" i="147"/>
  <c r="AQ111" i="147"/>
  <c r="AR111" i="147" s="1"/>
  <c r="P149" i="146"/>
  <c r="AH149" i="146"/>
  <c r="AH153" i="146"/>
  <c r="P154" i="146"/>
  <c r="Y149" i="146"/>
  <c r="P151" i="146"/>
  <c r="P146" i="146"/>
  <c r="AH152" i="146"/>
  <c r="Y146" i="146"/>
  <c r="P148" i="146"/>
  <c r="Y151" i="146"/>
  <c r="P153" i="146"/>
  <c r="Y153" i="146"/>
  <c r="AH151" i="146"/>
  <c r="AQ150" i="146"/>
  <c r="AR150" i="146" s="1"/>
  <c r="AQ148" i="146"/>
  <c r="AR148" i="146" s="1"/>
  <c r="Y236" i="145"/>
  <c r="P237" i="145"/>
  <c r="P239" i="145"/>
  <c r="P238" i="145"/>
  <c r="AH236" i="145"/>
  <c r="Y238" i="145"/>
  <c r="AH239" i="145"/>
  <c r="C167" i="147"/>
  <c r="D165" i="147"/>
  <c r="D164" i="147"/>
  <c r="D163" i="147"/>
  <c r="D162" i="147"/>
  <c r="D161" i="147"/>
  <c r="F168" i="100"/>
  <c r="F169" i="100"/>
  <c r="F170" i="100"/>
  <c r="F171" i="100"/>
  <c r="D220" i="146"/>
  <c r="E218" i="146"/>
  <c r="E217" i="146"/>
  <c r="E216" i="146"/>
  <c r="E215" i="146"/>
  <c r="E214" i="146"/>
  <c r="D297" i="149" l="1"/>
  <c r="C297" i="149" s="1"/>
  <c r="D299" i="134"/>
  <c r="C299" i="134" s="1"/>
  <c r="D300" i="149"/>
  <c r="C300" i="149" s="1"/>
  <c r="D299" i="149"/>
  <c r="C299" i="149" s="1"/>
  <c r="D298" i="149"/>
  <c r="C298" i="149" s="1"/>
  <c r="D301" i="149"/>
  <c r="C301" i="149" s="1"/>
  <c r="D303" i="149"/>
  <c r="C303" i="149" s="1"/>
  <c r="D302" i="149"/>
  <c r="C302" i="149" s="1"/>
  <c r="D300" i="134"/>
  <c r="C300" i="134" s="1"/>
  <c r="D301" i="134"/>
  <c r="C301" i="134" s="1"/>
  <c r="D302" i="134"/>
  <c r="C302" i="134" s="1"/>
  <c r="D303" i="134"/>
  <c r="C303" i="134" s="1"/>
  <c r="D304" i="134"/>
  <c r="C304" i="134" s="1"/>
  <c r="D305" i="134"/>
  <c r="C305" i="134" s="1"/>
  <c r="E220" i="146"/>
  <c r="D330" i="131"/>
  <c r="C330" i="131" s="1"/>
  <c r="D367" i="131"/>
  <c r="C367" i="131" s="1"/>
  <c r="D368" i="131"/>
  <c r="C368" i="131" s="1"/>
  <c r="D375" i="131"/>
  <c r="C375" i="131" s="1"/>
  <c r="D369" i="131"/>
  <c r="C369" i="131" s="1"/>
  <c r="D376" i="131"/>
  <c r="C376" i="131" s="1"/>
  <c r="D365" i="131"/>
  <c r="C365" i="131" s="1"/>
  <c r="D366" i="131"/>
  <c r="C366" i="131" s="1"/>
  <c r="AI111" i="147"/>
  <c r="AK111" i="147" s="1"/>
  <c r="AS111" i="147" s="1"/>
  <c r="AT111" i="147" s="1"/>
  <c r="AQ238" i="145"/>
  <c r="AI239" i="145"/>
  <c r="AJ239" i="145" s="1"/>
  <c r="AI237" i="145"/>
  <c r="AJ237" i="145" s="1"/>
  <c r="AI236" i="145"/>
  <c r="AJ236" i="145" s="1"/>
  <c r="AI113" i="147"/>
  <c r="AK113" i="147" s="1"/>
  <c r="AS113" i="147" s="1"/>
  <c r="AT113" i="147" s="1"/>
  <c r="AU118" i="147" s="1"/>
  <c r="AU127" i="147" s="1"/>
  <c r="AI114" i="147"/>
  <c r="AI147" i="146"/>
  <c r="AJ147" i="146" s="1"/>
  <c r="AI154" i="146"/>
  <c r="AJ154" i="146" s="1"/>
  <c r="AI150" i="146"/>
  <c r="AJ150" i="146" s="1"/>
  <c r="AI148" i="146"/>
  <c r="AJ148" i="146" s="1"/>
  <c r="AI152" i="146"/>
  <c r="AJ152" i="146" s="1"/>
  <c r="AI149" i="146"/>
  <c r="AJ149" i="146" s="1"/>
  <c r="AI153" i="146"/>
  <c r="AJ153" i="146" s="1"/>
  <c r="AI151" i="146"/>
  <c r="AJ151" i="146" s="1"/>
  <c r="AI238" i="145"/>
  <c r="AJ238" i="145" s="1"/>
  <c r="AI112" i="147"/>
  <c r="AI146" i="146"/>
  <c r="AJ146" i="146" s="1"/>
  <c r="AQ239" i="145"/>
  <c r="AQ237" i="145"/>
  <c r="AQ236" i="145"/>
  <c r="D167" i="147"/>
  <c r="AJ111" i="147" l="1"/>
  <c r="AK148" i="146"/>
  <c r="AS148" i="146" s="1"/>
  <c r="AT148" i="146" s="1"/>
  <c r="AR237" i="145"/>
  <c r="AS237" i="145" s="1"/>
  <c r="AR239" i="145"/>
  <c r="AS239" i="145" s="1"/>
  <c r="AT239" i="145" s="1"/>
  <c r="AR236" i="145"/>
  <c r="AS236" i="145" s="1"/>
  <c r="AR238" i="145"/>
  <c r="AS238" i="145" s="1"/>
  <c r="AJ113" i="147"/>
  <c r="AJ114" i="147"/>
  <c r="AK114" i="147"/>
  <c r="AS114" i="147" s="1"/>
  <c r="AT114" i="147" s="1"/>
  <c r="AK151" i="146"/>
  <c r="AS151" i="146" s="1"/>
  <c r="AT151" i="146" s="1"/>
  <c r="AK153" i="146"/>
  <c r="AS153" i="146" s="1"/>
  <c r="AT153" i="146" s="1"/>
  <c r="AK149" i="146"/>
  <c r="AS149" i="146" s="1"/>
  <c r="AT149" i="146" s="1"/>
  <c r="AK147" i="146"/>
  <c r="AS147" i="146" s="1"/>
  <c r="AT147" i="146" s="1"/>
  <c r="AK152" i="146"/>
  <c r="AS152" i="146" s="1"/>
  <c r="AT152" i="146" s="1"/>
  <c r="AK150" i="146"/>
  <c r="AS150" i="146" s="1"/>
  <c r="AT150" i="146" s="1"/>
  <c r="AJ112" i="147"/>
  <c r="AK112" i="147"/>
  <c r="AS112" i="147" s="1"/>
  <c r="AT112" i="147" s="1"/>
  <c r="AU117" i="147" s="1"/>
  <c r="AV117" i="147" s="1"/>
  <c r="AK146" i="146"/>
  <c r="AS146" i="146" s="1"/>
  <c r="AT146" i="146" s="1"/>
  <c r="AG247" i="145"/>
  <c r="AC247" i="145"/>
  <c r="X247" i="145"/>
  <c r="T247" i="145"/>
  <c r="O247" i="145"/>
  <c r="K247" i="145"/>
  <c r="E225" i="145"/>
  <c r="AG225" i="145"/>
  <c r="AC225" i="145"/>
  <c r="X225" i="145"/>
  <c r="T225" i="145"/>
  <c r="O225" i="145"/>
  <c r="K225" i="145"/>
  <c r="AH225" i="145" l="1"/>
  <c r="Y225" i="145"/>
  <c r="P225" i="145"/>
  <c r="AH247" i="145"/>
  <c r="P247" i="145"/>
  <c r="Y247" i="145"/>
  <c r="AS233" i="145"/>
  <c r="H38" i="132"/>
  <c r="G38" i="132"/>
  <c r="F38" i="132"/>
  <c r="I37" i="132"/>
  <c r="I36" i="132"/>
  <c r="I35" i="132"/>
  <c r="F30" i="132"/>
  <c r="F28" i="132"/>
  <c r="AI225" i="145" l="1"/>
  <c r="AJ225" i="145" s="1"/>
  <c r="AI247" i="145"/>
  <c r="AK247" i="145" s="1"/>
  <c r="AQ225" i="145"/>
  <c r="I38" i="132"/>
  <c r="AR247" i="145" l="1"/>
  <c r="AS247" i="145" s="1"/>
  <c r="AR225" i="145"/>
  <c r="AS225" i="145" s="1"/>
  <c r="AJ247" i="145"/>
  <c r="T16" i="133"/>
  <c r="T15" i="133"/>
  <c r="D14" i="133"/>
  <c r="C14" i="133" s="1"/>
  <c r="T8" i="133"/>
  <c r="T9" i="133"/>
  <c r="T10" i="133"/>
  <c r="T11" i="133"/>
  <c r="T12" i="133"/>
  <c r="T13" i="133"/>
  <c r="T14" i="133"/>
  <c r="T17" i="133"/>
  <c r="T18" i="133"/>
  <c r="T19" i="133"/>
  <c r="T20" i="133"/>
  <c r="AQ144" i="146"/>
  <c r="AR144" i="146" s="1"/>
  <c r="AS144" i="146" s="1"/>
  <c r="AT144" i="146" s="1"/>
  <c r="AG144" i="146"/>
  <c r="AC144" i="146"/>
  <c r="X144" i="146"/>
  <c r="T144" i="146"/>
  <c r="O144" i="146"/>
  <c r="K144" i="146"/>
  <c r="AQ143" i="146"/>
  <c r="AR143" i="146" s="1"/>
  <c r="AG143" i="146"/>
  <c r="AC143" i="146"/>
  <c r="X143" i="146"/>
  <c r="T143" i="146"/>
  <c r="O143" i="146"/>
  <c r="K143" i="146"/>
  <c r="AG142" i="146"/>
  <c r="AC142" i="146"/>
  <c r="X142" i="146"/>
  <c r="T142" i="146"/>
  <c r="O142" i="146"/>
  <c r="K142" i="146"/>
  <c r="E142" i="146"/>
  <c r="AQ141" i="146"/>
  <c r="AR141" i="146" s="1"/>
  <c r="AG141" i="146"/>
  <c r="AC141" i="146"/>
  <c r="X141" i="146"/>
  <c r="T141" i="146"/>
  <c r="O141" i="146"/>
  <c r="K141" i="146"/>
  <c r="AG140" i="146"/>
  <c r="AC140" i="146"/>
  <c r="X140" i="146"/>
  <c r="T140" i="146"/>
  <c r="O140" i="146"/>
  <c r="K140" i="146"/>
  <c r="E140" i="146"/>
  <c r="AQ140" i="146" s="1"/>
  <c r="AR140" i="146" s="1"/>
  <c r="AG139" i="146"/>
  <c r="AC139" i="146"/>
  <c r="X139" i="146"/>
  <c r="T139" i="146"/>
  <c r="O139" i="146"/>
  <c r="K139" i="146"/>
  <c r="E139" i="146"/>
  <c r="AQ139" i="146" s="1"/>
  <c r="AR139" i="146" s="1"/>
  <c r="AG138" i="146"/>
  <c r="AC138" i="146"/>
  <c r="X138" i="146"/>
  <c r="T138" i="146"/>
  <c r="O138" i="146"/>
  <c r="K138" i="146"/>
  <c r="E138" i="146"/>
  <c r="AQ137" i="146"/>
  <c r="AR137" i="146" s="1"/>
  <c r="AG137" i="146"/>
  <c r="AC137" i="146"/>
  <c r="X137" i="146"/>
  <c r="T137" i="146"/>
  <c r="O137" i="146"/>
  <c r="K137" i="146"/>
  <c r="AG136" i="146"/>
  <c r="AC136" i="146"/>
  <c r="X136" i="146"/>
  <c r="T136" i="146"/>
  <c r="O136" i="146"/>
  <c r="K136" i="146"/>
  <c r="E136" i="146"/>
  <c r="AQ136" i="146" s="1"/>
  <c r="AR136" i="146" s="1"/>
  <c r="AG109" i="147"/>
  <c r="AC109" i="147"/>
  <c r="X109" i="147"/>
  <c r="T109" i="147"/>
  <c r="O109" i="147"/>
  <c r="K109" i="147"/>
  <c r="E109" i="147"/>
  <c r="AQ109" i="147" s="1"/>
  <c r="AR109" i="147" s="1"/>
  <c r="AQ108" i="147"/>
  <c r="AR108" i="147" s="1"/>
  <c r="AG108" i="147"/>
  <c r="AC108" i="147"/>
  <c r="X108" i="147"/>
  <c r="T108" i="147"/>
  <c r="O108" i="147"/>
  <c r="K108" i="147"/>
  <c r="AG107" i="147"/>
  <c r="AC107" i="147"/>
  <c r="X107" i="147"/>
  <c r="T107" i="147"/>
  <c r="O107" i="147"/>
  <c r="K107" i="147"/>
  <c r="E107" i="147"/>
  <c r="AG106" i="147"/>
  <c r="AC106" i="147"/>
  <c r="X106" i="147"/>
  <c r="T106" i="147"/>
  <c r="O106" i="147"/>
  <c r="K106" i="147"/>
  <c r="E106" i="147"/>
  <c r="AG235" i="145"/>
  <c r="AC235" i="145"/>
  <c r="X235" i="145"/>
  <c r="T235" i="145"/>
  <c r="O235" i="145"/>
  <c r="K235" i="145"/>
  <c r="P107" i="147" l="1"/>
  <c r="Y108" i="147"/>
  <c r="Y137" i="146"/>
  <c r="AH140" i="146"/>
  <c r="AH109" i="147"/>
  <c r="AH106" i="147"/>
  <c r="Y107" i="147"/>
  <c r="P109" i="147"/>
  <c r="AH107" i="147"/>
  <c r="Y109" i="147"/>
  <c r="Y142" i="146"/>
  <c r="AH137" i="146"/>
  <c r="AH141" i="146"/>
  <c r="AH136" i="146"/>
  <c r="Y138" i="146"/>
  <c r="Y139" i="146"/>
  <c r="AH144" i="146"/>
  <c r="P140" i="146"/>
  <c r="Y144" i="146"/>
  <c r="Y143" i="146"/>
  <c r="Y141" i="146"/>
  <c r="P144" i="146"/>
  <c r="P136" i="146"/>
  <c r="P137" i="146"/>
  <c r="AH138" i="146"/>
  <c r="Y140" i="146"/>
  <c r="P142" i="146"/>
  <c r="P235" i="145"/>
  <c r="Y235" i="145"/>
  <c r="P139" i="146"/>
  <c r="AH143" i="146"/>
  <c r="P141" i="146"/>
  <c r="AH142" i="146"/>
  <c r="AH139" i="146"/>
  <c r="P143" i="146"/>
  <c r="Y136" i="146"/>
  <c r="P138" i="146"/>
  <c r="AQ138" i="146"/>
  <c r="AR138" i="146" s="1"/>
  <c r="AQ142" i="146"/>
  <c r="AR142" i="146" s="1"/>
  <c r="AH108" i="147"/>
  <c r="P106" i="147"/>
  <c r="Y106" i="147"/>
  <c r="P108" i="147"/>
  <c r="AQ107" i="147"/>
  <c r="AR107" i="147" s="1"/>
  <c r="AQ106" i="147"/>
  <c r="AR106" i="147" s="1"/>
  <c r="AH235" i="145"/>
  <c r="AQ235" i="145"/>
  <c r="AI107" i="147" l="1"/>
  <c r="AJ107" i="147" s="1"/>
  <c r="AI108" i="147"/>
  <c r="AK108" i="147" s="1"/>
  <c r="AS108" i="147" s="1"/>
  <c r="AT108" i="147" s="1"/>
  <c r="AI137" i="146"/>
  <c r="AK137" i="146" s="1"/>
  <c r="AS137" i="146" s="1"/>
  <c r="AT137" i="146" s="1"/>
  <c r="AI106" i="147"/>
  <c r="AJ106" i="147" s="1"/>
  <c r="AI109" i="147"/>
  <c r="AJ109" i="147" s="1"/>
  <c r="AI140" i="146"/>
  <c r="AJ140" i="146" s="1"/>
  <c r="AI138" i="146"/>
  <c r="AJ138" i="146" s="1"/>
  <c r="AI144" i="146"/>
  <c r="AJ144" i="146" s="1"/>
  <c r="AI141" i="146"/>
  <c r="AJ141" i="146" s="1"/>
  <c r="AI136" i="146"/>
  <c r="AJ136" i="146" s="1"/>
  <c r="AI142" i="146"/>
  <c r="AJ142" i="146" s="1"/>
  <c r="AI143" i="146"/>
  <c r="AK143" i="146" s="1"/>
  <c r="AS143" i="146" s="1"/>
  <c r="AT143" i="146" s="1"/>
  <c r="AI235" i="145"/>
  <c r="AJ235" i="145" s="1"/>
  <c r="AI139" i="146"/>
  <c r="AG234" i="145"/>
  <c r="AC234" i="145"/>
  <c r="X234" i="145"/>
  <c r="T234" i="145"/>
  <c r="O234" i="145"/>
  <c r="K234" i="145"/>
  <c r="AG232" i="145"/>
  <c r="AC232" i="145"/>
  <c r="X232" i="145"/>
  <c r="T232" i="145"/>
  <c r="O232" i="145"/>
  <c r="K232" i="145"/>
  <c r="E232" i="145"/>
  <c r="AG231" i="145"/>
  <c r="AC231" i="145"/>
  <c r="X231" i="145"/>
  <c r="T231" i="145"/>
  <c r="O231" i="145"/>
  <c r="K231" i="145"/>
  <c r="E231" i="145"/>
  <c r="AG230" i="145"/>
  <c r="AC230" i="145"/>
  <c r="X230" i="145"/>
  <c r="T230" i="145"/>
  <c r="O230" i="145"/>
  <c r="K230" i="145"/>
  <c r="E230" i="145"/>
  <c r="AG229" i="145"/>
  <c r="AC229" i="145"/>
  <c r="X229" i="145"/>
  <c r="T229" i="145"/>
  <c r="O229" i="145"/>
  <c r="K229" i="145"/>
  <c r="E229" i="145"/>
  <c r="AS228" i="145"/>
  <c r="Y230" i="145" l="1"/>
  <c r="AJ108" i="147"/>
  <c r="AK107" i="147"/>
  <c r="AS107" i="147" s="1"/>
  <c r="AT107" i="147" s="1"/>
  <c r="AJ137" i="146"/>
  <c r="AJ143" i="146"/>
  <c r="AK106" i="147"/>
  <c r="AS106" i="147" s="1"/>
  <c r="AT106" i="147" s="1"/>
  <c r="AK109" i="147"/>
  <c r="AS109" i="147" s="1"/>
  <c r="AT109" i="147" s="1"/>
  <c r="AK138" i="146"/>
  <c r="AS138" i="146" s="1"/>
  <c r="AT138" i="146" s="1"/>
  <c r="AK140" i="146"/>
  <c r="AS140" i="146" s="1"/>
  <c r="AT140" i="146" s="1"/>
  <c r="AK141" i="146"/>
  <c r="AS141" i="146" s="1"/>
  <c r="AT141" i="146" s="1"/>
  <c r="AK136" i="146"/>
  <c r="AS136" i="146" s="1"/>
  <c r="AT136" i="146" s="1"/>
  <c r="AK142" i="146"/>
  <c r="AS142" i="146" s="1"/>
  <c r="AT142" i="146" s="1"/>
  <c r="Y231" i="145"/>
  <c r="AH232" i="145"/>
  <c r="AR235" i="145"/>
  <c r="AS235" i="145" s="1"/>
  <c r="AJ139" i="146"/>
  <c r="AK139" i="146"/>
  <c r="AS139" i="146" s="1"/>
  <c r="AT139" i="146" s="1"/>
  <c r="P230" i="145"/>
  <c r="Y229" i="145"/>
  <c r="P231" i="145"/>
  <c r="AH230" i="145"/>
  <c r="AQ234" i="145"/>
  <c r="Y232" i="145"/>
  <c r="AH231" i="145"/>
  <c r="AH234" i="145"/>
  <c r="Y234" i="145"/>
  <c r="P234" i="145"/>
  <c r="P229" i="145"/>
  <c r="AH229" i="145"/>
  <c r="AQ231" i="145"/>
  <c r="P232" i="145"/>
  <c r="E228" i="146"/>
  <c r="E227" i="146"/>
  <c r="E226" i="146"/>
  <c r="E225" i="146"/>
  <c r="E224" i="146"/>
  <c r="D181" i="147"/>
  <c r="C177" i="147"/>
  <c r="D175" i="147"/>
  <c r="D174" i="147"/>
  <c r="D173" i="147"/>
  <c r="D172" i="147"/>
  <c r="D171" i="147"/>
  <c r="AI234" i="145" l="1"/>
  <c r="AJ234" i="145" s="1"/>
  <c r="AI232" i="145"/>
  <c r="AJ232" i="145" s="1"/>
  <c r="AI231" i="145"/>
  <c r="AJ231" i="145" s="1"/>
  <c r="AI230" i="145"/>
  <c r="AJ230" i="145" s="1"/>
  <c r="AI229" i="145"/>
  <c r="AQ229" i="145"/>
  <c r="AQ232" i="145"/>
  <c r="AQ230" i="145"/>
  <c r="E230" i="146"/>
  <c r="D177" i="147"/>
  <c r="I35" i="141"/>
  <c r="I36" i="141"/>
  <c r="I37" i="141"/>
  <c r="T17" i="132"/>
  <c r="T16" i="132"/>
  <c r="T10" i="132"/>
  <c r="T11" i="132"/>
  <c r="T12" i="132"/>
  <c r="T13" i="132"/>
  <c r="T14" i="132"/>
  <c r="T15" i="132"/>
  <c r="T18" i="132"/>
  <c r="T19" i="132"/>
  <c r="T20" i="132"/>
  <c r="AR234" i="145" l="1"/>
  <c r="AS234" i="145" s="1"/>
  <c r="AR232" i="145"/>
  <c r="AS232" i="145" s="1"/>
  <c r="AR231" i="145"/>
  <c r="AS231" i="145" s="1"/>
  <c r="AR230" i="145"/>
  <c r="AS230" i="145" s="1"/>
  <c r="AJ229" i="145"/>
  <c r="AR229" i="145"/>
  <c r="AS229" i="145" s="1"/>
  <c r="E128" i="146" l="1"/>
  <c r="AQ128" i="146" s="1"/>
  <c r="AR128" i="146" s="1"/>
  <c r="AQ134" i="146"/>
  <c r="AR134" i="146" s="1"/>
  <c r="AS134" i="146" s="1"/>
  <c r="AT134" i="146" s="1"/>
  <c r="AG134" i="146"/>
  <c r="AC134" i="146"/>
  <c r="X134" i="146"/>
  <c r="T134" i="146"/>
  <c r="O134" i="146"/>
  <c r="K134" i="146"/>
  <c r="AQ133" i="146"/>
  <c r="AR133" i="146" s="1"/>
  <c r="AG133" i="146"/>
  <c r="AC133" i="146"/>
  <c r="X133" i="146"/>
  <c r="T133" i="146"/>
  <c r="O133" i="146"/>
  <c r="K133" i="146"/>
  <c r="AG132" i="146"/>
  <c r="AC132" i="146"/>
  <c r="X132" i="146"/>
  <c r="T132" i="146"/>
  <c r="O132" i="146"/>
  <c r="K132" i="146"/>
  <c r="E132" i="146"/>
  <c r="AQ132" i="146" s="1"/>
  <c r="AR132" i="146" s="1"/>
  <c r="AQ131" i="146"/>
  <c r="AR131" i="146" s="1"/>
  <c r="AG131" i="146"/>
  <c r="AC131" i="146"/>
  <c r="X131" i="146"/>
  <c r="T131" i="146"/>
  <c r="O131" i="146"/>
  <c r="K131" i="146"/>
  <c r="AG130" i="146"/>
  <c r="AC130" i="146"/>
  <c r="X130" i="146"/>
  <c r="T130" i="146"/>
  <c r="O130" i="146"/>
  <c r="K130" i="146"/>
  <c r="E130" i="146"/>
  <c r="AQ130" i="146" s="1"/>
  <c r="AR130" i="146" s="1"/>
  <c r="AG129" i="146"/>
  <c r="AC129" i="146"/>
  <c r="X129" i="146"/>
  <c r="T129" i="146"/>
  <c r="O129" i="146"/>
  <c r="K129" i="146"/>
  <c r="E129" i="146"/>
  <c r="AQ129" i="146" s="1"/>
  <c r="AR129" i="146" s="1"/>
  <c r="AG128" i="146"/>
  <c r="AC128" i="146"/>
  <c r="X128" i="146"/>
  <c r="T128" i="146"/>
  <c r="O128" i="146"/>
  <c r="K128" i="146"/>
  <c r="AQ127" i="146"/>
  <c r="AR127" i="146" s="1"/>
  <c r="AG127" i="146"/>
  <c r="AC127" i="146"/>
  <c r="X127" i="146"/>
  <c r="T127" i="146"/>
  <c r="O127" i="146"/>
  <c r="K127" i="146"/>
  <c r="AG126" i="146"/>
  <c r="AC126" i="146"/>
  <c r="X126" i="146"/>
  <c r="T126" i="146"/>
  <c r="O126" i="146"/>
  <c r="K126" i="146"/>
  <c r="E126" i="146"/>
  <c r="AQ126" i="146" s="1"/>
  <c r="AR126" i="146" s="1"/>
  <c r="AG104" i="147"/>
  <c r="AC104" i="147"/>
  <c r="X104" i="147"/>
  <c r="T104" i="147"/>
  <c r="O104" i="147"/>
  <c r="K104" i="147"/>
  <c r="E104" i="147"/>
  <c r="AQ104" i="147" s="1"/>
  <c r="AR104" i="147" s="1"/>
  <c r="AQ103" i="147"/>
  <c r="AR103" i="147" s="1"/>
  <c r="AG103" i="147"/>
  <c r="AC103" i="147"/>
  <c r="X103" i="147"/>
  <c r="T103" i="147"/>
  <c r="O103" i="147"/>
  <c r="K103" i="147"/>
  <c r="AG102" i="147"/>
  <c r="AC102" i="147"/>
  <c r="X102" i="147"/>
  <c r="T102" i="147"/>
  <c r="O102" i="147"/>
  <c r="K102" i="147"/>
  <c r="E102" i="147"/>
  <c r="AG101" i="147"/>
  <c r="AC101" i="147"/>
  <c r="X101" i="147"/>
  <c r="T101" i="147"/>
  <c r="O101" i="147"/>
  <c r="K101" i="147"/>
  <c r="E101" i="147"/>
  <c r="AQ101" i="147" s="1"/>
  <c r="AR101" i="147" s="1"/>
  <c r="E226" i="145"/>
  <c r="E224" i="145"/>
  <c r="AG227" i="145"/>
  <c r="AC227" i="145"/>
  <c r="X227" i="145"/>
  <c r="T227" i="145"/>
  <c r="O227" i="145"/>
  <c r="K227" i="145"/>
  <c r="E227" i="145"/>
  <c r="AG226" i="145"/>
  <c r="AC226" i="145"/>
  <c r="X226" i="145"/>
  <c r="T226" i="145"/>
  <c r="O226" i="145"/>
  <c r="K226" i="145"/>
  <c r="AG224" i="145"/>
  <c r="AC224" i="145"/>
  <c r="X224" i="145"/>
  <c r="T224" i="145"/>
  <c r="O224" i="145"/>
  <c r="K224" i="145"/>
  <c r="AG223" i="145"/>
  <c r="AC223" i="145"/>
  <c r="X223" i="145"/>
  <c r="T223" i="145"/>
  <c r="O223" i="145"/>
  <c r="K223" i="145"/>
  <c r="E223" i="145"/>
  <c r="AG222" i="145"/>
  <c r="AC222" i="145"/>
  <c r="X222" i="145"/>
  <c r="T222" i="145"/>
  <c r="O222" i="145"/>
  <c r="K222" i="145"/>
  <c r="E222" i="145"/>
  <c r="AS221" i="145"/>
  <c r="C187" i="147"/>
  <c r="D185" i="147"/>
  <c r="D184" i="147"/>
  <c r="D183" i="147"/>
  <c r="D182" i="147"/>
  <c r="D240" i="146"/>
  <c r="E238" i="146"/>
  <c r="E237" i="146"/>
  <c r="E236" i="146"/>
  <c r="E235" i="146"/>
  <c r="E234" i="146"/>
  <c r="AH102" i="147" l="1"/>
  <c r="Y129" i="146"/>
  <c r="AH227" i="145"/>
  <c r="Y223" i="145"/>
  <c r="Y134" i="146"/>
  <c r="Y127" i="146"/>
  <c r="P131" i="146"/>
  <c r="P127" i="146"/>
  <c r="AH130" i="146"/>
  <c r="AH131" i="146"/>
  <c r="Y133" i="146"/>
  <c r="AH127" i="146"/>
  <c r="AH129" i="146"/>
  <c r="Y131" i="146"/>
  <c r="P133" i="146"/>
  <c r="P130" i="146"/>
  <c r="AH133" i="146"/>
  <c r="AH104" i="147"/>
  <c r="P101" i="147"/>
  <c r="AH101" i="147"/>
  <c r="AH103" i="147"/>
  <c r="P103" i="147"/>
  <c r="P104" i="147"/>
  <c r="Y103" i="147"/>
  <c r="P102" i="147"/>
  <c r="P129" i="146"/>
  <c r="Y126" i="146"/>
  <c r="AH134" i="146"/>
  <c r="P126" i="146"/>
  <c r="P128" i="146"/>
  <c r="AH128" i="146"/>
  <c r="Y226" i="145"/>
  <c r="Y130" i="146"/>
  <c r="P132" i="146"/>
  <c r="Y132" i="146"/>
  <c r="P134" i="146"/>
  <c r="AH132" i="146"/>
  <c r="AH126" i="146"/>
  <c r="Y128" i="146"/>
  <c r="Y102" i="147"/>
  <c r="Y101" i="147"/>
  <c r="Y104" i="147"/>
  <c r="AQ102" i="147"/>
  <c r="AR102" i="147" s="1"/>
  <c r="P222" i="145"/>
  <c r="AH224" i="145"/>
  <c r="P224" i="145"/>
  <c r="P223" i="145"/>
  <c r="P227" i="145"/>
  <c r="Y227" i="145"/>
  <c r="AH223" i="145"/>
  <c r="Y222" i="145"/>
  <c r="AH222" i="145"/>
  <c r="AH226" i="145"/>
  <c r="Y224" i="145"/>
  <c r="P226" i="145"/>
  <c r="D187" i="147"/>
  <c r="E240" i="146"/>
  <c r="T19" i="141"/>
  <c r="T20" i="141"/>
  <c r="AI129" i="146" l="1"/>
  <c r="AJ129" i="146" s="1"/>
  <c r="AI126" i="146"/>
  <c r="AJ126" i="146" s="1"/>
  <c r="AI133" i="146"/>
  <c r="AK133" i="146" s="1"/>
  <c r="AS133" i="146" s="1"/>
  <c r="AT133" i="146" s="1"/>
  <c r="AI131" i="146"/>
  <c r="AJ131" i="146" s="1"/>
  <c r="AI127" i="146"/>
  <c r="AK127" i="146" s="1"/>
  <c r="AS127" i="146" s="1"/>
  <c r="AT127" i="146" s="1"/>
  <c r="AI128" i="146"/>
  <c r="AJ128" i="146" s="1"/>
  <c r="AI130" i="146"/>
  <c r="AJ130" i="146" s="1"/>
  <c r="AI101" i="147"/>
  <c r="AK101" i="147" s="1"/>
  <c r="AS101" i="147" s="1"/>
  <c r="AT101" i="147" s="1"/>
  <c r="AI104" i="147"/>
  <c r="AJ104" i="147" s="1"/>
  <c r="AI102" i="147"/>
  <c r="AJ102" i="147" s="1"/>
  <c r="AI103" i="147"/>
  <c r="AK103" i="147" s="1"/>
  <c r="AS103" i="147" s="1"/>
  <c r="AT103" i="147" s="1"/>
  <c r="AI134" i="146"/>
  <c r="AJ134" i="146" s="1"/>
  <c r="AI132" i="146"/>
  <c r="AJ132" i="146" s="1"/>
  <c r="AI223" i="145"/>
  <c r="AJ223" i="145" s="1"/>
  <c r="AI222" i="145"/>
  <c r="AJ222" i="145" s="1"/>
  <c r="AI227" i="145"/>
  <c r="AJ227" i="145" s="1"/>
  <c r="AI226" i="145"/>
  <c r="AJ226" i="145" s="1"/>
  <c r="AI224" i="145"/>
  <c r="AQ223" i="145"/>
  <c r="AQ226" i="145"/>
  <c r="AQ224" i="145"/>
  <c r="AQ222" i="145"/>
  <c r="AQ227" i="145"/>
  <c r="H37" i="140"/>
  <c r="G37" i="140"/>
  <c r="F37" i="140"/>
  <c r="I36" i="140"/>
  <c r="I35" i="140"/>
  <c r="G38" i="141"/>
  <c r="H38" i="141"/>
  <c r="F38" i="141"/>
  <c r="F30" i="141"/>
  <c r="F28" i="141"/>
  <c r="T8" i="138"/>
  <c r="T9" i="138"/>
  <c r="T10" i="138"/>
  <c r="T11" i="138"/>
  <c r="T12" i="138"/>
  <c r="T13" i="138"/>
  <c r="T14" i="138"/>
  <c r="T15" i="138"/>
  <c r="T16" i="138"/>
  <c r="T17" i="138"/>
  <c r="T18" i="138"/>
  <c r="T19" i="138"/>
  <c r="T20" i="138"/>
  <c r="E21" i="138"/>
  <c r="F21" i="138"/>
  <c r="G21" i="138"/>
  <c r="H21" i="138"/>
  <c r="I21" i="138"/>
  <c r="J21" i="138"/>
  <c r="K21" i="138"/>
  <c r="L21" i="138"/>
  <c r="M21" i="138"/>
  <c r="N21" i="138"/>
  <c r="O21" i="138"/>
  <c r="P21" i="138"/>
  <c r="F29" i="138"/>
  <c r="F30" i="140"/>
  <c r="F28" i="140"/>
  <c r="AK129" i="146" l="1"/>
  <c r="AS129" i="146" s="1"/>
  <c r="AT129" i="146" s="1"/>
  <c r="AR224" i="145"/>
  <c r="AS224" i="145" s="1"/>
  <c r="AR223" i="145"/>
  <c r="AS223" i="145" s="1"/>
  <c r="AJ133" i="146"/>
  <c r="AK130" i="146"/>
  <c r="AS130" i="146" s="1"/>
  <c r="AT130" i="146" s="1"/>
  <c r="AK126" i="146"/>
  <c r="AS126" i="146" s="1"/>
  <c r="AT126" i="146" s="1"/>
  <c r="AK131" i="146"/>
  <c r="AS131" i="146" s="1"/>
  <c r="AT131" i="146" s="1"/>
  <c r="AJ127" i="146"/>
  <c r="AK128" i="146"/>
  <c r="AS128" i="146" s="1"/>
  <c r="AT128" i="146" s="1"/>
  <c r="AJ103" i="147"/>
  <c r="AJ101" i="147"/>
  <c r="AK102" i="147"/>
  <c r="AS102" i="147" s="1"/>
  <c r="AT102" i="147" s="1"/>
  <c r="AK104" i="147"/>
  <c r="AS104" i="147" s="1"/>
  <c r="AT104" i="147" s="1"/>
  <c r="AK132" i="146"/>
  <c r="AS132" i="146" s="1"/>
  <c r="AT132" i="146" s="1"/>
  <c r="AR222" i="145"/>
  <c r="AS222" i="145" s="1"/>
  <c r="AR227" i="145"/>
  <c r="AS227" i="145" s="1"/>
  <c r="AJ224" i="145"/>
  <c r="AR226" i="145"/>
  <c r="AS226" i="145" s="1"/>
  <c r="I37" i="140"/>
  <c r="I38" i="141"/>
  <c r="AT225" i="145" l="1"/>
  <c r="AT227" i="145" s="1"/>
  <c r="AT228" i="145" s="1"/>
  <c r="T17" i="141"/>
  <c r="T18" i="141"/>
  <c r="T15" i="141"/>
  <c r="T16" i="141"/>
  <c r="T12" i="141"/>
  <c r="T13" i="141"/>
  <c r="T14" i="141"/>
  <c r="T11" i="141"/>
  <c r="E118" i="146" l="1"/>
  <c r="AQ123" i="146" l="1"/>
  <c r="AR123" i="146" s="1"/>
  <c r="AG123" i="146"/>
  <c r="AC123" i="146"/>
  <c r="X123" i="146"/>
  <c r="T123" i="146"/>
  <c r="O123" i="146"/>
  <c r="K123" i="146"/>
  <c r="AG116" i="146"/>
  <c r="AC116" i="146"/>
  <c r="X116" i="146"/>
  <c r="T116" i="146"/>
  <c r="O116" i="146"/>
  <c r="K116" i="146"/>
  <c r="E116" i="146"/>
  <c r="AQ116" i="146" s="1"/>
  <c r="AR116" i="146" s="1"/>
  <c r="AG124" i="146"/>
  <c r="AC124" i="146"/>
  <c r="X124" i="146"/>
  <c r="T124" i="146"/>
  <c r="O124" i="146"/>
  <c r="K124" i="146"/>
  <c r="AG122" i="146"/>
  <c r="AC122" i="146"/>
  <c r="X122" i="146"/>
  <c r="T122" i="146"/>
  <c r="O122" i="146"/>
  <c r="K122" i="146"/>
  <c r="E122" i="146"/>
  <c r="AQ121" i="146"/>
  <c r="AR121" i="146" s="1"/>
  <c r="AG121" i="146"/>
  <c r="AC121" i="146"/>
  <c r="X121" i="146"/>
  <c r="T121" i="146"/>
  <c r="O121" i="146"/>
  <c r="K121" i="146"/>
  <c r="AG120" i="146"/>
  <c r="AC120" i="146"/>
  <c r="X120" i="146"/>
  <c r="T120" i="146"/>
  <c r="O120" i="146"/>
  <c r="K120" i="146"/>
  <c r="E120" i="146"/>
  <c r="AQ120" i="146" s="1"/>
  <c r="AR120" i="146" s="1"/>
  <c r="AG119" i="146"/>
  <c r="AC119" i="146"/>
  <c r="X119" i="146"/>
  <c r="T119" i="146"/>
  <c r="O119" i="146"/>
  <c r="K119" i="146"/>
  <c r="E119" i="146"/>
  <c r="AQ119" i="146" s="1"/>
  <c r="AR119" i="146" s="1"/>
  <c r="AG118" i="146"/>
  <c r="AC118" i="146"/>
  <c r="X118" i="146"/>
  <c r="T118" i="146"/>
  <c r="O118" i="146"/>
  <c r="K118" i="146"/>
  <c r="AQ117" i="146"/>
  <c r="AR117" i="146" s="1"/>
  <c r="AG117" i="146"/>
  <c r="AC117" i="146"/>
  <c r="X117" i="146"/>
  <c r="T117" i="146"/>
  <c r="O117" i="146"/>
  <c r="K117" i="146"/>
  <c r="H179" i="146"/>
  <c r="I179" i="146"/>
  <c r="J179" i="146"/>
  <c r="L179" i="146"/>
  <c r="Q179" i="146"/>
  <c r="U179" i="146"/>
  <c r="Z179" i="146"/>
  <c r="AD179" i="146"/>
  <c r="AL179" i="146"/>
  <c r="AM179" i="146"/>
  <c r="AN179" i="146"/>
  <c r="AO179" i="146"/>
  <c r="AP179" i="146"/>
  <c r="AG99" i="147"/>
  <c r="AC99" i="147"/>
  <c r="X99" i="147"/>
  <c r="T99" i="147"/>
  <c r="O99" i="147"/>
  <c r="K99" i="147"/>
  <c r="E99" i="147"/>
  <c r="AQ99" i="147" s="1"/>
  <c r="AR99" i="147" s="1"/>
  <c r="AQ98" i="147"/>
  <c r="AG98" i="147"/>
  <c r="AC98" i="147"/>
  <c r="X98" i="147"/>
  <c r="T98" i="147"/>
  <c r="O98" i="147"/>
  <c r="K98" i="147"/>
  <c r="AG97" i="147"/>
  <c r="AC97" i="147"/>
  <c r="X97" i="147"/>
  <c r="T97" i="147"/>
  <c r="O97" i="147"/>
  <c r="K97" i="147"/>
  <c r="E97" i="147"/>
  <c r="AQ97" i="147" s="1"/>
  <c r="AR97" i="147" s="1"/>
  <c r="AG96" i="147"/>
  <c r="AC96" i="147"/>
  <c r="X96" i="147"/>
  <c r="T96" i="147"/>
  <c r="O96" i="147"/>
  <c r="K96" i="147"/>
  <c r="E96" i="147"/>
  <c r="AQ96" i="147" s="1"/>
  <c r="AR96" i="147" s="1"/>
  <c r="AG220" i="145"/>
  <c r="AC220" i="145"/>
  <c r="X220" i="145"/>
  <c r="T220" i="145"/>
  <c r="O220" i="145"/>
  <c r="K220" i="145"/>
  <c r="E220" i="145"/>
  <c r="AG219" i="145"/>
  <c r="AC219" i="145"/>
  <c r="X219" i="145"/>
  <c r="T219" i="145"/>
  <c r="O219" i="145"/>
  <c r="K219" i="145"/>
  <c r="E219" i="145"/>
  <c r="AG218" i="145"/>
  <c r="AC218" i="145"/>
  <c r="X218" i="145"/>
  <c r="T218" i="145"/>
  <c r="O218" i="145"/>
  <c r="K218" i="145"/>
  <c r="AG217" i="145"/>
  <c r="AC217" i="145"/>
  <c r="X217" i="145"/>
  <c r="T217" i="145"/>
  <c r="O217" i="145"/>
  <c r="K217" i="145"/>
  <c r="E217" i="145"/>
  <c r="AG216" i="145"/>
  <c r="AC216" i="145"/>
  <c r="X216" i="145"/>
  <c r="T216" i="145"/>
  <c r="O216" i="145"/>
  <c r="K216" i="145"/>
  <c r="E216" i="145"/>
  <c r="AS215" i="145"/>
  <c r="P218" i="145" l="1"/>
  <c r="AH217" i="145"/>
  <c r="AH123" i="146"/>
  <c r="Y216" i="145"/>
  <c r="AH97" i="147"/>
  <c r="Y99" i="147"/>
  <c r="AQ218" i="145"/>
  <c r="Y217" i="145"/>
  <c r="Y123" i="146"/>
  <c r="P123" i="146"/>
  <c r="Y116" i="146"/>
  <c r="P116" i="146"/>
  <c r="AH116" i="146"/>
  <c r="Y118" i="146"/>
  <c r="Y117" i="146"/>
  <c r="AH120" i="146"/>
  <c r="Y122" i="146"/>
  <c r="AH218" i="145"/>
  <c r="P121" i="146"/>
  <c r="Y124" i="146"/>
  <c r="P124" i="146"/>
  <c r="P219" i="145"/>
  <c r="P117" i="146"/>
  <c r="AH219" i="145"/>
  <c r="P217" i="145"/>
  <c r="P97" i="147"/>
  <c r="Y120" i="146"/>
  <c r="P122" i="146"/>
  <c r="AH117" i="146"/>
  <c r="Y119" i="146"/>
  <c r="P118" i="146"/>
  <c r="AH119" i="146"/>
  <c r="AH124" i="146"/>
  <c r="AH121" i="146"/>
  <c r="P119" i="146"/>
  <c r="AH122" i="146"/>
  <c r="AH118" i="146"/>
  <c r="P120" i="146"/>
  <c r="Y121" i="146"/>
  <c r="AQ122" i="146"/>
  <c r="AR122" i="146" s="1"/>
  <c r="AQ118" i="146"/>
  <c r="AR118" i="146" s="1"/>
  <c r="AQ124" i="146"/>
  <c r="AR124" i="146" s="1"/>
  <c r="Y220" i="145"/>
  <c r="AH220" i="145"/>
  <c r="P96" i="147"/>
  <c r="AH99" i="147"/>
  <c r="Y96" i="147"/>
  <c r="AH96" i="147"/>
  <c r="Y97" i="147"/>
  <c r="Y98" i="147"/>
  <c r="P99" i="147"/>
  <c r="P98" i="147"/>
  <c r="AR98" i="147"/>
  <c r="AH98" i="147"/>
  <c r="P216" i="145"/>
  <c r="P220" i="145"/>
  <c r="AH216" i="145"/>
  <c r="Y218" i="145"/>
  <c r="Y219" i="145"/>
  <c r="AI218" i="145" l="1"/>
  <c r="AJ218" i="145" s="1"/>
  <c r="AI220" i="145"/>
  <c r="AJ220" i="145" s="1"/>
  <c r="AI217" i="145"/>
  <c r="AJ217" i="145" s="1"/>
  <c r="AI219" i="145"/>
  <c r="AI99" i="147"/>
  <c r="AJ99" i="147" s="1"/>
  <c r="AI97" i="147"/>
  <c r="AJ97" i="147" s="1"/>
  <c r="AI123" i="146"/>
  <c r="AK123" i="146" s="1"/>
  <c r="AS123" i="146" s="1"/>
  <c r="AI116" i="146"/>
  <c r="AJ116" i="146" s="1"/>
  <c r="AI124" i="146"/>
  <c r="AI120" i="146"/>
  <c r="AJ120" i="146" s="1"/>
  <c r="AI117" i="146"/>
  <c r="AK117" i="146" s="1"/>
  <c r="AS117" i="146" s="1"/>
  <c r="AT117" i="146" s="1"/>
  <c r="AI96" i="147"/>
  <c r="AJ96" i="147" s="1"/>
  <c r="AI122" i="146"/>
  <c r="AJ122" i="146" s="1"/>
  <c r="AI119" i="146"/>
  <c r="AJ119" i="146" s="1"/>
  <c r="AI121" i="146"/>
  <c r="AK121" i="146" s="1"/>
  <c r="AS121" i="146" s="1"/>
  <c r="AT121" i="146" s="1"/>
  <c r="AI118" i="146"/>
  <c r="AK118" i="146" s="1"/>
  <c r="AS118" i="146" s="1"/>
  <c r="AT118" i="146" s="1"/>
  <c r="AI216" i="145"/>
  <c r="AJ216" i="145" s="1"/>
  <c r="AI98" i="147"/>
  <c r="AK98" i="147" s="1"/>
  <c r="AS98" i="147" s="1"/>
  <c r="AT98" i="147" s="1"/>
  <c r="AQ217" i="145"/>
  <c r="AQ219" i="145"/>
  <c r="AQ216" i="145"/>
  <c r="AQ220" i="145"/>
  <c r="AR217" i="145" l="1"/>
  <c r="AS217" i="145" s="1"/>
  <c r="AR218" i="145"/>
  <c r="AS218" i="145" s="1"/>
  <c r="AR220" i="145"/>
  <c r="AS220" i="145" s="1"/>
  <c r="AK99" i="147"/>
  <c r="AS99" i="147" s="1"/>
  <c r="AT99" i="147" s="1"/>
  <c r="AJ219" i="145"/>
  <c r="AK97" i="147"/>
  <c r="AS97" i="147" s="1"/>
  <c r="AT97" i="147" s="1"/>
  <c r="AK96" i="147"/>
  <c r="AS96" i="147" s="1"/>
  <c r="AT96" i="147" s="1"/>
  <c r="AJ123" i="146"/>
  <c r="AK116" i="146"/>
  <c r="AS116" i="146" s="1"/>
  <c r="AT116" i="146" s="1"/>
  <c r="AJ117" i="146"/>
  <c r="AJ118" i="146"/>
  <c r="AJ124" i="146"/>
  <c r="AS124" i="146"/>
  <c r="AT124" i="146" s="1"/>
  <c r="AK120" i="146"/>
  <c r="AS120" i="146" s="1"/>
  <c r="AT120" i="146" s="1"/>
  <c r="AK119" i="146"/>
  <c r="AS119" i="146" s="1"/>
  <c r="AT119" i="146" s="1"/>
  <c r="AK122" i="146"/>
  <c r="AS122" i="146" s="1"/>
  <c r="AT122" i="146" s="1"/>
  <c r="AJ121" i="146"/>
  <c r="AR216" i="145"/>
  <c r="AS216" i="145" s="1"/>
  <c r="AR219" i="145"/>
  <c r="AS219" i="145" s="1"/>
  <c r="AT123" i="146"/>
  <c r="AJ98" i="147"/>
  <c r="D191" i="147" l="1"/>
  <c r="D195" i="147"/>
  <c r="D194" i="147"/>
  <c r="D193" i="147"/>
  <c r="D192" i="147"/>
  <c r="D204" i="147"/>
  <c r="D203" i="147"/>
  <c r="D202" i="147"/>
  <c r="D201" i="147"/>
  <c r="D214" i="147"/>
  <c r="D213" i="147"/>
  <c r="D212" i="147"/>
  <c r="D211" i="147"/>
  <c r="C197" i="147"/>
  <c r="E248" i="146"/>
  <c r="E247" i="146"/>
  <c r="E246" i="146"/>
  <c r="E245" i="146"/>
  <c r="E244" i="146"/>
  <c r="E265" i="146"/>
  <c r="E266" i="146"/>
  <c r="E267" i="146"/>
  <c r="E268" i="146"/>
  <c r="E264" i="146"/>
  <c r="E255" i="146"/>
  <c r="E256" i="146"/>
  <c r="E257" i="146"/>
  <c r="E258" i="146"/>
  <c r="E254" i="146"/>
  <c r="D250" i="146"/>
  <c r="D217" i="147" l="1"/>
  <c r="D207" i="147"/>
  <c r="E260" i="146"/>
  <c r="E250" i="146"/>
  <c r="E270" i="146"/>
  <c r="D197" i="147"/>
  <c r="AO73" i="144"/>
  <c r="AV73" i="144" s="1"/>
  <c r="AH73" i="144"/>
  <c r="AI73" i="144" s="1"/>
  <c r="AJ73" i="144" s="1"/>
  <c r="T16" i="140" l="1"/>
  <c r="T19" i="140"/>
  <c r="T20" i="140"/>
  <c r="T8" i="140"/>
  <c r="T11" i="140"/>
  <c r="T12" i="140"/>
  <c r="T13" i="140"/>
  <c r="T14" i="140"/>
  <c r="T15" i="140"/>
  <c r="T7" i="140"/>
  <c r="T18" i="140" l="1"/>
  <c r="T17" i="140"/>
  <c r="T10" i="140"/>
  <c r="T9" i="140"/>
  <c r="T72" i="144" l="1"/>
  <c r="AO72" i="144"/>
  <c r="AV72" i="144" s="1"/>
  <c r="AH72" i="144"/>
  <c r="AI72" i="144" s="1"/>
  <c r="AJ72" i="144" s="1"/>
  <c r="AG214" i="145"/>
  <c r="AC214" i="145"/>
  <c r="X214" i="145"/>
  <c r="T214" i="145"/>
  <c r="O214" i="145"/>
  <c r="K214" i="145"/>
  <c r="E214" i="145"/>
  <c r="P214" i="145" l="1"/>
  <c r="Y214" i="145"/>
  <c r="AH214" i="145"/>
  <c r="AI214" i="145" l="1"/>
  <c r="AJ214" i="145" s="1"/>
  <c r="AQ214" i="145"/>
  <c r="AV71" i="144"/>
  <c r="AH71" i="144"/>
  <c r="AI71" i="144" s="1"/>
  <c r="AJ71" i="144" s="1"/>
  <c r="G114" i="146"/>
  <c r="F114" i="146"/>
  <c r="G112" i="146"/>
  <c r="G179" i="146" s="1"/>
  <c r="F112" i="146"/>
  <c r="F179" i="146" s="1"/>
  <c r="E114" i="146"/>
  <c r="AQ114" i="146" s="1"/>
  <c r="AR114" i="146" s="1"/>
  <c r="AG114" i="146"/>
  <c r="AC114" i="146"/>
  <c r="X114" i="146"/>
  <c r="T114" i="146"/>
  <c r="O114" i="146"/>
  <c r="K114" i="146"/>
  <c r="AG111" i="146"/>
  <c r="AC111" i="146"/>
  <c r="X111" i="146"/>
  <c r="T111" i="146"/>
  <c r="O111" i="146"/>
  <c r="K111" i="146"/>
  <c r="E111" i="146"/>
  <c r="AQ110" i="146"/>
  <c r="AR110" i="146" s="1"/>
  <c r="AG110" i="146"/>
  <c r="AC110" i="146"/>
  <c r="X110" i="146"/>
  <c r="T110" i="146"/>
  <c r="O110" i="146"/>
  <c r="K110" i="146"/>
  <c r="AG109" i="146"/>
  <c r="AC109" i="146"/>
  <c r="X109" i="146"/>
  <c r="T109" i="146"/>
  <c r="O109" i="146"/>
  <c r="K109" i="146"/>
  <c r="E109" i="146"/>
  <c r="AQ109" i="146" s="1"/>
  <c r="AR109" i="146" s="1"/>
  <c r="AG108" i="146"/>
  <c r="AC108" i="146"/>
  <c r="X108" i="146"/>
  <c r="T108" i="146"/>
  <c r="O108" i="146"/>
  <c r="K108" i="146"/>
  <c r="E108" i="146"/>
  <c r="AG107" i="146"/>
  <c r="AC107" i="146"/>
  <c r="X107" i="146"/>
  <c r="T107" i="146"/>
  <c r="O107" i="146"/>
  <c r="K107" i="146"/>
  <c r="E107" i="146"/>
  <c r="AQ107" i="146" s="1"/>
  <c r="AR107" i="146" s="1"/>
  <c r="AQ106" i="146"/>
  <c r="AR106" i="146" s="1"/>
  <c r="AG106" i="146"/>
  <c r="AC106" i="146"/>
  <c r="X106" i="146"/>
  <c r="T106" i="146"/>
  <c r="O106" i="146"/>
  <c r="K106" i="146"/>
  <c r="AG105" i="146"/>
  <c r="AC105" i="146"/>
  <c r="X105" i="146"/>
  <c r="T105" i="146"/>
  <c r="O105" i="146"/>
  <c r="K105" i="146"/>
  <c r="E105" i="146"/>
  <c r="AQ105" i="146" s="1"/>
  <c r="AR105" i="146" s="1"/>
  <c r="AG94" i="147"/>
  <c r="AC94" i="147"/>
  <c r="X94" i="147"/>
  <c r="T94" i="147"/>
  <c r="O94" i="147"/>
  <c r="K94" i="147"/>
  <c r="E94" i="147"/>
  <c r="AQ94" i="147" s="1"/>
  <c r="AR94" i="147" s="1"/>
  <c r="AQ93" i="147"/>
  <c r="AR93" i="147" s="1"/>
  <c r="AG93" i="147"/>
  <c r="AC93" i="147"/>
  <c r="X93" i="147"/>
  <c r="T93" i="147"/>
  <c r="O93" i="147"/>
  <c r="K93" i="147"/>
  <c r="AG92" i="147"/>
  <c r="AC92" i="147"/>
  <c r="X92" i="147"/>
  <c r="T92" i="147"/>
  <c r="O92" i="147"/>
  <c r="K92" i="147"/>
  <c r="E92" i="147"/>
  <c r="AQ92" i="147" s="1"/>
  <c r="AR92" i="147" s="1"/>
  <c r="AG91" i="147"/>
  <c r="AC91" i="147"/>
  <c r="X91" i="147"/>
  <c r="T91" i="147"/>
  <c r="O91" i="147"/>
  <c r="K91" i="147"/>
  <c r="E91" i="147"/>
  <c r="AQ91" i="147" s="1"/>
  <c r="AR91" i="147" s="1"/>
  <c r="AG213" i="145"/>
  <c r="AC213" i="145"/>
  <c r="X213" i="145"/>
  <c r="T213" i="145"/>
  <c r="O213" i="145"/>
  <c r="K213" i="145"/>
  <c r="E213" i="145"/>
  <c r="AG212" i="145"/>
  <c r="AC212" i="145"/>
  <c r="X212" i="145"/>
  <c r="T212" i="145"/>
  <c r="O212" i="145"/>
  <c r="K212" i="145"/>
  <c r="AG211" i="145"/>
  <c r="AC211" i="145"/>
  <c r="X211" i="145"/>
  <c r="T211" i="145"/>
  <c r="O211" i="145"/>
  <c r="K211" i="145"/>
  <c r="E211" i="145"/>
  <c r="AG210" i="145"/>
  <c r="AC210" i="145"/>
  <c r="X210" i="145"/>
  <c r="T210" i="145"/>
  <c r="O210" i="145"/>
  <c r="K210" i="145"/>
  <c r="E210" i="145"/>
  <c r="AS209" i="145"/>
  <c r="AR214" i="145" l="1"/>
  <c r="AS214" i="145" s="1"/>
  <c r="AH91" i="147"/>
  <c r="P211" i="145"/>
  <c r="AH105" i="146"/>
  <c r="Y107" i="146"/>
  <c r="AH114" i="146"/>
  <c r="Y105" i="146"/>
  <c r="AH110" i="146"/>
  <c r="Y114" i="146"/>
  <c r="Y92" i="147"/>
  <c r="P212" i="145"/>
  <c r="P91" i="147"/>
  <c r="P93" i="147"/>
  <c r="AH94" i="147"/>
  <c r="Y93" i="147"/>
  <c r="P107" i="146"/>
  <c r="P92" i="147"/>
  <c r="Y91" i="147"/>
  <c r="Y210" i="145"/>
  <c r="AH211" i="145"/>
  <c r="AH92" i="147"/>
  <c r="Y94" i="147"/>
  <c r="AH109" i="146"/>
  <c r="AH111" i="146"/>
  <c r="P114" i="146"/>
  <c r="P106" i="146"/>
  <c r="AH108" i="146"/>
  <c r="Y110" i="146"/>
  <c r="P108" i="146"/>
  <c r="AH107" i="146"/>
  <c r="Y109" i="146"/>
  <c r="P111" i="146"/>
  <c r="Y106" i="146"/>
  <c r="Y108" i="146"/>
  <c r="P109" i="146"/>
  <c r="P105" i="146"/>
  <c r="AH106" i="146"/>
  <c r="Y111" i="146"/>
  <c r="P110" i="146"/>
  <c r="AQ108" i="146"/>
  <c r="AR108" i="146" s="1"/>
  <c r="AQ111" i="146"/>
  <c r="AR111" i="146" s="1"/>
  <c r="P94" i="147"/>
  <c r="AH93" i="147"/>
  <c r="AH210" i="145"/>
  <c r="Y213" i="145"/>
  <c r="AQ212" i="145"/>
  <c r="AH213" i="145"/>
  <c r="P213" i="145"/>
  <c r="Y212" i="145"/>
  <c r="P210" i="145"/>
  <c r="Y211" i="145"/>
  <c r="AH212" i="145"/>
  <c r="F30" i="139"/>
  <c r="F28" i="139"/>
  <c r="F26" i="138"/>
  <c r="AI105" i="146" l="1"/>
  <c r="AJ105" i="146" s="1"/>
  <c r="AQ211" i="145"/>
  <c r="AI114" i="146"/>
  <c r="AJ114" i="146" s="1"/>
  <c r="AI213" i="145"/>
  <c r="AJ213" i="145" s="1"/>
  <c r="AI92" i="147"/>
  <c r="AJ92" i="147" s="1"/>
  <c r="AI93" i="147"/>
  <c r="AK93" i="147" s="1"/>
  <c r="AS93" i="147" s="1"/>
  <c r="AT93" i="147" s="1"/>
  <c r="AQ213" i="145"/>
  <c r="AI91" i="147"/>
  <c r="AJ91" i="147" s="1"/>
  <c r="AI94" i="147"/>
  <c r="AJ94" i="147" s="1"/>
  <c r="AQ210" i="145"/>
  <c r="AI212" i="145"/>
  <c r="AJ212" i="145" s="1"/>
  <c r="AI107" i="146"/>
  <c r="AJ107" i="146" s="1"/>
  <c r="AI210" i="145"/>
  <c r="AJ210" i="145" s="1"/>
  <c r="AI211" i="145"/>
  <c r="AJ211" i="145" s="1"/>
  <c r="AI111" i="146"/>
  <c r="AJ111" i="146" s="1"/>
  <c r="AI108" i="146"/>
  <c r="AJ108" i="146" s="1"/>
  <c r="AI106" i="146"/>
  <c r="AJ106" i="146" s="1"/>
  <c r="AI110" i="146"/>
  <c r="AI109" i="146"/>
  <c r="AR213" i="145" l="1"/>
  <c r="AS213" i="145" s="1"/>
  <c r="AJ93" i="147"/>
  <c r="AK114" i="146"/>
  <c r="AS114" i="146" s="1"/>
  <c r="AT114" i="146" s="1"/>
  <c r="AK94" i="147"/>
  <c r="AS94" i="147" s="1"/>
  <c r="AT94" i="147" s="1"/>
  <c r="AK91" i="147"/>
  <c r="AS91" i="147" s="1"/>
  <c r="AT91" i="147" s="1"/>
  <c r="AK105" i="146"/>
  <c r="AS105" i="146" s="1"/>
  <c r="AT105" i="146" s="1"/>
  <c r="AK107" i="146"/>
  <c r="AS107" i="146" s="1"/>
  <c r="AT107" i="146" s="1"/>
  <c r="AK92" i="147"/>
  <c r="AS92" i="147" s="1"/>
  <c r="AT92" i="147" s="1"/>
  <c r="AR212" i="145"/>
  <c r="AS212" i="145" s="1"/>
  <c r="AK108" i="146"/>
  <c r="AS108" i="146" s="1"/>
  <c r="AT108" i="146" s="1"/>
  <c r="AR210" i="145"/>
  <c r="AS210" i="145" s="1"/>
  <c r="AR211" i="145"/>
  <c r="AS211" i="145" s="1"/>
  <c r="AK111" i="146"/>
  <c r="AS111" i="146" s="1"/>
  <c r="AT111" i="146" s="1"/>
  <c r="AK106" i="146"/>
  <c r="AS106" i="146" s="1"/>
  <c r="AT106" i="146" s="1"/>
  <c r="AJ110" i="146"/>
  <c r="AK110" i="146"/>
  <c r="AS110" i="146" s="1"/>
  <c r="AT110" i="146" s="1"/>
  <c r="AJ109" i="146"/>
  <c r="AK109" i="146"/>
  <c r="AS109" i="146" s="1"/>
  <c r="AT109" i="146" s="1"/>
  <c r="D270" i="146"/>
  <c r="C207" i="147"/>
  <c r="E112" i="146" l="1"/>
  <c r="E113" i="146"/>
  <c r="AQ113" i="146" s="1"/>
  <c r="AR113" i="146" s="1"/>
  <c r="AG113" i="146"/>
  <c r="AC113" i="146"/>
  <c r="X113" i="146"/>
  <c r="T113" i="146"/>
  <c r="O113" i="146"/>
  <c r="K113" i="146"/>
  <c r="AG112" i="146"/>
  <c r="AC112" i="146"/>
  <c r="X112" i="146"/>
  <c r="T112" i="146"/>
  <c r="O112" i="146"/>
  <c r="K112" i="146"/>
  <c r="AH112" i="146" l="1"/>
  <c r="Y113" i="146"/>
  <c r="P113" i="146"/>
  <c r="AH113" i="146"/>
  <c r="P112" i="146"/>
  <c r="Y112" i="146"/>
  <c r="AQ112" i="146"/>
  <c r="AR112" i="146" s="1"/>
  <c r="AI112" i="146" l="1"/>
  <c r="AJ112" i="146" s="1"/>
  <c r="AI113" i="146"/>
  <c r="AJ113" i="146" s="1"/>
  <c r="AK113" i="146" l="1"/>
  <c r="AS113" i="146" s="1"/>
  <c r="AT113" i="146" s="1"/>
  <c r="AK112" i="146"/>
  <c r="AS112" i="146" s="1"/>
  <c r="AT112" i="146" s="1"/>
  <c r="T20" i="139" l="1"/>
  <c r="T19" i="139"/>
  <c r="T18" i="139"/>
  <c r="T17" i="139"/>
  <c r="T11" i="139" l="1"/>
  <c r="T12" i="139"/>
  <c r="T13" i="139"/>
  <c r="T14" i="139"/>
  <c r="T15" i="139"/>
  <c r="T16" i="139"/>
  <c r="F52" i="100" l="1"/>
  <c r="F53" i="100"/>
  <c r="F54" i="100"/>
  <c r="F55" i="100"/>
  <c r="F56" i="100"/>
  <c r="F57" i="100"/>
  <c r="F58" i="100"/>
  <c r="AV4" i="144" l="1"/>
  <c r="AV5" i="144"/>
  <c r="AV6" i="144"/>
  <c r="AV7" i="144"/>
  <c r="AV8" i="144"/>
  <c r="AV9" i="144"/>
  <c r="AV10" i="144"/>
  <c r="AV11" i="144"/>
  <c r="AV12" i="144"/>
  <c r="AV13" i="144"/>
  <c r="AV14" i="144"/>
  <c r="AV15" i="144"/>
  <c r="AV16" i="144"/>
  <c r="AV17" i="144"/>
  <c r="AV18" i="144"/>
  <c r="AV19" i="144"/>
  <c r="AV20" i="144"/>
  <c r="AV21" i="144"/>
  <c r="AV22" i="144"/>
  <c r="AV25" i="144"/>
  <c r="AV27" i="144"/>
  <c r="AV28" i="144"/>
  <c r="AV29" i="144"/>
  <c r="AV30" i="144"/>
  <c r="AV31" i="144"/>
  <c r="AV32" i="144"/>
  <c r="AV33" i="144"/>
  <c r="AV34" i="144"/>
  <c r="AV35" i="144"/>
  <c r="AV36" i="144"/>
  <c r="AV37" i="144"/>
  <c r="AV38" i="144"/>
  <c r="AV39" i="144"/>
  <c r="AV41" i="144"/>
  <c r="AV42" i="144"/>
  <c r="AV43" i="144"/>
  <c r="AV44" i="144"/>
  <c r="AV45" i="144"/>
  <c r="AV46" i="144"/>
  <c r="AV47" i="144"/>
  <c r="AV48" i="144"/>
  <c r="AV49" i="144"/>
  <c r="AV50" i="144"/>
  <c r="AV51" i="144"/>
  <c r="AV52" i="144"/>
  <c r="AV53" i="144"/>
  <c r="AV54" i="144"/>
  <c r="AV55" i="144"/>
  <c r="AV56" i="144"/>
  <c r="AV57" i="144"/>
  <c r="AV58" i="144"/>
  <c r="AV59" i="144"/>
  <c r="AV60" i="144"/>
  <c r="AV61" i="144"/>
  <c r="AV64" i="144"/>
  <c r="AV66" i="144"/>
  <c r="AV67" i="144"/>
  <c r="AV70" i="144"/>
  <c r="AP74" i="144"/>
  <c r="AQ74" i="144"/>
  <c r="AR74" i="144"/>
  <c r="AS74" i="144"/>
  <c r="AT74" i="144"/>
  <c r="AU74" i="144"/>
  <c r="F74" i="144"/>
  <c r="C74" i="144"/>
  <c r="AH5" i="144"/>
  <c r="AH6" i="144"/>
  <c r="AH7" i="144"/>
  <c r="AH8" i="144"/>
  <c r="AH9" i="144"/>
  <c r="AH10" i="144"/>
  <c r="AH11" i="144"/>
  <c r="AH12" i="144"/>
  <c r="AH13" i="144"/>
  <c r="AH14" i="144"/>
  <c r="AH15" i="144"/>
  <c r="AH16" i="144"/>
  <c r="AH17" i="144"/>
  <c r="AH18" i="144"/>
  <c r="AH19" i="144"/>
  <c r="AH20" i="144"/>
  <c r="AH21" i="144"/>
  <c r="AH22" i="144"/>
  <c r="AH23" i="144"/>
  <c r="AH24" i="144"/>
  <c r="AH27" i="144"/>
  <c r="AH28" i="144"/>
  <c r="AH29" i="144"/>
  <c r="AH30" i="144"/>
  <c r="AH31" i="144"/>
  <c r="AH32" i="144"/>
  <c r="AH33" i="144"/>
  <c r="AH34" i="144"/>
  <c r="AH35" i="144"/>
  <c r="AH36" i="144"/>
  <c r="AH37" i="144"/>
  <c r="AH38" i="144"/>
  <c r="AH39" i="144"/>
  <c r="AH40" i="144"/>
  <c r="AH41" i="144"/>
  <c r="AH42" i="144"/>
  <c r="AH43" i="144"/>
  <c r="AH44" i="144"/>
  <c r="AH45" i="144"/>
  <c r="AH46" i="144"/>
  <c r="AH47" i="144"/>
  <c r="AH48" i="144"/>
  <c r="AH49" i="144"/>
  <c r="AH50" i="144"/>
  <c r="AH51" i="144"/>
  <c r="AH52" i="144"/>
  <c r="AH53" i="144"/>
  <c r="AH54" i="144"/>
  <c r="AH55" i="144"/>
  <c r="AH56" i="144"/>
  <c r="AH57" i="144"/>
  <c r="AH58" i="144"/>
  <c r="AH59" i="144"/>
  <c r="AH60" i="144"/>
  <c r="AH61" i="144"/>
  <c r="AH62" i="144"/>
  <c r="AH63" i="144"/>
  <c r="AH65" i="144"/>
  <c r="AH67" i="144"/>
  <c r="AH68" i="144"/>
  <c r="AH69" i="144"/>
  <c r="AH70" i="144"/>
  <c r="AI70" i="144" s="1"/>
  <c r="AH4" i="144"/>
  <c r="Y74" i="144"/>
  <c r="X74" i="144"/>
  <c r="V74" i="144"/>
  <c r="S74" i="144"/>
  <c r="I74" i="144"/>
  <c r="J74" i="144"/>
  <c r="K74" i="144"/>
  <c r="L74" i="144"/>
  <c r="M74" i="144"/>
  <c r="N74" i="144"/>
  <c r="O74" i="144"/>
  <c r="P74" i="144"/>
  <c r="Q74" i="144"/>
  <c r="R74" i="144"/>
  <c r="U74" i="144"/>
  <c r="E74" i="144"/>
  <c r="G74" i="144"/>
  <c r="H74" i="144"/>
  <c r="D74" i="144"/>
  <c r="AI65" i="144" l="1"/>
  <c r="AI4" i="144"/>
  <c r="AB26" i="144" l="1"/>
  <c r="AH26" i="144" s="1"/>
  <c r="Z63" i="144" l="1"/>
  <c r="Z74" i="144" s="1"/>
  <c r="AG64" i="144" l="1"/>
  <c r="AF64" i="144"/>
  <c r="AE64" i="144"/>
  <c r="AD64" i="144"/>
  <c r="AC64" i="144"/>
  <c r="AB64" i="144"/>
  <c r="AA64" i="144"/>
  <c r="AH64" i="144" l="1"/>
  <c r="AI64" i="144" s="1"/>
  <c r="AG66" i="144"/>
  <c r="AG74" i="144" s="1"/>
  <c r="AF66" i="144"/>
  <c r="AF74" i="144" s="1"/>
  <c r="AE66" i="144"/>
  <c r="AE74" i="144" s="1"/>
  <c r="AD66" i="144"/>
  <c r="AD74" i="144" s="1"/>
  <c r="AC66" i="144"/>
  <c r="AB66" i="144"/>
  <c r="AA66" i="144"/>
  <c r="AH66" i="144" l="1"/>
  <c r="AI66" i="144" s="1"/>
  <c r="AJ66" i="144" s="1"/>
  <c r="AA74" i="144"/>
  <c r="AI62" i="144"/>
  <c r="AJ62" i="144" s="1"/>
  <c r="AJ65" i="144"/>
  <c r="AI68" i="144"/>
  <c r="AJ68" i="144" s="1"/>
  <c r="AI67" i="144"/>
  <c r="AJ67" i="144" s="1"/>
  <c r="AJ70" i="144"/>
  <c r="AI69" i="144" l="1"/>
  <c r="AJ69" i="144" s="1"/>
  <c r="T70" i="144"/>
  <c r="AG89" i="147"/>
  <c r="AC89" i="147"/>
  <c r="X89" i="147"/>
  <c r="T89" i="147"/>
  <c r="O89" i="147"/>
  <c r="K89" i="147"/>
  <c r="E89" i="147"/>
  <c r="AQ88" i="147"/>
  <c r="AR88" i="147" s="1"/>
  <c r="AG88" i="147"/>
  <c r="AC88" i="147"/>
  <c r="X88" i="147"/>
  <c r="T88" i="147"/>
  <c r="O88" i="147"/>
  <c r="K88" i="147"/>
  <c r="AG87" i="147"/>
  <c r="AC87" i="147"/>
  <c r="X87" i="147"/>
  <c r="T87" i="147"/>
  <c r="O87" i="147"/>
  <c r="K87" i="147"/>
  <c r="E87" i="147"/>
  <c r="AQ87" i="147" s="1"/>
  <c r="AR87" i="147" s="1"/>
  <c r="AG86" i="147"/>
  <c r="AC86" i="147"/>
  <c r="X86" i="147"/>
  <c r="T86" i="147"/>
  <c r="O86" i="147"/>
  <c r="K86" i="147"/>
  <c r="E86" i="147"/>
  <c r="AG103" i="146"/>
  <c r="AC103" i="146"/>
  <c r="X103" i="146"/>
  <c r="T103" i="146"/>
  <c r="O103" i="146"/>
  <c r="K103" i="146"/>
  <c r="E103" i="146"/>
  <c r="AQ102" i="146"/>
  <c r="AR102" i="146" s="1"/>
  <c r="AG102" i="146"/>
  <c r="AC102" i="146"/>
  <c r="X102" i="146"/>
  <c r="T102" i="146"/>
  <c r="O102" i="146"/>
  <c r="K102" i="146"/>
  <c r="AG101" i="146"/>
  <c r="AC101" i="146"/>
  <c r="X101" i="146"/>
  <c r="T101" i="146"/>
  <c r="O101" i="146"/>
  <c r="K101" i="146"/>
  <c r="E101" i="146"/>
  <c r="AQ101" i="146" s="1"/>
  <c r="AR101" i="146" s="1"/>
  <c r="AG100" i="146"/>
  <c r="AC100" i="146"/>
  <c r="X100" i="146"/>
  <c r="T100" i="146"/>
  <c r="O100" i="146"/>
  <c r="K100" i="146"/>
  <c r="E100" i="146"/>
  <c r="AQ100" i="146" s="1"/>
  <c r="AR100" i="146" s="1"/>
  <c r="AG99" i="146"/>
  <c r="AC99" i="146"/>
  <c r="X99" i="146"/>
  <c r="T99" i="146"/>
  <c r="O99" i="146"/>
  <c r="K99" i="146"/>
  <c r="E99" i="146"/>
  <c r="AQ98" i="146"/>
  <c r="AR98" i="146" s="1"/>
  <c r="AG98" i="146"/>
  <c r="AC98" i="146"/>
  <c r="X98" i="146"/>
  <c r="T98" i="146"/>
  <c r="O98" i="146"/>
  <c r="K98" i="146"/>
  <c r="AG97" i="146"/>
  <c r="AC97" i="146"/>
  <c r="X97" i="146"/>
  <c r="T97" i="146"/>
  <c r="O97" i="146"/>
  <c r="K97" i="146"/>
  <c r="E97" i="146"/>
  <c r="AO40" i="144"/>
  <c r="AG208" i="145"/>
  <c r="AC208" i="145"/>
  <c r="X208" i="145"/>
  <c r="T208" i="145"/>
  <c r="O208" i="145"/>
  <c r="K208" i="145"/>
  <c r="E208" i="145"/>
  <c r="AG207" i="145"/>
  <c r="AC207" i="145"/>
  <c r="X207" i="145"/>
  <c r="T207" i="145"/>
  <c r="O207" i="145"/>
  <c r="K207" i="145"/>
  <c r="E207" i="145"/>
  <c r="AG206" i="145"/>
  <c r="AC206" i="145"/>
  <c r="X206" i="145"/>
  <c r="T206" i="145"/>
  <c r="O206" i="145"/>
  <c r="K206" i="145"/>
  <c r="AG205" i="145"/>
  <c r="AC205" i="145"/>
  <c r="X205" i="145"/>
  <c r="T205" i="145"/>
  <c r="O205" i="145"/>
  <c r="K205" i="145"/>
  <c r="E205" i="145"/>
  <c r="AG204" i="145"/>
  <c r="AC204" i="145"/>
  <c r="X204" i="145"/>
  <c r="T204" i="145"/>
  <c r="O204" i="145"/>
  <c r="K204" i="145"/>
  <c r="E204" i="145"/>
  <c r="AS203" i="145"/>
  <c r="D260" i="146"/>
  <c r="C217" i="147"/>
  <c r="Y137" i="147"/>
  <c r="Y205" i="145" l="1"/>
  <c r="AH206" i="145"/>
  <c r="Y97" i="146"/>
  <c r="P88" i="147"/>
  <c r="AH89" i="147"/>
  <c r="AH98" i="146"/>
  <c r="P208" i="145"/>
  <c r="Y208" i="145"/>
  <c r="AH100" i="146"/>
  <c r="P206" i="145"/>
  <c r="P207" i="145"/>
  <c r="P98" i="146"/>
  <c r="AH99" i="146"/>
  <c r="P103" i="146"/>
  <c r="AH97" i="146"/>
  <c r="Y206" i="145"/>
  <c r="Y207" i="145"/>
  <c r="P97" i="146"/>
  <c r="P102" i="146"/>
  <c r="AH101" i="146"/>
  <c r="P204" i="145"/>
  <c r="AH86" i="147"/>
  <c r="P99" i="146"/>
  <c r="Y103" i="146"/>
  <c r="Y102" i="146"/>
  <c r="AH102" i="146"/>
  <c r="Y99" i="146"/>
  <c r="Y101" i="146"/>
  <c r="AH87" i="147"/>
  <c r="P89" i="147"/>
  <c r="Y88" i="147"/>
  <c r="P86" i="147"/>
  <c r="Y86" i="147"/>
  <c r="P87" i="147"/>
  <c r="AH88" i="147"/>
  <c r="Y87" i="147"/>
  <c r="Y89" i="147"/>
  <c r="AQ86" i="147"/>
  <c r="AR86" i="147" s="1"/>
  <c r="AQ89" i="147"/>
  <c r="AR89" i="147" s="1"/>
  <c r="P101" i="146"/>
  <c r="Y98" i="146"/>
  <c r="P100" i="146"/>
  <c r="Y100" i="146"/>
  <c r="AH103" i="146"/>
  <c r="AQ97" i="146"/>
  <c r="AR97" i="146" s="1"/>
  <c r="AQ99" i="146"/>
  <c r="AR99" i="146" s="1"/>
  <c r="AQ103" i="146"/>
  <c r="AR103" i="146" s="1"/>
  <c r="Y204" i="145"/>
  <c r="AH208" i="145"/>
  <c r="P205" i="145"/>
  <c r="AQ206" i="145"/>
  <c r="AH205" i="145"/>
  <c r="AH207" i="145"/>
  <c r="AH204" i="145"/>
  <c r="AI206" i="145" l="1"/>
  <c r="AJ206" i="145" s="1"/>
  <c r="AI208" i="145"/>
  <c r="AJ208" i="145" s="1"/>
  <c r="AI207" i="145"/>
  <c r="AJ207" i="145" s="1"/>
  <c r="AI205" i="145"/>
  <c r="AJ205" i="145" s="1"/>
  <c r="AI98" i="146"/>
  <c r="AK98" i="146" s="1"/>
  <c r="AS98" i="146" s="1"/>
  <c r="AT98" i="146" s="1"/>
  <c r="AI102" i="146"/>
  <c r="AJ102" i="146" s="1"/>
  <c r="AI97" i="146"/>
  <c r="AJ97" i="146" s="1"/>
  <c r="AI101" i="146"/>
  <c r="AJ101" i="146" s="1"/>
  <c r="AI86" i="147"/>
  <c r="AJ86" i="147" s="1"/>
  <c r="AQ207" i="145"/>
  <c r="AI103" i="146"/>
  <c r="AJ103" i="146" s="1"/>
  <c r="AI88" i="147"/>
  <c r="AK88" i="147" s="1"/>
  <c r="AS88" i="147" s="1"/>
  <c r="AT88" i="147" s="1"/>
  <c r="AI99" i="146"/>
  <c r="AJ99" i="146" s="1"/>
  <c r="AI89" i="147"/>
  <c r="AJ89" i="147" s="1"/>
  <c r="AI87" i="147"/>
  <c r="AI100" i="146"/>
  <c r="AI204" i="145"/>
  <c r="AJ204" i="145" s="1"/>
  <c r="AQ204" i="145"/>
  <c r="AQ208" i="145"/>
  <c r="AQ205" i="145"/>
  <c r="AK102" i="146" l="1"/>
  <c r="AS102" i="146" s="1"/>
  <c r="AT102" i="146" s="1"/>
  <c r="AJ98" i="146"/>
  <c r="AR206" i="145"/>
  <c r="AS206" i="145" s="1"/>
  <c r="AK97" i="146"/>
  <c r="AS97" i="146" s="1"/>
  <c r="AT97" i="146" s="1"/>
  <c r="AK86" i="147"/>
  <c r="AS86" i="147" s="1"/>
  <c r="AT86" i="147" s="1"/>
  <c r="AK103" i="146"/>
  <c r="AS103" i="146" s="1"/>
  <c r="AT103" i="146" s="1"/>
  <c r="AR207" i="145"/>
  <c r="AS207" i="145" s="1"/>
  <c r="AR208" i="145"/>
  <c r="AS208" i="145" s="1"/>
  <c r="AK99" i="146"/>
  <c r="AS99" i="146" s="1"/>
  <c r="AT99" i="146" s="1"/>
  <c r="AR205" i="145"/>
  <c r="AS205" i="145" s="1"/>
  <c r="AJ88" i="147"/>
  <c r="AK101" i="146"/>
  <c r="AS101" i="146" s="1"/>
  <c r="AT101" i="146" s="1"/>
  <c r="AK89" i="147"/>
  <c r="AS89" i="147" s="1"/>
  <c r="AT89" i="147" s="1"/>
  <c r="AR204" i="145"/>
  <c r="AS204" i="145" s="1"/>
  <c r="AJ87" i="147"/>
  <c r="AK87" i="147"/>
  <c r="AS87" i="147" s="1"/>
  <c r="AT87" i="147" s="1"/>
  <c r="AJ100" i="146"/>
  <c r="AK100" i="146"/>
  <c r="AS100" i="146" s="1"/>
  <c r="AT100" i="146" s="1"/>
  <c r="AN40" i="144" l="1"/>
  <c r="AV40" i="144" s="1"/>
  <c r="AO69" i="144"/>
  <c r="AV69" i="144" s="1"/>
  <c r="AO65" i="144"/>
  <c r="AO62" i="144"/>
  <c r="AV62" i="144" s="1"/>
  <c r="AO63" i="144"/>
  <c r="AO26" i="144"/>
  <c r="AO68" i="144"/>
  <c r="AG84" i="147"/>
  <c r="AC84" i="147"/>
  <c r="X84" i="147"/>
  <c r="T84" i="147"/>
  <c r="O84" i="147"/>
  <c r="K84" i="147"/>
  <c r="E84" i="147"/>
  <c r="AQ84" i="147" s="1"/>
  <c r="AR84" i="147" s="1"/>
  <c r="AQ83" i="147"/>
  <c r="AR83" i="147" s="1"/>
  <c r="AG83" i="147"/>
  <c r="AC83" i="147"/>
  <c r="X83" i="147"/>
  <c r="T83" i="147"/>
  <c r="O83" i="147"/>
  <c r="K83" i="147"/>
  <c r="AG82" i="147"/>
  <c r="AC82" i="147"/>
  <c r="X82" i="147"/>
  <c r="T82" i="147"/>
  <c r="O82" i="147"/>
  <c r="K82" i="147"/>
  <c r="E82" i="147"/>
  <c r="AG81" i="147"/>
  <c r="AC81" i="147"/>
  <c r="X81" i="147"/>
  <c r="T81" i="147"/>
  <c r="O81" i="147"/>
  <c r="K81" i="147"/>
  <c r="E81" i="147"/>
  <c r="AQ81" i="147" s="1"/>
  <c r="AR81" i="147" s="1"/>
  <c r="AM65" i="144"/>
  <c r="AM63" i="144"/>
  <c r="AN24" i="144"/>
  <c r="AN23" i="144"/>
  <c r="AV23" i="144" s="1"/>
  <c r="AM68" i="144"/>
  <c r="AN68" i="144"/>
  <c r="AN65" i="144"/>
  <c r="AN63" i="144"/>
  <c r="T69" i="144"/>
  <c r="E95" i="146"/>
  <c r="Q21" i="138" l="1"/>
  <c r="AV68" i="144"/>
  <c r="AV63" i="144"/>
  <c r="AM74" i="144"/>
  <c r="AV65" i="144"/>
  <c r="AN74" i="144"/>
  <c r="AV24" i="144"/>
  <c r="AH82" i="147"/>
  <c r="AV26" i="144"/>
  <c r="AO74" i="144"/>
  <c r="P83" i="147"/>
  <c r="AH81" i="147"/>
  <c r="P82" i="147"/>
  <c r="Y82" i="147"/>
  <c r="P81" i="147"/>
  <c r="Y83" i="147"/>
  <c r="AH83" i="147"/>
  <c r="P84" i="147"/>
  <c r="Y84" i="147"/>
  <c r="Y81" i="147"/>
  <c r="AH84" i="147"/>
  <c r="AQ82" i="147"/>
  <c r="AR82" i="147" s="1"/>
  <c r="AV74" i="144" l="1"/>
  <c r="AI82" i="147"/>
  <c r="AJ82" i="147" s="1"/>
  <c r="AI83" i="147"/>
  <c r="AJ83" i="147" s="1"/>
  <c r="AI81" i="147"/>
  <c r="AJ81" i="147" s="1"/>
  <c r="AI84" i="147"/>
  <c r="AJ84" i="147" s="1"/>
  <c r="AK82" i="147" l="1"/>
  <c r="AS82" i="147" s="1"/>
  <c r="AT82" i="147" s="1"/>
  <c r="AK84" i="147"/>
  <c r="AS84" i="147" s="1"/>
  <c r="AT84" i="147" s="1"/>
  <c r="AK83" i="147"/>
  <c r="AS83" i="147" s="1"/>
  <c r="AT83" i="147" s="1"/>
  <c r="AK81" i="147"/>
  <c r="AS81" i="147" s="1"/>
  <c r="AT81" i="147" s="1"/>
  <c r="AQ94" i="146" l="1"/>
  <c r="AR94" i="146" s="1"/>
  <c r="AG94" i="146"/>
  <c r="AC94" i="146"/>
  <c r="X94" i="146"/>
  <c r="T94" i="146"/>
  <c r="O94" i="146"/>
  <c r="K94" i="146"/>
  <c r="AG93" i="146"/>
  <c r="AC93" i="146"/>
  <c r="X93" i="146"/>
  <c r="T93" i="146"/>
  <c r="O93" i="146"/>
  <c r="K93" i="146"/>
  <c r="E93" i="146"/>
  <c r="AQ93" i="146" s="1"/>
  <c r="AR93" i="146" s="1"/>
  <c r="AG92" i="146"/>
  <c r="AC92" i="146"/>
  <c r="X92" i="146"/>
  <c r="T92" i="146"/>
  <c r="O92" i="146"/>
  <c r="K92" i="146"/>
  <c r="E92" i="146"/>
  <c r="AQ92" i="146" s="1"/>
  <c r="AR92" i="146" s="1"/>
  <c r="AG91" i="146"/>
  <c r="AC91" i="146"/>
  <c r="X91" i="146"/>
  <c r="T91" i="146"/>
  <c r="O91" i="146"/>
  <c r="K91" i="146"/>
  <c r="E91" i="146"/>
  <c r="AQ91" i="146" s="1"/>
  <c r="AR91" i="146" s="1"/>
  <c r="AQ90" i="146"/>
  <c r="AR90" i="146" s="1"/>
  <c r="AG90" i="146"/>
  <c r="AC90" i="146"/>
  <c r="X90" i="146"/>
  <c r="T90" i="146"/>
  <c r="O90" i="146"/>
  <c r="K90" i="146"/>
  <c r="AG89" i="146"/>
  <c r="AC89" i="146"/>
  <c r="X89" i="146"/>
  <c r="T89" i="146"/>
  <c r="O89" i="146"/>
  <c r="K89" i="146"/>
  <c r="E89" i="146"/>
  <c r="AQ89" i="146" s="1"/>
  <c r="AR89" i="146" s="1"/>
  <c r="AG202" i="145"/>
  <c r="AC202" i="145"/>
  <c r="X202" i="145"/>
  <c r="T202" i="145"/>
  <c r="O202" i="145"/>
  <c r="K202" i="145"/>
  <c r="E202" i="145"/>
  <c r="AG201" i="145"/>
  <c r="AC201" i="145"/>
  <c r="X201" i="145"/>
  <c r="T201" i="145"/>
  <c r="O201" i="145"/>
  <c r="K201" i="145"/>
  <c r="E201" i="145"/>
  <c r="AG200" i="145"/>
  <c r="AC200" i="145"/>
  <c r="X200" i="145"/>
  <c r="T200" i="145"/>
  <c r="O200" i="145"/>
  <c r="K200" i="145"/>
  <c r="AG199" i="145"/>
  <c r="AC199" i="145"/>
  <c r="X199" i="145"/>
  <c r="T199" i="145"/>
  <c r="O199" i="145"/>
  <c r="K199" i="145"/>
  <c r="E199" i="145"/>
  <c r="AG198" i="145"/>
  <c r="AC198" i="145"/>
  <c r="X198" i="145"/>
  <c r="T198" i="145"/>
  <c r="O198" i="145"/>
  <c r="K198" i="145"/>
  <c r="E198" i="145"/>
  <c r="AS197" i="145"/>
  <c r="W57" i="144"/>
  <c r="AI58" i="144"/>
  <c r="AJ58" i="144" s="1"/>
  <c r="T58" i="144"/>
  <c r="P89" i="146" l="1"/>
  <c r="AH92" i="146"/>
  <c r="P202" i="145"/>
  <c r="Y94" i="146"/>
  <c r="Y201" i="145"/>
  <c r="Y199" i="145"/>
  <c r="P92" i="146"/>
  <c r="AH199" i="145"/>
  <c r="P90" i="146"/>
  <c r="AH91" i="146"/>
  <c r="P94" i="146"/>
  <c r="AH93" i="146"/>
  <c r="AH89" i="146"/>
  <c r="Y92" i="146"/>
  <c r="P93" i="146"/>
  <c r="AH94" i="146"/>
  <c r="Y91" i="146"/>
  <c r="Y93" i="146"/>
  <c r="P91" i="146"/>
  <c r="AH90" i="146"/>
  <c r="Y89" i="146"/>
  <c r="Y90" i="146"/>
  <c r="P199" i="145"/>
  <c r="Y198" i="145"/>
  <c r="AH202" i="145"/>
  <c r="P200" i="145"/>
  <c r="AH200" i="145"/>
  <c r="AH201" i="145"/>
  <c r="P201" i="145"/>
  <c r="P198" i="145"/>
  <c r="AQ200" i="145"/>
  <c r="AH198" i="145"/>
  <c r="Y202" i="145"/>
  <c r="Y200" i="145"/>
  <c r="AI92" i="146" l="1"/>
  <c r="AJ92" i="146" s="1"/>
  <c r="AI202" i="145"/>
  <c r="AJ202" i="145" s="1"/>
  <c r="AI94" i="146"/>
  <c r="AK94" i="146" s="1"/>
  <c r="AS94" i="146" s="1"/>
  <c r="AT94" i="146" s="1"/>
  <c r="AI199" i="145"/>
  <c r="AJ199" i="145" s="1"/>
  <c r="AI200" i="145"/>
  <c r="AR200" i="145" s="1"/>
  <c r="AS200" i="145" s="1"/>
  <c r="AI201" i="145"/>
  <c r="AI198" i="145"/>
  <c r="AJ198" i="145" s="1"/>
  <c r="AI93" i="146"/>
  <c r="AJ93" i="146" s="1"/>
  <c r="AI89" i="146"/>
  <c r="AK89" i="146" s="1"/>
  <c r="AS89" i="146" s="1"/>
  <c r="AT89" i="146" s="1"/>
  <c r="AI90" i="146"/>
  <c r="AK90" i="146" s="1"/>
  <c r="AS90" i="146" s="1"/>
  <c r="AT90" i="146" s="1"/>
  <c r="AI91" i="146"/>
  <c r="AJ91" i="146" s="1"/>
  <c r="AQ201" i="145"/>
  <c r="AQ199" i="145"/>
  <c r="AQ198" i="145"/>
  <c r="AQ202" i="145"/>
  <c r="AK92" i="146" l="1"/>
  <c r="AS92" i="146" s="1"/>
  <c r="AT92" i="146" s="1"/>
  <c r="AR202" i="145"/>
  <c r="AS202" i="145" s="1"/>
  <c r="AJ94" i="146"/>
  <c r="AJ89" i="146"/>
  <c r="AR199" i="145"/>
  <c r="AS199" i="145" s="1"/>
  <c r="AJ200" i="145"/>
  <c r="AJ201" i="145"/>
  <c r="AR201" i="145"/>
  <c r="AS201" i="145" s="1"/>
  <c r="AR198" i="145"/>
  <c r="AS198" i="145" s="1"/>
  <c r="AK93" i="146"/>
  <c r="AS93" i="146" s="1"/>
  <c r="AT93" i="146" s="1"/>
  <c r="AJ90" i="146"/>
  <c r="AK91" i="146"/>
  <c r="AS91" i="146" s="1"/>
  <c r="AT91" i="146" s="1"/>
  <c r="T17" i="121" l="1"/>
  <c r="T9" i="121"/>
  <c r="T16" i="121"/>
  <c r="T8" i="121"/>
  <c r="T10" i="121"/>
  <c r="T11" i="121"/>
  <c r="T12" i="121"/>
  <c r="T13" i="121"/>
  <c r="T14" i="121"/>
  <c r="T15" i="121"/>
  <c r="T18" i="121"/>
  <c r="T19" i="121"/>
  <c r="T20" i="121"/>
  <c r="AC25" i="144"/>
  <c r="AC74" i="144" s="1"/>
  <c r="AB25" i="144"/>
  <c r="AH25" i="144" l="1"/>
  <c r="AB74" i="144"/>
  <c r="E79" i="147"/>
  <c r="AQ79" i="147" s="1"/>
  <c r="AR79" i="147" s="1"/>
  <c r="E77" i="147"/>
  <c r="AQ77" i="147" s="1"/>
  <c r="AR77" i="147" s="1"/>
  <c r="E76" i="147"/>
  <c r="AQ76" i="147" s="1"/>
  <c r="AR76" i="147" s="1"/>
  <c r="AG79" i="147"/>
  <c r="AC79" i="147"/>
  <c r="X79" i="147"/>
  <c r="T79" i="147"/>
  <c r="O79" i="147"/>
  <c r="K79" i="147"/>
  <c r="AQ78" i="147"/>
  <c r="AR78" i="147" s="1"/>
  <c r="AG78" i="147"/>
  <c r="AC78" i="147"/>
  <c r="X78" i="147"/>
  <c r="T78" i="147"/>
  <c r="O78" i="147"/>
  <c r="K78" i="147"/>
  <c r="AG77" i="147"/>
  <c r="AC77" i="147"/>
  <c r="X77" i="147"/>
  <c r="T77" i="147"/>
  <c r="O77" i="147"/>
  <c r="K77" i="147"/>
  <c r="AG76" i="147"/>
  <c r="AC76" i="147"/>
  <c r="X76" i="147"/>
  <c r="T76" i="147"/>
  <c r="O76" i="147"/>
  <c r="K76" i="147"/>
  <c r="AR126" i="147"/>
  <c r="F127" i="147"/>
  <c r="G127" i="147"/>
  <c r="H127" i="147"/>
  <c r="I127" i="147"/>
  <c r="J127" i="147"/>
  <c r="L127" i="147"/>
  <c r="Q127" i="147"/>
  <c r="U127" i="147"/>
  <c r="Z127" i="147"/>
  <c r="AD127" i="147"/>
  <c r="AL127" i="147"/>
  <c r="AM127" i="147"/>
  <c r="AN127" i="147"/>
  <c r="AO127" i="147"/>
  <c r="AP127" i="147"/>
  <c r="E86" i="146"/>
  <c r="E85" i="146"/>
  <c r="AQ85" i="146" s="1"/>
  <c r="AR85" i="146" s="1"/>
  <c r="E84" i="146"/>
  <c r="AQ84" i="146" s="1"/>
  <c r="AR84" i="146" s="1"/>
  <c r="E82" i="146"/>
  <c r="E81" i="146"/>
  <c r="AQ81" i="146" s="1"/>
  <c r="AR81" i="146" s="1"/>
  <c r="AQ87" i="146"/>
  <c r="AR87" i="146" s="1"/>
  <c r="AG87" i="146"/>
  <c r="AC87" i="146"/>
  <c r="X87" i="146"/>
  <c r="T87" i="146"/>
  <c r="O87" i="146"/>
  <c r="K87" i="146"/>
  <c r="AG86" i="146"/>
  <c r="AC86" i="146"/>
  <c r="X86" i="146"/>
  <c r="T86" i="146"/>
  <c r="O86" i="146"/>
  <c r="K86" i="146"/>
  <c r="AG85" i="146"/>
  <c r="AC85" i="146"/>
  <c r="X85" i="146"/>
  <c r="T85" i="146"/>
  <c r="O85" i="146"/>
  <c r="K85" i="146"/>
  <c r="AG84" i="146"/>
  <c r="AC84" i="146"/>
  <c r="X84" i="146"/>
  <c r="T84" i="146"/>
  <c r="O84" i="146"/>
  <c r="K84" i="146"/>
  <c r="AQ83" i="146"/>
  <c r="AR83" i="146" s="1"/>
  <c r="AG83" i="146"/>
  <c r="AC83" i="146"/>
  <c r="X83" i="146"/>
  <c r="T83" i="146"/>
  <c r="O83" i="146"/>
  <c r="K83" i="146"/>
  <c r="AG82" i="146"/>
  <c r="AC82" i="146"/>
  <c r="X82" i="146"/>
  <c r="T82" i="146"/>
  <c r="O82" i="146"/>
  <c r="K82" i="146"/>
  <c r="AG81" i="146"/>
  <c r="AC81" i="146"/>
  <c r="X81" i="146"/>
  <c r="T81" i="146"/>
  <c r="O81" i="146"/>
  <c r="K81" i="146"/>
  <c r="AH74" i="144" l="1"/>
  <c r="P76" i="147"/>
  <c r="P78" i="147"/>
  <c r="P79" i="147"/>
  <c r="Y79" i="147"/>
  <c r="AH78" i="147"/>
  <c r="Y77" i="147"/>
  <c r="AH77" i="147"/>
  <c r="Y76" i="147"/>
  <c r="Y78" i="147"/>
  <c r="AH76" i="147"/>
  <c r="AH79" i="147"/>
  <c r="P77" i="147"/>
  <c r="Y84" i="146"/>
  <c r="P86" i="146"/>
  <c r="P82" i="146"/>
  <c r="Y82" i="146"/>
  <c r="P84" i="146"/>
  <c r="Y83" i="146"/>
  <c r="AH86" i="146"/>
  <c r="AH87" i="146"/>
  <c r="P81" i="146"/>
  <c r="P83" i="146"/>
  <c r="AH81" i="146"/>
  <c r="AH83" i="146"/>
  <c r="P85" i="146"/>
  <c r="Y87" i="146"/>
  <c r="P87" i="146"/>
  <c r="AH84" i="146"/>
  <c r="Y86" i="146"/>
  <c r="Y85" i="146"/>
  <c r="AH82" i="146"/>
  <c r="AH85" i="146"/>
  <c r="Y81" i="146"/>
  <c r="AQ82" i="146"/>
  <c r="AR82" i="146" s="1"/>
  <c r="AQ86" i="146"/>
  <c r="AR86" i="146" s="1"/>
  <c r="AI77" i="147" l="1"/>
  <c r="AJ77" i="147" s="1"/>
  <c r="AI87" i="146"/>
  <c r="AJ87" i="146" s="1"/>
  <c r="AI76" i="147"/>
  <c r="AK76" i="147" s="1"/>
  <c r="AS76" i="147" s="1"/>
  <c r="AT76" i="147" s="1"/>
  <c r="AI78" i="147"/>
  <c r="AJ78" i="147" s="1"/>
  <c r="AI79" i="147"/>
  <c r="AJ79" i="147" s="1"/>
  <c r="AI83" i="146"/>
  <c r="AJ83" i="146" s="1"/>
  <c r="AI84" i="146"/>
  <c r="AK84" i="146" s="1"/>
  <c r="AS84" i="146" s="1"/>
  <c r="AT84" i="146" s="1"/>
  <c r="AI82" i="146"/>
  <c r="AJ82" i="146" s="1"/>
  <c r="AI86" i="146"/>
  <c r="AJ86" i="146" s="1"/>
  <c r="AI81" i="146"/>
  <c r="AK81" i="146" s="1"/>
  <c r="AS81" i="146" s="1"/>
  <c r="AT81" i="146" s="1"/>
  <c r="AI85" i="146"/>
  <c r="AJ85" i="146" s="1"/>
  <c r="E196" i="145"/>
  <c r="E195" i="145"/>
  <c r="AG194" i="145"/>
  <c r="AC194" i="145"/>
  <c r="X194" i="145"/>
  <c r="T194" i="145"/>
  <c r="O194" i="145"/>
  <c r="K194" i="145"/>
  <c r="E193" i="145"/>
  <c r="E192" i="145"/>
  <c r="E191" i="145"/>
  <c r="AG190" i="145"/>
  <c r="AC190" i="145"/>
  <c r="X190" i="145"/>
  <c r="T190" i="145"/>
  <c r="O190" i="145"/>
  <c r="K190" i="145"/>
  <c r="AK77" i="147" l="1"/>
  <c r="AS77" i="147" s="1"/>
  <c r="AT77" i="147" s="1"/>
  <c r="AK85" i="146"/>
  <c r="AS85" i="146" s="1"/>
  <c r="AT85" i="146" s="1"/>
  <c r="AK79" i="147"/>
  <c r="AS79" i="147" s="1"/>
  <c r="AT79" i="147" s="1"/>
  <c r="AK78" i="147"/>
  <c r="AS78" i="147" s="1"/>
  <c r="AT78" i="147" s="1"/>
  <c r="AJ76" i="147"/>
  <c r="AJ81" i="146"/>
  <c r="AK83" i="146"/>
  <c r="AS83" i="146" s="1"/>
  <c r="AT83" i="146" s="1"/>
  <c r="AK87" i="146"/>
  <c r="AS87" i="146" s="1"/>
  <c r="AT87" i="146" s="1"/>
  <c r="AK82" i="146"/>
  <c r="AS82" i="146" s="1"/>
  <c r="AT82" i="146" s="1"/>
  <c r="AW82" i="146" s="1"/>
  <c r="AJ84" i="146"/>
  <c r="AK86" i="146"/>
  <c r="AS86" i="146" s="1"/>
  <c r="AT86" i="146" s="1"/>
  <c r="Y194" i="145"/>
  <c r="P194" i="145"/>
  <c r="AH194" i="145"/>
  <c r="AQ190" i="145"/>
  <c r="P190" i="145"/>
  <c r="Y190" i="145"/>
  <c r="AH190" i="145"/>
  <c r="AI194" i="145" l="1"/>
  <c r="AJ194" i="145" s="1"/>
  <c r="AQ194" i="145"/>
  <c r="AI190" i="145"/>
  <c r="AJ190" i="145" s="1"/>
  <c r="AR194" i="145" l="1"/>
  <c r="AS194" i="145" s="1"/>
  <c r="AR190" i="145"/>
  <c r="AS190" i="145" s="1"/>
  <c r="AG196" i="145" l="1"/>
  <c r="AC196" i="145"/>
  <c r="X196" i="145"/>
  <c r="T196" i="145"/>
  <c r="O196" i="145"/>
  <c r="K196" i="145"/>
  <c r="AG195" i="145"/>
  <c r="AC195" i="145"/>
  <c r="X195" i="145"/>
  <c r="T195" i="145"/>
  <c r="O195" i="145"/>
  <c r="K195" i="145"/>
  <c r="AG193" i="145"/>
  <c r="AC193" i="145"/>
  <c r="X193" i="145"/>
  <c r="T193" i="145"/>
  <c r="O193" i="145"/>
  <c r="K193" i="145"/>
  <c r="AG192" i="145"/>
  <c r="AC192" i="145"/>
  <c r="X192" i="145"/>
  <c r="T192" i="145"/>
  <c r="O192" i="145"/>
  <c r="K192" i="145"/>
  <c r="AG191" i="145"/>
  <c r="AC191" i="145"/>
  <c r="X191" i="145"/>
  <c r="T191" i="145"/>
  <c r="O191" i="145"/>
  <c r="K191" i="145"/>
  <c r="Y192" i="145" l="1"/>
  <c r="AH191" i="145"/>
  <c r="AH192" i="145"/>
  <c r="P192" i="145"/>
  <c r="Y191" i="145"/>
  <c r="AH193" i="145"/>
  <c r="P195" i="145"/>
  <c r="Y195" i="145"/>
  <c r="P193" i="145"/>
  <c r="P196" i="145"/>
  <c r="Y193" i="145"/>
  <c r="Y196" i="145"/>
  <c r="AH196" i="145"/>
  <c r="P191" i="145"/>
  <c r="AH195" i="145"/>
  <c r="AI192" i="145" l="1"/>
  <c r="AJ192" i="145" s="1"/>
  <c r="AQ191" i="145"/>
  <c r="AI196" i="145"/>
  <c r="AJ196" i="145" s="1"/>
  <c r="AI191" i="145"/>
  <c r="AJ191" i="145" s="1"/>
  <c r="AI193" i="145"/>
  <c r="AI195" i="145"/>
  <c r="AQ195" i="145"/>
  <c r="AQ192" i="145"/>
  <c r="AQ193" i="145"/>
  <c r="AQ196" i="145"/>
  <c r="AJ193" i="145" l="1"/>
  <c r="AR192" i="145"/>
  <c r="AS192" i="145" s="1"/>
  <c r="AV192" i="145" s="1"/>
  <c r="AX192" i="145" s="1"/>
  <c r="AJ195" i="145"/>
  <c r="AR196" i="145"/>
  <c r="AS196" i="145" s="1"/>
  <c r="AR191" i="145"/>
  <c r="AS191" i="145" s="1"/>
  <c r="AR193" i="145"/>
  <c r="AS193" i="145" s="1"/>
  <c r="AR195" i="145"/>
  <c r="AS195" i="145" s="1"/>
  <c r="T67" i="144" l="1"/>
  <c r="E21" i="137" l="1"/>
  <c r="R21" i="137"/>
  <c r="S21" i="137"/>
  <c r="E185" i="145"/>
  <c r="E77" i="146"/>
  <c r="E182" i="145"/>
  <c r="E183" i="145"/>
  <c r="E184" i="145"/>
  <c r="Q21" i="137" l="1"/>
  <c r="E76" i="146"/>
  <c r="E78" i="146"/>
  <c r="AC75" i="146"/>
  <c r="T75" i="146"/>
  <c r="K75" i="146"/>
  <c r="E75" i="146"/>
  <c r="AQ75" i="146" s="1"/>
  <c r="AR75" i="146" s="1"/>
  <c r="E74" i="146"/>
  <c r="AG75" i="146"/>
  <c r="X75" i="146"/>
  <c r="O75" i="146"/>
  <c r="E73" i="146"/>
  <c r="Y75" i="146" l="1"/>
  <c r="AH75" i="146"/>
  <c r="P75" i="146"/>
  <c r="E72" i="146"/>
  <c r="AI75" i="146" l="1"/>
  <c r="AJ75" i="146" s="1"/>
  <c r="AQ79" i="146"/>
  <c r="AR79" i="146" s="1"/>
  <c r="AG79" i="146"/>
  <c r="AC79" i="146"/>
  <c r="X79" i="146"/>
  <c r="T79" i="146"/>
  <c r="O79" i="146"/>
  <c r="K79" i="146"/>
  <c r="AQ78" i="146"/>
  <c r="AR78" i="146" s="1"/>
  <c r="AG78" i="146"/>
  <c r="AC78" i="146"/>
  <c r="X78" i="146"/>
  <c r="T78" i="146"/>
  <c r="O78" i="146"/>
  <c r="K78" i="146"/>
  <c r="AQ77" i="146"/>
  <c r="AR77" i="146" s="1"/>
  <c r="AG77" i="146"/>
  <c r="AC77" i="146"/>
  <c r="X77" i="146"/>
  <c r="T77" i="146"/>
  <c r="O77" i="146"/>
  <c r="K77" i="146"/>
  <c r="AQ76" i="146"/>
  <c r="AR76" i="146" s="1"/>
  <c r="AG76" i="146"/>
  <c r="AC76" i="146"/>
  <c r="X76" i="146"/>
  <c r="T76" i="146"/>
  <c r="O76" i="146"/>
  <c r="K76" i="146"/>
  <c r="AQ74" i="146"/>
  <c r="AR74" i="146" s="1"/>
  <c r="AG74" i="146"/>
  <c r="AC74" i="146"/>
  <c r="X74" i="146"/>
  <c r="T74" i="146"/>
  <c r="O74" i="146"/>
  <c r="K74" i="146"/>
  <c r="AQ73" i="146"/>
  <c r="AR73" i="146" s="1"/>
  <c r="AG73" i="146"/>
  <c r="AC73" i="146"/>
  <c r="X73" i="146"/>
  <c r="T73" i="146"/>
  <c r="O73" i="146"/>
  <c r="K73" i="146"/>
  <c r="AQ72" i="146"/>
  <c r="AR72" i="146" s="1"/>
  <c r="AG72" i="146"/>
  <c r="AC72" i="146"/>
  <c r="X72" i="146"/>
  <c r="T72" i="146"/>
  <c r="O72" i="146"/>
  <c r="K72" i="146"/>
  <c r="E74" i="147"/>
  <c r="AQ74" i="147" s="1"/>
  <c r="AR74" i="147" s="1"/>
  <c r="E71" i="147"/>
  <c r="AQ71" i="147" s="1"/>
  <c r="AR71" i="147" s="1"/>
  <c r="E72" i="147"/>
  <c r="AQ72" i="147" s="1"/>
  <c r="AR72" i="147" s="1"/>
  <c r="AG74" i="147"/>
  <c r="AC74" i="147"/>
  <c r="X74" i="147"/>
  <c r="T74" i="147"/>
  <c r="O74" i="147"/>
  <c r="K74" i="147"/>
  <c r="AQ73" i="147"/>
  <c r="AR73" i="147" s="1"/>
  <c r="AG73" i="147"/>
  <c r="AC73" i="147"/>
  <c r="X73" i="147"/>
  <c r="T73" i="147"/>
  <c r="O73" i="147"/>
  <c r="K73" i="147"/>
  <c r="AG72" i="147"/>
  <c r="AC72" i="147"/>
  <c r="X72" i="147"/>
  <c r="T72" i="147"/>
  <c r="O72" i="147"/>
  <c r="K72" i="147"/>
  <c r="AG71" i="147"/>
  <c r="AC71" i="147"/>
  <c r="X71" i="147"/>
  <c r="T71" i="147"/>
  <c r="O71" i="147"/>
  <c r="K71" i="147"/>
  <c r="AS189" i="145"/>
  <c r="AS180" i="145"/>
  <c r="E188" i="145"/>
  <c r="E186" i="145"/>
  <c r="E187" i="145"/>
  <c r="AG188" i="145"/>
  <c r="AC188" i="145"/>
  <c r="X188" i="145"/>
  <c r="T188" i="145"/>
  <c r="O188" i="145"/>
  <c r="K188" i="145"/>
  <c r="AG187" i="145"/>
  <c r="AC187" i="145"/>
  <c r="X187" i="145"/>
  <c r="T187" i="145"/>
  <c r="O187" i="145"/>
  <c r="K187" i="145"/>
  <c r="AG186" i="145"/>
  <c r="AC186" i="145"/>
  <c r="X186" i="145"/>
  <c r="T186" i="145"/>
  <c r="O186" i="145"/>
  <c r="K186" i="145"/>
  <c r="AG185" i="145"/>
  <c r="AC185" i="145"/>
  <c r="X185" i="145"/>
  <c r="T185" i="145"/>
  <c r="O185" i="145"/>
  <c r="K185" i="145"/>
  <c r="AG184" i="145"/>
  <c r="AC184" i="145"/>
  <c r="X184" i="145"/>
  <c r="T184" i="145"/>
  <c r="O184" i="145"/>
  <c r="K184" i="145"/>
  <c r="AG183" i="145"/>
  <c r="AC183" i="145"/>
  <c r="X183" i="145"/>
  <c r="T183" i="145"/>
  <c r="O183" i="145"/>
  <c r="K183" i="145"/>
  <c r="AG182" i="145"/>
  <c r="AC182" i="145"/>
  <c r="X182" i="145"/>
  <c r="T182" i="145"/>
  <c r="O182" i="145"/>
  <c r="K182" i="145"/>
  <c r="AG181" i="145"/>
  <c r="AC181" i="145"/>
  <c r="X181" i="145"/>
  <c r="T181" i="145"/>
  <c r="O181" i="145"/>
  <c r="K181" i="145"/>
  <c r="AK75" i="146" l="1"/>
  <c r="AS75" i="146" s="1"/>
  <c r="AT75" i="146" s="1"/>
  <c r="P74" i="146"/>
  <c r="AH74" i="146"/>
  <c r="Y72" i="146"/>
  <c r="AH72" i="146"/>
  <c r="AH79" i="146"/>
  <c r="P72" i="146"/>
  <c r="P79" i="146"/>
  <c r="Y74" i="146"/>
  <c r="Y76" i="146"/>
  <c r="Y77" i="146"/>
  <c r="AH77" i="146"/>
  <c r="P73" i="146"/>
  <c r="AH73" i="146"/>
  <c r="P76" i="146"/>
  <c r="Y79" i="146"/>
  <c r="AH78" i="146"/>
  <c r="AH76" i="146"/>
  <c r="P78" i="146"/>
  <c r="Y73" i="146"/>
  <c r="P77" i="146"/>
  <c r="Y78" i="146"/>
  <c r="P73" i="147"/>
  <c r="Y72" i="147"/>
  <c r="AH74" i="147"/>
  <c r="AH73" i="147"/>
  <c r="P72" i="147"/>
  <c r="Y73" i="147"/>
  <c r="AH72" i="147"/>
  <c r="Y74" i="147"/>
  <c r="Y71" i="147"/>
  <c r="AH71" i="147"/>
  <c r="P71" i="147"/>
  <c r="P74" i="147"/>
  <c r="P181" i="145"/>
  <c r="AH186" i="145"/>
  <c r="Y187" i="145"/>
  <c r="P184" i="145"/>
  <c r="Y186" i="145"/>
  <c r="AH182" i="145"/>
  <c r="Y188" i="145"/>
  <c r="AH188" i="145"/>
  <c r="P188" i="145"/>
  <c r="Y181" i="145"/>
  <c r="AH183" i="145"/>
  <c r="P185" i="145"/>
  <c r="P182" i="145"/>
  <c r="Y184" i="145"/>
  <c r="AH187" i="145"/>
  <c r="AQ184" i="145"/>
  <c r="AH181" i="145"/>
  <c r="Y183" i="145"/>
  <c r="P183" i="145"/>
  <c r="Y185" i="145"/>
  <c r="P186" i="145"/>
  <c r="P187" i="145"/>
  <c r="Y182" i="145"/>
  <c r="AH185" i="145"/>
  <c r="AH184" i="145"/>
  <c r="AQ181" i="145"/>
  <c r="T12" i="137"/>
  <c r="T15" i="137"/>
  <c r="T17" i="137"/>
  <c r="T19" i="137"/>
  <c r="T20" i="137"/>
  <c r="T10" i="137"/>
  <c r="T11" i="137"/>
  <c r="T13" i="137"/>
  <c r="T14" i="137"/>
  <c r="T16" i="137"/>
  <c r="T18" i="137"/>
  <c r="AI71" i="147" l="1"/>
  <c r="AK71" i="147" s="1"/>
  <c r="AS71" i="147" s="1"/>
  <c r="AT71" i="147" s="1"/>
  <c r="AI73" i="146"/>
  <c r="AQ187" i="145"/>
  <c r="AQ188" i="145"/>
  <c r="AQ186" i="145"/>
  <c r="AI74" i="146"/>
  <c r="AJ74" i="146" s="1"/>
  <c r="AI72" i="146"/>
  <c r="AK72" i="146" s="1"/>
  <c r="AS72" i="146" s="1"/>
  <c r="AT72" i="146" s="1"/>
  <c r="AI76" i="146"/>
  <c r="AJ76" i="146" s="1"/>
  <c r="AI79" i="146"/>
  <c r="AJ79" i="146" s="1"/>
  <c r="AI77" i="146"/>
  <c r="AK77" i="146" s="1"/>
  <c r="AS77" i="146" s="1"/>
  <c r="AT77" i="146" s="1"/>
  <c r="AI78" i="146"/>
  <c r="AI74" i="147"/>
  <c r="AJ74" i="147" s="1"/>
  <c r="AI73" i="147"/>
  <c r="AK73" i="147" s="1"/>
  <c r="AS73" i="147" s="1"/>
  <c r="AT73" i="147" s="1"/>
  <c r="AI72" i="147"/>
  <c r="AJ72" i="147" s="1"/>
  <c r="AI181" i="145"/>
  <c r="AQ185" i="145"/>
  <c r="AQ183" i="145"/>
  <c r="AI188" i="145"/>
  <c r="AI186" i="145"/>
  <c r="AI185" i="145"/>
  <c r="AI184" i="145"/>
  <c r="AJ184" i="145" s="1"/>
  <c r="AI187" i="145"/>
  <c r="AJ187" i="145" s="1"/>
  <c r="AQ182" i="145"/>
  <c r="AI183" i="145"/>
  <c r="AI182" i="145"/>
  <c r="AJ71" i="147" l="1"/>
  <c r="AJ73" i="146"/>
  <c r="AR186" i="145"/>
  <c r="AS186" i="145" s="1"/>
  <c r="AR188" i="145"/>
  <c r="AS188" i="145" s="1"/>
  <c r="AR181" i="145"/>
  <c r="AS181" i="145" s="1"/>
  <c r="AK74" i="146"/>
  <c r="AS74" i="146" s="1"/>
  <c r="AT74" i="146" s="1"/>
  <c r="AK79" i="146"/>
  <c r="AS79" i="146" s="1"/>
  <c r="AT79" i="146" s="1"/>
  <c r="AK73" i="146"/>
  <c r="AS73" i="146" s="1"/>
  <c r="AT73" i="146" s="1"/>
  <c r="AJ72" i="146"/>
  <c r="AJ77" i="146"/>
  <c r="AK76" i="146"/>
  <c r="AS76" i="146" s="1"/>
  <c r="AT76" i="146" s="1"/>
  <c r="AK78" i="146"/>
  <c r="AS78" i="146" s="1"/>
  <c r="AT78" i="146" s="1"/>
  <c r="AJ78" i="146"/>
  <c r="AK74" i="147"/>
  <c r="AS74" i="147" s="1"/>
  <c r="AT74" i="147" s="1"/>
  <c r="AK72" i="147"/>
  <c r="AS72" i="147" s="1"/>
  <c r="AT72" i="147" s="1"/>
  <c r="AJ73" i="147"/>
  <c r="AR187" i="145"/>
  <c r="AS187" i="145" s="1"/>
  <c r="AR184" i="145"/>
  <c r="AS184" i="145" s="1"/>
  <c r="AJ188" i="145"/>
  <c r="AJ185" i="145"/>
  <c r="AR185" i="145"/>
  <c r="AS185" i="145" s="1"/>
  <c r="AR183" i="145"/>
  <c r="AS183" i="145" s="1"/>
  <c r="AJ181" i="145"/>
  <c r="AR182" i="145"/>
  <c r="AS182" i="145" s="1"/>
  <c r="AJ183" i="145"/>
  <c r="AJ182" i="145"/>
  <c r="T8" i="136" l="1"/>
  <c r="T9" i="136"/>
  <c r="T10" i="136"/>
  <c r="T12" i="136"/>
  <c r="T13" i="136"/>
  <c r="T14" i="136"/>
  <c r="T15" i="136"/>
  <c r="T16" i="136"/>
  <c r="T17" i="136"/>
  <c r="T18" i="136"/>
  <c r="T19" i="136"/>
  <c r="T20" i="136"/>
  <c r="T7" i="136"/>
  <c r="R21" i="136" l="1"/>
  <c r="S21" i="136"/>
  <c r="E67" i="146" l="1"/>
  <c r="AQ69" i="147" l="1"/>
  <c r="AR69" i="147" s="1"/>
  <c r="AG69" i="147"/>
  <c r="AC69" i="147"/>
  <c r="X69" i="147"/>
  <c r="T69" i="147"/>
  <c r="O69" i="147"/>
  <c r="K69" i="147"/>
  <c r="AQ68" i="147"/>
  <c r="AR68" i="147" s="1"/>
  <c r="AG68" i="147"/>
  <c r="AC68" i="147"/>
  <c r="X68" i="147"/>
  <c r="T68" i="147"/>
  <c r="O68" i="147"/>
  <c r="K68" i="147"/>
  <c r="AQ67" i="147"/>
  <c r="AR67" i="147" s="1"/>
  <c r="AG67" i="147"/>
  <c r="AC67" i="147"/>
  <c r="X67" i="147"/>
  <c r="T67" i="147"/>
  <c r="O67" i="147"/>
  <c r="K67" i="147"/>
  <c r="AQ66" i="147"/>
  <c r="AR66" i="147" s="1"/>
  <c r="AG66" i="147"/>
  <c r="AC66" i="147"/>
  <c r="X66" i="147"/>
  <c r="T66" i="147"/>
  <c r="O66" i="147"/>
  <c r="K66" i="147"/>
  <c r="P67" i="147" l="1"/>
  <c r="AH67" i="147"/>
  <c r="Y66" i="147"/>
  <c r="P66" i="147"/>
  <c r="Y69" i="147"/>
  <c r="P68" i="147"/>
  <c r="Y68" i="147"/>
  <c r="AH68" i="147"/>
  <c r="AH66" i="147"/>
  <c r="AH69" i="147"/>
  <c r="Y67" i="147"/>
  <c r="P69" i="147"/>
  <c r="AG179" i="145"/>
  <c r="AC179" i="145"/>
  <c r="X179" i="145"/>
  <c r="T179" i="145"/>
  <c r="O179" i="145"/>
  <c r="K179" i="145"/>
  <c r="AG178" i="145"/>
  <c r="AC178" i="145"/>
  <c r="X178" i="145"/>
  <c r="T178" i="145"/>
  <c r="O178" i="145"/>
  <c r="K178" i="145"/>
  <c r="AG177" i="145"/>
  <c r="AC177" i="145"/>
  <c r="X177" i="145"/>
  <c r="T177" i="145"/>
  <c r="O177" i="145"/>
  <c r="K177" i="145"/>
  <c r="AG176" i="145"/>
  <c r="AC176" i="145"/>
  <c r="X176" i="145"/>
  <c r="T176" i="145"/>
  <c r="O176" i="145"/>
  <c r="K176" i="145"/>
  <c r="AG175" i="145"/>
  <c r="AC175" i="145"/>
  <c r="X175" i="145"/>
  <c r="T175" i="145"/>
  <c r="O175" i="145"/>
  <c r="K175" i="145"/>
  <c r="AG174" i="145"/>
  <c r="AC174" i="145"/>
  <c r="X174" i="145"/>
  <c r="T174" i="145"/>
  <c r="O174" i="145"/>
  <c r="K174" i="145"/>
  <c r="AG173" i="145"/>
  <c r="AC173" i="145"/>
  <c r="X173" i="145"/>
  <c r="T173" i="145"/>
  <c r="O173" i="145"/>
  <c r="K173" i="145"/>
  <c r="AG172" i="145"/>
  <c r="AC172" i="145"/>
  <c r="X172" i="145"/>
  <c r="T172" i="145"/>
  <c r="O172" i="145"/>
  <c r="K172" i="145"/>
  <c r="AI68" i="147" l="1"/>
  <c r="AJ68" i="147" s="1"/>
  <c r="AI69" i="147"/>
  <c r="AJ69" i="147" s="1"/>
  <c r="AI66" i="147"/>
  <c r="AJ66" i="147" s="1"/>
  <c r="AI67" i="147"/>
  <c r="AJ67" i="147" s="1"/>
  <c r="AH172" i="145"/>
  <c r="P179" i="145"/>
  <c r="P178" i="145"/>
  <c r="AQ174" i="145"/>
  <c r="AQ173" i="145"/>
  <c r="P177" i="145"/>
  <c r="AH173" i="145"/>
  <c r="P175" i="145"/>
  <c r="P174" i="145"/>
  <c r="Y179" i="145"/>
  <c r="P176" i="145"/>
  <c r="AH179" i="145"/>
  <c r="P173" i="145"/>
  <c r="AQ177" i="145"/>
  <c r="AH175" i="145"/>
  <c r="AQ176" i="145"/>
  <c r="AQ175" i="145"/>
  <c r="Y177" i="145"/>
  <c r="P172" i="145"/>
  <c r="AH174" i="145"/>
  <c r="Y173" i="145"/>
  <c r="Y174" i="145"/>
  <c r="AH176" i="145"/>
  <c r="AQ178" i="145"/>
  <c r="AQ179" i="145"/>
  <c r="AQ172" i="145"/>
  <c r="Y175" i="145"/>
  <c r="Y176" i="145"/>
  <c r="Y178" i="145"/>
  <c r="Y172" i="145"/>
  <c r="AH177" i="145"/>
  <c r="AH178" i="145"/>
  <c r="AQ70" i="146"/>
  <c r="AR70" i="146" s="1"/>
  <c r="AG70" i="146"/>
  <c r="AC70" i="146"/>
  <c r="X70" i="146"/>
  <c r="T70" i="146"/>
  <c r="O70" i="146"/>
  <c r="K70" i="146"/>
  <c r="AQ69" i="146"/>
  <c r="AR69" i="146" s="1"/>
  <c r="AG69" i="146"/>
  <c r="AC69" i="146"/>
  <c r="X69" i="146"/>
  <c r="T69" i="146"/>
  <c r="O69" i="146"/>
  <c r="K69" i="146"/>
  <c r="AG68" i="146"/>
  <c r="AC68" i="146"/>
  <c r="X68" i="146"/>
  <c r="T68" i="146"/>
  <c r="O68" i="146"/>
  <c r="K68" i="146"/>
  <c r="AQ68" i="146"/>
  <c r="AR68" i="146" s="1"/>
  <c r="AQ67" i="146"/>
  <c r="AR67" i="146" s="1"/>
  <c r="AG67" i="146"/>
  <c r="AC67" i="146"/>
  <c r="X67" i="146"/>
  <c r="T67" i="146"/>
  <c r="O67" i="146"/>
  <c r="K67" i="146"/>
  <c r="AQ66" i="146"/>
  <c r="AR66" i="146" s="1"/>
  <c r="AG66" i="146"/>
  <c r="AC66" i="146"/>
  <c r="X66" i="146"/>
  <c r="T66" i="146"/>
  <c r="O66" i="146"/>
  <c r="K66" i="146"/>
  <c r="AQ65" i="146"/>
  <c r="AR65" i="146" s="1"/>
  <c r="AG65" i="146"/>
  <c r="AC65" i="146"/>
  <c r="X65" i="146"/>
  <c r="T65" i="146"/>
  <c r="O65" i="146"/>
  <c r="K65" i="146"/>
  <c r="AQ64" i="146"/>
  <c r="AR64" i="146" s="1"/>
  <c r="AG64" i="146"/>
  <c r="AC64" i="146"/>
  <c r="X64" i="146"/>
  <c r="T64" i="146"/>
  <c r="O64" i="146"/>
  <c r="K64" i="146"/>
  <c r="AK68" i="147" l="1"/>
  <c r="AS68" i="147" s="1"/>
  <c r="AT68" i="147" s="1"/>
  <c r="AK69" i="147"/>
  <c r="AS69" i="147" s="1"/>
  <c r="AT69" i="147" s="1"/>
  <c r="AK66" i="147"/>
  <c r="AS66" i="147" s="1"/>
  <c r="AT66" i="147" s="1"/>
  <c r="AK67" i="147"/>
  <c r="AS67" i="147" s="1"/>
  <c r="AT67" i="147" s="1"/>
  <c r="Y64" i="146"/>
  <c r="AI173" i="145"/>
  <c r="AR173" i="145" s="1"/>
  <c r="AS173" i="145" s="1"/>
  <c r="AI175" i="145"/>
  <c r="AJ175" i="145" s="1"/>
  <c r="AI179" i="145"/>
  <c r="AI174" i="145"/>
  <c r="AR174" i="145" s="1"/>
  <c r="AS174" i="145" s="1"/>
  <c r="AI177" i="145"/>
  <c r="AR177" i="145" s="1"/>
  <c r="AS177" i="145" s="1"/>
  <c r="AI172" i="145"/>
  <c r="AJ172" i="145" s="1"/>
  <c r="AI178" i="145"/>
  <c r="AJ178" i="145" s="1"/>
  <c r="AI176" i="145"/>
  <c r="AJ176" i="145" s="1"/>
  <c r="P64" i="146"/>
  <c r="Y70" i="146"/>
  <c r="Y65" i="146"/>
  <c r="Y67" i="146"/>
  <c r="P70" i="146"/>
  <c r="P67" i="146"/>
  <c r="P69" i="146"/>
  <c r="AH69" i="146"/>
  <c r="AH65" i="146"/>
  <c r="Y66" i="146"/>
  <c r="AH66" i="146"/>
  <c r="P68" i="146"/>
  <c r="P65" i="146"/>
  <c r="AH68" i="146"/>
  <c r="AH70" i="146"/>
  <c r="AH67" i="146"/>
  <c r="AH64" i="146"/>
  <c r="Y68" i="146"/>
  <c r="P66" i="146"/>
  <c r="Y69" i="146"/>
  <c r="AJ179" i="145" l="1"/>
  <c r="AR179" i="145"/>
  <c r="AS179" i="145" s="1"/>
  <c r="AJ173" i="145"/>
  <c r="AR175" i="145"/>
  <c r="AS175" i="145" s="1"/>
  <c r="AJ174" i="145"/>
  <c r="AR176" i="145"/>
  <c r="AS176" i="145" s="1"/>
  <c r="AR172" i="145"/>
  <c r="AS172" i="145" s="1"/>
  <c r="AR178" i="145"/>
  <c r="AS178" i="145" s="1"/>
  <c r="AI64" i="146"/>
  <c r="AK64" i="146" s="1"/>
  <c r="AS64" i="146" s="1"/>
  <c r="AT64" i="146" s="1"/>
  <c r="AI70" i="146"/>
  <c r="AJ70" i="146" s="1"/>
  <c r="AI67" i="146"/>
  <c r="AJ67" i="146" s="1"/>
  <c r="AI68" i="146"/>
  <c r="AJ68" i="146" s="1"/>
  <c r="AI69" i="146"/>
  <c r="AJ69" i="146" s="1"/>
  <c r="AI65" i="146"/>
  <c r="AJ64" i="146" l="1"/>
  <c r="AK70" i="146"/>
  <c r="AS70" i="146" s="1"/>
  <c r="AT70" i="146" s="1"/>
  <c r="AK67" i="146"/>
  <c r="AS67" i="146" s="1"/>
  <c r="AT67" i="146" s="1"/>
  <c r="AK69" i="146"/>
  <c r="AS69" i="146" s="1"/>
  <c r="AT69" i="146" s="1"/>
  <c r="AK68" i="146"/>
  <c r="AS68" i="146" s="1"/>
  <c r="AT68" i="146" s="1"/>
  <c r="AJ65" i="146"/>
  <c r="AK65" i="146"/>
  <c r="AS65" i="146" s="1"/>
  <c r="AT65" i="146" s="1"/>
  <c r="G295" i="135"/>
  <c r="F295" i="135"/>
  <c r="E295" i="135"/>
  <c r="T17" i="135"/>
  <c r="T18" i="135"/>
  <c r="T13" i="135" l="1"/>
  <c r="T12" i="135"/>
  <c r="T14" i="135"/>
  <c r="E64" i="147"/>
  <c r="AG64" i="147"/>
  <c r="AC64" i="147"/>
  <c r="X64" i="147"/>
  <c r="T64" i="147"/>
  <c r="O64" i="147"/>
  <c r="K64" i="147"/>
  <c r="T9" i="135"/>
  <c r="AQ64" i="147" l="1"/>
  <c r="AR64" i="147" s="1"/>
  <c r="E127" i="147"/>
  <c r="E136" i="147" s="1"/>
  <c r="Y64" i="147"/>
  <c r="P64" i="147"/>
  <c r="AH64" i="147"/>
  <c r="AI64" i="147" l="1"/>
  <c r="AJ64" i="147" s="1"/>
  <c r="AK64" i="147" l="1"/>
  <c r="AS64" i="147" s="1"/>
  <c r="AT64" i="147" s="1"/>
  <c r="T10" i="135" l="1"/>
  <c r="T11" i="135"/>
  <c r="T8" i="135"/>
  <c r="T15" i="135" l="1"/>
  <c r="T66" i="144" l="1"/>
  <c r="T16" i="135" l="1"/>
  <c r="E60" i="146"/>
  <c r="AG162" i="145"/>
  <c r="AC162" i="145"/>
  <c r="X162" i="145"/>
  <c r="T162" i="145"/>
  <c r="AQ63" i="147"/>
  <c r="AR63" i="147" s="1"/>
  <c r="AG63" i="147"/>
  <c r="AC63" i="147"/>
  <c r="X63" i="147"/>
  <c r="T63" i="147"/>
  <c r="O63" i="147"/>
  <c r="K63" i="147"/>
  <c r="AQ62" i="147"/>
  <c r="AR62" i="147" s="1"/>
  <c r="AG62" i="147"/>
  <c r="AC62" i="147"/>
  <c r="X62" i="147"/>
  <c r="T62" i="147"/>
  <c r="O62" i="147"/>
  <c r="K62" i="147"/>
  <c r="AQ61" i="147"/>
  <c r="AR61" i="147" s="1"/>
  <c r="AG61" i="147"/>
  <c r="AC61" i="147"/>
  <c r="X61" i="147"/>
  <c r="T61" i="147"/>
  <c r="O61" i="147"/>
  <c r="K61" i="147"/>
  <c r="AQ62" i="146"/>
  <c r="AR62" i="146" s="1"/>
  <c r="AG62" i="146"/>
  <c r="AC62" i="146"/>
  <c r="X62" i="146"/>
  <c r="T62" i="146"/>
  <c r="O62" i="146"/>
  <c r="K62" i="146"/>
  <c r="AH62" i="146" l="1"/>
  <c r="P61" i="147"/>
  <c r="Y62" i="146"/>
  <c r="Y162" i="145"/>
  <c r="AH162" i="145"/>
  <c r="AH61" i="147"/>
  <c r="Y63" i="147"/>
  <c r="P62" i="147"/>
  <c r="AH62" i="147"/>
  <c r="Y62" i="147"/>
  <c r="P63" i="147"/>
  <c r="Y61" i="147"/>
  <c r="AH63" i="147"/>
  <c r="P62" i="146"/>
  <c r="AI62" i="146" l="1"/>
  <c r="AK62" i="146" s="1"/>
  <c r="AS62" i="146" s="1"/>
  <c r="AT62" i="146" s="1"/>
  <c r="AW62" i="146" s="1"/>
  <c r="AI61" i="147"/>
  <c r="AK61" i="147" s="1"/>
  <c r="AS61" i="147" s="1"/>
  <c r="AT61" i="147" s="1"/>
  <c r="AI63" i="147"/>
  <c r="AI62" i="147"/>
  <c r="AK62" i="147" s="1"/>
  <c r="AS62" i="147" s="1"/>
  <c r="AT62" i="147" s="1"/>
  <c r="AQ61" i="146"/>
  <c r="AR61" i="146" s="1"/>
  <c r="AG61" i="146"/>
  <c r="AC61" i="146"/>
  <c r="X61" i="146"/>
  <c r="T61" i="146"/>
  <c r="O61" i="146"/>
  <c r="K61" i="146"/>
  <c r="AQ60" i="146"/>
  <c r="AR60" i="146" s="1"/>
  <c r="AG60" i="146"/>
  <c r="AC60" i="146"/>
  <c r="X60" i="146"/>
  <c r="T60" i="146"/>
  <c r="O60" i="146"/>
  <c r="K60" i="146"/>
  <c r="AQ59" i="146"/>
  <c r="AR59" i="146" s="1"/>
  <c r="AG59" i="146"/>
  <c r="AC59" i="146"/>
  <c r="X59" i="146"/>
  <c r="T59" i="146"/>
  <c r="O59" i="146"/>
  <c r="K59" i="146"/>
  <c r="AQ58" i="146"/>
  <c r="AR58" i="146" s="1"/>
  <c r="AG58" i="146"/>
  <c r="AC58" i="146"/>
  <c r="X58" i="146"/>
  <c r="T58" i="146"/>
  <c r="O58" i="146"/>
  <c r="K58" i="146"/>
  <c r="AQ57" i="146"/>
  <c r="AR57" i="146" s="1"/>
  <c r="AG57" i="146"/>
  <c r="AC57" i="146"/>
  <c r="X57" i="146"/>
  <c r="T57" i="146"/>
  <c r="O57" i="146"/>
  <c r="K57" i="146"/>
  <c r="AQ56" i="146"/>
  <c r="AR56" i="146" s="1"/>
  <c r="AG56" i="146"/>
  <c r="AC56" i="146"/>
  <c r="X56" i="146"/>
  <c r="T56" i="146"/>
  <c r="O56" i="146"/>
  <c r="K56" i="146"/>
  <c r="AS171" i="145"/>
  <c r="AK63" i="147" l="1"/>
  <c r="AS63" i="147" s="1"/>
  <c r="AT63" i="147" s="1"/>
  <c r="AJ63" i="147"/>
  <c r="AJ62" i="146"/>
  <c r="AH57" i="146"/>
  <c r="AJ61" i="147"/>
  <c r="AH59" i="146"/>
  <c r="AJ62" i="147"/>
  <c r="P58" i="146"/>
  <c r="P60" i="146"/>
  <c r="P61" i="146"/>
  <c r="AH58" i="146"/>
  <c r="AH60" i="146"/>
  <c r="AH56" i="146"/>
  <c r="AH61" i="146"/>
  <c r="P59" i="146"/>
  <c r="P57" i="146"/>
  <c r="Y60" i="146"/>
  <c r="Y57" i="146"/>
  <c r="Y58" i="146"/>
  <c r="Y59" i="146"/>
  <c r="Y61" i="146"/>
  <c r="P56" i="146"/>
  <c r="Y56" i="146"/>
  <c r="AQ95" i="146"/>
  <c r="AR95" i="146" s="1"/>
  <c r="AG95" i="146"/>
  <c r="AC95" i="146"/>
  <c r="X95" i="146"/>
  <c r="T95" i="146"/>
  <c r="O95" i="146"/>
  <c r="K95" i="146"/>
  <c r="AI57" i="146" l="1"/>
  <c r="AK57" i="146" s="1"/>
  <c r="AS57" i="146" s="1"/>
  <c r="AT57" i="146" s="1"/>
  <c r="AI61" i="146"/>
  <c r="AJ61" i="146" s="1"/>
  <c r="AI59" i="146"/>
  <c r="AJ59" i="146" s="1"/>
  <c r="AI60" i="146"/>
  <c r="AJ60" i="146" s="1"/>
  <c r="AI58" i="146"/>
  <c r="AK58" i="146" s="1"/>
  <c r="AS58" i="146" s="1"/>
  <c r="AT58" i="146" s="1"/>
  <c r="AI56" i="146"/>
  <c r="AK56" i="146" s="1"/>
  <c r="AS56" i="146" s="1"/>
  <c r="AT56" i="146" s="1"/>
  <c r="P95" i="146"/>
  <c r="AH95" i="146"/>
  <c r="Y95" i="146"/>
  <c r="AK60" i="146" l="1"/>
  <c r="AS60" i="146" s="1"/>
  <c r="AT60" i="146" s="1"/>
  <c r="AK59" i="146"/>
  <c r="AS59" i="146" s="1"/>
  <c r="AT59" i="146" s="1"/>
  <c r="AJ58" i="146"/>
  <c r="AJ57" i="146"/>
  <c r="AK61" i="146"/>
  <c r="AS61" i="146" s="1"/>
  <c r="AT61" i="146" s="1"/>
  <c r="AJ56" i="146"/>
  <c r="AI95" i="146"/>
  <c r="AJ95" i="146" s="1"/>
  <c r="AK95" i="146" l="1"/>
  <c r="AS95" i="146" s="1"/>
  <c r="AT95" i="146" s="1"/>
  <c r="D264" i="145"/>
  <c r="AG170" i="145" l="1"/>
  <c r="AC170" i="145"/>
  <c r="X170" i="145"/>
  <c r="T170" i="145"/>
  <c r="O170" i="145"/>
  <c r="K170" i="145"/>
  <c r="AG169" i="145"/>
  <c r="AC169" i="145"/>
  <c r="X169" i="145"/>
  <c r="T169" i="145"/>
  <c r="O169" i="145"/>
  <c r="K169" i="145"/>
  <c r="AG168" i="145"/>
  <c r="AC168" i="145"/>
  <c r="X168" i="145"/>
  <c r="T168" i="145"/>
  <c r="O168" i="145"/>
  <c r="K168" i="145"/>
  <c r="AG167" i="145"/>
  <c r="AC167" i="145"/>
  <c r="X167" i="145"/>
  <c r="T167" i="145"/>
  <c r="O167" i="145"/>
  <c r="K167" i="145"/>
  <c r="AG166" i="145"/>
  <c r="AC166" i="145"/>
  <c r="X166" i="145"/>
  <c r="T166" i="145"/>
  <c r="O166" i="145"/>
  <c r="K166" i="145"/>
  <c r="AG165" i="145"/>
  <c r="AC165" i="145"/>
  <c r="X165" i="145"/>
  <c r="T165" i="145"/>
  <c r="O165" i="145"/>
  <c r="K165" i="145"/>
  <c r="AG164" i="145"/>
  <c r="AC164" i="145"/>
  <c r="X164" i="145"/>
  <c r="T164" i="145"/>
  <c r="O164" i="145"/>
  <c r="K164" i="145"/>
  <c r="AG163" i="145"/>
  <c r="AC163" i="145"/>
  <c r="X163" i="145"/>
  <c r="T163" i="145"/>
  <c r="O163" i="145"/>
  <c r="K163" i="145"/>
  <c r="O162" i="145"/>
  <c r="K162" i="145"/>
  <c r="AQ162" i="145" l="1"/>
  <c r="P162" i="145"/>
  <c r="P170" i="145"/>
  <c r="AH169" i="145"/>
  <c r="Y170" i="145"/>
  <c r="AH165" i="145"/>
  <c r="Y165" i="145"/>
  <c r="AH168" i="145"/>
  <c r="AH167" i="145"/>
  <c r="Y169" i="145"/>
  <c r="Y168" i="145"/>
  <c r="AH170" i="145"/>
  <c r="AH164" i="145"/>
  <c r="P169" i="145"/>
  <c r="P163" i="145"/>
  <c r="Y164" i="145"/>
  <c r="P164" i="145"/>
  <c r="P165" i="145"/>
  <c r="P166" i="145"/>
  <c r="Y167" i="145"/>
  <c r="Y163" i="145"/>
  <c r="AH166" i="145"/>
  <c r="AH163" i="145"/>
  <c r="Y166" i="145"/>
  <c r="P167" i="145"/>
  <c r="P168" i="145"/>
  <c r="AQ169" i="145"/>
  <c r="AQ170" i="145"/>
  <c r="AQ166" i="145"/>
  <c r="AQ163" i="145"/>
  <c r="AQ167" i="145"/>
  <c r="AQ165" i="145"/>
  <c r="AQ168" i="145"/>
  <c r="AQ164" i="145"/>
  <c r="AI170" i="145" l="1"/>
  <c r="AR170" i="145" s="1"/>
  <c r="AS170" i="145" s="1"/>
  <c r="AI169" i="145"/>
  <c r="AI168" i="145"/>
  <c r="AR168" i="145" s="1"/>
  <c r="AS168" i="145" s="1"/>
  <c r="AI165" i="145"/>
  <c r="AJ165" i="145" s="1"/>
  <c r="AI162" i="145"/>
  <c r="AI167" i="145"/>
  <c r="AI164" i="145"/>
  <c r="AR164" i="145" s="1"/>
  <c r="AS164" i="145" s="1"/>
  <c r="AI163" i="145"/>
  <c r="AJ163" i="145" s="1"/>
  <c r="AI166" i="145"/>
  <c r="AJ166" i="145" s="1"/>
  <c r="AR162" i="145" l="1"/>
  <c r="AS162" i="145" s="1"/>
  <c r="AR169" i="145"/>
  <c r="AS169" i="145" s="1"/>
  <c r="AJ169" i="145"/>
  <c r="AR167" i="145"/>
  <c r="AS167" i="145" s="1"/>
  <c r="AR163" i="145"/>
  <c r="AS163" i="145" s="1"/>
  <c r="AJ170" i="145"/>
  <c r="AR165" i="145"/>
  <c r="AS165" i="145" s="1"/>
  <c r="AJ162" i="145"/>
  <c r="AR166" i="145"/>
  <c r="AS166" i="145" s="1"/>
  <c r="AJ167" i="145"/>
  <c r="AJ164" i="145"/>
  <c r="AQ59" i="147" l="1"/>
  <c r="AR59" i="147" s="1"/>
  <c r="AG59" i="147"/>
  <c r="AC59" i="147"/>
  <c r="X59" i="147"/>
  <c r="T59" i="147"/>
  <c r="O59" i="147"/>
  <c r="K59" i="147"/>
  <c r="AQ58" i="147"/>
  <c r="AR58" i="147" s="1"/>
  <c r="AG58" i="147"/>
  <c r="AC58" i="147"/>
  <c r="X58" i="147"/>
  <c r="T58" i="147"/>
  <c r="O58" i="147"/>
  <c r="K58" i="147"/>
  <c r="AQ57" i="147"/>
  <c r="AR57" i="147" s="1"/>
  <c r="AG57" i="147"/>
  <c r="AC57" i="147"/>
  <c r="X57" i="147"/>
  <c r="T57" i="147"/>
  <c r="O57" i="147"/>
  <c r="K57" i="147"/>
  <c r="AG54" i="146"/>
  <c r="AC54" i="146"/>
  <c r="X54" i="146"/>
  <c r="T54" i="146"/>
  <c r="O54" i="146"/>
  <c r="K54" i="146"/>
  <c r="AG53" i="146"/>
  <c r="AC53" i="146"/>
  <c r="X53" i="146"/>
  <c r="T53" i="146"/>
  <c r="O53" i="146"/>
  <c r="K53" i="146"/>
  <c r="AQ52" i="146"/>
  <c r="AR52" i="146" s="1"/>
  <c r="AG52" i="146"/>
  <c r="AC52" i="146"/>
  <c r="X52" i="146"/>
  <c r="T52" i="146"/>
  <c r="O52" i="146"/>
  <c r="K52" i="146"/>
  <c r="AQ51" i="146"/>
  <c r="AR51" i="146" s="1"/>
  <c r="AG51" i="146"/>
  <c r="AC51" i="146"/>
  <c r="X51" i="146"/>
  <c r="T51" i="146"/>
  <c r="O51" i="146"/>
  <c r="K51" i="146"/>
  <c r="AQ50" i="146"/>
  <c r="AR50" i="146" s="1"/>
  <c r="AG50" i="146"/>
  <c r="AC50" i="146"/>
  <c r="X50" i="146"/>
  <c r="T50" i="146"/>
  <c r="O50" i="146"/>
  <c r="K50" i="146"/>
  <c r="AQ49" i="146"/>
  <c r="AR49" i="146" s="1"/>
  <c r="AG49" i="146"/>
  <c r="AC49" i="146"/>
  <c r="X49" i="146"/>
  <c r="T49" i="146"/>
  <c r="O49" i="146"/>
  <c r="K49" i="146"/>
  <c r="AG161" i="145"/>
  <c r="AC161" i="145"/>
  <c r="X161" i="145"/>
  <c r="T161" i="145"/>
  <c r="O161" i="145"/>
  <c r="K161" i="145"/>
  <c r="AG160" i="145"/>
  <c r="AC160" i="145"/>
  <c r="X160" i="145"/>
  <c r="T160" i="145"/>
  <c r="O160" i="145"/>
  <c r="K160" i="145"/>
  <c r="AG159" i="145"/>
  <c r="AC159" i="145"/>
  <c r="X159" i="145"/>
  <c r="T159" i="145"/>
  <c r="O159" i="145"/>
  <c r="K159" i="145"/>
  <c r="AG158" i="145"/>
  <c r="AC158" i="145"/>
  <c r="X158" i="145"/>
  <c r="T158" i="145"/>
  <c r="O158" i="145"/>
  <c r="K158" i="145"/>
  <c r="AG157" i="145"/>
  <c r="AC157" i="145"/>
  <c r="X157" i="145"/>
  <c r="T157" i="145"/>
  <c r="O157" i="145"/>
  <c r="K157" i="145"/>
  <c r="AG156" i="145"/>
  <c r="AC156" i="145"/>
  <c r="X156" i="145"/>
  <c r="T156" i="145"/>
  <c r="O156" i="145"/>
  <c r="K156" i="145"/>
  <c r="AG155" i="145"/>
  <c r="AC155" i="145"/>
  <c r="X155" i="145"/>
  <c r="T155" i="145"/>
  <c r="O155" i="145"/>
  <c r="K155" i="145"/>
  <c r="AG154" i="145"/>
  <c r="AC154" i="145"/>
  <c r="X154" i="145"/>
  <c r="T154" i="145"/>
  <c r="O154" i="145"/>
  <c r="K154" i="145"/>
  <c r="AG153" i="145"/>
  <c r="AC153" i="145"/>
  <c r="X153" i="145"/>
  <c r="T153" i="145"/>
  <c r="O153" i="145"/>
  <c r="K153" i="145"/>
  <c r="P57" i="147" l="1"/>
  <c r="AH59" i="147"/>
  <c r="Y59" i="147"/>
  <c r="AH153" i="145"/>
  <c r="P153" i="145"/>
  <c r="P161" i="145"/>
  <c r="P155" i="145"/>
  <c r="AH159" i="145"/>
  <c r="AH156" i="145"/>
  <c r="AH157" i="145"/>
  <c r="Y153" i="145"/>
  <c r="AH154" i="145"/>
  <c r="Y161" i="145"/>
  <c r="AQ155" i="145"/>
  <c r="Y57" i="147"/>
  <c r="P58" i="147"/>
  <c r="Y58" i="147"/>
  <c r="AH58" i="147"/>
  <c r="AH57" i="147"/>
  <c r="P59" i="147"/>
  <c r="Y54" i="146"/>
  <c r="Y50" i="146"/>
  <c r="P52" i="146"/>
  <c r="AH53" i="146"/>
  <c r="P49" i="146"/>
  <c r="AH49" i="146"/>
  <c r="Y51" i="146"/>
  <c r="AH50" i="146"/>
  <c r="Y52" i="146"/>
  <c r="P54" i="146"/>
  <c r="AH54" i="146"/>
  <c r="Y53" i="146"/>
  <c r="Y49" i="146"/>
  <c r="P51" i="146"/>
  <c r="AH52" i="146"/>
  <c r="AH51" i="146"/>
  <c r="P50" i="146"/>
  <c r="P53" i="146"/>
  <c r="AQ53" i="146"/>
  <c r="AR53" i="146" s="1"/>
  <c r="AQ54" i="146"/>
  <c r="AR54" i="146" s="1"/>
  <c r="P159" i="145"/>
  <c r="P158" i="145"/>
  <c r="Y160" i="145"/>
  <c r="P157" i="145"/>
  <c r="Y159" i="145"/>
  <c r="AH161" i="145"/>
  <c r="P156" i="145"/>
  <c r="AH160" i="145"/>
  <c r="AQ161" i="145"/>
  <c r="Y156" i="145"/>
  <c r="AH158" i="145"/>
  <c r="AH155" i="145"/>
  <c r="Y155" i="145"/>
  <c r="Y158" i="145"/>
  <c r="AQ157" i="145"/>
  <c r="AQ159" i="145"/>
  <c r="AQ156" i="145"/>
  <c r="Y154" i="145"/>
  <c r="AQ154" i="145"/>
  <c r="AQ158" i="145"/>
  <c r="AQ160" i="145"/>
  <c r="AQ153" i="145"/>
  <c r="Y157" i="145"/>
  <c r="P154" i="145"/>
  <c r="P160" i="145"/>
  <c r="AI161" i="145" l="1"/>
  <c r="AR161" i="145" s="1"/>
  <c r="AS161" i="145" s="1"/>
  <c r="AI59" i="147"/>
  <c r="AK59" i="147" s="1"/>
  <c r="AS59" i="147" s="1"/>
  <c r="AT59" i="147" s="1"/>
  <c r="AI58" i="147"/>
  <c r="AK58" i="147" s="1"/>
  <c r="AS58" i="147" s="1"/>
  <c r="AT58" i="147" s="1"/>
  <c r="AI153" i="145"/>
  <c r="AJ153" i="145" s="1"/>
  <c r="AI154" i="145"/>
  <c r="AR154" i="145" s="1"/>
  <c r="AS154" i="145" s="1"/>
  <c r="AI155" i="145"/>
  <c r="AJ155" i="145" s="1"/>
  <c r="AI159" i="145"/>
  <c r="AR159" i="145" s="1"/>
  <c r="AS159" i="145" s="1"/>
  <c r="AI160" i="145"/>
  <c r="AI157" i="145"/>
  <c r="AJ157" i="145" s="1"/>
  <c r="AI158" i="145"/>
  <c r="AJ158" i="145" s="1"/>
  <c r="AI156" i="145"/>
  <c r="AR156" i="145" s="1"/>
  <c r="AS156" i="145" s="1"/>
  <c r="AI57" i="147"/>
  <c r="AJ57" i="147" s="1"/>
  <c r="AI54" i="146"/>
  <c r="AJ54" i="146" s="1"/>
  <c r="AI49" i="146"/>
  <c r="AK49" i="146" s="1"/>
  <c r="AS49" i="146" s="1"/>
  <c r="AT49" i="146" s="1"/>
  <c r="AI50" i="146"/>
  <c r="AK50" i="146" s="1"/>
  <c r="AS50" i="146" s="1"/>
  <c r="AT50" i="146" s="1"/>
  <c r="AI53" i="146"/>
  <c r="AJ53" i="146" s="1"/>
  <c r="AI52" i="146"/>
  <c r="AJ52" i="146" s="1"/>
  <c r="AI51" i="146"/>
  <c r="AJ50" i="146" l="1"/>
  <c r="AJ59" i="147"/>
  <c r="AR160" i="145"/>
  <c r="AS160" i="145" s="1"/>
  <c r="AJ161" i="145"/>
  <c r="AR158" i="145"/>
  <c r="AS158" i="145" s="1"/>
  <c r="AR153" i="145"/>
  <c r="AS153" i="145" s="1"/>
  <c r="AJ58" i="147"/>
  <c r="AJ49" i="146"/>
  <c r="AR155" i="145"/>
  <c r="AS155" i="145" s="1"/>
  <c r="AJ154" i="145"/>
  <c r="AJ156" i="145"/>
  <c r="AJ160" i="145"/>
  <c r="AR157" i="145"/>
  <c r="AS157" i="145" s="1"/>
  <c r="AK57" i="147"/>
  <c r="AS57" i="147" s="1"/>
  <c r="AT57" i="147" s="1"/>
  <c r="AK54" i="146"/>
  <c r="AS54" i="146" s="1"/>
  <c r="AT54" i="146" s="1"/>
  <c r="AK52" i="146"/>
  <c r="AS52" i="146" s="1"/>
  <c r="AT52" i="146" s="1"/>
  <c r="AK53" i="146"/>
  <c r="AS53" i="146" s="1"/>
  <c r="AT53" i="146" s="1"/>
  <c r="AK51" i="146"/>
  <c r="AS51" i="146" s="1"/>
  <c r="AT51" i="146" s="1"/>
  <c r="AJ51" i="146"/>
  <c r="T11" i="136"/>
  <c r="Q21" i="136" l="1"/>
  <c r="T8" i="137" l="1"/>
  <c r="T9" i="137"/>
  <c r="T36" i="131" l="1"/>
  <c r="T50" i="131" l="1"/>
  <c r="T124" i="131" l="1"/>
  <c r="T125" i="131"/>
  <c r="E48" i="146" l="1"/>
  <c r="AC48" i="146"/>
  <c r="T48" i="146"/>
  <c r="K48" i="146"/>
  <c r="AG48" i="146"/>
  <c r="X48" i="146"/>
  <c r="O48" i="146"/>
  <c r="T129" i="131"/>
  <c r="T130" i="131"/>
  <c r="T128" i="131"/>
  <c r="T131" i="131"/>
  <c r="T155" i="131"/>
  <c r="T149" i="131"/>
  <c r="T150" i="131"/>
  <c r="T151" i="131"/>
  <c r="T152" i="131"/>
  <c r="T153" i="131"/>
  <c r="T154" i="131"/>
  <c r="T156" i="131"/>
  <c r="T157" i="131"/>
  <c r="P48" i="146" l="1"/>
  <c r="AH48" i="146"/>
  <c r="Y48" i="146"/>
  <c r="AQ48" i="146"/>
  <c r="AR48" i="146" s="1"/>
  <c r="AI48" i="146" l="1"/>
  <c r="AJ48" i="146" s="1"/>
  <c r="AK48" i="146" l="1"/>
  <c r="AS48" i="146" l="1"/>
  <c r="AT48" i="146" s="1"/>
  <c r="T126" i="131"/>
  <c r="T127" i="131"/>
  <c r="T132" i="131"/>
  <c r="T133" i="131"/>
  <c r="T134" i="131"/>
  <c r="T135" i="131"/>
  <c r="T136" i="131"/>
  <c r="T137" i="131"/>
  <c r="T138" i="131"/>
  <c r="T139" i="131"/>
  <c r="T140" i="131"/>
  <c r="T141" i="131"/>
  <c r="T142" i="131"/>
  <c r="T143" i="131"/>
  <c r="T121" i="131"/>
  <c r="T122" i="131"/>
  <c r="T123" i="131"/>
  <c r="T78" i="131" l="1"/>
  <c r="T77" i="131"/>
  <c r="T55" i="131" l="1"/>
  <c r="T56" i="131"/>
  <c r="T51" i="131"/>
  <c r="T52" i="131"/>
  <c r="T53" i="131"/>
  <c r="T54" i="131"/>
  <c r="T57" i="131"/>
  <c r="T106" i="131"/>
  <c r="T107" i="131"/>
  <c r="T108" i="131"/>
  <c r="T109" i="131"/>
  <c r="T110" i="131"/>
  <c r="T111" i="131"/>
  <c r="T112" i="131"/>
  <c r="T113" i="131"/>
  <c r="T114" i="131"/>
  <c r="T115" i="131"/>
  <c r="T116" i="131"/>
  <c r="T117" i="131"/>
  <c r="T118" i="131"/>
  <c r="T119" i="131"/>
  <c r="T120" i="131"/>
  <c r="T97" i="131"/>
  <c r="T98" i="131"/>
  <c r="T99" i="131"/>
  <c r="T100" i="131"/>
  <c r="T101" i="131"/>
  <c r="T102" i="131"/>
  <c r="T103" i="131"/>
  <c r="T104" i="131"/>
  <c r="T105" i="131"/>
  <c r="R383" i="131"/>
  <c r="S383" i="131"/>
  <c r="T70" i="131"/>
  <c r="T71" i="131"/>
  <c r="T72" i="131"/>
  <c r="T73" i="131"/>
  <c r="T74" i="131"/>
  <c r="T75" i="131"/>
  <c r="T76" i="131"/>
  <c r="T79" i="131"/>
  <c r="T80" i="131"/>
  <c r="T81" i="131"/>
  <c r="T82" i="131"/>
  <c r="T83" i="131"/>
  <c r="T84" i="131"/>
  <c r="T85" i="131"/>
  <c r="T86" i="131"/>
  <c r="T87" i="131"/>
  <c r="T88" i="131"/>
  <c r="T89" i="131"/>
  <c r="T90" i="131"/>
  <c r="T91" i="131"/>
  <c r="T92" i="131"/>
  <c r="T93" i="131"/>
  <c r="T94" i="131"/>
  <c r="T95" i="131"/>
  <c r="T96" i="131"/>
  <c r="T34" i="131"/>
  <c r="T35" i="131"/>
  <c r="T37" i="131"/>
  <c r="T38" i="131"/>
  <c r="T39" i="131"/>
  <c r="T40" i="131"/>
  <c r="T41" i="131"/>
  <c r="T42" i="131"/>
  <c r="T43" i="131"/>
  <c r="T44" i="131"/>
  <c r="T45" i="131"/>
  <c r="T46" i="131"/>
  <c r="T47" i="131"/>
  <c r="T48" i="131"/>
  <c r="T49" i="131"/>
  <c r="T58" i="131"/>
  <c r="T59" i="131"/>
  <c r="T60" i="131"/>
  <c r="T61" i="131"/>
  <c r="T62" i="131"/>
  <c r="T63" i="131"/>
  <c r="T64" i="131"/>
  <c r="T65" i="131"/>
  <c r="T66" i="131"/>
  <c r="T67" i="131"/>
  <c r="T68" i="131"/>
  <c r="T69" i="131"/>
  <c r="Q383" i="131" l="1"/>
  <c r="AQ55" i="147"/>
  <c r="AR55" i="147" s="1"/>
  <c r="AG55" i="147"/>
  <c r="AC55" i="147"/>
  <c r="X55" i="147"/>
  <c r="T55" i="147"/>
  <c r="O55" i="147"/>
  <c r="K55" i="147"/>
  <c r="AQ54" i="147"/>
  <c r="AR54" i="147" s="1"/>
  <c r="AG54" i="147"/>
  <c r="AC54" i="147"/>
  <c r="X54" i="147"/>
  <c r="T54" i="147"/>
  <c r="O54" i="147"/>
  <c r="K54" i="147"/>
  <c r="AW53" i="147"/>
  <c r="AQ53" i="147"/>
  <c r="AR53" i="147" s="1"/>
  <c r="AG53" i="147"/>
  <c r="AC53" i="147"/>
  <c r="X53" i="147"/>
  <c r="T53" i="147"/>
  <c r="O53" i="147"/>
  <c r="K53" i="147"/>
  <c r="E47" i="146"/>
  <c r="E179" i="146" s="1"/>
  <c r="E188" i="146" l="1"/>
  <c r="E187" i="146"/>
  <c r="E183" i="146"/>
  <c r="Y53" i="147"/>
  <c r="AH53" i="147"/>
  <c r="P55" i="147"/>
  <c r="AH54" i="147"/>
  <c r="P53" i="147"/>
  <c r="Y55" i="147"/>
  <c r="P54" i="147"/>
  <c r="AH55" i="147"/>
  <c r="Y54" i="147"/>
  <c r="AI53" i="147" l="1"/>
  <c r="AK53" i="147" s="1"/>
  <c r="AS53" i="147" s="1"/>
  <c r="AT53" i="147" s="1"/>
  <c r="AI55" i="147"/>
  <c r="AK55" i="147" s="1"/>
  <c r="AS55" i="147" s="1"/>
  <c r="AT55" i="147" s="1"/>
  <c r="AI54" i="147"/>
  <c r="AV61" i="147" l="1"/>
  <c r="AW61" i="147" s="1"/>
  <c r="AJ53" i="147"/>
  <c r="AJ55" i="147"/>
  <c r="AJ54" i="147"/>
  <c r="AK54" i="147"/>
  <c r="AS54" i="147" s="1"/>
  <c r="AT54" i="147" s="1"/>
  <c r="AG151" i="145" l="1"/>
  <c r="AC151" i="145"/>
  <c r="X151" i="145"/>
  <c r="T151" i="145"/>
  <c r="O151" i="145"/>
  <c r="K151" i="145"/>
  <c r="AG150" i="145"/>
  <c r="AC150" i="145"/>
  <c r="X150" i="145"/>
  <c r="T150" i="145"/>
  <c r="O150" i="145"/>
  <c r="K150" i="145"/>
  <c r="AG149" i="145"/>
  <c r="AC149" i="145"/>
  <c r="X149" i="145"/>
  <c r="T149" i="145"/>
  <c r="O149" i="145"/>
  <c r="K149" i="145"/>
  <c r="AG148" i="145"/>
  <c r="AC148" i="145"/>
  <c r="X148" i="145"/>
  <c r="T148" i="145"/>
  <c r="O148" i="145"/>
  <c r="K148" i="145"/>
  <c r="AG147" i="145"/>
  <c r="AC147" i="145"/>
  <c r="X147" i="145"/>
  <c r="T147" i="145"/>
  <c r="O147" i="145"/>
  <c r="K147" i="145"/>
  <c r="AG146" i="145"/>
  <c r="AC146" i="145"/>
  <c r="X146" i="145"/>
  <c r="T146" i="145"/>
  <c r="O146" i="145"/>
  <c r="K146" i="145"/>
  <c r="AG145" i="145"/>
  <c r="AC145" i="145"/>
  <c r="X145" i="145"/>
  <c r="T145" i="145"/>
  <c r="O145" i="145"/>
  <c r="K145" i="145"/>
  <c r="AG144" i="145"/>
  <c r="AC144" i="145"/>
  <c r="X144" i="145"/>
  <c r="T144" i="145"/>
  <c r="O144" i="145"/>
  <c r="K144" i="145"/>
  <c r="AG143" i="145"/>
  <c r="AC143" i="145"/>
  <c r="X143" i="145"/>
  <c r="T143" i="145"/>
  <c r="O143" i="145"/>
  <c r="K143" i="145"/>
  <c r="AH143" i="145" l="1"/>
  <c r="AH144" i="145"/>
  <c r="Y150" i="145"/>
  <c r="AH151" i="145"/>
  <c r="P145" i="145"/>
  <c r="Y148" i="145"/>
  <c r="P146" i="145"/>
  <c r="Y147" i="145"/>
  <c r="AH146" i="145"/>
  <c r="AH147" i="145"/>
  <c r="AH149" i="145"/>
  <c r="P143" i="145"/>
  <c r="AQ146" i="145"/>
  <c r="P144" i="145"/>
  <c r="AH150" i="145"/>
  <c r="Y145" i="145"/>
  <c r="AQ151" i="145"/>
  <c r="AQ149" i="145"/>
  <c r="AQ150" i="145"/>
  <c r="AQ148" i="145"/>
  <c r="AQ145" i="145"/>
  <c r="AQ143" i="145"/>
  <c r="P149" i="145"/>
  <c r="P150" i="145"/>
  <c r="AH148" i="145"/>
  <c r="AQ144" i="145"/>
  <c r="AQ147" i="145"/>
  <c r="P147" i="145"/>
  <c r="P148" i="145"/>
  <c r="AH145" i="145"/>
  <c r="P151" i="145"/>
  <c r="Y144" i="145"/>
  <c r="Y146" i="145"/>
  <c r="Y149" i="145"/>
  <c r="Y143" i="145"/>
  <c r="Y151" i="145"/>
  <c r="AI147" i="145" l="1"/>
  <c r="AR147" i="145" s="1"/>
  <c r="AS147" i="145" s="1"/>
  <c r="AI146" i="145"/>
  <c r="AJ146" i="145" s="1"/>
  <c r="AI145" i="145"/>
  <c r="AR145" i="145" s="1"/>
  <c r="AS145" i="145" s="1"/>
  <c r="AI143" i="145"/>
  <c r="AR143" i="145" s="1"/>
  <c r="AS143" i="145" s="1"/>
  <c r="AI148" i="145"/>
  <c r="AR148" i="145" s="1"/>
  <c r="AS148" i="145" s="1"/>
  <c r="AI144" i="145"/>
  <c r="AR144" i="145" s="1"/>
  <c r="AS144" i="145" s="1"/>
  <c r="AI149" i="145"/>
  <c r="AR149" i="145" s="1"/>
  <c r="AS149" i="145" s="1"/>
  <c r="AI150" i="145"/>
  <c r="AI151" i="145"/>
  <c r="AJ151" i="145" s="1"/>
  <c r="AJ147" i="145" l="1"/>
  <c r="AR146" i="145"/>
  <c r="AS146" i="145" s="1"/>
  <c r="AR151" i="145"/>
  <c r="AS151" i="145" s="1"/>
  <c r="AJ143" i="145"/>
  <c r="AJ144" i="145"/>
  <c r="AJ145" i="145"/>
  <c r="AJ148" i="145"/>
  <c r="AJ150" i="145"/>
  <c r="AR150" i="145"/>
  <c r="AS150" i="145" s="1"/>
  <c r="AW39" i="146"/>
  <c r="AW50" i="147"/>
  <c r="AQ52" i="147" l="1"/>
  <c r="AR52" i="147" s="1"/>
  <c r="AG52" i="147"/>
  <c r="AC52" i="147"/>
  <c r="X52" i="147"/>
  <c r="T52" i="147"/>
  <c r="O52" i="147"/>
  <c r="K52" i="147"/>
  <c r="AQ51" i="147"/>
  <c r="AR51" i="147" s="1"/>
  <c r="AG51" i="147"/>
  <c r="AC51" i="147"/>
  <c r="X51" i="147"/>
  <c r="T51" i="147"/>
  <c r="O51" i="147"/>
  <c r="K51" i="147"/>
  <c r="AQ50" i="147"/>
  <c r="AR50" i="147" s="1"/>
  <c r="AG50" i="147"/>
  <c r="AC50" i="147"/>
  <c r="X50" i="147"/>
  <c r="T50" i="147"/>
  <c r="O50" i="147"/>
  <c r="K50" i="147"/>
  <c r="AQ47" i="146"/>
  <c r="AR47" i="146" s="1"/>
  <c r="AG47" i="146"/>
  <c r="AC47" i="146"/>
  <c r="X47" i="146"/>
  <c r="T47" i="146"/>
  <c r="O47" i="146"/>
  <c r="K47" i="146"/>
  <c r="AQ46" i="146"/>
  <c r="AR46" i="146" s="1"/>
  <c r="AG46" i="146"/>
  <c r="AC46" i="146"/>
  <c r="X46" i="146"/>
  <c r="T46" i="146"/>
  <c r="O46" i="146"/>
  <c r="K46" i="146"/>
  <c r="AQ45" i="146"/>
  <c r="AR45" i="146" s="1"/>
  <c r="AG45" i="146"/>
  <c r="AC45" i="146"/>
  <c r="X45" i="146"/>
  <c r="T45" i="146"/>
  <c r="O45" i="146"/>
  <c r="K45" i="146"/>
  <c r="AQ44" i="146"/>
  <c r="AR44" i="146" s="1"/>
  <c r="AG44" i="146"/>
  <c r="AC44" i="146"/>
  <c r="X44" i="146"/>
  <c r="T44" i="146"/>
  <c r="O44" i="146"/>
  <c r="K44" i="146"/>
  <c r="AQ43" i="146"/>
  <c r="AR43" i="146" s="1"/>
  <c r="AG43" i="146"/>
  <c r="AC43" i="146"/>
  <c r="X43" i="146"/>
  <c r="T43" i="146"/>
  <c r="O43" i="146"/>
  <c r="K43" i="146"/>
  <c r="AG140" i="145"/>
  <c r="AC140" i="145"/>
  <c r="X140" i="145"/>
  <c r="T140" i="145"/>
  <c r="O140" i="145"/>
  <c r="K140" i="145"/>
  <c r="AG142" i="145"/>
  <c r="AC142" i="145"/>
  <c r="X142" i="145"/>
  <c r="T142" i="145"/>
  <c r="O142" i="145"/>
  <c r="K142" i="145"/>
  <c r="AG141" i="145"/>
  <c r="AC141" i="145"/>
  <c r="X141" i="145"/>
  <c r="T141" i="145"/>
  <c r="O141" i="145"/>
  <c r="K141" i="145"/>
  <c r="AG139" i="145"/>
  <c r="AC139" i="145"/>
  <c r="X139" i="145"/>
  <c r="T139" i="145"/>
  <c r="O139" i="145"/>
  <c r="K139" i="145"/>
  <c r="AG138" i="145"/>
  <c r="AC138" i="145"/>
  <c r="X138" i="145"/>
  <c r="T138" i="145"/>
  <c r="O138" i="145"/>
  <c r="K138" i="145"/>
  <c r="AG137" i="145"/>
  <c r="AC137" i="145"/>
  <c r="X137" i="145"/>
  <c r="T137" i="145"/>
  <c r="O137" i="145"/>
  <c r="K137" i="145"/>
  <c r="AG136" i="145"/>
  <c r="AC136" i="145"/>
  <c r="X136" i="145"/>
  <c r="T136" i="145"/>
  <c r="O136" i="145"/>
  <c r="K136" i="145"/>
  <c r="AG135" i="145"/>
  <c r="AC135" i="145"/>
  <c r="X135" i="145"/>
  <c r="T135" i="145"/>
  <c r="O135" i="145"/>
  <c r="K135" i="145"/>
  <c r="AG134" i="145"/>
  <c r="AC134" i="145"/>
  <c r="X134" i="145"/>
  <c r="T134" i="145"/>
  <c r="O134" i="145"/>
  <c r="K134" i="145"/>
  <c r="D137" i="147"/>
  <c r="F134" i="147"/>
  <c r="F133" i="147"/>
  <c r="F132" i="147"/>
  <c r="F131" i="147"/>
  <c r="AQ49" i="147"/>
  <c r="AR49" i="147" s="1"/>
  <c r="AG49" i="147"/>
  <c r="AC49" i="147"/>
  <c r="X49" i="147"/>
  <c r="T49" i="147"/>
  <c r="O49" i="147"/>
  <c r="K49" i="147"/>
  <c r="AQ48" i="147"/>
  <c r="AR48" i="147" s="1"/>
  <c r="AG48" i="147"/>
  <c r="AC48" i="147"/>
  <c r="X48" i="147"/>
  <c r="T48" i="147"/>
  <c r="O48" i="147"/>
  <c r="K48" i="147"/>
  <c r="AQ47" i="147"/>
  <c r="AR47" i="147" s="1"/>
  <c r="AG47" i="147"/>
  <c r="AC47" i="147"/>
  <c r="X47" i="147"/>
  <c r="T47" i="147"/>
  <c r="O47" i="147"/>
  <c r="K47" i="147"/>
  <c r="AQ46" i="147"/>
  <c r="AR46" i="147" s="1"/>
  <c r="AG46" i="147"/>
  <c r="AC46" i="147"/>
  <c r="X46" i="147"/>
  <c r="T46" i="147"/>
  <c r="O46" i="147"/>
  <c r="K46" i="147"/>
  <c r="AQ45" i="147"/>
  <c r="AR45" i="147" s="1"/>
  <c r="AG45" i="147"/>
  <c r="AC45" i="147"/>
  <c r="X45" i="147"/>
  <c r="T45" i="147"/>
  <c r="O45" i="147"/>
  <c r="K45" i="147"/>
  <c r="AQ44" i="147"/>
  <c r="AR44" i="147" s="1"/>
  <c r="AG44" i="147"/>
  <c r="AC44" i="147"/>
  <c r="X44" i="147"/>
  <c r="T44" i="147"/>
  <c r="O44" i="147"/>
  <c r="K44" i="147"/>
  <c r="AQ43" i="147"/>
  <c r="AR43" i="147" s="1"/>
  <c r="AG43" i="147"/>
  <c r="AC43" i="147"/>
  <c r="X43" i="147"/>
  <c r="T43" i="147"/>
  <c r="O43" i="147"/>
  <c r="K43" i="147"/>
  <c r="AQ42" i="147"/>
  <c r="AR42" i="147" s="1"/>
  <c r="AG42" i="147"/>
  <c r="AC42" i="147"/>
  <c r="X42" i="147"/>
  <c r="T42" i="147"/>
  <c r="O42" i="147"/>
  <c r="K42" i="147"/>
  <c r="AQ41" i="147"/>
  <c r="AR41" i="147" s="1"/>
  <c r="AG41" i="147"/>
  <c r="AC41" i="147"/>
  <c r="X41" i="147"/>
  <c r="T41" i="147"/>
  <c r="O41" i="147"/>
  <c r="K41" i="147"/>
  <c r="AQ40" i="147"/>
  <c r="AR40" i="147" s="1"/>
  <c r="AG40" i="147"/>
  <c r="AC40" i="147"/>
  <c r="X40" i="147"/>
  <c r="T40" i="147"/>
  <c r="O40" i="147"/>
  <c r="K40" i="147"/>
  <c r="AQ39" i="147"/>
  <c r="AR39" i="147" s="1"/>
  <c r="AG39" i="147"/>
  <c r="AC39" i="147"/>
  <c r="X39" i="147"/>
  <c r="T39" i="147"/>
  <c r="O39" i="147"/>
  <c r="K39" i="147"/>
  <c r="AQ38" i="147"/>
  <c r="AR38" i="147" s="1"/>
  <c r="AG38" i="147"/>
  <c r="AC38" i="147"/>
  <c r="X38" i="147"/>
  <c r="T38" i="147"/>
  <c r="O38" i="147"/>
  <c r="K38" i="147"/>
  <c r="AQ37" i="147"/>
  <c r="AR37" i="147" s="1"/>
  <c r="AG37" i="147"/>
  <c r="AC37" i="147"/>
  <c r="X37" i="147"/>
  <c r="T37" i="147"/>
  <c r="O37" i="147"/>
  <c r="K37" i="147"/>
  <c r="AQ36" i="147"/>
  <c r="AR36" i="147" s="1"/>
  <c r="AG36" i="147"/>
  <c r="AC36" i="147"/>
  <c r="X36" i="147"/>
  <c r="T36" i="147"/>
  <c r="O36" i="147"/>
  <c r="K36" i="147"/>
  <c r="AQ35" i="147"/>
  <c r="AR35" i="147" s="1"/>
  <c r="AG35" i="147"/>
  <c r="AC35" i="147"/>
  <c r="X35" i="147"/>
  <c r="T35" i="147"/>
  <c r="O35" i="147"/>
  <c r="K35" i="147"/>
  <c r="AQ34" i="147"/>
  <c r="AR34" i="147" s="1"/>
  <c r="AG34" i="147"/>
  <c r="AC34" i="147"/>
  <c r="X34" i="147"/>
  <c r="T34" i="147"/>
  <c r="O34" i="147"/>
  <c r="K34" i="147"/>
  <c r="AQ33" i="147"/>
  <c r="AR33" i="147" s="1"/>
  <c r="AG33" i="147"/>
  <c r="AC33" i="147"/>
  <c r="X33" i="147"/>
  <c r="T33" i="147"/>
  <c r="O33" i="147"/>
  <c r="K33" i="147"/>
  <c r="AQ32" i="147"/>
  <c r="AR32" i="147" s="1"/>
  <c r="AG32" i="147"/>
  <c r="AC32" i="147"/>
  <c r="X32" i="147"/>
  <c r="T32" i="147"/>
  <c r="O32" i="147"/>
  <c r="K32" i="147"/>
  <c r="AQ31" i="147"/>
  <c r="AR31" i="147" s="1"/>
  <c r="AG31" i="147"/>
  <c r="AC31" i="147"/>
  <c r="X31" i="147"/>
  <c r="T31" i="147"/>
  <c r="O31" i="147"/>
  <c r="K31" i="147"/>
  <c r="AQ30" i="147"/>
  <c r="AR30" i="147" s="1"/>
  <c r="AG30" i="147"/>
  <c r="AC30" i="147"/>
  <c r="X30" i="147"/>
  <c r="T30" i="147"/>
  <c r="O30" i="147"/>
  <c r="K30" i="147"/>
  <c r="AQ29" i="147"/>
  <c r="AR29" i="147" s="1"/>
  <c r="AG29" i="147"/>
  <c r="AC29" i="147"/>
  <c r="X29" i="147"/>
  <c r="T29" i="147"/>
  <c r="O29" i="147"/>
  <c r="K29" i="147"/>
  <c r="AQ28" i="147"/>
  <c r="AR28" i="147" s="1"/>
  <c r="AG28" i="147"/>
  <c r="AC28" i="147"/>
  <c r="X28" i="147"/>
  <c r="T28" i="147"/>
  <c r="O28" i="147"/>
  <c r="K28" i="147"/>
  <c r="AQ27" i="147"/>
  <c r="AR27" i="147" s="1"/>
  <c r="AG27" i="147"/>
  <c r="AC27" i="147"/>
  <c r="X27" i="147"/>
  <c r="T27" i="147"/>
  <c r="O27" i="147"/>
  <c r="K27" i="147"/>
  <c r="AQ26" i="147"/>
  <c r="AR26" i="147" s="1"/>
  <c r="AG26" i="147"/>
  <c r="AC26" i="147"/>
  <c r="X26" i="147"/>
  <c r="T26" i="147"/>
  <c r="O26" i="147"/>
  <c r="K26" i="147"/>
  <c r="AQ25" i="147"/>
  <c r="AR25" i="147" s="1"/>
  <c r="AG25" i="147"/>
  <c r="AC25" i="147"/>
  <c r="X25" i="147"/>
  <c r="T25" i="147"/>
  <c r="O25" i="147"/>
  <c r="K25" i="147"/>
  <c r="AQ24" i="147"/>
  <c r="AR24" i="147" s="1"/>
  <c r="AG24" i="147"/>
  <c r="AC24" i="147"/>
  <c r="X24" i="147"/>
  <c r="T24" i="147"/>
  <c r="O24" i="147"/>
  <c r="K24" i="147"/>
  <c r="AQ23" i="147"/>
  <c r="AR23" i="147" s="1"/>
  <c r="AG23" i="147"/>
  <c r="AC23" i="147"/>
  <c r="X23" i="147"/>
  <c r="T23" i="147"/>
  <c r="O23" i="147"/>
  <c r="K23" i="147"/>
  <c r="AQ22" i="147"/>
  <c r="AR22" i="147" s="1"/>
  <c r="AG22" i="147"/>
  <c r="AC22" i="147"/>
  <c r="X22" i="147"/>
  <c r="T22" i="147"/>
  <c r="O22" i="147"/>
  <c r="K22" i="147"/>
  <c r="AQ21" i="147"/>
  <c r="AR21" i="147" s="1"/>
  <c r="AG21" i="147"/>
  <c r="AC21" i="147"/>
  <c r="X21" i="147"/>
  <c r="T21" i="147"/>
  <c r="O21" i="147"/>
  <c r="K21" i="147"/>
  <c r="AQ20" i="147"/>
  <c r="AR20" i="147" s="1"/>
  <c r="AG20" i="147"/>
  <c r="AC20" i="147"/>
  <c r="X20" i="147"/>
  <c r="T20" i="147"/>
  <c r="O20" i="147"/>
  <c r="K20" i="147"/>
  <c r="AQ19" i="147"/>
  <c r="AR19" i="147" s="1"/>
  <c r="AS19" i="147" s="1"/>
  <c r="AT19" i="147" s="1"/>
  <c r="AG19" i="147"/>
  <c r="AC19" i="147"/>
  <c r="X19" i="147"/>
  <c r="T19" i="147"/>
  <c r="O19" i="147"/>
  <c r="K19" i="147"/>
  <c r="AQ18" i="147"/>
  <c r="AR18" i="147" s="1"/>
  <c r="AG18" i="147"/>
  <c r="AC18" i="147"/>
  <c r="X18" i="147"/>
  <c r="T18" i="147"/>
  <c r="O18" i="147"/>
  <c r="K18" i="147"/>
  <c r="AQ17" i="147"/>
  <c r="AG17" i="147"/>
  <c r="AC17" i="147"/>
  <c r="X17" i="147"/>
  <c r="T17" i="147"/>
  <c r="O17" i="147"/>
  <c r="K17" i="147"/>
  <c r="AR15" i="147"/>
  <c r="AS15" i="147" s="1"/>
  <c r="D189" i="146"/>
  <c r="F186" i="146"/>
  <c r="F185" i="146"/>
  <c r="F184" i="146"/>
  <c r="F183" i="146"/>
  <c r="AQ42" i="146"/>
  <c r="AR42" i="146" s="1"/>
  <c r="AG42" i="146"/>
  <c r="AC42" i="146"/>
  <c r="X42" i="146"/>
  <c r="T42" i="146"/>
  <c r="O42" i="146"/>
  <c r="K42" i="146"/>
  <c r="AQ41" i="146"/>
  <c r="AR41" i="146" s="1"/>
  <c r="AG41" i="146"/>
  <c r="AC41" i="146"/>
  <c r="X41" i="146"/>
  <c r="T41" i="146"/>
  <c r="O41" i="146"/>
  <c r="K41" i="146"/>
  <c r="AQ40" i="146"/>
  <c r="AR40" i="146" s="1"/>
  <c r="AG40" i="146"/>
  <c r="AC40" i="146"/>
  <c r="X40" i="146"/>
  <c r="T40" i="146"/>
  <c r="O40" i="146"/>
  <c r="K40" i="146"/>
  <c r="AQ39" i="146"/>
  <c r="AG39" i="146"/>
  <c r="AC39" i="146"/>
  <c r="X39" i="146"/>
  <c r="T39" i="146"/>
  <c r="O39" i="146"/>
  <c r="K39" i="146"/>
  <c r="AQ38" i="146"/>
  <c r="AR38" i="146" s="1"/>
  <c r="AG38" i="146"/>
  <c r="AC38" i="146"/>
  <c r="X38" i="146"/>
  <c r="T38" i="146"/>
  <c r="O38" i="146"/>
  <c r="K38" i="146"/>
  <c r="AQ37" i="146"/>
  <c r="AR37" i="146" s="1"/>
  <c r="AG37" i="146"/>
  <c r="AC37" i="146"/>
  <c r="X37" i="146"/>
  <c r="T37" i="146"/>
  <c r="O37" i="146"/>
  <c r="K37" i="146"/>
  <c r="AQ36" i="146"/>
  <c r="AR36" i="146" s="1"/>
  <c r="AG36" i="146"/>
  <c r="AC36" i="146"/>
  <c r="X36" i="146"/>
  <c r="T36" i="146"/>
  <c r="O36" i="146"/>
  <c r="K36" i="146"/>
  <c r="AQ35" i="146"/>
  <c r="AR35" i="146" s="1"/>
  <c r="AG35" i="146"/>
  <c r="AC35" i="146"/>
  <c r="X35" i="146"/>
  <c r="T35" i="146"/>
  <c r="O35" i="146"/>
  <c r="K35" i="146"/>
  <c r="AQ34" i="146"/>
  <c r="AR34" i="146" s="1"/>
  <c r="AG34" i="146"/>
  <c r="AC34" i="146"/>
  <c r="X34" i="146"/>
  <c r="T34" i="146"/>
  <c r="O34" i="146"/>
  <c r="K34" i="146"/>
  <c r="AQ33" i="146"/>
  <c r="AR33" i="146" s="1"/>
  <c r="AG33" i="146"/>
  <c r="AC33" i="146"/>
  <c r="X33" i="146"/>
  <c r="T33" i="146"/>
  <c r="O33" i="146"/>
  <c r="K33" i="146"/>
  <c r="AQ32" i="146"/>
  <c r="AR32" i="146" s="1"/>
  <c r="AG32" i="146"/>
  <c r="AC32" i="146"/>
  <c r="X32" i="146"/>
  <c r="T32" i="146"/>
  <c r="O32" i="146"/>
  <c r="K32" i="146"/>
  <c r="AQ31" i="146"/>
  <c r="AR31" i="146" s="1"/>
  <c r="AG31" i="146"/>
  <c r="AC31" i="146"/>
  <c r="X31" i="146"/>
  <c r="T31" i="146"/>
  <c r="O31" i="146"/>
  <c r="K31" i="146"/>
  <c r="AQ30" i="146"/>
  <c r="AR30" i="146" s="1"/>
  <c r="AG30" i="146"/>
  <c r="AC30" i="146"/>
  <c r="X30" i="146"/>
  <c r="T30" i="146"/>
  <c r="O30" i="146"/>
  <c r="K30" i="146"/>
  <c r="AQ29" i="146"/>
  <c r="AR29" i="146" s="1"/>
  <c r="AG29" i="146"/>
  <c r="AC29" i="146"/>
  <c r="X29" i="146"/>
  <c r="T29" i="146"/>
  <c r="O29" i="146"/>
  <c r="K29" i="146"/>
  <c r="AQ28" i="146"/>
  <c r="AR28" i="146" s="1"/>
  <c r="AG28" i="146"/>
  <c r="AC28" i="146"/>
  <c r="X28" i="146"/>
  <c r="T28" i="146"/>
  <c r="O28" i="146"/>
  <c r="K28" i="146"/>
  <c r="AQ27" i="146"/>
  <c r="AR27" i="146" s="1"/>
  <c r="AG27" i="146"/>
  <c r="AC27" i="146"/>
  <c r="X27" i="146"/>
  <c r="T27" i="146"/>
  <c r="O27" i="146"/>
  <c r="K27" i="146"/>
  <c r="AQ26" i="146"/>
  <c r="AR26" i="146" s="1"/>
  <c r="AG26" i="146"/>
  <c r="AC26" i="146"/>
  <c r="X26" i="146"/>
  <c r="T26" i="146"/>
  <c r="O26" i="146"/>
  <c r="K26" i="146"/>
  <c r="AQ25" i="146"/>
  <c r="AR25" i="146" s="1"/>
  <c r="AG25" i="146"/>
  <c r="AC25" i="146"/>
  <c r="X25" i="146"/>
  <c r="T25" i="146"/>
  <c r="O25" i="146"/>
  <c r="K25" i="146"/>
  <c r="AQ24" i="146"/>
  <c r="AR24" i="146" s="1"/>
  <c r="AG24" i="146"/>
  <c r="AC24" i="146"/>
  <c r="X24" i="146"/>
  <c r="T24" i="146"/>
  <c r="O24" i="146"/>
  <c r="K24" i="146"/>
  <c r="AQ23" i="146"/>
  <c r="AR23" i="146" s="1"/>
  <c r="AG23" i="146"/>
  <c r="AC23" i="146"/>
  <c r="X23" i="146"/>
  <c r="T23" i="146"/>
  <c r="O23" i="146"/>
  <c r="K23" i="146"/>
  <c r="AQ22" i="146"/>
  <c r="AR22" i="146" s="1"/>
  <c r="AG22" i="146"/>
  <c r="AC22" i="146"/>
  <c r="X22" i="146"/>
  <c r="T22" i="146"/>
  <c r="O22" i="146"/>
  <c r="K22" i="146"/>
  <c r="AQ21" i="146"/>
  <c r="AR21" i="146" s="1"/>
  <c r="AG21" i="146"/>
  <c r="AC21" i="146"/>
  <c r="X21" i="146"/>
  <c r="T21" i="146"/>
  <c r="O21" i="146"/>
  <c r="K21" i="146"/>
  <c r="AQ20" i="146"/>
  <c r="AR20" i="146" s="1"/>
  <c r="AG20" i="146"/>
  <c r="AC20" i="146"/>
  <c r="X20" i="146"/>
  <c r="T20" i="146"/>
  <c r="O20" i="146"/>
  <c r="K20" i="146"/>
  <c r="AQ19" i="146"/>
  <c r="AR19" i="146" s="1"/>
  <c r="AG19" i="146"/>
  <c r="AC19" i="146"/>
  <c r="X19" i="146"/>
  <c r="T19" i="146"/>
  <c r="O19" i="146"/>
  <c r="K19" i="146"/>
  <c r="AQ18" i="146"/>
  <c r="AR18" i="146" s="1"/>
  <c r="AG18" i="146"/>
  <c r="AC18" i="146"/>
  <c r="X18" i="146"/>
  <c r="T18" i="146"/>
  <c r="O18" i="146"/>
  <c r="K18" i="146"/>
  <c r="AQ17" i="146"/>
  <c r="AG17" i="146"/>
  <c r="AC17" i="146"/>
  <c r="X17" i="146"/>
  <c r="T17" i="146"/>
  <c r="O17" i="146"/>
  <c r="K17" i="146"/>
  <c r="AR16" i="146"/>
  <c r="AR15" i="146"/>
  <c r="AS15" i="146" s="1"/>
  <c r="AD254" i="145"/>
  <c r="Z254" i="145"/>
  <c r="U254" i="145"/>
  <c r="Q254" i="145"/>
  <c r="L254" i="145"/>
  <c r="J254" i="145"/>
  <c r="I254" i="145"/>
  <c r="H254" i="145"/>
  <c r="G254" i="145"/>
  <c r="F254" i="145"/>
  <c r="AG133" i="145"/>
  <c r="AC133" i="145"/>
  <c r="X133" i="145"/>
  <c r="T133" i="145"/>
  <c r="O133" i="145"/>
  <c r="K133" i="145"/>
  <c r="AG132" i="145"/>
  <c r="AC132" i="145"/>
  <c r="X132" i="145"/>
  <c r="T132" i="145"/>
  <c r="O132" i="145"/>
  <c r="K132" i="145"/>
  <c r="AG131" i="145"/>
  <c r="AC131" i="145"/>
  <c r="X131" i="145"/>
  <c r="T131" i="145"/>
  <c r="O131" i="145"/>
  <c r="K131" i="145"/>
  <c r="AG130" i="145"/>
  <c r="AC130" i="145"/>
  <c r="X130" i="145"/>
  <c r="T130" i="145"/>
  <c r="O130" i="145"/>
  <c r="K130" i="145"/>
  <c r="AG129" i="145"/>
  <c r="AC129" i="145"/>
  <c r="X129" i="145"/>
  <c r="T129" i="145"/>
  <c r="O129" i="145"/>
  <c r="K129" i="145"/>
  <c r="AG128" i="145"/>
  <c r="AC128" i="145"/>
  <c r="X128" i="145"/>
  <c r="T128" i="145"/>
  <c r="O128" i="145"/>
  <c r="K128" i="145"/>
  <c r="AG127" i="145"/>
  <c r="AC127" i="145"/>
  <c r="X127" i="145"/>
  <c r="T127" i="145"/>
  <c r="O127" i="145"/>
  <c r="K127" i="145"/>
  <c r="AG126" i="145"/>
  <c r="AC126" i="145"/>
  <c r="X126" i="145"/>
  <c r="T126" i="145"/>
  <c r="O126" i="145"/>
  <c r="K126" i="145"/>
  <c r="AG125" i="145"/>
  <c r="AC125" i="145"/>
  <c r="X125" i="145"/>
  <c r="T125" i="145"/>
  <c r="O125" i="145"/>
  <c r="K125" i="145"/>
  <c r="E125" i="145"/>
  <c r="AG124" i="145"/>
  <c r="AC124" i="145"/>
  <c r="X124" i="145"/>
  <c r="T124" i="145"/>
  <c r="O124" i="145"/>
  <c r="K124" i="145"/>
  <c r="AG123" i="145"/>
  <c r="AC123" i="145"/>
  <c r="X123" i="145"/>
  <c r="T123" i="145"/>
  <c r="O123" i="145"/>
  <c r="K123" i="145"/>
  <c r="AE122" i="145"/>
  <c r="AG122" i="145" s="1"/>
  <c r="AA122" i="145"/>
  <c r="AC122" i="145" s="1"/>
  <c r="X122" i="145"/>
  <c r="T122" i="145"/>
  <c r="O122" i="145"/>
  <c r="K122" i="145"/>
  <c r="AG121" i="145"/>
  <c r="AA121" i="145"/>
  <c r="AC121" i="145" s="1"/>
  <c r="X121" i="145"/>
  <c r="T121" i="145"/>
  <c r="O121" i="145"/>
  <c r="K121" i="145"/>
  <c r="AG120" i="145"/>
  <c r="AC120" i="145"/>
  <c r="X120" i="145"/>
  <c r="T120" i="145"/>
  <c r="O120" i="145"/>
  <c r="K120" i="145"/>
  <c r="AG119" i="145"/>
  <c r="AC119" i="145"/>
  <c r="X119" i="145"/>
  <c r="T119" i="145"/>
  <c r="O119" i="145"/>
  <c r="K119" i="145"/>
  <c r="AE118" i="145"/>
  <c r="AG118" i="145" s="1"/>
  <c r="AA118" i="145"/>
  <c r="AC118" i="145" s="1"/>
  <c r="X118" i="145"/>
  <c r="T118" i="145"/>
  <c r="O118" i="145"/>
  <c r="K118" i="145"/>
  <c r="AG117" i="145"/>
  <c r="AC117" i="145"/>
  <c r="X117" i="145"/>
  <c r="T117" i="145"/>
  <c r="O117" i="145"/>
  <c r="K117" i="145"/>
  <c r="AG116" i="145"/>
  <c r="AC116" i="145"/>
  <c r="X116" i="145"/>
  <c r="T116" i="145"/>
  <c r="O116" i="145"/>
  <c r="K116" i="145"/>
  <c r="AG115" i="145"/>
  <c r="AC115" i="145"/>
  <c r="X115" i="145"/>
  <c r="T115" i="145"/>
  <c r="O115" i="145"/>
  <c r="K115" i="145"/>
  <c r="AG114" i="145"/>
  <c r="AC114" i="145"/>
  <c r="X114" i="145"/>
  <c r="T114" i="145"/>
  <c r="O114" i="145"/>
  <c r="K114" i="145"/>
  <c r="AG113" i="145"/>
  <c r="AC113" i="145"/>
  <c r="X113" i="145"/>
  <c r="T113" i="145"/>
  <c r="O113" i="145"/>
  <c r="K113" i="145"/>
  <c r="AG112" i="145"/>
  <c r="AA112" i="145"/>
  <c r="AC112" i="145" s="1"/>
  <c r="X112" i="145"/>
  <c r="T112" i="145"/>
  <c r="O112" i="145"/>
  <c r="K112" i="145"/>
  <c r="AE111" i="145"/>
  <c r="AG111" i="145" s="1"/>
  <c r="AA111" i="145"/>
  <c r="AC111" i="145" s="1"/>
  <c r="X111" i="145"/>
  <c r="T111" i="145"/>
  <c r="O111" i="145"/>
  <c r="K111" i="145"/>
  <c r="AG110" i="145"/>
  <c r="AA110" i="145"/>
  <c r="AC110" i="145" s="1"/>
  <c r="X110" i="145"/>
  <c r="T110" i="145"/>
  <c r="O110" i="145"/>
  <c r="K110" i="145"/>
  <c r="AG109" i="145"/>
  <c r="AC109" i="145"/>
  <c r="X109" i="145"/>
  <c r="T109" i="145"/>
  <c r="O109" i="145"/>
  <c r="K109" i="145"/>
  <c r="AG108" i="145"/>
  <c r="AC108" i="145"/>
  <c r="X108" i="145"/>
  <c r="T108" i="145"/>
  <c r="O108" i="145"/>
  <c r="K108" i="145"/>
  <c r="AE107" i="145"/>
  <c r="AG107" i="145" s="1"/>
  <c r="AA107" i="145"/>
  <c r="AC107" i="145" s="1"/>
  <c r="X107" i="145"/>
  <c r="T107" i="145"/>
  <c r="O107" i="145"/>
  <c r="K107" i="145"/>
  <c r="AG106" i="145"/>
  <c r="AC106" i="145"/>
  <c r="X106" i="145"/>
  <c r="T106" i="145"/>
  <c r="O106" i="145"/>
  <c r="K106" i="145"/>
  <c r="AG105" i="145"/>
  <c r="AC105" i="145"/>
  <c r="X105" i="145"/>
  <c r="T105" i="145"/>
  <c r="O105" i="145"/>
  <c r="K105" i="145"/>
  <c r="AG104" i="145"/>
  <c r="AC104" i="145"/>
  <c r="X104" i="145"/>
  <c r="T104" i="145"/>
  <c r="O104" i="145"/>
  <c r="K104" i="145"/>
  <c r="AG103" i="145"/>
  <c r="AC103" i="145"/>
  <c r="X103" i="145"/>
  <c r="T103" i="145"/>
  <c r="O103" i="145"/>
  <c r="K103" i="145"/>
  <c r="AG102" i="145"/>
  <c r="AC102" i="145"/>
  <c r="X102" i="145"/>
  <c r="T102" i="145"/>
  <c r="O102" i="145"/>
  <c r="K102" i="145"/>
  <c r="AG101" i="145"/>
  <c r="AA101" i="145"/>
  <c r="AC101" i="145" s="1"/>
  <c r="X101" i="145"/>
  <c r="T101" i="145"/>
  <c r="O101" i="145"/>
  <c r="K101" i="145"/>
  <c r="AG100" i="145"/>
  <c r="AC100" i="145"/>
  <c r="X100" i="145"/>
  <c r="T100" i="145"/>
  <c r="O100" i="145"/>
  <c r="K100" i="145"/>
  <c r="AG99" i="145"/>
  <c r="AA99" i="145"/>
  <c r="AC99" i="145" s="1"/>
  <c r="X99" i="145"/>
  <c r="T99" i="145"/>
  <c r="O99" i="145"/>
  <c r="K99" i="145"/>
  <c r="E99" i="145"/>
  <c r="AG98" i="145"/>
  <c r="AC98" i="145"/>
  <c r="X98" i="145"/>
  <c r="T98" i="145"/>
  <c r="O98" i="145"/>
  <c r="K98" i="145"/>
  <c r="AE97" i="145"/>
  <c r="AG97" i="145" s="1"/>
  <c r="AA97" i="145"/>
  <c r="AC97" i="145" s="1"/>
  <c r="X97" i="145"/>
  <c r="T97" i="145"/>
  <c r="O97" i="145"/>
  <c r="K97" i="145"/>
  <c r="AG96" i="145"/>
  <c r="AC96" i="145"/>
  <c r="X96" i="145"/>
  <c r="T96" i="145"/>
  <c r="O96" i="145"/>
  <c r="K96" i="145"/>
  <c r="AG95" i="145"/>
  <c r="AC95" i="145"/>
  <c r="X95" i="145"/>
  <c r="T95" i="145"/>
  <c r="O95" i="145"/>
  <c r="K95" i="145"/>
  <c r="AG94" i="145"/>
  <c r="AC94" i="145"/>
  <c r="X94" i="145"/>
  <c r="T94" i="145"/>
  <c r="O94" i="145"/>
  <c r="K94" i="145"/>
  <c r="AG93" i="145"/>
  <c r="AC93" i="145"/>
  <c r="X93" i="145"/>
  <c r="T93" i="145"/>
  <c r="O93" i="145"/>
  <c r="K93" i="145"/>
  <c r="AG92" i="145"/>
  <c r="AC92" i="145"/>
  <c r="X92" i="145"/>
  <c r="T92" i="145"/>
  <c r="O92" i="145"/>
  <c r="K92" i="145"/>
  <c r="AG91" i="145"/>
  <c r="AA91" i="145"/>
  <c r="AC91" i="145" s="1"/>
  <c r="X91" i="145"/>
  <c r="T91" i="145"/>
  <c r="O91" i="145"/>
  <c r="K91" i="145"/>
  <c r="AG90" i="145"/>
  <c r="AC90" i="145"/>
  <c r="X90" i="145"/>
  <c r="T90" i="145"/>
  <c r="O90" i="145"/>
  <c r="K90" i="145"/>
  <c r="AG89" i="145"/>
  <c r="AC89" i="145"/>
  <c r="X89" i="145"/>
  <c r="T89" i="145"/>
  <c r="O89" i="145"/>
  <c r="K89" i="145"/>
  <c r="AG88" i="145"/>
  <c r="AA88" i="145"/>
  <c r="AC88" i="145" s="1"/>
  <c r="X88" i="145"/>
  <c r="T88" i="145"/>
  <c r="O88" i="145"/>
  <c r="K88" i="145"/>
  <c r="AE87" i="145"/>
  <c r="AG87" i="145" s="1"/>
  <c r="AA87" i="145"/>
  <c r="AC87" i="145" s="1"/>
  <c r="X87" i="145"/>
  <c r="T87" i="145"/>
  <c r="O87" i="145"/>
  <c r="K87" i="145"/>
  <c r="AE86" i="145"/>
  <c r="AG86" i="145" s="1"/>
  <c r="AA86" i="145"/>
  <c r="AC86" i="145" s="1"/>
  <c r="X86" i="145"/>
  <c r="T86" i="145"/>
  <c r="O86" i="145"/>
  <c r="K86" i="145"/>
  <c r="AG85" i="145"/>
  <c r="AC85" i="145"/>
  <c r="X85" i="145"/>
  <c r="T85" i="145"/>
  <c r="O85" i="145"/>
  <c r="K85" i="145"/>
  <c r="AG84" i="145"/>
  <c r="AC84" i="145"/>
  <c r="X84" i="145"/>
  <c r="T84" i="145"/>
  <c r="O84" i="145"/>
  <c r="K84" i="145"/>
  <c r="AG83" i="145"/>
  <c r="AC83" i="145"/>
  <c r="X83" i="145"/>
  <c r="T83" i="145"/>
  <c r="O83" i="145"/>
  <c r="K83" i="145"/>
  <c r="AG82" i="145"/>
  <c r="AC82" i="145"/>
  <c r="X82" i="145"/>
  <c r="T82" i="145"/>
  <c r="O82" i="145"/>
  <c r="K82" i="145"/>
  <c r="AG81" i="145"/>
  <c r="AC81" i="145"/>
  <c r="X81" i="145"/>
  <c r="T81" i="145"/>
  <c r="O81" i="145"/>
  <c r="K81" i="145"/>
  <c r="AG80" i="145"/>
  <c r="AC80" i="145"/>
  <c r="X80" i="145"/>
  <c r="T80" i="145"/>
  <c r="O80" i="145"/>
  <c r="K80" i="145"/>
  <c r="AG79" i="145"/>
  <c r="AA79" i="145"/>
  <c r="AC79" i="145" s="1"/>
  <c r="X79" i="145"/>
  <c r="T79" i="145"/>
  <c r="O79" i="145"/>
  <c r="K79" i="145"/>
  <c r="AG78" i="145"/>
  <c r="AC78" i="145"/>
  <c r="X78" i="145"/>
  <c r="T78" i="145"/>
  <c r="O78" i="145"/>
  <c r="K78" i="145"/>
  <c r="AE77" i="145"/>
  <c r="AG77" i="145" s="1"/>
  <c r="AA77" i="145"/>
  <c r="AC77" i="145" s="1"/>
  <c r="X77" i="145"/>
  <c r="T77" i="145"/>
  <c r="O77" i="145"/>
  <c r="K77" i="145"/>
  <c r="AE76" i="145"/>
  <c r="AG76" i="145" s="1"/>
  <c r="AA76" i="145"/>
  <c r="AC76" i="145" s="1"/>
  <c r="X76" i="145"/>
  <c r="T76" i="145"/>
  <c r="O76" i="145"/>
  <c r="K76" i="145"/>
  <c r="AG75" i="145"/>
  <c r="AC75" i="145"/>
  <c r="X75" i="145"/>
  <c r="T75" i="145"/>
  <c r="O75" i="145"/>
  <c r="K75" i="145"/>
  <c r="AG74" i="145"/>
  <c r="AC74" i="145"/>
  <c r="X74" i="145"/>
  <c r="T74" i="145"/>
  <c r="O74" i="145"/>
  <c r="K74" i="145"/>
  <c r="AG73" i="145"/>
  <c r="AC73" i="145"/>
  <c r="X73" i="145"/>
  <c r="T73" i="145"/>
  <c r="O73" i="145"/>
  <c r="K73" i="145"/>
  <c r="AG72" i="145"/>
  <c r="AC72" i="145"/>
  <c r="X72" i="145"/>
  <c r="T72" i="145"/>
  <c r="O72" i="145"/>
  <c r="K72" i="145"/>
  <c r="AG71" i="145"/>
  <c r="AC71" i="145"/>
  <c r="X71" i="145"/>
  <c r="T71" i="145"/>
  <c r="O71" i="145"/>
  <c r="K71" i="145"/>
  <c r="AG70" i="145"/>
  <c r="AC70" i="145"/>
  <c r="X70" i="145"/>
  <c r="T70" i="145"/>
  <c r="O70" i="145"/>
  <c r="K70" i="145"/>
  <c r="AG69" i="145"/>
  <c r="AC69" i="145"/>
  <c r="X69" i="145"/>
  <c r="T69" i="145"/>
  <c r="O69" i="145"/>
  <c r="K69" i="145"/>
  <c r="AG68" i="145"/>
  <c r="AC68" i="145"/>
  <c r="X68" i="145"/>
  <c r="T68" i="145"/>
  <c r="O68" i="145"/>
  <c r="K68" i="145"/>
  <c r="AG67" i="145"/>
  <c r="AC67" i="145"/>
  <c r="X67" i="145"/>
  <c r="T67" i="145"/>
  <c r="O67" i="145"/>
  <c r="K67" i="145"/>
  <c r="AG66" i="145"/>
  <c r="AC66" i="145"/>
  <c r="X66" i="145"/>
  <c r="T66" i="145"/>
  <c r="O66" i="145"/>
  <c r="K66" i="145"/>
  <c r="AE65" i="145"/>
  <c r="AG65" i="145" s="1"/>
  <c r="AA65" i="145"/>
  <c r="AC65" i="145" s="1"/>
  <c r="X65" i="145"/>
  <c r="T65" i="145"/>
  <c r="O65" i="145"/>
  <c r="K65" i="145"/>
  <c r="AG64" i="145"/>
  <c r="AC64" i="145"/>
  <c r="X64" i="145"/>
  <c r="T64" i="145"/>
  <c r="O64" i="145"/>
  <c r="K64" i="145"/>
  <c r="AG63" i="145"/>
  <c r="AC63" i="145"/>
  <c r="X63" i="145"/>
  <c r="T63" i="145"/>
  <c r="O63" i="145"/>
  <c r="K63" i="145"/>
  <c r="AG62" i="145"/>
  <c r="AC62" i="145"/>
  <c r="X62" i="145"/>
  <c r="T62" i="145"/>
  <c r="O62" i="145"/>
  <c r="K62" i="145"/>
  <c r="E62" i="145"/>
  <c r="AG61" i="145"/>
  <c r="AC61" i="145"/>
  <c r="X61" i="145"/>
  <c r="T61" i="145"/>
  <c r="O61" i="145"/>
  <c r="K61" i="145"/>
  <c r="AG60" i="145"/>
  <c r="AC60" i="145"/>
  <c r="X60" i="145"/>
  <c r="T60" i="145"/>
  <c r="O60" i="145"/>
  <c r="K60" i="145"/>
  <c r="AG59" i="145"/>
  <c r="AC59" i="145"/>
  <c r="X59" i="145"/>
  <c r="T59" i="145"/>
  <c r="O59" i="145"/>
  <c r="K59" i="145"/>
  <c r="AG58" i="145"/>
  <c r="AC58" i="145"/>
  <c r="X58" i="145"/>
  <c r="T58" i="145"/>
  <c r="O58" i="145"/>
  <c r="K58" i="145"/>
  <c r="AG57" i="145"/>
  <c r="AC57" i="145"/>
  <c r="X57" i="145"/>
  <c r="T57" i="145"/>
  <c r="O57" i="145"/>
  <c r="K57" i="145"/>
  <c r="AG56" i="145"/>
  <c r="AC56" i="145"/>
  <c r="X56" i="145"/>
  <c r="T56" i="145"/>
  <c r="O56" i="145"/>
  <c r="K56" i="145"/>
  <c r="AG55" i="145"/>
  <c r="AC55" i="145"/>
  <c r="X55" i="145"/>
  <c r="T55" i="145"/>
  <c r="O55" i="145"/>
  <c r="K55" i="145"/>
  <c r="AG54" i="145"/>
  <c r="AC54" i="145"/>
  <c r="X54" i="145"/>
  <c r="T54" i="145"/>
  <c r="O54" i="145"/>
  <c r="K54" i="145"/>
  <c r="AE53" i="145"/>
  <c r="AG53" i="145" s="1"/>
  <c r="AA53" i="145"/>
  <c r="AC53" i="145" s="1"/>
  <c r="X53" i="145"/>
  <c r="T53" i="145"/>
  <c r="O53" i="145"/>
  <c r="K53" i="145"/>
  <c r="AG52" i="145"/>
  <c r="AC52" i="145"/>
  <c r="X52" i="145"/>
  <c r="T52" i="145"/>
  <c r="O52" i="145"/>
  <c r="K52" i="145"/>
  <c r="AG51" i="145"/>
  <c r="AC51" i="145"/>
  <c r="X51" i="145"/>
  <c r="T51" i="145"/>
  <c r="O51" i="145"/>
  <c r="K51" i="145"/>
  <c r="AG50" i="145"/>
  <c r="AC50" i="145"/>
  <c r="W50" i="145"/>
  <c r="X50" i="145" s="1"/>
  <c r="T50" i="145"/>
  <c r="N50" i="145"/>
  <c r="O50" i="145" s="1"/>
  <c r="K50" i="145"/>
  <c r="AG49" i="145"/>
  <c r="AC49" i="145"/>
  <c r="X49" i="145"/>
  <c r="T49" i="145"/>
  <c r="O49" i="145"/>
  <c r="K49" i="145"/>
  <c r="AG48" i="145"/>
  <c r="AC48" i="145"/>
  <c r="X48" i="145"/>
  <c r="T48" i="145"/>
  <c r="O48" i="145"/>
  <c r="K48" i="145"/>
  <c r="AG47" i="145"/>
  <c r="AC47" i="145"/>
  <c r="X47" i="145"/>
  <c r="T47" i="145"/>
  <c r="O47" i="145"/>
  <c r="K47" i="145"/>
  <c r="AG46" i="145"/>
  <c r="AC46" i="145"/>
  <c r="X46" i="145"/>
  <c r="T46" i="145"/>
  <c r="O46" i="145"/>
  <c r="K46" i="145"/>
  <c r="AG45" i="145"/>
  <c r="AC45" i="145"/>
  <c r="X45" i="145"/>
  <c r="T45" i="145"/>
  <c r="O45" i="145"/>
  <c r="K45" i="145"/>
  <c r="AG44" i="145"/>
  <c r="AC44" i="145"/>
  <c r="X44" i="145"/>
  <c r="T44" i="145"/>
  <c r="O44" i="145"/>
  <c r="K44" i="145"/>
  <c r="AG43" i="145"/>
  <c r="AC43" i="145"/>
  <c r="X43" i="145"/>
  <c r="T43" i="145"/>
  <c r="O43" i="145"/>
  <c r="K43" i="145"/>
  <c r="AG42" i="145"/>
  <c r="AC42" i="145"/>
  <c r="X42" i="145"/>
  <c r="T42" i="145"/>
  <c r="O42" i="145"/>
  <c r="K42" i="145"/>
  <c r="AG41" i="145"/>
  <c r="AC41" i="145"/>
  <c r="X41" i="145"/>
  <c r="T41" i="145"/>
  <c r="O41" i="145"/>
  <c r="K41" i="145"/>
  <c r="AG40" i="145"/>
  <c r="AC40" i="145"/>
  <c r="X40" i="145"/>
  <c r="T40" i="145"/>
  <c r="O40" i="145"/>
  <c r="K40" i="145"/>
  <c r="AG39" i="145"/>
  <c r="AC39" i="145"/>
  <c r="X39" i="145"/>
  <c r="T39" i="145"/>
  <c r="O39" i="145"/>
  <c r="K39" i="145"/>
  <c r="AG38" i="145"/>
  <c r="AC38" i="145"/>
  <c r="X38" i="145"/>
  <c r="T38" i="145"/>
  <c r="O38" i="145"/>
  <c r="K38" i="145"/>
  <c r="AG37" i="145"/>
  <c r="AC37" i="145"/>
  <c r="X37" i="145"/>
  <c r="T37" i="145"/>
  <c r="O37" i="145"/>
  <c r="K37" i="145"/>
  <c r="AG36" i="145"/>
  <c r="AC36" i="145"/>
  <c r="X36" i="145"/>
  <c r="T36" i="145"/>
  <c r="O36" i="145"/>
  <c r="K36" i="145"/>
  <c r="AG35" i="145"/>
  <c r="AC35" i="145"/>
  <c r="X35" i="145"/>
  <c r="T35" i="145"/>
  <c r="O35" i="145"/>
  <c r="K35" i="145"/>
  <c r="AE34" i="145"/>
  <c r="AG34" i="145" s="1"/>
  <c r="AA34" i="145"/>
  <c r="AC34" i="145" s="1"/>
  <c r="X34" i="145"/>
  <c r="T34" i="145"/>
  <c r="O34" i="145"/>
  <c r="K34" i="145"/>
  <c r="AG33" i="145"/>
  <c r="AC33" i="145"/>
  <c r="X33" i="145"/>
  <c r="T33" i="145"/>
  <c r="O33" i="145"/>
  <c r="K33" i="145"/>
  <c r="AG32" i="145"/>
  <c r="AC32" i="145"/>
  <c r="X32" i="145"/>
  <c r="T32" i="145"/>
  <c r="O32" i="145"/>
  <c r="K32" i="145"/>
  <c r="AG31" i="145"/>
  <c r="AC31" i="145"/>
  <c r="W31" i="145"/>
  <c r="X31" i="145" s="1"/>
  <c r="T31" i="145"/>
  <c r="N31" i="145"/>
  <c r="O31" i="145" s="1"/>
  <c r="K31" i="145"/>
  <c r="AG30" i="145"/>
  <c r="AC30" i="145"/>
  <c r="X30" i="145"/>
  <c r="T30" i="145"/>
  <c r="O30" i="145"/>
  <c r="K30" i="145"/>
  <c r="AG29" i="145"/>
  <c r="AC29" i="145"/>
  <c r="X29" i="145"/>
  <c r="T29" i="145"/>
  <c r="O29" i="145"/>
  <c r="K29" i="145"/>
  <c r="AG28" i="145"/>
  <c r="AC28" i="145"/>
  <c r="X28" i="145"/>
  <c r="T28" i="145"/>
  <c r="O28" i="145"/>
  <c r="K28" i="145"/>
  <c r="AG27" i="145"/>
  <c r="AC27" i="145"/>
  <c r="X27" i="145"/>
  <c r="T27" i="145"/>
  <c r="O27" i="145"/>
  <c r="K27" i="145"/>
  <c r="AG26" i="145"/>
  <c r="AC26" i="145"/>
  <c r="X26" i="145"/>
  <c r="T26" i="145"/>
  <c r="O26" i="145"/>
  <c r="K26" i="145"/>
  <c r="AG25" i="145"/>
  <c r="AC25" i="145"/>
  <c r="X25" i="145"/>
  <c r="T25" i="145"/>
  <c r="O25" i="145"/>
  <c r="K25" i="145"/>
  <c r="AG24" i="145"/>
  <c r="AC24" i="145"/>
  <c r="X24" i="145"/>
  <c r="T24" i="145"/>
  <c r="O24" i="145"/>
  <c r="K24" i="145"/>
  <c r="AE23" i="145"/>
  <c r="AG23" i="145" s="1"/>
  <c r="AA23" i="145"/>
  <c r="AC23" i="145" s="1"/>
  <c r="X23" i="145"/>
  <c r="T23" i="145"/>
  <c r="O23" i="145"/>
  <c r="K23" i="145"/>
  <c r="AG22" i="145"/>
  <c r="AC22" i="145"/>
  <c r="X22" i="145"/>
  <c r="T22" i="145"/>
  <c r="O22" i="145"/>
  <c r="K22" i="145"/>
  <c r="AG21" i="145"/>
  <c r="AC21" i="145"/>
  <c r="X21" i="145"/>
  <c r="T21" i="145"/>
  <c r="O21" i="145"/>
  <c r="K21" i="145"/>
  <c r="AG20" i="145"/>
  <c r="AC20" i="145"/>
  <c r="W20" i="145"/>
  <c r="X20" i="145" s="1"/>
  <c r="T20" i="145"/>
  <c r="N20" i="145"/>
  <c r="O20" i="145" s="1"/>
  <c r="K20" i="145"/>
  <c r="AG19" i="145"/>
  <c r="AC19" i="145"/>
  <c r="X19" i="145"/>
  <c r="T19" i="145"/>
  <c r="O19" i="145"/>
  <c r="K19" i="145"/>
  <c r="AG18" i="145"/>
  <c r="AC18" i="145"/>
  <c r="X18" i="145"/>
  <c r="T18" i="145"/>
  <c r="O18" i="145"/>
  <c r="K18" i="145"/>
  <c r="AG17" i="145"/>
  <c r="AC17" i="145"/>
  <c r="X17" i="145"/>
  <c r="T17" i="145"/>
  <c r="O17" i="145"/>
  <c r="K17" i="145"/>
  <c r="AQ15" i="145"/>
  <c r="AR15" i="145" s="1"/>
  <c r="AC179" i="146" l="1"/>
  <c r="AG179" i="146"/>
  <c r="AR17" i="146"/>
  <c r="AQ179" i="146"/>
  <c r="K179" i="146"/>
  <c r="O179" i="146"/>
  <c r="T179" i="146"/>
  <c r="X179" i="146"/>
  <c r="K127" i="147"/>
  <c r="O127" i="147"/>
  <c r="T127" i="147"/>
  <c r="X127" i="147"/>
  <c r="AC127" i="147"/>
  <c r="AG127" i="147"/>
  <c r="AR17" i="147"/>
  <c r="AR127" i="147" s="1"/>
  <c r="AQ127" i="147"/>
  <c r="F135" i="147" s="1"/>
  <c r="E133" i="147"/>
  <c r="G133" i="147" s="1"/>
  <c r="P25" i="147"/>
  <c r="Y47" i="147"/>
  <c r="AH52" i="147"/>
  <c r="P27" i="147"/>
  <c r="Y22" i="147"/>
  <c r="P24" i="147"/>
  <c r="AH32" i="147"/>
  <c r="Y34" i="147"/>
  <c r="P36" i="147"/>
  <c r="AH44" i="147"/>
  <c r="Y46" i="147"/>
  <c r="AH35" i="147"/>
  <c r="Y49" i="147"/>
  <c r="AH50" i="147"/>
  <c r="P39" i="147"/>
  <c r="AO254" i="145"/>
  <c r="F261" i="145" s="1"/>
  <c r="AH51" i="147"/>
  <c r="P21" i="147"/>
  <c r="P45" i="147"/>
  <c r="Y52" i="147"/>
  <c r="P42" i="147"/>
  <c r="P51" i="147"/>
  <c r="AH49" i="147"/>
  <c r="AH39" i="147"/>
  <c r="P50" i="147"/>
  <c r="P26" i="147"/>
  <c r="Y50" i="147"/>
  <c r="P52" i="147"/>
  <c r="AH21" i="147"/>
  <c r="P32" i="147"/>
  <c r="AH37" i="147"/>
  <c r="Y51" i="147"/>
  <c r="AH45" i="147"/>
  <c r="P35" i="147"/>
  <c r="Y48" i="147"/>
  <c r="Y17" i="147"/>
  <c r="E134" i="147"/>
  <c r="G134" i="147" s="1"/>
  <c r="P30" i="147"/>
  <c r="AH22" i="147"/>
  <c r="AH27" i="147"/>
  <c r="Y41" i="147"/>
  <c r="AH19" i="147"/>
  <c r="P23" i="147"/>
  <c r="Y26" i="147"/>
  <c r="Y31" i="147"/>
  <c r="AH41" i="147"/>
  <c r="P22" i="147"/>
  <c r="Y25" i="147"/>
  <c r="AH33" i="147"/>
  <c r="Y35" i="147"/>
  <c r="P37" i="147"/>
  <c r="AH20" i="147"/>
  <c r="P47" i="147"/>
  <c r="AH48" i="147"/>
  <c r="AH28" i="147"/>
  <c r="AH25" i="147"/>
  <c r="Y27" i="147"/>
  <c r="AH30" i="147"/>
  <c r="Y32" i="147"/>
  <c r="AH17" i="147"/>
  <c r="P29" i="147"/>
  <c r="AH42" i="147"/>
  <c r="Y44" i="147"/>
  <c r="AH24" i="147"/>
  <c r="Y18" i="147"/>
  <c r="Y23" i="147"/>
  <c r="AH26" i="147"/>
  <c r="P28" i="147"/>
  <c r="P33" i="147"/>
  <c r="AH36" i="147"/>
  <c r="Y38" i="147"/>
  <c r="AH18" i="147"/>
  <c r="AH23" i="147"/>
  <c r="P22" i="146"/>
  <c r="AH30" i="146"/>
  <c r="Y32" i="146"/>
  <c r="AH46" i="146"/>
  <c r="Y47" i="146"/>
  <c r="P21" i="146"/>
  <c r="Y34" i="146"/>
  <c r="P45" i="146"/>
  <c r="Y45" i="146"/>
  <c r="P44" i="146"/>
  <c r="P46" i="146"/>
  <c r="P43" i="146"/>
  <c r="AH44" i="146"/>
  <c r="Y46" i="146"/>
  <c r="P19" i="146"/>
  <c r="AH43" i="146"/>
  <c r="AH45" i="146"/>
  <c r="P47" i="146"/>
  <c r="Y44" i="146"/>
  <c r="AH35" i="146"/>
  <c r="Y37" i="146"/>
  <c r="AH47" i="146"/>
  <c r="P17" i="146"/>
  <c r="Y43" i="146"/>
  <c r="Y28" i="146"/>
  <c r="AH38" i="146"/>
  <c r="AH20" i="146"/>
  <c r="P29" i="146"/>
  <c r="AH37" i="146"/>
  <c r="AH19" i="146"/>
  <c r="AH36" i="146"/>
  <c r="AH41" i="146"/>
  <c r="Y27" i="146"/>
  <c r="P37" i="146"/>
  <c r="P42" i="146"/>
  <c r="AH42" i="146"/>
  <c r="Y26" i="146"/>
  <c r="P28" i="146"/>
  <c r="P31" i="146"/>
  <c r="P23" i="146"/>
  <c r="Y31" i="146"/>
  <c r="Y36" i="146"/>
  <c r="Y138" i="145"/>
  <c r="Y141" i="145"/>
  <c r="AH140" i="145"/>
  <c r="P140" i="145"/>
  <c r="AQ134" i="145"/>
  <c r="P32" i="145"/>
  <c r="AH35" i="145"/>
  <c r="P42" i="145"/>
  <c r="Y43" i="145"/>
  <c r="AH138" i="145"/>
  <c r="AQ140" i="145"/>
  <c r="Y70" i="145"/>
  <c r="AH71" i="145"/>
  <c r="P142" i="145"/>
  <c r="AH133" i="145"/>
  <c r="Y140" i="145"/>
  <c r="P139" i="145"/>
  <c r="Y142" i="145"/>
  <c r="P108" i="145"/>
  <c r="Y110" i="145"/>
  <c r="AH111" i="145"/>
  <c r="AH141" i="145"/>
  <c r="AH80" i="145"/>
  <c r="P138" i="145"/>
  <c r="AH142" i="145"/>
  <c r="Y108" i="145"/>
  <c r="AH110" i="145"/>
  <c r="Y136" i="145"/>
  <c r="Y134" i="145"/>
  <c r="Y135" i="145"/>
  <c r="AH123" i="145"/>
  <c r="P127" i="145"/>
  <c r="P137" i="145"/>
  <c r="P141" i="145"/>
  <c r="AH128" i="145"/>
  <c r="P136" i="145"/>
  <c r="AH137" i="145"/>
  <c r="AH136" i="145"/>
  <c r="AQ138" i="145"/>
  <c r="AH135" i="145"/>
  <c r="Y94" i="145"/>
  <c r="AH113" i="145"/>
  <c r="AQ142" i="145"/>
  <c r="Y139" i="145"/>
  <c r="AH125" i="145"/>
  <c r="AQ135" i="145"/>
  <c r="AH139" i="145"/>
  <c r="P110" i="145"/>
  <c r="Y130" i="145"/>
  <c r="AH132" i="145"/>
  <c r="Y18" i="145"/>
  <c r="Y54" i="145"/>
  <c r="AH55" i="145"/>
  <c r="P70" i="145"/>
  <c r="AH129" i="145"/>
  <c r="AQ137" i="145"/>
  <c r="P88" i="145"/>
  <c r="Y89" i="145"/>
  <c r="AH91" i="145"/>
  <c r="P134" i="145"/>
  <c r="AH119" i="145"/>
  <c r="AH126" i="145"/>
  <c r="P135" i="145"/>
  <c r="AQ136" i="145"/>
  <c r="AQ141" i="145"/>
  <c r="P23" i="145"/>
  <c r="P102" i="145"/>
  <c r="Y104" i="145"/>
  <c r="AQ139" i="145"/>
  <c r="P38" i="145"/>
  <c r="Y40" i="145"/>
  <c r="P47" i="145"/>
  <c r="Y49" i="145"/>
  <c r="P94" i="145"/>
  <c r="AH105" i="145"/>
  <c r="P131" i="145"/>
  <c r="Y133" i="145"/>
  <c r="P74" i="145"/>
  <c r="Y76" i="145"/>
  <c r="AH77" i="145"/>
  <c r="AH134" i="145"/>
  <c r="Y137" i="145"/>
  <c r="Y52" i="145"/>
  <c r="AH25" i="145"/>
  <c r="Y51" i="145"/>
  <c r="P125" i="145"/>
  <c r="P111" i="145"/>
  <c r="P18" i="145"/>
  <c r="Y55" i="145"/>
  <c r="AH33" i="145"/>
  <c r="P40" i="145"/>
  <c r="Y60" i="145"/>
  <c r="AQ71" i="145"/>
  <c r="AH79" i="145"/>
  <c r="AH89" i="145"/>
  <c r="Y114" i="145"/>
  <c r="P20" i="145"/>
  <c r="P36" i="145"/>
  <c r="Y46" i="145"/>
  <c r="P64" i="145"/>
  <c r="P81" i="145"/>
  <c r="Y83" i="145"/>
  <c r="P122" i="145"/>
  <c r="P26" i="145"/>
  <c r="AH27" i="145"/>
  <c r="P43" i="145"/>
  <c r="AH74" i="145"/>
  <c r="P80" i="145"/>
  <c r="Y81" i="145"/>
  <c r="AH83" i="145"/>
  <c r="AH84" i="145"/>
  <c r="AH93" i="145"/>
  <c r="AH45" i="145"/>
  <c r="AH19" i="145"/>
  <c r="Y128" i="145"/>
  <c r="AQ18" i="145"/>
  <c r="P30" i="145"/>
  <c r="AQ36" i="145"/>
  <c r="P41" i="145"/>
  <c r="P51" i="145"/>
  <c r="AH64" i="145"/>
  <c r="AH72" i="145"/>
  <c r="AH82" i="145"/>
  <c r="Y91" i="145"/>
  <c r="Y115" i="145"/>
  <c r="AQ26" i="145"/>
  <c r="Y41" i="145"/>
  <c r="AH90" i="145"/>
  <c r="AH114" i="145"/>
  <c r="P21" i="145"/>
  <c r="Y22" i="145"/>
  <c r="P46" i="145"/>
  <c r="Y48" i="145"/>
  <c r="AH51" i="145"/>
  <c r="AH52" i="145"/>
  <c r="AH62" i="145"/>
  <c r="AH69" i="145"/>
  <c r="P76" i="145"/>
  <c r="Y77" i="145"/>
  <c r="Y21" i="145"/>
  <c r="AH29" i="145"/>
  <c r="Y57" i="145"/>
  <c r="AH59" i="145"/>
  <c r="AH60" i="145"/>
  <c r="Y67" i="145"/>
  <c r="AH68" i="145"/>
  <c r="AH78" i="145"/>
  <c r="AQ102" i="145"/>
  <c r="P109" i="145"/>
  <c r="AH112" i="145"/>
  <c r="P121" i="145"/>
  <c r="P128" i="145"/>
  <c r="P130" i="145"/>
  <c r="Y20" i="145"/>
  <c r="AH21" i="145"/>
  <c r="P44" i="145"/>
  <c r="P65" i="145"/>
  <c r="Y66" i="145"/>
  <c r="AH67" i="145"/>
  <c r="P83" i="145"/>
  <c r="P92" i="145"/>
  <c r="P93" i="145"/>
  <c r="Y96" i="145"/>
  <c r="P117" i="145"/>
  <c r="AH122" i="145"/>
  <c r="P126" i="145"/>
  <c r="Y131" i="145"/>
  <c r="Y17" i="145"/>
  <c r="AQ38" i="145"/>
  <c r="AH56" i="145"/>
  <c r="Y73" i="145"/>
  <c r="AH75" i="145"/>
  <c r="P91" i="145"/>
  <c r="Y117" i="145"/>
  <c r="AH131" i="145"/>
  <c r="AH107" i="145"/>
  <c r="Y33" i="145"/>
  <c r="AQ130" i="145"/>
  <c r="AQ133" i="145"/>
  <c r="P29" i="145"/>
  <c r="Y32" i="145"/>
  <c r="AH34" i="145"/>
  <c r="Y44" i="145"/>
  <c r="P55" i="145"/>
  <c r="AQ65" i="145"/>
  <c r="P67" i="145"/>
  <c r="AQ73" i="145"/>
  <c r="AH99" i="145"/>
  <c r="P105" i="145"/>
  <c r="P106" i="145"/>
  <c r="Y109" i="145"/>
  <c r="AQ114" i="145"/>
  <c r="AQ118" i="145"/>
  <c r="AQ126" i="145"/>
  <c r="E254" i="145"/>
  <c r="E263" i="145" s="1"/>
  <c r="Y122" i="145"/>
  <c r="Y123" i="145"/>
  <c r="P133" i="145"/>
  <c r="P19" i="145"/>
  <c r="Y23" i="145"/>
  <c r="P28" i="145"/>
  <c r="AQ35" i="145"/>
  <c r="AH57" i="145"/>
  <c r="AQ60" i="145"/>
  <c r="P87" i="145"/>
  <c r="AH92" i="145"/>
  <c r="AH94" i="145"/>
  <c r="P103" i="145"/>
  <c r="Y105" i="145"/>
  <c r="Y106" i="145"/>
  <c r="AH109" i="145"/>
  <c r="P118" i="145"/>
  <c r="P120" i="145"/>
  <c r="P132" i="145"/>
  <c r="AH23" i="145"/>
  <c r="AH24" i="145"/>
  <c r="P27" i="145"/>
  <c r="AH30" i="145"/>
  <c r="AH31" i="145"/>
  <c r="AQ34" i="145"/>
  <c r="P39" i="145"/>
  <c r="AQ63" i="145"/>
  <c r="P17" i="145"/>
  <c r="P50" i="145"/>
  <c r="Y87" i="145"/>
  <c r="Y88" i="145"/>
  <c r="P100" i="145"/>
  <c r="P101" i="145"/>
  <c r="Y102" i="145"/>
  <c r="AQ109" i="145"/>
  <c r="AQ111" i="145"/>
  <c r="P116" i="145"/>
  <c r="Y120" i="145"/>
  <c r="AP254" i="145"/>
  <c r="F262" i="145" s="1"/>
  <c r="AH18" i="145"/>
  <c r="AH20" i="145"/>
  <c r="AH22" i="145"/>
  <c r="Y27" i="145"/>
  <c r="AH42" i="145"/>
  <c r="P49" i="145"/>
  <c r="P52" i="145"/>
  <c r="P63" i="145"/>
  <c r="Y65" i="145"/>
  <c r="P73" i="145"/>
  <c r="Y86" i="145"/>
  <c r="AH88" i="145"/>
  <c r="Y101" i="145"/>
  <c r="AH104" i="145"/>
  <c r="AH17" i="145"/>
  <c r="AQ29" i="145"/>
  <c r="AQ43" i="145"/>
  <c r="P48" i="145"/>
  <c r="Y53" i="145"/>
  <c r="AH54" i="145"/>
  <c r="AQ57" i="145"/>
  <c r="P62" i="145"/>
  <c r="P71" i="145"/>
  <c r="P72" i="145"/>
  <c r="Y74" i="145"/>
  <c r="AH76" i="145"/>
  <c r="AH87" i="145"/>
  <c r="AQ91" i="145"/>
  <c r="AQ96" i="145"/>
  <c r="Y100" i="145"/>
  <c r="AH102" i="145"/>
  <c r="P112" i="145"/>
  <c r="P113" i="145"/>
  <c r="Y116" i="145"/>
  <c r="AH120" i="145"/>
  <c r="AQ122" i="145"/>
  <c r="AQ22" i="145"/>
  <c r="AQ28" i="145"/>
  <c r="Y84" i="145"/>
  <c r="P98" i="145"/>
  <c r="AH101" i="145"/>
  <c r="Y127" i="145"/>
  <c r="P25" i="145"/>
  <c r="Y26" i="145"/>
  <c r="P34" i="145"/>
  <c r="Y37" i="145"/>
  <c r="AH39" i="145"/>
  <c r="AQ42" i="145"/>
  <c r="Y50" i="145"/>
  <c r="Y63" i="145"/>
  <c r="AQ78" i="145"/>
  <c r="AQ87" i="145"/>
  <c r="AH100" i="145"/>
  <c r="AQ105" i="145"/>
  <c r="AH116" i="145"/>
  <c r="Y35" i="145"/>
  <c r="AH37" i="145"/>
  <c r="AQ41" i="145"/>
  <c r="Y47" i="145"/>
  <c r="AH49" i="145"/>
  <c r="AH63" i="145"/>
  <c r="AQ66" i="145"/>
  <c r="P69" i="145"/>
  <c r="Y72" i="145"/>
  <c r="AH73" i="145"/>
  <c r="Y97" i="145"/>
  <c r="Y99" i="145"/>
  <c r="Y111" i="145"/>
  <c r="AQ117" i="145"/>
  <c r="AQ131" i="145"/>
  <c r="P24" i="145"/>
  <c r="P31" i="145"/>
  <c r="AH36" i="145"/>
  <c r="AQ37" i="145"/>
  <c r="AH48" i="145"/>
  <c r="AQ49" i="145"/>
  <c r="Y69" i="145"/>
  <c r="Y80" i="145"/>
  <c r="Y95" i="145"/>
  <c r="AH98" i="145"/>
  <c r="AQ127" i="145"/>
  <c r="AQ128" i="145"/>
  <c r="AQ129" i="145"/>
  <c r="Y19" i="146"/>
  <c r="Y24" i="146"/>
  <c r="AH27" i="146"/>
  <c r="P34" i="146"/>
  <c r="AH21" i="146"/>
  <c r="Y23" i="146"/>
  <c r="P25" i="146"/>
  <c r="AH23" i="146"/>
  <c r="Y25" i="146"/>
  <c r="Y42" i="146"/>
  <c r="Y17" i="146"/>
  <c r="AH28" i="146"/>
  <c r="P30" i="146"/>
  <c r="Y39" i="146"/>
  <c r="P41" i="146"/>
  <c r="Y22" i="146"/>
  <c r="AH33" i="146"/>
  <c r="AH39" i="146"/>
  <c r="P20" i="147"/>
  <c r="Y29" i="147"/>
  <c r="AH38" i="147"/>
  <c r="P40" i="147"/>
  <c r="P43" i="147"/>
  <c r="P46" i="147"/>
  <c r="P17" i="147"/>
  <c r="Y20" i="147"/>
  <c r="AH29" i="147"/>
  <c r="P31" i="147"/>
  <c r="P34" i="147"/>
  <c r="Y40" i="147"/>
  <c r="Y43" i="147"/>
  <c r="AH47" i="147"/>
  <c r="P49" i="147"/>
  <c r="Y37" i="147"/>
  <c r="AH46" i="147"/>
  <c r="P19" i="147"/>
  <c r="Y28" i="147"/>
  <c r="AH40" i="147"/>
  <c r="AH43" i="147"/>
  <c r="Y45" i="147"/>
  <c r="Y19" i="147"/>
  <c r="AH31" i="147"/>
  <c r="AH34" i="147"/>
  <c r="Y36" i="147"/>
  <c r="P41" i="147"/>
  <c r="P44" i="147"/>
  <c r="P48" i="147"/>
  <c r="P38" i="147"/>
  <c r="P18" i="147"/>
  <c r="P18" i="146"/>
  <c r="AH26" i="146"/>
  <c r="Y29" i="146"/>
  <c r="P32" i="146"/>
  <c r="AH40" i="146"/>
  <c r="Y18" i="146"/>
  <c r="AH29" i="146"/>
  <c r="P35" i="146"/>
  <c r="P38" i="146"/>
  <c r="Y21" i="146"/>
  <c r="P24" i="146"/>
  <c r="AH32" i="146"/>
  <c r="Y35" i="146"/>
  <c r="AH18" i="146"/>
  <c r="AH25" i="146"/>
  <c r="P27" i="146"/>
  <c r="Y38" i="146"/>
  <c r="P20" i="146"/>
  <c r="Y20" i="146"/>
  <c r="AH24" i="146"/>
  <c r="AH31" i="146"/>
  <c r="P33" i="146"/>
  <c r="AR39" i="146"/>
  <c r="Y41" i="146"/>
  <c r="AH17" i="146"/>
  <c r="Y30" i="146"/>
  <c r="P26" i="146"/>
  <c r="Y33" i="146"/>
  <c r="P36" i="146"/>
  <c r="P40" i="146"/>
  <c r="AH26" i="145"/>
  <c r="AQ27" i="145"/>
  <c r="AQ44" i="145"/>
  <c r="AQ54" i="145"/>
  <c r="AQ56" i="145"/>
  <c r="P68" i="145"/>
  <c r="P78" i="145"/>
  <c r="T254" i="145"/>
  <c r="P99" i="145"/>
  <c r="P107" i="145"/>
  <c r="AH127" i="145"/>
  <c r="P57" i="145"/>
  <c r="P58" i="145"/>
  <c r="Y59" i="145"/>
  <c r="Y68" i="145"/>
  <c r="Y71" i="145"/>
  <c r="Y78" i="145"/>
  <c r="X254" i="145"/>
  <c r="AH85" i="145"/>
  <c r="AQ88" i="145"/>
  <c r="AQ89" i="145"/>
  <c r="AQ90" i="145"/>
  <c r="AQ93" i="145"/>
  <c r="AH95" i="145"/>
  <c r="AH96" i="145"/>
  <c r="Y103" i="145"/>
  <c r="Y107" i="145"/>
  <c r="P114" i="145"/>
  <c r="P115" i="145"/>
  <c r="P119" i="145"/>
  <c r="P123" i="145"/>
  <c r="P124" i="145"/>
  <c r="Y19" i="145"/>
  <c r="Y24" i="145"/>
  <c r="P33" i="145"/>
  <c r="P37" i="145"/>
  <c r="P45" i="145"/>
  <c r="Y58" i="145"/>
  <c r="Y61" i="145"/>
  <c r="Y62" i="145"/>
  <c r="Y64" i="145"/>
  <c r="P66" i="145"/>
  <c r="AQ132" i="145"/>
  <c r="Y75" i="145"/>
  <c r="AH81" i="145"/>
  <c r="AQ84" i="145"/>
  <c r="AH103" i="145"/>
  <c r="Y112" i="145"/>
  <c r="Y113" i="145"/>
  <c r="Y118" i="145"/>
  <c r="Y119" i="145"/>
  <c r="Y124" i="145"/>
  <c r="Y125" i="145"/>
  <c r="AQ25" i="145"/>
  <c r="P35" i="145"/>
  <c r="Y36" i="145"/>
  <c r="Y45" i="145"/>
  <c r="P54" i="145"/>
  <c r="P56" i="145"/>
  <c r="AQ81" i="145"/>
  <c r="AQ100" i="145"/>
  <c r="AH106" i="145"/>
  <c r="AH108" i="145"/>
  <c r="AH117" i="145"/>
  <c r="Y121" i="145"/>
  <c r="AH124" i="145"/>
  <c r="AQ17" i="145"/>
  <c r="Y56" i="145"/>
  <c r="AH58" i="145"/>
  <c r="AH61" i="145"/>
  <c r="AH70" i="145"/>
  <c r="AQ83" i="145"/>
  <c r="AQ94" i="145"/>
  <c r="AQ97" i="145"/>
  <c r="AQ103" i="145"/>
  <c r="AQ20" i="145"/>
  <c r="Y28" i="145"/>
  <c r="Y29" i="145"/>
  <c r="Y30" i="145"/>
  <c r="Y38" i="145"/>
  <c r="Y39" i="145"/>
  <c r="Y42" i="145"/>
  <c r="AH46" i="145"/>
  <c r="AH47" i="145"/>
  <c r="P53" i="145"/>
  <c r="AQ59" i="145"/>
  <c r="AQ61" i="145"/>
  <c r="AH65" i="145"/>
  <c r="AH66" i="145"/>
  <c r="AQ70" i="145"/>
  <c r="AQ75" i="145"/>
  <c r="AQ80" i="145"/>
  <c r="P89" i="145"/>
  <c r="P90" i="145"/>
  <c r="AQ106" i="145"/>
  <c r="AH115" i="145"/>
  <c r="AH121" i="145"/>
  <c r="AQ67" i="145"/>
  <c r="AQ69" i="145"/>
  <c r="AQ107" i="145"/>
  <c r="AQ108" i="145"/>
  <c r="AQ115" i="145"/>
  <c r="AQ124" i="145"/>
  <c r="AQ19" i="145"/>
  <c r="AQ24" i="145"/>
  <c r="AH28" i="145"/>
  <c r="AH32" i="145"/>
  <c r="AH40" i="145"/>
  <c r="AH41" i="145"/>
  <c r="AH43" i="145"/>
  <c r="AH44" i="145"/>
  <c r="AQ45" i="145"/>
  <c r="AQ46" i="145"/>
  <c r="AH50" i="145"/>
  <c r="P86" i="145"/>
  <c r="Y90" i="145"/>
  <c r="Y93" i="145"/>
  <c r="P96" i="145"/>
  <c r="AQ98" i="145"/>
  <c r="AQ21" i="145"/>
  <c r="AQ23" i="145"/>
  <c r="AQ30" i="145"/>
  <c r="AQ32" i="145"/>
  <c r="AQ33" i="145"/>
  <c r="AQ47" i="145"/>
  <c r="AQ48" i="145"/>
  <c r="AH53" i="145"/>
  <c r="AQ68" i="145"/>
  <c r="P84" i="145"/>
  <c r="Y92" i="145"/>
  <c r="P95" i="145"/>
  <c r="AQ119" i="145"/>
  <c r="Y126" i="145"/>
  <c r="Y129" i="145"/>
  <c r="Y132" i="145"/>
  <c r="P22" i="145"/>
  <c r="Y25" i="145"/>
  <c r="AQ39" i="145"/>
  <c r="AQ40" i="145"/>
  <c r="AQ50" i="145"/>
  <c r="AQ51" i="145"/>
  <c r="AQ53" i="145"/>
  <c r="P59" i="145"/>
  <c r="P60" i="145"/>
  <c r="AQ74" i="145"/>
  <c r="P77" i="145"/>
  <c r="O254" i="145"/>
  <c r="P104" i="145"/>
  <c r="AQ112" i="145"/>
  <c r="AQ120" i="145"/>
  <c r="AH130" i="145"/>
  <c r="AQ31" i="145"/>
  <c r="Y34" i="145"/>
  <c r="AQ72" i="145"/>
  <c r="AQ77" i="145"/>
  <c r="Y82" i="145"/>
  <c r="Y85" i="145"/>
  <c r="AQ92" i="145"/>
  <c r="Y98" i="145"/>
  <c r="Y31" i="145"/>
  <c r="P61" i="145"/>
  <c r="P75" i="145"/>
  <c r="AQ55" i="145"/>
  <c r="AQ64" i="145"/>
  <c r="P97" i="145"/>
  <c r="AQ82" i="145"/>
  <c r="AQ85" i="145"/>
  <c r="AH86" i="145"/>
  <c r="AQ101" i="145"/>
  <c r="AQ76" i="145"/>
  <c r="AQ79" i="145"/>
  <c r="K254" i="145"/>
  <c r="P79" i="145"/>
  <c r="AQ95" i="145"/>
  <c r="AH38" i="145"/>
  <c r="AQ52" i="145"/>
  <c r="P82" i="145"/>
  <c r="P85" i="145"/>
  <c r="AQ104" i="145"/>
  <c r="AC254" i="145"/>
  <c r="AQ58" i="145"/>
  <c r="AQ86" i="145"/>
  <c r="AG254" i="145"/>
  <c r="AQ123" i="145"/>
  <c r="AH22" i="146"/>
  <c r="AH34" i="146"/>
  <c r="Y21" i="147"/>
  <c r="Y30" i="147"/>
  <c r="Y39" i="147"/>
  <c r="C11" i="146"/>
  <c r="E186" i="146"/>
  <c r="G186" i="146" s="1"/>
  <c r="E185" i="146"/>
  <c r="G185" i="146" s="1"/>
  <c r="Y24" i="147"/>
  <c r="Y33" i="147"/>
  <c r="Y42" i="147"/>
  <c r="Y40" i="146"/>
  <c r="AQ113" i="145"/>
  <c r="AQ121" i="145"/>
  <c r="Y79" i="145"/>
  <c r="AH118" i="145"/>
  <c r="E184" i="146"/>
  <c r="AH97" i="145"/>
  <c r="AQ116" i="145"/>
  <c r="P129" i="145"/>
  <c r="AQ110" i="145"/>
  <c r="C11" i="147"/>
  <c r="E131" i="147"/>
  <c r="E135" i="147"/>
  <c r="P39" i="146"/>
  <c r="E132" i="147"/>
  <c r="G132" i="147" s="1"/>
  <c r="F187" i="146" l="1"/>
  <c r="G187" i="146" s="1"/>
  <c r="G184" i="146"/>
  <c r="Y179" i="146"/>
  <c r="P179" i="146"/>
  <c r="AR179" i="146"/>
  <c r="AH179" i="146"/>
  <c r="AH127" i="147"/>
  <c r="Y127" i="147"/>
  <c r="P127" i="147"/>
  <c r="C269" i="145"/>
  <c r="E260" i="145"/>
  <c r="AI52" i="147"/>
  <c r="AK52" i="147" s="1"/>
  <c r="AS52" i="147" s="1"/>
  <c r="AT52" i="147" s="1"/>
  <c r="AI36" i="147"/>
  <c r="AJ36" i="147" s="1"/>
  <c r="AI22" i="147"/>
  <c r="AK22" i="147" s="1"/>
  <c r="AS22" i="147" s="1"/>
  <c r="AT22" i="147" s="1"/>
  <c r="AI30" i="147"/>
  <c r="AK30" i="147" s="1"/>
  <c r="AS30" i="147" s="1"/>
  <c r="AT30" i="147" s="1"/>
  <c r="AI24" i="147"/>
  <c r="AK24" i="147" s="1"/>
  <c r="AS24" i="147" s="1"/>
  <c r="AT24" i="147" s="1"/>
  <c r="AI46" i="147"/>
  <c r="AK46" i="147" s="1"/>
  <c r="AS46" i="147" s="1"/>
  <c r="AT46" i="147" s="1"/>
  <c r="AI51" i="147"/>
  <c r="AJ51" i="147" s="1"/>
  <c r="AI49" i="147"/>
  <c r="AJ49" i="147" s="1"/>
  <c r="AI31" i="147"/>
  <c r="AJ31" i="147" s="1"/>
  <c r="AI26" i="147"/>
  <c r="AJ26" i="147" s="1"/>
  <c r="AI25" i="147"/>
  <c r="AJ25" i="147" s="1"/>
  <c r="AQ62" i="145"/>
  <c r="AI21" i="145"/>
  <c r="AR21" i="145" s="1"/>
  <c r="AS21" i="145" s="1"/>
  <c r="AI28" i="147"/>
  <c r="AK28" i="147" s="1"/>
  <c r="AS28" i="147" s="1"/>
  <c r="AT28" i="147" s="1"/>
  <c r="AI50" i="147"/>
  <c r="AI138" i="145"/>
  <c r="AJ138" i="145" s="1"/>
  <c r="AI40" i="147"/>
  <c r="AJ40" i="147" s="1"/>
  <c r="AI29" i="147"/>
  <c r="AK29" i="147" s="1"/>
  <c r="AS29" i="147" s="1"/>
  <c r="AT29" i="147" s="1"/>
  <c r="AI46" i="146"/>
  <c r="AJ46" i="146" s="1"/>
  <c r="AI35" i="147"/>
  <c r="AJ35" i="147" s="1"/>
  <c r="AI32" i="147"/>
  <c r="AK32" i="147" s="1"/>
  <c r="AS32" i="147" s="1"/>
  <c r="AT32" i="147" s="1"/>
  <c r="AI45" i="147"/>
  <c r="AK45" i="147" s="1"/>
  <c r="AS45" i="147" s="1"/>
  <c r="AT45" i="147" s="1"/>
  <c r="AI39" i="147"/>
  <c r="AK39" i="147" s="1"/>
  <c r="AS39" i="147" s="1"/>
  <c r="AT39" i="147" s="1"/>
  <c r="AI21" i="147"/>
  <c r="AK21" i="147" s="1"/>
  <c r="AS21" i="147" s="1"/>
  <c r="AT21" i="147" s="1"/>
  <c r="AI48" i="147"/>
  <c r="AK48" i="147" s="1"/>
  <c r="AS48" i="147" s="1"/>
  <c r="AT48" i="147" s="1"/>
  <c r="AI41" i="147"/>
  <c r="AJ41" i="147" s="1"/>
  <c r="AI37" i="147"/>
  <c r="AK37" i="147" s="1"/>
  <c r="AS37" i="147" s="1"/>
  <c r="AT37" i="147" s="1"/>
  <c r="AI43" i="147"/>
  <c r="AJ43" i="147" s="1"/>
  <c r="G135" i="147"/>
  <c r="AI44" i="147"/>
  <c r="AK44" i="147" s="1"/>
  <c r="AS44" i="147" s="1"/>
  <c r="AT44" i="147" s="1"/>
  <c r="AI47" i="147"/>
  <c r="AJ47" i="147" s="1"/>
  <c r="AI20" i="147"/>
  <c r="AJ20" i="147" s="1"/>
  <c r="AI34" i="147"/>
  <c r="AK34" i="147" s="1"/>
  <c r="AS34" i="147" s="1"/>
  <c r="AT34" i="147" s="1"/>
  <c r="AI27" i="147"/>
  <c r="AJ27" i="147" s="1"/>
  <c r="AI38" i="147"/>
  <c r="AI23" i="147"/>
  <c r="AK23" i="147" s="1"/>
  <c r="AS23" i="147" s="1"/>
  <c r="AT23" i="147" s="1"/>
  <c r="AI42" i="147"/>
  <c r="AK42" i="147" s="1"/>
  <c r="AS42" i="147" s="1"/>
  <c r="AT42" i="147" s="1"/>
  <c r="AI19" i="147"/>
  <c r="AJ19" i="147" s="1"/>
  <c r="AI18" i="147"/>
  <c r="AI33" i="147"/>
  <c r="AK33" i="147" s="1"/>
  <c r="AS33" i="147" s="1"/>
  <c r="AT33" i="147" s="1"/>
  <c r="AI21" i="146"/>
  <c r="AK21" i="146" s="1"/>
  <c r="AS21" i="146" s="1"/>
  <c r="AT21" i="146" s="1"/>
  <c r="AI45" i="146"/>
  <c r="AK45" i="146" s="1"/>
  <c r="AS45" i="146" s="1"/>
  <c r="AT45" i="146" s="1"/>
  <c r="AI43" i="146"/>
  <c r="AJ43" i="146" s="1"/>
  <c r="AI42" i="146"/>
  <c r="AJ42" i="146" s="1"/>
  <c r="AI44" i="146"/>
  <c r="AK44" i="146" s="1"/>
  <c r="AS44" i="146" s="1"/>
  <c r="AT44" i="146" s="1"/>
  <c r="AI47" i="146"/>
  <c r="AK47" i="146" s="1"/>
  <c r="AS47" i="146" s="1"/>
  <c r="AT47" i="146" s="1"/>
  <c r="AI34" i="146"/>
  <c r="AK34" i="146" s="1"/>
  <c r="AS34" i="146" s="1"/>
  <c r="AT34" i="146" s="1"/>
  <c r="AI31" i="146"/>
  <c r="AK31" i="146" s="1"/>
  <c r="AS31" i="146" s="1"/>
  <c r="AT31" i="146" s="1"/>
  <c r="AI36" i="146"/>
  <c r="AJ36" i="146" s="1"/>
  <c r="AI19" i="146"/>
  <c r="AJ19" i="146" s="1"/>
  <c r="AI41" i="146"/>
  <c r="AJ41" i="146" s="1"/>
  <c r="AI37" i="146"/>
  <c r="AJ37" i="146" s="1"/>
  <c r="AI23" i="146"/>
  <c r="AK23" i="146" s="1"/>
  <c r="AS23" i="146" s="1"/>
  <c r="AT23" i="146" s="1"/>
  <c r="AI38" i="146"/>
  <c r="AI28" i="146"/>
  <c r="AJ28" i="146" s="1"/>
  <c r="AI29" i="146"/>
  <c r="AJ29" i="146" s="1"/>
  <c r="AI20" i="146"/>
  <c r="AK20" i="146" s="1"/>
  <c r="AS20" i="146" s="1"/>
  <c r="AT20" i="146" s="1"/>
  <c r="AI30" i="146"/>
  <c r="AK30" i="146" s="1"/>
  <c r="AS30" i="146" s="1"/>
  <c r="AT30" i="146" s="1"/>
  <c r="AI27" i="146"/>
  <c r="AK27" i="146" s="1"/>
  <c r="AS27" i="146" s="1"/>
  <c r="AT27" i="146" s="1"/>
  <c r="AI22" i="146"/>
  <c r="AJ22" i="146" s="1"/>
  <c r="AI25" i="146"/>
  <c r="AK25" i="146" s="1"/>
  <c r="AS25" i="146" s="1"/>
  <c r="AT25" i="146" s="1"/>
  <c r="AI32" i="146"/>
  <c r="AK32" i="146" s="1"/>
  <c r="AS32" i="146" s="1"/>
  <c r="AT32" i="146" s="1"/>
  <c r="AI17" i="146"/>
  <c r="AI105" i="145"/>
  <c r="AR105" i="145" s="1"/>
  <c r="AS105" i="145" s="1"/>
  <c r="AI141" i="145"/>
  <c r="AJ141" i="145" s="1"/>
  <c r="AI102" i="145"/>
  <c r="AR102" i="145" s="1"/>
  <c r="AS102" i="145" s="1"/>
  <c r="AI140" i="145"/>
  <c r="AR140" i="145" s="1"/>
  <c r="AS140" i="145" s="1"/>
  <c r="AI142" i="145"/>
  <c r="AR142" i="145" s="1"/>
  <c r="AS142" i="145" s="1"/>
  <c r="AL254" i="145"/>
  <c r="F258" i="145" s="1"/>
  <c r="AI89" i="145"/>
  <c r="AJ89" i="145" s="1"/>
  <c r="AI136" i="145"/>
  <c r="AR136" i="145" s="1"/>
  <c r="AS136" i="145" s="1"/>
  <c r="AI71" i="145"/>
  <c r="AR71" i="145" s="1"/>
  <c r="AS71" i="145" s="1"/>
  <c r="AI128" i="145"/>
  <c r="AR128" i="145" s="1"/>
  <c r="AS128" i="145" s="1"/>
  <c r="AI108" i="145"/>
  <c r="AR108" i="145" s="1"/>
  <c r="AS108" i="145" s="1"/>
  <c r="AI43" i="145"/>
  <c r="AJ43" i="145" s="1"/>
  <c r="AI110" i="145"/>
  <c r="AJ110" i="145" s="1"/>
  <c r="AI40" i="145"/>
  <c r="AJ40" i="145" s="1"/>
  <c r="AI139" i="145"/>
  <c r="AJ139" i="145" s="1"/>
  <c r="AI39" i="145"/>
  <c r="AJ39" i="145" s="1"/>
  <c r="AI74" i="145"/>
  <c r="AR74" i="145" s="1"/>
  <c r="AS74" i="145" s="1"/>
  <c r="AI114" i="145"/>
  <c r="AJ114" i="145" s="1"/>
  <c r="AI120" i="145"/>
  <c r="AR120" i="145" s="1"/>
  <c r="AS120" i="145" s="1"/>
  <c r="AI122" i="145"/>
  <c r="AJ122" i="145" s="1"/>
  <c r="AI134" i="145"/>
  <c r="AR134" i="145" s="1"/>
  <c r="AS134" i="145" s="1"/>
  <c r="AI137" i="145"/>
  <c r="AJ137" i="145" s="1"/>
  <c r="AI103" i="145"/>
  <c r="AJ103" i="145" s="1"/>
  <c r="AI94" i="145"/>
  <c r="AR94" i="145" s="1"/>
  <c r="AS94" i="145" s="1"/>
  <c r="AI70" i="145"/>
  <c r="AR70" i="145" s="1"/>
  <c r="AS70" i="145" s="1"/>
  <c r="AI135" i="145"/>
  <c r="AJ135" i="145" s="1"/>
  <c r="AI123" i="145"/>
  <c r="AJ123" i="145" s="1"/>
  <c r="AI51" i="145"/>
  <c r="AJ51" i="145" s="1"/>
  <c r="AI64" i="145"/>
  <c r="AR64" i="145" s="1"/>
  <c r="AS64" i="145" s="1"/>
  <c r="AI125" i="145"/>
  <c r="AJ125" i="145" s="1"/>
  <c r="AI18" i="145"/>
  <c r="AR18" i="145" s="1"/>
  <c r="AS18" i="145" s="1"/>
  <c r="AI133" i="145"/>
  <c r="AR133" i="145" s="1"/>
  <c r="AS133" i="145" s="1"/>
  <c r="AI131" i="145"/>
  <c r="AR131" i="145" s="1"/>
  <c r="AS131" i="145" s="1"/>
  <c r="AI28" i="145"/>
  <c r="AR28" i="145" s="1"/>
  <c r="AS28" i="145" s="1"/>
  <c r="AI72" i="145"/>
  <c r="AR72" i="145" s="1"/>
  <c r="AS72" i="145" s="1"/>
  <c r="AI88" i="145"/>
  <c r="AR88" i="145" s="1"/>
  <c r="AS88" i="145" s="1"/>
  <c r="AI65" i="145"/>
  <c r="AJ65" i="145" s="1"/>
  <c r="AI126" i="145"/>
  <c r="AJ126" i="145" s="1"/>
  <c r="AI20" i="145"/>
  <c r="AR20" i="145" s="1"/>
  <c r="AS20" i="145" s="1"/>
  <c r="AI55" i="145"/>
  <c r="AR55" i="145" s="1"/>
  <c r="AS55" i="145" s="1"/>
  <c r="AI111" i="145"/>
  <c r="AR111" i="145" s="1"/>
  <c r="AS111" i="145" s="1"/>
  <c r="AI91" i="145"/>
  <c r="AR91" i="145" s="1"/>
  <c r="AS91" i="145" s="1"/>
  <c r="AI92" i="145"/>
  <c r="AJ92" i="145" s="1"/>
  <c r="AI46" i="145"/>
  <c r="AJ46" i="145" s="1"/>
  <c r="AI113" i="145"/>
  <c r="AJ113" i="145" s="1"/>
  <c r="AI118" i="145"/>
  <c r="AR118" i="145" s="1"/>
  <c r="AS118" i="145" s="1"/>
  <c r="AI38" i="145"/>
  <c r="AJ38" i="145" s="1"/>
  <c r="AI19" i="145"/>
  <c r="AJ19" i="145" s="1"/>
  <c r="AI80" i="145"/>
  <c r="AJ80" i="145" s="1"/>
  <c r="AI23" i="145"/>
  <c r="AJ23" i="145" s="1"/>
  <c r="AI44" i="145"/>
  <c r="AJ44" i="145" s="1"/>
  <c r="AI115" i="145"/>
  <c r="AR115" i="145" s="1"/>
  <c r="AS115" i="145" s="1"/>
  <c r="AI106" i="145"/>
  <c r="AJ106" i="145" s="1"/>
  <c r="E258" i="145"/>
  <c r="AI48" i="145"/>
  <c r="AJ48" i="145" s="1"/>
  <c r="AI17" i="145"/>
  <c r="AR17" i="145" s="1"/>
  <c r="AS17" i="145" s="1"/>
  <c r="AI57" i="145"/>
  <c r="AJ57" i="145" s="1"/>
  <c r="AI29" i="145"/>
  <c r="AR29" i="145" s="1"/>
  <c r="AS29" i="145" s="1"/>
  <c r="AI60" i="145"/>
  <c r="AJ60" i="145" s="1"/>
  <c r="AI117" i="145"/>
  <c r="AR117" i="145" s="1"/>
  <c r="AS117" i="145" s="1"/>
  <c r="AQ99" i="145"/>
  <c r="AI82" i="145"/>
  <c r="AR82" i="145" s="1"/>
  <c r="AS82" i="145" s="1"/>
  <c r="AI121" i="145"/>
  <c r="AJ121" i="145" s="1"/>
  <c r="AI78" i="145"/>
  <c r="AR78" i="145" s="1"/>
  <c r="AS78" i="145" s="1"/>
  <c r="AI76" i="145"/>
  <c r="AJ76" i="145" s="1"/>
  <c r="AI32" i="145"/>
  <c r="AR32" i="145" s="1"/>
  <c r="AS32" i="145" s="1"/>
  <c r="AI93" i="145"/>
  <c r="AJ93" i="145" s="1"/>
  <c r="AI68" i="145"/>
  <c r="AR68" i="145" s="1"/>
  <c r="AS68" i="145" s="1"/>
  <c r="AI41" i="145"/>
  <c r="AR41" i="145" s="1"/>
  <c r="AS41" i="145" s="1"/>
  <c r="E261" i="145"/>
  <c r="G261" i="145" s="1"/>
  <c r="AI96" i="145"/>
  <c r="AJ96" i="145" s="1"/>
  <c r="AI86" i="145"/>
  <c r="AJ86" i="145" s="1"/>
  <c r="AI130" i="145"/>
  <c r="AJ130" i="145" s="1"/>
  <c r="AI59" i="145"/>
  <c r="AR59" i="145" s="1"/>
  <c r="AS59" i="145" s="1"/>
  <c r="E259" i="145"/>
  <c r="AI33" i="145"/>
  <c r="AM254" i="145"/>
  <c r="F259" i="145" s="1"/>
  <c r="AI31" i="145"/>
  <c r="AJ31" i="145" s="1"/>
  <c r="AI25" i="145"/>
  <c r="AJ25" i="145" s="1"/>
  <c r="AI50" i="145"/>
  <c r="AR50" i="145" s="1"/>
  <c r="AS50" i="145" s="1"/>
  <c r="AI81" i="145"/>
  <c r="AR81" i="145" s="1"/>
  <c r="AS81" i="145" s="1"/>
  <c r="AI24" i="145"/>
  <c r="AR24" i="145" s="1"/>
  <c r="AS24" i="145" s="1"/>
  <c r="AI112" i="145"/>
  <c r="AJ112" i="145" s="1"/>
  <c r="AI98" i="145"/>
  <c r="AR98" i="145" s="1"/>
  <c r="AS98" i="145" s="1"/>
  <c r="AI77" i="145"/>
  <c r="AI101" i="145"/>
  <c r="AJ101" i="145" s="1"/>
  <c r="AI100" i="145"/>
  <c r="AR100" i="145" s="1"/>
  <c r="AS100" i="145" s="1"/>
  <c r="AI27" i="145"/>
  <c r="AJ27" i="145" s="1"/>
  <c r="AI83" i="145"/>
  <c r="AJ83" i="145" s="1"/>
  <c r="AI109" i="145"/>
  <c r="AR109" i="145" s="1"/>
  <c r="AI63" i="145"/>
  <c r="AR63" i="145" s="1"/>
  <c r="AS63" i="145" s="1"/>
  <c r="AI132" i="145"/>
  <c r="AR132" i="145" s="1"/>
  <c r="AS132" i="145" s="1"/>
  <c r="AI90" i="145"/>
  <c r="AR90" i="145" s="1"/>
  <c r="AS90" i="145" s="1"/>
  <c r="AI69" i="145"/>
  <c r="AJ69" i="145" s="1"/>
  <c r="AI87" i="145"/>
  <c r="AJ87" i="145" s="1"/>
  <c r="AI26" i="145"/>
  <c r="AJ26" i="145" s="1"/>
  <c r="AI30" i="145"/>
  <c r="AR30" i="145" s="1"/>
  <c r="AS30" i="145" s="1"/>
  <c r="AI54" i="145"/>
  <c r="AR54" i="145" s="1"/>
  <c r="AS54" i="145" s="1"/>
  <c r="AI49" i="145"/>
  <c r="AR49" i="145" s="1"/>
  <c r="AS49" i="145" s="1"/>
  <c r="AI127" i="145"/>
  <c r="AJ127" i="145" s="1"/>
  <c r="AI47" i="145"/>
  <c r="AR47" i="145" s="1"/>
  <c r="AS47" i="145" s="1"/>
  <c r="AI36" i="145"/>
  <c r="AJ36" i="145" s="1"/>
  <c r="AI73" i="145"/>
  <c r="AR73" i="145" s="1"/>
  <c r="AS73" i="145" s="1"/>
  <c r="AI116" i="145"/>
  <c r="AJ116" i="145" s="1"/>
  <c r="AI67" i="145"/>
  <c r="AJ67" i="145" s="1"/>
  <c r="AI42" i="145"/>
  <c r="AR42" i="145" s="1"/>
  <c r="AS42" i="145" s="1"/>
  <c r="AI34" i="145"/>
  <c r="AR34" i="145" s="1"/>
  <c r="AS34" i="145" s="1"/>
  <c r="AI35" i="145"/>
  <c r="AI99" i="145"/>
  <c r="AI124" i="145"/>
  <c r="AJ124" i="145" s="1"/>
  <c r="AI52" i="145"/>
  <c r="AI119" i="145"/>
  <c r="AR119" i="145" s="1"/>
  <c r="AS119" i="145" s="1"/>
  <c r="AN254" i="145"/>
  <c r="F260" i="145" s="1"/>
  <c r="AI62" i="145"/>
  <c r="AI107" i="145"/>
  <c r="AI84" i="145"/>
  <c r="AR84" i="145" s="1"/>
  <c r="AS84" i="145" s="1"/>
  <c r="AH254" i="145"/>
  <c r="AI37" i="145"/>
  <c r="AI129" i="145"/>
  <c r="AR129" i="145" s="1"/>
  <c r="AS129" i="145" s="1"/>
  <c r="AI104" i="145"/>
  <c r="AR104" i="145" s="1"/>
  <c r="AS104" i="145" s="1"/>
  <c r="E262" i="145"/>
  <c r="G262" i="145" s="1"/>
  <c r="C11" i="145"/>
  <c r="AI22" i="145"/>
  <c r="AI33" i="146"/>
  <c r="AI17" i="147"/>
  <c r="AI40" i="146"/>
  <c r="AI35" i="146"/>
  <c r="AI26" i="146"/>
  <c r="AI18" i="146"/>
  <c r="AI24" i="146"/>
  <c r="AI97" i="145"/>
  <c r="AR97" i="145" s="1"/>
  <c r="AS97" i="145" s="1"/>
  <c r="AI53" i="145"/>
  <c r="AI45" i="145"/>
  <c r="AI75" i="145"/>
  <c r="AR75" i="145" s="1"/>
  <c r="AS75" i="145" s="1"/>
  <c r="AI66" i="145"/>
  <c r="AI58" i="145"/>
  <c r="Y254" i="145"/>
  <c r="AI61" i="145"/>
  <c r="AR61" i="145" s="1"/>
  <c r="AS61" i="145" s="1"/>
  <c r="AI95" i="145"/>
  <c r="AI56" i="145"/>
  <c r="AI85" i="145"/>
  <c r="P254" i="145"/>
  <c r="AI79" i="145"/>
  <c r="G131" i="147"/>
  <c r="P134" i="147" s="1"/>
  <c r="AI39" i="146"/>
  <c r="AQ125" i="145"/>
  <c r="G183" i="146"/>
  <c r="H186" i="146" s="1"/>
  <c r="E189" i="146"/>
  <c r="H187" i="146" l="1"/>
  <c r="AK17" i="146"/>
  <c r="AJ52" i="147"/>
  <c r="AK35" i="147"/>
  <c r="AS35" i="147" s="1"/>
  <c r="AT35" i="147" s="1"/>
  <c r="J187" i="146"/>
  <c r="AK36" i="147"/>
  <c r="AS36" i="147" s="1"/>
  <c r="AT36" i="147" s="1"/>
  <c r="AK17" i="147"/>
  <c r="AI127" i="147"/>
  <c r="AJ22" i="147"/>
  <c r="AJ30" i="147"/>
  <c r="AJ24" i="147"/>
  <c r="AK31" i="147"/>
  <c r="AS31" i="147" s="1"/>
  <c r="AT31" i="147" s="1"/>
  <c r="AK51" i="147"/>
  <c r="AS51" i="147" s="1"/>
  <c r="AT51" i="147" s="1"/>
  <c r="G260" i="145"/>
  <c r="AJ46" i="147"/>
  <c r="AK37" i="146"/>
  <c r="AS37" i="146" s="1"/>
  <c r="AT37" i="146" s="1"/>
  <c r="AW37" i="146" s="1"/>
  <c r="AJ44" i="147"/>
  <c r="AK49" i="147"/>
  <c r="AS49" i="147" s="1"/>
  <c r="AT49" i="147" s="1"/>
  <c r="AK26" i="147"/>
  <c r="AS26" i="147" s="1"/>
  <c r="AT26" i="147" s="1"/>
  <c r="AJ45" i="147"/>
  <c r="AK25" i="147"/>
  <c r="AS25" i="147" s="1"/>
  <c r="AT25" i="147" s="1"/>
  <c r="AJ21" i="147"/>
  <c r="AJ21" i="146"/>
  <c r="AJ21" i="145"/>
  <c r="AJ45" i="146"/>
  <c r="AK43" i="147"/>
  <c r="AS43" i="147" s="1"/>
  <c r="AT43" i="147" s="1"/>
  <c r="AJ29" i="147"/>
  <c r="AK27" i="147"/>
  <c r="AS27" i="147" s="1"/>
  <c r="AT27" i="147" s="1"/>
  <c r="AJ32" i="147"/>
  <c r="AJ37" i="147"/>
  <c r="AK41" i="147"/>
  <c r="AS41" i="147" s="1"/>
  <c r="AT41" i="147" s="1"/>
  <c r="AJ48" i="147"/>
  <c r="AK40" i="147"/>
  <c r="AS40" i="147" s="1"/>
  <c r="AT40" i="147" s="1"/>
  <c r="AJ28" i="147"/>
  <c r="AJ128" i="145"/>
  <c r="AR62" i="145"/>
  <c r="AS62" i="145" s="1"/>
  <c r="AJ17" i="146"/>
  <c r="AK42" i="146"/>
  <c r="AS42" i="146" s="1"/>
  <c r="AT42" i="146" s="1"/>
  <c r="AK40" i="146"/>
  <c r="AS40" i="146" s="1"/>
  <c r="AT40" i="146" s="1"/>
  <c r="AW40" i="146" s="1"/>
  <c r="AJ44" i="146"/>
  <c r="AR114" i="145"/>
  <c r="AS114" i="145" s="1"/>
  <c r="AK19" i="146"/>
  <c r="AS19" i="146" s="1"/>
  <c r="AT19" i="146" s="1"/>
  <c r="AK46" i="146"/>
  <c r="AS46" i="146" s="1"/>
  <c r="AT46" i="146" s="1"/>
  <c r="AJ31" i="146"/>
  <c r="AK43" i="146"/>
  <c r="AS43" i="146" s="1"/>
  <c r="AT43" i="146" s="1"/>
  <c r="AJ71" i="145"/>
  <c r="AJ91" i="145"/>
  <c r="AJ18" i="145"/>
  <c r="AR122" i="145"/>
  <c r="AS122" i="145" s="1"/>
  <c r="AR65" i="145"/>
  <c r="AS65" i="145" s="1"/>
  <c r="AR141" i="145"/>
  <c r="AS141" i="145" s="1"/>
  <c r="AJ136" i="145"/>
  <c r="AR92" i="145"/>
  <c r="AS92" i="145" s="1"/>
  <c r="AR138" i="145"/>
  <c r="AS138" i="145" s="1"/>
  <c r="AK28" i="146"/>
  <c r="AS28" i="146" s="1"/>
  <c r="AT28" i="146" s="1"/>
  <c r="AJ39" i="147"/>
  <c r="AJ74" i="145"/>
  <c r="AR139" i="145"/>
  <c r="AS139" i="145" s="1"/>
  <c r="AJ142" i="145"/>
  <c r="AR25" i="145"/>
  <c r="AS25" i="145" s="1"/>
  <c r="AJ34" i="147"/>
  <c r="AK50" i="147"/>
  <c r="AS50" i="147" s="1"/>
  <c r="AT50" i="147" s="1"/>
  <c r="AJ50" i="147"/>
  <c r="AJ33" i="147"/>
  <c r="AK47" i="147"/>
  <c r="AS47" i="147" s="1"/>
  <c r="AK20" i="147"/>
  <c r="AS20" i="147" s="1"/>
  <c r="AT20" i="147" s="1"/>
  <c r="AJ23" i="147"/>
  <c r="AJ42" i="147"/>
  <c r="AJ38" i="147"/>
  <c r="AK38" i="147"/>
  <c r="AS38" i="147" s="1"/>
  <c r="AT38" i="147" s="1"/>
  <c r="AK18" i="147"/>
  <c r="AS18" i="147" s="1"/>
  <c r="AT18" i="147" s="1"/>
  <c r="AJ18" i="147"/>
  <c r="AK36" i="146"/>
  <c r="AS36" i="146" s="1"/>
  <c r="AT36" i="146" s="1"/>
  <c r="AK22" i="146"/>
  <c r="AS22" i="146" s="1"/>
  <c r="AT22" i="146" s="1"/>
  <c r="AJ25" i="146"/>
  <c r="AJ34" i="146"/>
  <c r="AJ47" i="146"/>
  <c r="AK29" i="146"/>
  <c r="AS29" i="146" s="1"/>
  <c r="AT29" i="146" s="1"/>
  <c r="AJ20" i="146"/>
  <c r="AK41" i="146"/>
  <c r="AS41" i="146" s="1"/>
  <c r="AT41" i="146" s="1"/>
  <c r="AJ30" i="146"/>
  <c r="AJ32" i="146"/>
  <c r="AJ23" i="146"/>
  <c r="AJ27" i="146"/>
  <c r="AK38" i="146"/>
  <c r="AS38" i="146" s="1"/>
  <c r="AT38" i="146" s="1"/>
  <c r="AJ38" i="146"/>
  <c r="AR43" i="145"/>
  <c r="AS43" i="145" s="1"/>
  <c r="AR123" i="145"/>
  <c r="AS123" i="145" s="1"/>
  <c r="AR89" i="145"/>
  <c r="AS89" i="145" s="1"/>
  <c r="AJ102" i="145"/>
  <c r="AJ120" i="145"/>
  <c r="AJ20" i="145"/>
  <c r="AR80" i="145"/>
  <c r="AS80" i="145" s="1"/>
  <c r="AJ28" i="145"/>
  <c r="AJ117" i="145"/>
  <c r="AR93" i="145"/>
  <c r="AS93" i="145" s="1"/>
  <c r="AR40" i="145"/>
  <c r="AS40" i="145" s="1"/>
  <c r="AJ118" i="145"/>
  <c r="AJ70" i="145"/>
  <c r="AJ105" i="145"/>
  <c r="AR126" i="145"/>
  <c r="AS126" i="145" s="1"/>
  <c r="AR23" i="145"/>
  <c r="AS23" i="145" s="1"/>
  <c r="AR103" i="145"/>
  <c r="AS103" i="145" s="1"/>
  <c r="G258" i="145"/>
  <c r="AR96" i="145"/>
  <c r="AS96" i="145" s="1"/>
  <c r="AR39" i="145"/>
  <c r="AS39" i="145" s="1"/>
  <c r="AJ88" i="145"/>
  <c r="AR110" i="145"/>
  <c r="AS110" i="145" s="1"/>
  <c r="AJ32" i="145"/>
  <c r="AJ100" i="145"/>
  <c r="AR31" i="145"/>
  <c r="AS31" i="145" s="1"/>
  <c r="AJ115" i="145"/>
  <c r="AJ34" i="145"/>
  <c r="AJ134" i="145"/>
  <c r="AJ64" i="145"/>
  <c r="AJ24" i="145"/>
  <c r="AR48" i="145"/>
  <c r="AS48" i="145" s="1"/>
  <c r="AR26" i="145"/>
  <c r="AS26" i="145" s="1"/>
  <c r="AR76" i="145"/>
  <c r="AS76" i="145" s="1"/>
  <c r="AR38" i="145"/>
  <c r="AS38" i="145" s="1"/>
  <c r="AJ94" i="145"/>
  <c r="AJ72" i="145"/>
  <c r="AR137" i="145"/>
  <c r="AS137" i="145" s="1"/>
  <c r="AR51" i="145"/>
  <c r="AS51" i="145" s="1"/>
  <c r="AR44" i="145"/>
  <c r="AS44" i="145" s="1"/>
  <c r="AR124" i="145"/>
  <c r="AS124" i="145" s="1"/>
  <c r="AJ50" i="145"/>
  <c r="AR125" i="145"/>
  <c r="AS125" i="145" s="1"/>
  <c r="AR27" i="145"/>
  <c r="AS27" i="145" s="1"/>
  <c r="AJ133" i="145"/>
  <c r="AR135" i="145"/>
  <c r="AS135" i="145" s="1"/>
  <c r="AJ17" i="145"/>
  <c r="AJ41" i="145"/>
  <c r="AJ29" i="145"/>
  <c r="AJ54" i="145"/>
  <c r="AJ81" i="145"/>
  <c r="AJ111" i="145"/>
  <c r="AR46" i="145"/>
  <c r="AS46" i="145" s="1"/>
  <c r="AJ129" i="145"/>
  <c r="AJ63" i="145"/>
  <c r="AR86" i="145"/>
  <c r="AS86" i="145" s="1"/>
  <c r="AJ49" i="145"/>
  <c r="AR112" i="145"/>
  <c r="AS112" i="145" s="1"/>
  <c r="AR113" i="145"/>
  <c r="AS113" i="145" s="1"/>
  <c r="AR106" i="145"/>
  <c r="AS106" i="145" s="1"/>
  <c r="AR19" i="145"/>
  <c r="AS19" i="145" s="1"/>
  <c r="AJ82" i="145"/>
  <c r="AJ61" i="145"/>
  <c r="AR127" i="145"/>
  <c r="AS127" i="145" s="1"/>
  <c r="AR130" i="145"/>
  <c r="AS130" i="145" s="1"/>
  <c r="AJ55" i="145"/>
  <c r="AJ68" i="145"/>
  <c r="AJ132" i="145"/>
  <c r="AR57" i="145"/>
  <c r="AS57" i="145" s="1"/>
  <c r="G259" i="145"/>
  <c r="AR36" i="145"/>
  <c r="AS36" i="145" s="1"/>
  <c r="AR101" i="145"/>
  <c r="AS101" i="145" s="1"/>
  <c r="AJ59" i="145"/>
  <c r="AR121" i="145"/>
  <c r="AS121" i="145" s="1"/>
  <c r="AJ30" i="145"/>
  <c r="AJ73" i="145"/>
  <c r="AJ104" i="145"/>
  <c r="AJ33" i="145"/>
  <c r="AR33" i="145"/>
  <c r="AS33" i="145" s="1"/>
  <c r="AR60" i="145"/>
  <c r="AS60" i="145" s="1"/>
  <c r="AJ77" i="145"/>
  <c r="AR77" i="145"/>
  <c r="AS77" i="145" s="1"/>
  <c r="AR83" i="145"/>
  <c r="AS83" i="145" s="1"/>
  <c r="AJ109" i="145"/>
  <c r="AR67" i="145"/>
  <c r="AS67" i="145" s="1"/>
  <c r="AR87" i="145"/>
  <c r="AS87" i="145" s="1"/>
  <c r="AR69" i="145"/>
  <c r="AS69" i="145" s="1"/>
  <c r="AR52" i="145"/>
  <c r="AS52" i="145" s="1"/>
  <c r="AJ52" i="145"/>
  <c r="AJ47" i="145"/>
  <c r="AR116" i="145"/>
  <c r="AS116" i="145" s="1"/>
  <c r="AJ99" i="145"/>
  <c r="AR99" i="145"/>
  <c r="AS99" i="145" s="1"/>
  <c r="AJ42" i="145"/>
  <c r="AR35" i="145"/>
  <c r="AS35" i="145" s="1"/>
  <c r="AJ35" i="145"/>
  <c r="AJ62" i="145"/>
  <c r="AJ22" i="145"/>
  <c r="AR22" i="145"/>
  <c r="AS22" i="145" s="1"/>
  <c r="AJ107" i="145"/>
  <c r="AR107" i="145"/>
  <c r="AS107" i="145" s="1"/>
  <c r="AJ84" i="145"/>
  <c r="E264" i="145"/>
  <c r="AJ75" i="145"/>
  <c r="AR37" i="145"/>
  <c r="AS37" i="145" s="1"/>
  <c r="AJ37" i="145"/>
  <c r="AK33" i="146"/>
  <c r="AS33" i="146" s="1"/>
  <c r="AT33" i="146" s="1"/>
  <c r="AJ33" i="146"/>
  <c r="AJ40" i="146"/>
  <c r="AJ17" i="147"/>
  <c r="AJ24" i="146"/>
  <c r="AK24" i="146"/>
  <c r="AS24" i="146" s="1"/>
  <c r="AT24" i="146" s="1"/>
  <c r="AK18" i="146"/>
  <c r="AS18" i="146" s="1"/>
  <c r="AT18" i="146" s="1"/>
  <c r="AJ18" i="146"/>
  <c r="AK26" i="146"/>
  <c r="AS26" i="146" s="1"/>
  <c r="AT26" i="146" s="1"/>
  <c r="AJ26" i="146"/>
  <c r="AK35" i="146"/>
  <c r="AS35" i="146" s="1"/>
  <c r="AT35" i="146" s="1"/>
  <c r="AJ35" i="146"/>
  <c r="AR66" i="145"/>
  <c r="AS66" i="145" s="1"/>
  <c r="AJ66" i="145"/>
  <c r="AR56" i="145"/>
  <c r="AS56" i="145" s="1"/>
  <c r="AJ56" i="145"/>
  <c r="AJ53" i="145"/>
  <c r="AR53" i="145"/>
  <c r="AS53" i="145" s="1"/>
  <c r="AJ97" i="145"/>
  <c r="AR95" i="145"/>
  <c r="AS95" i="145" s="1"/>
  <c r="AJ95" i="145"/>
  <c r="AR58" i="145"/>
  <c r="AS58" i="145" s="1"/>
  <c r="AJ58" i="145"/>
  <c r="AQ254" i="145"/>
  <c r="AR45" i="145"/>
  <c r="AS45" i="145" s="1"/>
  <c r="AJ45" i="145"/>
  <c r="AK39" i="146"/>
  <c r="AJ39" i="146"/>
  <c r="AI254" i="145"/>
  <c r="AJ79" i="145"/>
  <c r="AR85" i="145"/>
  <c r="AS85" i="145" s="1"/>
  <c r="AJ85" i="145"/>
  <c r="AS17" i="146" l="1"/>
  <c r="AS17" i="147"/>
  <c r="AK127" i="147"/>
  <c r="F136" i="147" s="1"/>
  <c r="AT47" i="147"/>
  <c r="AR79" i="145"/>
  <c r="AK254" i="145"/>
  <c r="AS39" i="146"/>
  <c r="AT17" i="146" l="1"/>
  <c r="AT17" i="147"/>
  <c r="AT127" i="147" s="1"/>
  <c r="AS127" i="147"/>
  <c r="F263" i="145"/>
  <c r="G263" i="145" s="1"/>
  <c r="G264" i="145" s="1"/>
  <c r="AT39" i="146"/>
  <c r="AR254" i="145"/>
  <c r="AS79" i="145"/>
  <c r="AS254" i="145" s="1"/>
  <c r="F137" i="147" l="1"/>
  <c r="G137" i="147"/>
  <c r="E137" i="147"/>
  <c r="F264" i="145"/>
  <c r="D269" i="145" s="1"/>
  <c r="T8" i="132"/>
  <c r="T9" i="132"/>
  <c r="T24" i="144"/>
  <c r="T65" i="144"/>
  <c r="F165" i="100" l="1"/>
  <c r="F166" i="100"/>
  <c r="D377" i="131" s="1"/>
  <c r="C377" i="131" s="1"/>
  <c r="F167" i="100"/>
  <c r="T60" i="144" l="1"/>
  <c r="AJ64" i="144"/>
  <c r="T64" i="144"/>
  <c r="AI63" i="144"/>
  <c r="AJ63" i="144" s="1"/>
  <c r="T61" i="144"/>
  <c r="AI61" i="144"/>
  <c r="AJ61" i="144" s="1"/>
  <c r="AJ4" i="144" l="1"/>
  <c r="AI5" i="144"/>
  <c r="AI6" i="144"/>
  <c r="AJ6" i="144" s="1"/>
  <c r="AI7" i="144"/>
  <c r="AJ7" i="144" s="1"/>
  <c r="AI8" i="144"/>
  <c r="AJ8" i="144" s="1"/>
  <c r="AI9" i="144"/>
  <c r="AJ9" i="144" s="1"/>
  <c r="AI10" i="144"/>
  <c r="AJ10" i="144" s="1"/>
  <c r="AI11" i="144"/>
  <c r="AI12" i="144"/>
  <c r="AJ12" i="144" s="1"/>
  <c r="AI13" i="144"/>
  <c r="AJ13" i="144" s="1"/>
  <c r="AI14" i="144"/>
  <c r="AJ14" i="144" s="1"/>
  <c r="AI15" i="144"/>
  <c r="AJ15" i="144" s="1"/>
  <c r="AI16" i="144"/>
  <c r="AJ16" i="144" s="1"/>
  <c r="AI17" i="144"/>
  <c r="AJ17" i="144" s="1"/>
  <c r="AI18" i="144"/>
  <c r="AJ18" i="144" s="1"/>
  <c r="AI19" i="144"/>
  <c r="AJ19" i="144" s="1"/>
  <c r="AI20" i="144"/>
  <c r="AJ20" i="144" s="1"/>
  <c r="AI21" i="144"/>
  <c r="AJ21" i="144" s="1"/>
  <c r="AI22" i="144"/>
  <c r="AJ22" i="144" s="1"/>
  <c r="AI23" i="144"/>
  <c r="AI24" i="144"/>
  <c r="AJ24" i="144" s="1"/>
  <c r="AI25" i="144"/>
  <c r="AJ25" i="144" s="1"/>
  <c r="AI26" i="144"/>
  <c r="AJ26" i="144" s="1"/>
  <c r="AI27" i="144"/>
  <c r="AJ27" i="144" s="1"/>
  <c r="AI28" i="144"/>
  <c r="AJ28" i="144" s="1"/>
  <c r="AI29" i="144"/>
  <c r="AJ29" i="144" s="1"/>
  <c r="AI30" i="144"/>
  <c r="AJ30" i="144" s="1"/>
  <c r="AI31" i="144"/>
  <c r="AJ31" i="144" s="1"/>
  <c r="AI32" i="144"/>
  <c r="AJ32" i="144" s="1"/>
  <c r="AI33" i="144"/>
  <c r="AJ33" i="144" s="1"/>
  <c r="AI34" i="144"/>
  <c r="AJ34" i="144" s="1"/>
  <c r="AI35" i="144"/>
  <c r="AJ35" i="144" s="1"/>
  <c r="AI36" i="144"/>
  <c r="AJ36" i="144" s="1"/>
  <c r="AI37" i="144"/>
  <c r="AJ37" i="144" s="1"/>
  <c r="AI38" i="144"/>
  <c r="AJ38" i="144" s="1"/>
  <c r="AI39" i="144"/>
  <c r="AJ39" i="144" s="1"/>
  <c r="AI40" i="144"/>
  <c r="AJ40" i="144" s="1"/>
  <c r="AI41" i="144"/>
  <c r="AJ41" i="144" s="1"/>
  <c r="AI42" i="144"/>
  <c r="AJ42" i="144" s="1"/>
  <c r="AI43" i="144"/>
  <c r="AJ43" i="144" s="1"/>
  <c r="AI44" i="144"/>
  <c r="AJ44" i="144" s="1"/>
  <c r="AI45" i="144"/>
  <c r="AJ45" i="144" s="1"/>
  <c r="AI46" i="144"/>
  <c r="AJ46" i="144" s="1"/>
  <c r="AI47" i="144"/>
  <c r="AJ47" i="144" s="1"/>
  <c r="AI48" i="144"/>
  <c r="AJ48" i="144" s="1"/>
  <c r="AI50" i="144"/>
  <c r="AJ50" i="144" s="1"/>
  <c r="AI51" i="144"/>
  <c r="AJ51" i="144" s="1"/>
  <c r="AI52" i="144"/>
  <c r="AJ52" i="144" s="1"/>
  <c r="AI53" i="144"/>
  <c r="AJ53" i="144" s="1"/>
  <c r="AI54" i="144"/>
  <c r="AJ54" i="144" s="1"/>
  <c r="AI55" i="144"/>
  <c r="AJ55" i="144" s="1"/>
  <c r="AI56" i="144"/>
  <c r="AJ56" i="144" s="1"/>
  <c r="AI57" i="144"/>
  <c r="AJ57" i="144" s="1"/>
  <c r="AI59" i="144"/>
  <c r="AJ59" i="144" s="1"/>
  <c r="AI60" i="144"/>
  <c r="AJ60" i="144" s="1"/>
  <c r="AJ5" i="144" l="1"/>
  <c r="AJ11" i="144"/>
  <c r="AJ23" i="144"/>
  <c r="T59" i="144"/>
  <c r="T57" i="144"/>
  <c r="T55" i="144"/>
  <c r="W49" i="144"/>
  <c r="W74" i="144" s="1"/>
  <c r="T47" i="144"/>
  <c r="T46" i="144"/>
  <c r="T45" i="144"/>
  <c r="T41" i="144"/>
  <c r="T40" i="144"/>
  <c r="T39" i="144"/>
  <c r="T38" i="144"/>
  <c r="T37" i="144"/>
  <c r="T35" i="144"/>
  <c r="T34" i="144"/>
  <c r="T33" i="144"/>
  <c r="T32" i="144"/>
  <c r="T31" i="144"/>
  <c r="T28" i="144"/>
  <c r="T21" i="144"/>
  <c r="T20" i="144"/>
  <c r="T14" i="144"/>
  <c r="T13" i="144"/>
  <c r="T10" i="144"/>
  <c r="AJ74" i="144" l="1"/>
  <c r="T74" i="144"/>
  <c r="AI49" i="144"/>
  <c r="AI74" i="144" s="1"/>
  <c r="AJ49" i="144" l="1"/>
  <c r="R21" i="141"/>
  <c r="S21" i="141"/>
  <c r="T8" i="141" l="1"/>
  <c r="T9" i="141"/>
  <c r="T10" i="141"/>
  <c r="T7" i="141"/>
  <c r="Q21" i="133" l="1"/>
  <c r="Q21" i="141" l="1"/>
  <c r="T9" i="139" l="1"/>
  <c r="T10" i="139"/>
  <c r="F152" i="100" l="1"/>
  <c r="F80" i="100"/>
  <c r="T33" i="131" l="1"/>
  <c r="T8" i="139" l="1"/>
  <c r="F69" i="100" l="1"/>
  <c r="F151" i="100"/>
  <c r="S21" i="139" l="1"/>
  <c r="R21" i="139"/>
  <c r="F68" i="100" l="1"/>
  <c r="D12" i="132" l="1"/>
  <c r="C12" i="132" s="1"/>
  <c r="D13" i="132"/>
  <c r="C13" i="132" s="1"/>
  <c r="D9" i="137"/>
  <c r="C9" i="137" s="1"/>
  <c r="T7" i="138" l="1"/>
  <c r="T7" i="121" l="1"/>
  <c r="F13" i="100" l="1"/>
  <c r="T21" i="136" l="1"/>
  <c r="S295" i="135" l="1"/>
  <c r="R295" i="135"/>
  <c r="Q295" i="135" l="1"/>
  <c r="R362" i="134" l="1"/>
  <c r="S362" i="134"/>
  <c r="T7" i="131" l="1"/>
  <c r="T32" i="131"/>
  <c r="F48" i="100" l="1"/>
  <c r="F49" i="100"/>
  <c r="F50" i="100"/>
  <c r="F51" i="100"/>
  <c r="F163" i="100"/>
  <c r="D243" i="131" l="1"/>
  <c r="C243" i="131" s="1"/>
  <c r="D12" i="138"/>
  <c r="C12" i="138" s="1"/>
  <c r="T7" i="133" l="1"/>
  <c r="T7" i="132"/>
  <c r="T21" i="132" s="1"/>
  <c r="Q21" i="139"/>
  <c r="T7" i="135"/>
  <c r="T295" i="135" s="1"/>
  <c r="T7" i="139" l="1"/>
  <c r="T21" i="139" s="1"/>
  <c r="T362" i="134"/>
  <c r="V362" i="134" s="1"/>
  <c r="Q362" i="134"/>
  <c r="F139" i="100"/>
  <c r="F140" i="100"/>
  <c r="D17" i="141" s="1"/>
  <c r="C17" i="141" s="1"/>
  <c r="F141" i="100"/>
  <c r="D25" i="149" s="1"/>
  <c r="C25" i="149" s="1"/>
  <c r="F142" i="100"/>
  <c r="F143" i="100"/>
  <c r="F144" i="100"/>
  <c r="F145" i="100"/>
  <c r="F146" i="100"/>
  <c r="D306" i="134" s="1"/>
  <c r="C306" i="134" s="1"/>
  <c r="F147" i="100"/>
  <c r="F148" i="100"/>
  <c r="F149" i="100"/>
  <c r="F150" i="100"/>
  <c r="D17" i="149" s="1"/>
  <c r="C17" i="149" s="1"/>
  <c r="J372" i="134" l="1"/>
  <c r="D12" i="149"/>
  <c r="C12" i="149" s="1"/>
  <c r="D26" i="135"/>
  <c r="C26" i="135" s="1"/>
  <c r="D14" i="149"/>
  <c r="C14" i="149" s="1"/>
  <c r="D13" i="149"/>
  <c r="C13" i="149" s="1"/>
  <c r="D16" i="149"/>
  <c r="C16" i="149" s="1"/>
  <c r="D274" i="149"/>
  <c r="C274" i="149" s="1"/>
  <c r="D275" i="149"/>
  <c r="C275" i="149" s="1"/>
  <c r="D279" i="134"/>
  <c r="C279" i="134" s="1"/>
  <c r="D278" i="134"/>
  <c r="C278" i="134" s="1"/>
  <c r="D308" i="134"/>
  <c r="C308" i="134" s="1"/>
  <c r="D339" i="131"/>
  <c r="C339" i="131" s="1"/>
  <c r="D311" i="131"/>
  <c r="C311" i="131" s="1"/>
  <c r="D17" i="139"/>
  <c r="D16" i="136"/>
  <c r="C16" i="136" s="1"/>
  <c r="F124" i="100"/>
  <c r="F125" i="100"/>
  <c r="F126" i="100"/>
  <c r="F127" i="100"/>
  <c r="F128" i="100"/>
  <c r="F129" i="100"/>
  <c r="F130" i="100"/>
  <c r="F131" i="100"/>
  <c r="D21" i="149" s="1"/>
  <c r="C21" i="149" s="1"/>
  <c r="F132" i="100"/>
  <c r="F133" i="100"/>
  <c r="D23" i="149" s="1"/>
  <c r="C23" i="149" s="1"/>
  <c r="F134" i="100"/>
  <c r="D24" i="149" s="1"/>
  <c r="C24" i="149" s="1"/>
  <c r="F135" i="100"/>
  <c r="F136" i="100"/>
  <c r="F137" i="100"/>
  <c r="D313" i="134" s="1"/>
  <c r="C313" i="134" s="1"/>
  <c r="F138" i="100"/>
  <c r="D22" i="149" l="1"/>
  <c r="C22" i="149" s="1"/>
  <c r="D20" i="135"/>
  <c r="C20" i="135" s="1"/>
  <c r="D19" i="135"/>
  <c r="C19" i="135" s="1"/>
  <c r="D356" i="134"/>
  <c r="C356" i="134" s="1"/>
  <c r="D26" i="149"/>
  <c r="C26" i="149" s="1"/>
  <c r="D279" i="149"/>
  <c r="C279" i="149" s="1"/>
  <c r="D27" i="149"/>
  <c r="C27" i="149" s="1"/>
  <c r="D28" i="149"/>
  <c r="C28" i="149" s="1"/>
  <c r="D315" i="131"/>
  <c r="C315" i="131" s="1"/>
  <c r="D283" i="134"/>
  <c r="C283" i="134" s="1"/>
  <c r="D381" i="131"/>
  <c r="C381" i="131" s="1"/>
  <c r="D380" i="131"/>
  <c r="C380" i="131" s="1"/>
  <c r="D346" i="131"/>
  <c r="C346" i="131" s="1"/>
  <c r="D345" i="131"/>
  <c r="C345" i="131" s="1"/>
  <c r="D14" i="141"/>
  <c r="C14" i="141" s="1"/>
  <c r="D336" i="131"/>
  <c r="C336" i="131" s="1"/>
  <c r="C17" i="139"/>
  <c r="D11" i="136"/>
  <c r="C11" i="136" s="1"/>
  <c r="D10" i="136"/>
  <c r="C10" i="136" s="1"/>
  <c r="D8" i="137"/>
  <c r="C8" i="137" s="1"/>
  <c r="F73" i="100"/>
  <c r="F74" i="100"/>
  <c r="F75" i="100"/>
  <c r="F76" i="100"/>
  <c r="F77" i="100"/>
  <c r="F78" i="100"/>
  <c r="D355" i="131" s="1"/>
  <c r="C355" i="131" s="1"/>
  <c r="F79" i="100"/>
  <c r="D353" i="134" s="1"/>
  <c r="C353" i="134" s="1"/>
  <c r="D288" i="149" l="1"/>
  <c r="C288" i="149" s="1"/>
  <c r="D293" i="149"/>
  <c r="C293" i="149" s="1"/>
  <c r="D287" i="149"/>
  <c r="C287" i="149" s="1"/>
  <c r="D281" i="149"/>
  <c r="C281" i="149" s="1"/>
  <c r="D282" i="149"/>
  <c r="C282" i="149" s="1"/>
  <c r="D292" i="149"/>
  <c r="C292" i="149" s="1"/>
  <c r="D286" i="149"/>
  <c r="C286" i="149" s="1"/>
  <c r="D291" i="149"/>
  <c r="C291" i="149" s="1"/>
  <c r="D285" i="149"/>
  <c r="C285" i="149" s="1"/>
  <c r="D290" i="149"/>
  <c r="C290" i="149" s="1"/>
  <c r="D284" i="149"/>
  <c r="C284" i="149" s="1"/>
  <c r="D295" i="149"/>
  <c r="C295" i="149" s="1"/>
  <c r="D289" i="149"/>
  <c r="C289" i="149" s="1"/>
  <c r="D283" i="149"/>
  <c r="C283" i="149" s="1"/>
  <c r="D294" i="149"/>
  <c r="C294" i="149" s="1"/>
  <c r="D291" i="134"/>
  <c r="C291" i="134" s="1"/>
  <c r="D290" i="134"/>
  <c r="C290" i="134" s="1"/>
  <c r="D292" i="134"/>
  <c r="C292" i="134" s="1"/>
  <c r="D293" i="134"/>
  <c r="C293" i="134" s="1"/>
  <c r="D288" i="134"/>
  <c r="C288" i="134" s="1"/>
  <c r="D294" i="134"/>
  <c r="C294" i="134" s="1"/>
  <c r="D295" i="134"/>
  <c r="C295" i="134" s="1"/>
  <c r="D296" i="134"/>
  <c r="C296" i="134" s="1"/>
  <c r="D284" i="134"/>
  <c r="C284" i="134" s="1"/>
  <c r="D297" i="134"/>
  <c r="C297" i="134" s="1"/>
  <c r="D285" i="134"/>
  <c r="C285" i="134" s="1"/>
  <c r="D298" i="134"/>
  <c r="C298" i="134" s="1"/>
  <c r="D286" i="134"/>
  <c r="C286" i="134" s="1"/>
  <c r="D287" i="134"/>
  <c r="C287" i="134" s="1"/>
  <c r="D289" i="134"/>
  <c r="C289" i="134" s="1"/>
  <c r="D356" i="131"/>
  <c r="C356" i="131" s="1"/>
  <c r="D324" i="131"/>
  <c r="C324" i="131" s="1"/>
  <c r="D325" i="131"/>
  <c r="C325" i="131" s="1"/>
  <c r="D326" i="131"/>
  <c r="C326" i="131" s="1"/>
  <c r="D327" i="131"/>
  <c r="C327" i="131" s="1"/>
  <c r="D322" i="131"/>
  <c r="C322" i="131" s="1"/>
  <c r="D323" i="131"/>
  <c r="C323" i="131" s="1"/>
  <c r="D316" i="131"/>
  <c r="C316" i="131" s="1"/>
  <c r="D328" i="131"/>
  <c r="C328" i="131" s="1"/>
  <c r="D317" i="131"/>
  <c r="C317" i="131" s="1"/>
  <c r="D329" i="131"/>
  <c r="C329" i="131" s="1"/>
  <c r="D318" i="131"/>
  <c r="C318" i="131" s="1"/>
  <c r="D319" i="131"/>
  <c r="C319" i="131" s="1"/>
  <c r="D320" i="131"/>
  <c r="C320" i="131" s="1"/>
  <c r="D321" i="131"/>
  <c r="C321" i="131" s="1"/>
  <c r="D362" i="131"/>
  <c r="C362" i="131" s="1"/>
  <c r="D354" i="131"/>
  <c r="C354" i="131" s="1"/>
  <c r="D15" i="141"/>
  <c r="C15" i="141" s="1"/>
  <c r="D357" i="131"/>
  <c r="C357" i="131" s="1"/>
  <c r="D12" i="141"/>
  <c r="C12" i="141" s="1"/>
  <c r="D14" i="137"/>
  <c r="C14" i="137" s="1"/>
  <c r="D15" i="137"/>
  <c r="C15" i="137" s="1"/>
  <c r="D16" i="137"/>
  <c r="C16" i="137" s="1"/>
  <c r="D17" i="137"/>
  <c r="C17" i="137" s="1"/>
  <c r="D18" i="137"/>
  <c r="C18" i="137" s="1"/>
  <c r="D19" i="137"/>
  <c r="C19" i="137" s="1"/>
  <c r="D13" i="137"/>
  <c r="C13" i="137" s="1"/>
  <c r="D20" i="137"/>
  <c r="C20" i="137" s="1"/>
  <c r="D10" i="137"/>
  <c r="C10" i="137" s="1"/>
  <c r="D12" i="137"/>
  <c r="C12" i="137" s="1"/>
  <c r="D11" i="137"/>
  <c r="C11" i="137" s="1"/>
  <c r="D20" i="136"/>
  <c r="C20" i="136" s="1"/>
  <c r="D19" i="136"/>
  <c r="C19" i="136" s="1"/>
  <c r="D18" i="136"/>
  <c r="C18" i="136" s="1"/>
  <c r="F41" i="100" l="1"/>
  <c r="F42" i="100"/>
  <c r="F43" i="100"/>
  <c r="F44" i="100"/>
  <c r="F45" i="100"/>
  <c r="F46" i="100"/>
  <c r="F47" i="100"/>
  <c r="R21" i="121"/>
  <c r="S21" i="121"/>
  <c r="T7" i="137"/>
  <c r="T21" i="137" s="1"/>
  <c r="F65" i="100"/>
  <c r="F66" i="100"/>
  <c r="F67" i="100"/>
  <c r="D32" i="135" s="1"/>
  <c r="C32" i="135" s="1"/>
  <c r="F70" i="100"/>
  <c r="F61" i="100"/>
  <c r="F62" i="100"/>
  <c r="D30" i="135" s="1"/>
  <c r="C30" i="135" s="1"/>
  <c r="F63" i="100"/>
  <c r="F64" i="100"/>
  <c r="F115" i="100"/>
  <c r="F114" i="100"/>
  <c r="H3" i="100"/>
  <c r="B7" i="149" s="1"/>
  <c r="B8" i="149" s="1"/>
  <c r="B9" i="149" s="1"/>
  <c r="B15" i="149" s="1"/>
  <c r="B10" i="149" s="1"/>
  <c r="B11" i="149" s="1"/>
  <c r="R21" i="133"/>
  <c r="S21" i="133"/>
  <c r="F18" i="100"/>
  <c r="F19" i="100"/>
  <c r="F20" i="100"/>
  <c r="F21" i="100"/>
  <c r="F22" i="100"/>
  <c r="F23" i="100"/>
  <c r="F24" i="100"/>
  <c r="F25" i="100"/>
  <c r="F26" i="100"/>
  <c r="F27" i="100"/>
  <c r="F28" i="100"/>
  <c r="F29" i="100"/>
  <c r="F30" i="100"/>
  <c r="F31" i="100"/>
  <c r="F32" i="100"/>
  <c r="F33" i="100"/>
  <c r="F34" i="100"/>
  <c r="F35" i="100"/>
  <c r="F36" i="100"/>
  <c r="F37" i="100"/>
  <c r="F38" i="100"/>
  <c r="F39" i="100"/>
  <c r="F40" i="100"/>
  <c r="T21" i="133"/>
  <c r="Q21" i="132"/>
  <c r="R21" i="132"/>
  <c r="S21" i="132"/>
  <c r="T21" i="141"/>
  <c r="T21" i="140"/>
  <c r="F116" i="100"/>
  <c r="F117" i="100"/>
  <c r="F175" i="100"/>
  <c r="F174" i="100"/>
  <c r="F173" i="100"/>
  <c r="F172" i="100"/>
  <c r="F153" i="100"/>
  <c r="F164" i="100"/>
  <c r="F162" i="100"/>
  <c r="F154" i="100"/>
  <c r="F155" i="100"/>
  <c r="F156" i="100"/>
  <c r="F157" i="100"/>
  <c r="F158" i="100"/>
  <c r="F159" i="100"/>
  <c r="F160" i="100"/>
  <c r="D344" i="131" s="1"/>
  <c r="C344" i="131" s="1"/>
  <c r="F161" i="100"/>
  <c r="F91" i="100"/>
  <c r="F92" i="100"/>
  <c r="F93" i="100"/>
  <c r="F94" i="100"/>
  <c r="F95" i="100"/>
  <c r="F97" i="100"/>
  <c r="F98" i="100"/>
  <c r="F99" i="100"/>
  <c r="F100" i="100"/>
  <c r="D307" i="134" s="1"/>
  <c r="C307" i="134" s="1"/>
  <c r="F101" i="100"/>
  <c r="F102" i="100"/>
  <c r="F103" i="100"/>
  <c r="F104" i="100"/>
  <c r="D35" i="149" s="1"/>
  <c r="C35" i="149" s="1"/>
  <c r="F105" i="100"/>
  <c r="D31" i="135" s="1"/>
  <c r="C31" i="135" s="1"/>
  <c r="F106" i="100"/>
  <c r="F107" i="100"/>
  <c r="F108" i="100"/>
  <c r="F109" i="100"/>
  <c r="F110" i="100"/>
  <c r="F111" i="100"/>
  <c r="F112" i="100"/>
  <c r="D315" i="134" s="1"/>
  <c r="C315" i="134" s="1"/>
  <c r="F113" i="100"/>
  <c r="F83" i="100"/>
  <c r="F84" i="100"/>
  <c r="F85" i="100"/>
  <c r="F86" i="100"/>
  <c r="F87" i="100"/>
  <c r="F88" i="100"/>
  <c r="F90" i="100"/>
  <c r="Q21" i="140"/>
  <c r="R21" i="140"/>
  <c r="S21" i="140"/>
  <c r="F11" i="100"/>
  <c r="D2" i="141"/>
  <c r="D2" i="140"/>
  <c r="D2" i="139"/>
  <c r="D2" i="138"/>
  <c r="D2" i="137"/>
  <c r="D2" i="136"/>
  <c r="D2" i="135"/>
  <c r="D2" i="134"/>
  <c r="D2" i="133"/>
  <c r="D2" i="132"/>
  <c r="D2" i="131"/>
  <c r="F123" i="100"/>
  <c r="F122" i="100"/>
  <c r="F121" i="100"/>
  <c r="F120" i="100"/>
  <c r="F119" i="100"/>
  <c r="F118" i="100"/>
  <c r="F89" i="100"/>
  <c r="F82" i="100"/>
  <c r="F81" i="100"/>
  <c r="F72" i="100"/>
  <c r="D297" i="131" s="1"/>
  <c r="C297" i="131" s="1"/>
  <c r="F71" i="100"/>
  <c r="F60" i="100"/>
  <c r="D37" i="149" s="1"/>
  <c r="C37" i="149" s="1"/>
  <c r="F59" i="100"/>
  <c r="F17" i="100"/>
  <c r="F16" i="100"/>
  <c r="F15" i="100"/>
  <c r="F14" i="100"/>
  <c r="F12" i="100"/>
  <c r="F10" i="100"/>
  <c r="F9" i="100"/>
  <c r="F8" i="100"/>
  <c r="F7" i="100"/>
  <c r="D2" i="121"/>
  <c r="F6" i="100"/>
  <c r="D30" i="131" l="1"/>
  <c r="C30" i="131" s="1"/>
  <c r="D28" i="131"/>
  <c r="C28" i="131" s="1"/>
  <c r="D18" i="134"/>
  <c r="C18" i="134" s="1"/>
  <c r="D19" i="134"/>
  <c r="C19" i="134" s="1"/>
  <c r="D20" i="134"/>
  <c r="C20" i="134" s="1"/>
  <c r="D29" i="131"/>
  <c r="C29" i="131" s="1"/>
  <c r="D34" i="149"/>
  <c r="C34" i="149" s="1"/>
  <c r="D15" i="149"/>
  <c r="C15" i="149" s="1"/>
  <c r="D40" i="149"/>
  <c r="C40" i="149" s="1"/>
  <c r="D39" i="149"/>
  <c r="C39" i="149" s="1"/>
  <c r="D15" i="134"/>
  <c r="C15" i="134" s="1"/>
  <c r="D16" i="134"/>
  <c r="C16" i="134" s="1"/>
  <c r="D10" i="133"/>
  <c r="C10" i="133" s="1"/>
  <c r="D11" i="133"/>
  <c r="C11" i="133" s="1"/>
  <c r="D292" i="131"/>
  <c r="C292" i="131" s="1"/>
  <c r="B13" i="149"/>
  <c r="B14" i="149" s="1"/>
  <c r="B16" i="149" s="1"/>
  <c r="B18" i="149" s="1"/>
  <c r="B19" i="149" s="1"/>
  <c r="B20" i="149" s="1"/>
  <c r="B37" i="149"/>
  <c r="B38" i="149" s="1"/>
  <c r="B39" i="149" s="1"/>
  <c r="B40" i="149" s="1"/>
  <c r="B41" i="149" s="1"/>
  <c r="B42" i="149" s="1"/>
  <c r="B44" i="149" s="1"/>
  <c r="B45" i="149" s="1"/>
  <c r="B46" i="149" s="1"/>
  <c r="B47" i="149" s="1"/>
  <c r="B48" i="149" s="1"/>
  <c r="B49" i="149" s="1"/>
  <c r="B50" i="149" s="1"/>
  <c r="B51" i="149" s="1"/>
  <c r="B52" i="149" s="1"/>
  <c r="B53" i="149" s="1"/>
  <c r="B54" i="149" s="1"/>
  <c r="B55" i="149" s="1"/>
  <c r="B56" i="149" s="1"/>
  <c r="B57" i="149" s="1"/>
  <c r="B58" i="149" s="1"/>
  <c r="B59" i="149" s="1"/>
  <c r="B60" i="149" s="1"/>
  <c r="B61" i="149" s="1"/>
  <c r="B62" i="149" s="1"/>
  <c r="B63" i="149" s="1"/>
  <c r="B64" i="149" s="1"/>
  <c r="B65" i="149" s="1"/>
  <c r="B66" i="149" s="1"/>
  <c r="B67" i="149" s="1"/>
  <c r="B68" i="149" s="1"/>
  <c r="B69" i="149" s="1"/>
  <c r="B70" i="149" s="1"/>
  <c r="B71" i="149" s="1"/>
  <c r="B72" i="149" s="1"/>
  <c r="B73" i="149" s="1"/>
  <c r="B74" i="149" s="1"/>
  <c r="B75" i="149" s="1"/>
  <c r="B76" i="149" s="1"/>
  <c r="B77" i="149" s="1"/>
  <c r="B78" i="149" s="1"/>
  <c r="B79" i="149" s="1"/>
  <c r="B80" i="149" s="1"/>
  <c r="B81" i="149" s="1"/>
  <c r="B82" i="149" s="1"/>
  <c r="B83" i="149" s="1"/>
  <c r="B84" i="149" s="1"/>
  <c r="B85" i="149" s="1"/>
  <c r="B86" i="149" s="1"/>
  <c r="B87" i="149" s="1"/>
  <c r="B88" i="149" s="1"/>
  <c r="B89" i="149" s="1"/>
  <c r="B90" i="149" s="1"/>
  <c r="B91" i="149" s="1"/>
  <c r="B92" i="149" s="1"/>
  <c r="B93" i="149" s="1"/>
  <c r="B94" i="149" s="1"/>
  <c r="B95" i="149" s="1"/>
  <c r="B96" i="149" s="1"/>
  <c r="B97" i="149" s="1"/>
  <c r="B98" i="149" s="1"/>
  <c r="D30" i="149"/>
  <c r="C30" i="149" s="1"/>
  <c r="D31" i="149"/>
  <c r="C31" i="149" s="1"/>
  <c r="D32" i="149"/>
  <c r="C32" i="149" s="1"/>
  <c r="D28" i="135"/>
  <c r="C28" i="135" s="1"/>
  <c r="D29" i="135"/>
  <c r="C29" i="135" s="1"/>
  <c r="D27" i="135"/>
  <c r="C27" i="135" s="1"/>
  <c r="D9" i="149"/>
  <c r="C9" i="149" s="1"/>
  <c r="D11" i="149"/>
  <c r="C11" i="149" s="1"/>
  <c r="D278" i="149"/>
  <c r="C278" i="149" s="1"/>
  <c r="D277" i="149"/>
  <c r="C277" i="149" s="1"/>
  <c r="D276" i="149"/>
  <c r="C276" i="149" s="1"/>
  <c r="D266" i="149"/>
  <c r="C266" i="149" s="1"/>
  <c r="D265" i="149"/>
  <c r="C265" i="149" s="1"/>
  <c r="D264" i="149"/>
  <c r="C264" i="149" s="1"/>
  <c r="D263" i="149"/>
  <c r="C263" i="149" s="1"/>
  <c r="D262" i="149"/>
  <c r="C262" i="149" s="1"/>
  <c r="D217" i="134"/>
  <c r="C217" i="134" s="1"/>
  <c r="D242" i="149"/>
  <c r="C242" i="149" s="1"/>
  <c r="D218" i="134"/>
  <c r="C218" i="134" s="1"/>
  <c r="D219" i="134"/>
  <c r="C219" i="134" s="1"/>
  <c r="D252" i="149"/>
  <c r="C252" i="149" s="1"/>
  <c r="D245" i="149"/>
  <c r="C245" i="149" s="1"/>
  <c r="D225" i="134"/>
  <c r="C225" i="134" s="1"/>
  <c r="D221" i="134"/>
  <c r="C221" i="134" s="1"/>
  <c r="D215" i="134"/>
  <c r="C215" i="134" s="1"/>
  <c r="D240" i="134"/>
  <c r="C240" i="134" s="1"/>
  <c r="D222" i="134"/>
  <c r="C222" i="134" s="1"/>
  <c r="D244" i="131"/>
  <c r="C244" i="131" s="1"/>
  <c r="D214" i="134"/>
  <c r="C214" i="134" s="1"/>
  <c r="D240" i="149"/>
  <c r="C240" i="149" s="1"/>
  <c r="D239" i="149"/>
  <c r="C239" i="149" s="1"/>
  <c r="D256" i="149"/>
  <c r="C256" i="149" s="1"/>
  <c r="D248" i="149"/>
  <c r="C248" i="149" s="1"/>
  <c r="D268" i="149"/>
  <c r="C268" i="149" s="1"/>
  <c r="D272" i="149"/>
  <c r="C272" i="149" s="1"/>
  <c r="D271" i="149"/>
  <c r="C271" i="149" s="1"/>
  <c r="D270" i="149"/>
  <c r="C270" i="149" s="1"/>
  <c r="D269" i="149"/>
  <c r="C269" i="149" s="1"/>
  <c r="D340" i="131"/>
  <c r="C340" i="131" s="1"/>
  <c r="D329" i="134"/>
  <c r="C329" i="134" s="1"/>
  <c r="D328" i="134"/>
  <c r="C328" i="134" s="1"/>
  <c r="D77" i="149"/>
  <c r="C77" i="149" s="1"/>
  <c r="D47" i="149"/>
  <c r="C47" i="149" s="1"/>
  <c r="D57" i="149"/>
  <c r="C57" i="149" s="1"/>
  <c r="D67" i="149"/>
  <c r="C67" i="149" s="1"/>
  <c r="D226" i="149"/>
  <c r="C226" i="149" s="1"/>
  <c r="D196" i="149"/>
  <c r="C196" i="149" s="1"/>
  <c r="D59" i="149"/>
  <c r="C59" i="149" s="1"/>
  <c r="D129" i="149"/>
  <c r="C129" i="149" s="1"/>
  <c r="D94" i="149"/>
  <c r="C94" i="149" s="1"/>
  <c r="D82" i="149"/>
  <c r="C82" i="149" s="1"/>
  <c r="D141" i="149"/>
  <c r="C141" i="149" s="1"/>
  <c r="D135" i="149"/>
  <c r="C135" i="149" s="1"/>
  <c r="D161" i="149"/>
  <c r="C161" i="149" s="1"/>
  <c r="D69" i="149"/>
  <c r="C69" i="149" s="1"/>
  <c r="D206" i="149"/>
  <c r="C206" i="149" s="1"/>
  <c r="D176" i="149"/>
  <c r="C176" i="149" s="1"/>
  <c r="D109" i="149"/>
  <c r="C109" i="149" s="1"/>
  <c r="D79" i="149"/>
  <c r="C79" i="149" s="1"/>
  <c r="D151" i="149"/>
  <c r="C151" i="149" s="1"/>
  <c r="D216" i="149"/>
  <c r="C216" i="149" s="1"/>
  <c r="D186" i="149"/>
  <c r="C186" i="149" s="1"/>
  <c r="D49" i="149"/>
  <c r="C49" i="149" s="1"/>
  <c r="D119" i="149"/>
  <c r="C119" i="149" s="1"/>
  <c r="D16" i="135"/>
  <c r="C16" i="135" s="1"/>
  <c r="D148" i="149"/>
  <c r="C148" i="149" s="1"/>
  <c r="D106" i="149"/>
  <c r="C106" i="149" s="1"/>
  <c r="D213" i="149"/>
  <c r="C213" i="149" s="1"/>
  <c r="D183" i="149"/>
  <c r="C183" i="149" s="1"/>
  <c r="D58" i="149"/>
  <c r="C58" i="149" s="1"/>
  <c r="D116" i="149"/>
  <c r="C116" i="149" s="1"/>
  <c r="D158" i="149"/>
  <c r="C158" i="149" s="1"/>
  <c r="D68" i="149"/>
  <c r="C68" i="149" s="1"/>
  <c r="D223" i="149"/>
  <c r="C223" i="149" s="1"/>
  <c r="D193" i="149"/>
  <c r="C193" i="149" s="1"/>
  <c r="D168" i="149"/>
  <c r="C168" i="149" s="1"/>
  <c r="D126" i="149"/>
  <c r="C126" i="149" s="1"/>
  <c r="D91" i="149"/>
  <c r="C91" i="149" s="1"/>
  <c r="D48" i="149"/>
  <c r="C48" i="149" s="1"/>
  <c r="D203" i="149"/>
  <c r="C203" i="149" s="1"/>
  <c r="D173" i="149"/>
  <c r="C173" i="149" s="1"/>
  <c r="D78" i="149"/>
  <c r="C78" i="149" s="1"/>
  <c r="D241" i="134"/>
  <c r="C241" i="134" s="1"/>
  <c r="D253" i="149"/>
  <c r="C253" i="149" s="1"/>
  <c r="D14" i="134"/>
  <c r="C14" i="134" s="1"/>
  <c r="D38" i="149"/>
  <c r="C38" i="149" s="1"/>
  <c r="D22" i="135"/>
  <c r="C22" i="135" s="1"/>
  <c r="D355" i="134"/>
  <c r="C355" i="134" s="1"/>
  <c r="D296" i="131"/>
  <c r="C296" i="131" s="1"/>
  <c r="D330" i="134"/>
  <c r="C330" i="134" s="1"/>
  <c r="D252" i="131"/>
  <c r="C252" i="131" s="1"/>
  <c r="D258" i="149"/>
  <c r="C258" i="149" s="1"/>
  <c r="D251" i="149"/>
  <c r="C251" i="149" s="1"/>
  <c r="D243" i="149"/>
  <c r="C243" i="149" s="1"/>
  <c r="D261" i="134"/>
  <c r="C261" i="134" s="1"/>
  <c r="D235" i="134"/>
  <c r="C235" i="134" s="1"/>
  <c r="D220" i="134"/>
  <c r="C220" i="134" s="1"/>
  <c r="D270" i="131"/>
  <c r="C270" i="131" s="1"/>
  <c r="D291" i="131"/>
  <c r="C291" i="131" s="1"/>
  <c r="D354" i="134"/>
  <c r="C354" i="134" s="1"/>
  <c r="D361" i="134"/>
  <c r="C361" i="134" s="1"/>
  <c r="D326" i="134"/>
  <c r="C326" i="134" s="1"/>
  <c r="D359" i="134"/>
  <c r="C359" i="134" s="1"/>
  <c r="D360" i="134"/>
  <c r="C360" i="134" s="1"/>
  <c r="D324" i="134"/>
  <c r="C324" i="134" s="1"/>
  <c r="D323" i="134"/>
  <c r="C323" i="134" s="1"/>
  <c r="D325" i="134"/>
  <c r="C325" i="134" s="1"/>
  <c r="D327" i="134"/>
  <c r="C327" i="134" s="1"/>
  <c r="D237" i="149"/>
  <c r="C237" i="149" s="1"/>
  <c r="D236" i="149"/>
  <c r="C236" i="149" s="1"/>
  <c r="D235" i="149"/>
  <c r="C235" i="149" s="1"/>
  <c r="D234" i="149"/>
  <c r="C234" i="149" s="1"/>
  <c r="D166" i="149"/>
  <c r="C166" i="149" s="1"/>
  <c r="D124" i="149"/>
  <c r="C124" i="149" s="1"/>
  <c r="D89" i="149"/>
  <c r="C89" i="149" s="1"/>
  <c r="D54" i="149"/>
  <c r="C54" i="149" s="1"/>
  <c r="D201" i="149"/>
  <c r="C201" i="149" s="1"/>
  <c r="D171" i="149"/>
  <c r="C171" i="149" s="1"/>
  <c r="D64" i="149"/>
  <c r="C64" i="149" s="1"/>
  <c r="D146" i="149"/>
  <c r="C146" i="149" s="1"/>
  <c r="D104" i="149"/>
  <c r="C104" i="149" s="1"/>
  <c r="D140" i="149"/>
  <c r="C140" i="149" s="1"/>
  <c r="D134" i="149"/>
  <c r="C134" i="149" s="1"/>
  <c r="D74" i="149"/>
  <c r="C74" i="149" s="1"/>
  <c r="D44" i="149"/>
  <c r="C44" i="149" s="1"/>
  <c r="D211" i="149"/>
  <c r="C211" i="149" s="1"/>
  <c r="D181" i="149"/>
  <c r="C181" i="149" s="1"/>
  <c r="D114" i="149"/>
  <c r="C114" i="149" s="1"/>
  <c r="D156" i="149"/>
  <c r="C156" i="149" s="1"/>
  <c r="D221" i="149"/>
  <c r="C221" i="149" s="1"/>
  <c r="D191" i="149"/>
  <c r="C191" i="149" s="1"/>
  <c r="D21" i="135"/>
  <c r="C21" i="135" s="1"/>
  <c r="D208" i="149"/>
  <c r="C208" i="149" s="1"/>
  <c r="D178" i="149"/>
  <c r="C178" i="149" s="1"/>
  <c r="D71" i="149"/>
  <c r="C71" i="149" s="1"/>
  <c r="D143" i="149"/>
  <c r="C143" i="149" s="1"/>
  <c r="D96" i="149"/>
  <c r="C96" i="149" s="1"/>
  <c r="D153" i="149"/>
  <c r="C153" i="149" s="1"/>
  <c r="D111" i="149"/>
  <c r="C111" i="149" s="1"/>
  <c r="D81" i="149"/>
  <c r="C81" i="149" s="1"/>
  <c r="D51" i="149"/>
  <c r="C51" i="149" s="1"/>
  <c r="D137" i="149"/>
  <c r="C137" i="149" s="1"/>
  <c r="D84" i="149"/>
  <c r="C84" i="149" s="1"/>
  <c r="D218" i="149"/>
  <c r="C218" i="149" s="1"/>
  <c r="D188" i="149"/>
  <c r="C188" i="149" s="1"/>
  <c r="D163" i="149"/>
  <c r="C163" i="149" s="1"/>
  <c r="D121" i="149"/>
  <c r="C121" i="149" s="1"/>
  <c r="D61" i="149"/>
  <c r="C61" i="149" s="1"/>
  <c r="D131" i="149"/>
  <c r="C131" i="149" s="1"/>
  <c r="D228" i="149"/>
  <c r="C228" i="149" s="1"/>
  <c r="D198" i="149"/>
  <c r="C198" i="149" s="1"/>
  <c r="D41" i="149"/>
  <c r="C41" i="149" s="1"/>
  <c r="D42" i="149"/>
  <c r="C42" i="149" s="1"/>
  <c r="D223" i="134"/>
  <c r="C223" i="134" s="1"/>
  <c r="D224" i="134"/>
  <c r="C224" i="134" s="1"/>
  <c r="D244" i="149"/>
  <c r="C244" i="149" s="1"/>
  <c r="D160" i="149"/>
  <c r="C160" i="149" s="1"/>
  <c r="D118" i="149"/>
  <c r="C118" i="149" s="1"/>
  <c r="D225" i="149"/>
  <c r="C225" i="149" s="1"/>
  <c r="D195" i="149"/>
  <c r="C195" i="149" s="1"/>
  <c r="D93" i="149"/>
  <c r="C93" i="149" s="1"/>
  <c r="D170" i="149"/>
  <c r="C170" i="149" s="1"/>
  <c r="D128" i="149"/>
  <c r="C128" i="149" s="1"/>
  <c r="D205" i="149"/>
  <c r="C205" i="149" s="1"/>
  <c r="D175" i="149"/>
  <c r="C175" i="149" s="1"/>
  <c r="D108" i="149"/>
  <c r="C108" i="149" s="1"/>
  <c r="D150" i="149"/>
  <c r="C150" i="149" s="1"/>
  <c r="D215" i="149"/>
  <c r="C215" i="149" s="1"/>
  <c r="D185" i="149"/>
  <c r="C185" i="149" s="1"/>
  <c r="D9" i="136"/>
  <c r="C9" i="136" s="1"/>
  <c r="D358" i="134"/>
  <c r="C358" i="134" s="1"/>
  <c r="D232" i="149"/>
  <c r="C232" i="149" s="1"/>
  <c r="D231" i="149"/>
  <c r="C231" i="149" s="1"/>
  <c r="D233" i="149"/>
  <c r="C233" i="149" s="1"/>
  <c r="D237" i="131"/>
  <c r="C237" i="131" s="1"/>
  <c r="D220" i="149"/>
  <c r="C220" i="149" s="1"/>
  <c r="D190" i="149"/>
  <c r="C190" i="149" s="1"/>
  <c r="D53" i="149"/>
  <c r="C53" i="149" s="1"/>
  <c r="D165" i="149"/>
  <c r="C165" i="149" s="1"/>
  <c r="D123" i="149"/>
  <c r="C123" i="149" s="1"/>
  <c r="D88" i="149"/>
  <c r="C88" i="149" s="1"/>
  <c r="D63" i="149"/>
  <c r="C63" i="149" s="1"/>
  <c r="D230" i="149"/>
  <c r="C230" i="149" s="1"/>
  <c r="D200" i="149"/>
  <c r="C200" i="149" s="1"/>
  <c r="D155" i="149"/>
  <c r="C155" i="149" s="1"/>
  <c r="D145" i="149"/>
  <c r="C145" i="149" s="1"/>
  <c r="D113" i="149"/>
  <c r="C113" i="149" s="1"/>
  <c r="D139" i="149"/>
  <c r="C139" i="149" s="1"/>
  <c r="D133" i="149"/>
  <c r="C133" i="149" s="1"/>
  <c r="D98" i="149"/>
  <c r="C98" i="149" s="1"/>
  <c r="D86" i="149"/>
  <c r="C86" i="149" s="1"/>
  <c r="D180" i="149"/>
  <c r="C180" i="149" s="1"/>
  <c r="D73" i="149"/>
  <c r="C73" i="149" s="1"/>
  <c r="D210" i="149"/>
  <c r="C210" i="149" s="1"/>
  <c r="D351" i="134"/>
  <c r="C351" i="134" s="1"/>
  <c r="D322" i="134"/>
  <c r="C322" i="134" s="1"/>
  <c r="D214" i="149"/>
  <c r="C214" i="149" s="1"/>
  <c r="D184" i="149"/>
  <c r="C184" i="149" s="1"/>
  <c r="D117" i="149"/>
  <c r="C117" i="149" s="1"/>
  <c r="D159" i="149"/>
  <c r="C159" i="149" s="1"/>
  <c r="D107" i="149"/>
  <c r="C107" i="149" s="1"/>
  <c r="D224" i="149"/>
  <c r="C224" i="149" s="1"/>
  <c r="D194" i="149"/>
  <c r="C194" i="149" s="1"/>
  <c r="D127" i="149"/>
  <c r="C127" i="149" s="1"/>
  <c r="D92" i="149"/>
  <c r="C92" i="149" s="1"/>
  <c r="D169" i="149"/>
  <c r="C169" i="149" s="1"/>
  <c r="D149" i="149"/>
  <c r="C149" i="149" s="1"/>
  <c r="D204" i="149"/>
  <c r="C204" i="149" s="1"/>
  <c r="D174" i="149"/>
  <c r="C174" i="149" s="1"/>
  <c r="D262" i="131"/>
  <c r="C262" i="131" s="1"/>
  <c r="D243" i="134"/>
  <c r="C243" i="134" s="1"/>
  <c r="D226" i="134"/>
  <c r="C226" i="134" s="1"/>
  <c r="D260" i="149"/>
  <c r="C260" i="149" s="1"/>
  <c r="D267" i="134"/>
  <c r="C267" i="134" s="1"/>
  <c r="D246" i="149"/>
  <c r="C246" i="149" s="1"/>
  <c r="D254" i="149"/>
  <c r="C254" i="149" s="1"/>
  <c r="D273" i="131"/>
  <c r="C273" i="131" s="1"/>
  <c r="D298" i="131"/>
  <c r="C298" i="131" s="1"/>
  <c r="D25" i="135"/>
  <c r="C25" i="135" s="1"/>
  <c r="D23" i="135"/>
  <c r="C23" i="135" s="1"/>
  <c r="D24" i="135"/>
  <c r="C24" i="135" s="1"/>
  <c r="D357" i="134"/>
  <c r="C357" i="134" s="1"/>
  <c r="D154" i="149"/>
  <c r="C154" i="149" s="1"/>
  <c r="D112" i="149"/>
  <c r="C112" i="149" s="1"/>
  <c r="D52" i="149"/>
  <c r="C52" i="149" s="1"/>
  <c r="D219" i="149"/>
  <c r="C219" i="149" s="1"/>
  <c r="D189" i="149"/>
  <c r="C189" i="149" s="1"/>
  <c r="D122" i="149"/>
  <c r="C122" i="149" s="1"/>
  <c r="D87" i="149"/>
  <c r="C87" i="149" s="1"/>
  <c r="D164" i="149"/>
  <c r="C164" i="149" s="1"/>
  <c r="D229" i="149"/>
  <c r="C229" i="149" s="1"/>
  <c r="D199" i="149"/>
  <c r="C199" i="149" s="1"/>
  <c r="D62" i="149"/>
  <c r="C62" i="149" s="1"/>
  <c r="D144" i="149"/>
  <c r="C144" i="149" s="1"/>
  <c r="D132" i="149"/>
  <c r="C132" i="149" s="1"/>
  <c r="D72" i="149"/>
  <c r="C72" i="149" s="1"/>
  <c r="D138" i="149"/>
  <c r="C138" i="149" s="1"/>
  <c r="D97" i="149"/>
  <c r="C97" i="149" s="1"/>
  <c r="D85" i="149"/>
  <c r="C85" i="149" s="1"/>
  <c r="D209" i="149"/>
  <c r="C209" i="149" s="1"/>
  <c r="D179" i="149"/>
  <c r="C179" i="149" s="1"/>
  <c r="D336" i="134"/>
  <c r="C336" i="134" s="1"/>
  <c r="D348" i="134"/>
  <c r="C348" i="134" s="1"/>
  <c r="D349" i="134"/>
  <c r="C349" i="134" s="1"/>
  <c r="D337" i="134"/>
  <c r="C337" i="134" s="1"/>
  <c r="D338" i="134"/>
  <c r="C338" i="134" s="1"/>
  <c r="D350" i="134"/>
  <c r="C350" i="134" s="1"/>
  <c r="D345" i="134"/>
  <c r="C345" i="134" s="1"/>
  <c r="D339" i="134"/>
  <c r="C339" i="134" s="1"/>
  <c r="D346" i="134"/>
  <c r="C346" i="134" s="1"/>
  <c r="D340" i="134"/>
  <c r="C340" i="134" s="1"/>
  <c r="D344" i="134"/>
  <c r="C344" i="134" s="1"/>
  <c r="D341" i="134"/>
  <c r="C341" i="134" s="1"/>
  <c r="D332" i="134"/>
  <c r="C332" i="134" s="1"/>
  <c r="D342" i="134"/>
  <c r="C342" i="134" s="1"/>
  <c r="D343" i="134"/>
  <c r="C343" i="134" s="1"/>
  <c r="D335" i="134"/>
  <c r="C335" i="134" s="1"/>
  <c r="D331" i="134"/>
  <c r="C331" i="134" s="1"/>
  <c r="D347" i="134"/>
  <c r="C347" i="134" s="1"/>
  <c r="D333" i="134"/>
  <c r="C333" i="134" s="1"/>
  <c r="D334" i="134"/>
  <c r="C334" i="134" s="1"/>
  <c r="D352" i="134"/>
  <c r="C352" i="134" s="1"/>
  <c r="D321" i="134"/>
  <c r="C321" i="134" s="1"/>
  <c r="D65" i="149"/>
  <c r="C65" i="149" s="1"/>
  <c r="D45" i="149"/>
  <c r="C45" i="149" s="1"/>
  <c r="D75" i="149"/>
  <c r="C75" i="149" s="1"/>
  <c r="D55" i="149"/>
  <c r="C55" i="149" s="1"/>
  <c r="D142" i="149"/>
  <c r="C142" i="149" s="1"/>
  <c r="D136" i="149"/>
  <c r="C136" i="149" s="1"/>
  <c r="D130" i="149"/>
  <c r="C130" i="149" s="1"/>
  <c r="D95" i="149"/>
  <c r="C95" i="149" s="1"/>
  <c r="D83" i="149"/>
  <c r="C83" i="149" s="1"/>
  <c r="D70" i="149"/>
  <c r="C70" i="149" s="1"/>
  <c r="D207" i="149"/>
  <c r="C207" i="149" s="1"/>
  <c r="D177" i="149"/>
  <c r="C177" i="149" s="1"/>
  <c r="D110" i="149"/>
  <c r="C110" i="149" s="1"/>
  <c r="D152" i="149"/>
  <c r="C152" i="149" s="1"/>
  <c r="D60" i="149"/>
  <c r="C60" i="149" s="1"/>
  <c r="D217" i="149"/>
  <c r="C217" i="149" s="1"/>
  <c r="D187" i="149"/>
  <c r="C187" i="149" s="1"/>
  <c r="D80" i="149"/>
  <c r="C80" i="149" s="1"/>
  <c r="D50" i="149"/>
  <c r="C50" i="149" s="1"/>
  <c r="D162" i="149"/>
  <c r="C162" i="149" s="1"/>
  <c r="D120" i="149"/>
  <c r="C120" i="149" s="1"/>
  <c r="D227" i="149"/>
  <c r="C227" i="149" s="1"/>
  <c r="D197" i="149"/>
  <c r="C197" i="149" s="1"/>
  <c r="D202" i="149"/>
  <c r="C202" i="149" s="1"/>
  <c r="D172" i="149"/>
  <c r="C172" i="149" s="1"/>
  <c r="D147" i="149"/>
  <c r="C147" i="149" s="1"/>
  <c r="D46" i="149"/>
  <c r="C46" i="149" s="1"/>
  <c r="D105" i="149"/>
  <c r="C105" i="149" s="1"/>
  <c r="D76" i="149"/>
  <c r="C76" i="149" s="1"/>
  <c r="D212" i="149"/>
  <c r="C212" i="149" s="1"/>
  <c r="D182" i="149"/>
  <c r="C182" i="149" s="1"/>
  <c r="D90" i="149"/>
  <c r="C90" i="149" s="1"/>
  <c r="D56" i="149"/>
  <c r="C56" i="149" s="1"/>
  <c r="D167" i="149"/>
  <c r="C167" i="149" s="1"/>
  <c r="D157" i="149"/>
  <c r="C157" i="149" s="1"/>
  <c r="D115" i="149"/>
  <c r="C115" i="149" s="1"/>
  <c r="D66" i="149"/>
  <c r="C66" i="149" s="1"/>
  <c r="D222" i="149"/>
  <c r="C222" i="149" s="1"/>
  <c r="D192" i="149"/>
  <c r="C192" i="149" s="1"/>
  <c r="D125" i="149"/>
  <c r="C125" i="149" s="1"/>
  <c r="D229" i="134"/>
  <c r="C229" i="134" s="1"/>
  <c r="D256" i="134"/>
  <c r="C256" i="134" s="1"/>
  <c r="D259" i="149"/>
  <c r="C259" i="149" s="1"/>
  <c r="D230" i="134"/>
  <c r="C230" i="134" s="1"/>
  <c r="D242" i="134"/>
  <c r="C242" i="134" s="1"/>
  <c r="D257" i="134"/>
  <c r="C257" i="134" s="1"/>
  <c r="D246" i="134"/>
  <c r="C246" i="134" s="1"/>
  <c r="D233" i="134"/>
  <c r="C233" i="134" s="1"/>
  <c r="D248" i="134"/>
  <c r="C248" i="134" s="1"/>
  <c r="D252" i="134"/>
  <c r="C252" i="134" s="1"/>
  <c r="D239" i="134"/>
  <c r="C239" i="134" s="1"/>
  <c r="D231" i="134"/>
  <c r="C231" i="134" s="1"/>
  <c r="D258" i="134"/>
  <c r="C258" i="134" s="1"/>
  <c r="D232" i="134"/>
  <c r="C232" i="134" s="1"/>
  <c r="D247" i="134"/>
  <c r="C247" i="134" s="1"/>
  <c r="D259" i="134"/>
  <c r="C259" i="134" s="1"/>
  <c r="D260" i="134"/>
  <c r="C260" i="134" s="1"/>
  <c r="D265" i="134"/>
  <c r="C265" i="134" s="1"/>
  <c r="D254" i="134"/>
  <c r="C254" i="134" s="1"/>
  <c r="D250" i="149"/>
  <c r="C250" i="149" s="1"/>
  <c r="D234" i="134"/>
  <c r="C234" i="134" s="1"/>
  <c r="D249" i="134"/>
  <c r="C249" i="134" s="1"/>
  <c r="D262" i="134"/>
  <c r="C262" i="134" s="1"/>
  <c r="D250" i="134"/>
  <c r="C250" i="134" s="1"/>
  <c r="D263" i="134"/>
  <c r="C263" i="134" s="1"/>
  <c r="D237" i="134"/>
  <c r="C237" i="134" s="1"/>
  <c r="D255" i="134"/>
  <c r="C255" i="134" s="1"/>
  <c r="D236" i="134"/>
  <c r="C236" i="134" s="1"/>
  <c r="D251" i="134"/>
  <c r="C251" i="134" s="1"/>
  <c r="D264" i="134"/>
  <c r="C264" i="134" s="1"/>
  <c r="D238" i="134"/>
  <c r="C238" i="134" s="1"/>
  <c r="D253" i="134"/>
  <c r="C253" i="134" s="1"/>
  <c r="D266" i="134"/>
  <c r="C266" i="134" s="1"/>
  <c r="D285" i="131"/>
  <c r="C285" i="131" s="1"/>
  <c r="D266" i="131"/>
  <c r="C266" i="131" s="1"/>
  <c r="D267" i="131"/>
  <c r="C267" i="131" s="1"/>
  <c r="D269" i="131"/>
  <c r="C269" i="131" s="1"/>
  <c r="D282" i="131"/>
  <c r="C282" i="131" s="1"/>
  <c r="D286" i="131"/>
  <c r="C286" i="131" s="1"/>
  <c r="D276" i="131"/>
  <c r="C276" i="131" s="1"/>
  <c r="D281" i="131"/>
  <c r="C281" i="131" s="1"/>
  <c r="D287" i="131"/>
  <c r="C287" i="131" s="1"/>
  <c r="D268" i="131"/>
  <c r="C268" i="131" s="1"/>
  <c r="D288" i="131"/>
  <c r="C288" i="131" s="1"/>
  <c r="D294" i="131"/>
  <c r="C294" i="131" s="1"/>
  <c r="D280" i="131"/>
  <c r="C280" i="131" s="1"/>
  <c r="D277" i="131"/>
  <c r="C277" i="131" s="1"/>
  <c r="D289" i="131"/>
  <c r="C289" i="131" s="1"/>
  <c r="D271" i="131"/>
  <c r="C271" i="131" s="1"/>
  <c r="D293" i="131"/>
  <c r="C293" i="131" s="1"/>
  <c r="D278" i="131"/>
  <c r="C278" i="131" s="1"/>
  <c r="D290" i="131"/>
  <c r="C290" i="131" s="1"/>
  <c r="D272" i="131"/>
  <c r="C272" i="131" s="1"/>
  <c r="D265" i="131"/>
  <c r="C265" i="131" s="1"/>
  <c r="D295" i="131"/>
  <c r="C295" i="131" s="1"/>
  <c r="D279" i="131"/>
  <c r="C279" i="131" s="1"/>
  <c r="D284" i="131"/>
  <c r="C284" i="131" s="1"/>
  <c r="D283" i="131"/>
  <c r="C283" i="131" s="1"/>
  <c r="D245" i="131"/>
  <c r="C245" i="131" s="1"/>
  <c r="D245" i="134"/>
  <c r="C245" i="134" s="1"/>
  <c r="D257" i="149"/>
  <c r="C257" i="149" s="1"/>
  <c r="D216" i="134"/>
  <c r="C216" i="134" s="1"/>
  <c r="D249" i="149"/>
  <c r="C249" i="149" s="1"/>
  <c r="D228" i="134"/>
  <c r="C228" i="134" s="1"/>
  <c r="D241" i="149"/>
  <c r="C241" i="149" s="1"/>
  <c r="D275" i="131"/>
  <c r="C275" i="131" s="1"/>
  <c r="D264" i="131"/>
  <c r="C264" i="131" s="1"/>
  <c r="D10" i="149"/>
  <c r="C10" i="149" s="1"/>
  <c r="D8" i="149"/>
  <c r="C8" i="149" s="1"/>
  <c r="D309" i="134"/>
  <c r="C309" i="134" s="1"/>
  <c r="D314" i="134"/>
  <c r="C314" i="134" s="1"/>
  <c r="D318" i="134"/>
  <c r="C318" i="134" s="1"/>
  <c r="D273" i="134"/>
  <c r="C273" i="134" s="1"/>
  <c r="D274" i="134"/>
  <c r="C274" i="134" s="1"/>
  <c r="D275" i="134"/>
  <c r="C275" i="134" s="1"/>
  <c r="D276" i="134"/>
  <c r="C276" i="134" s="1"/>
  <c r="D277" i="134"/>
  <c r="C277" i="134" s="1"/>
  <c r="D280" i="134"/>
  <c r="C280" i="134" s="1"/>
  <c r="D281" i="134"/>
  <c r="C281" i="134" s="1"/>
  <c r="D282" i="134"/>
  <c r="C282" i="134" s="1"/>
  <c r="D269" i="134"/>
  <c r="C269" i="134" s="1"/>
  <c r="D270" i="134"/>
  <c r="C270" i="134" s="1"/>
  <c r="D271" i="134"/>
  <c r="C271" i="134" s="1"/>
  <c r="D272" i="134"/>
  <c r="C272" i="134" s="1"/>
  <c r="D268" i="134"/>
  <c r="C268" i="134" s="1"/>
  <c r="D247" i="131"/>
  <c r="C247" i="131" s="1"/>
  <c r="D250" i="131"/>
  <c r="C250" i="131" s="1"/>
  <c r="D251" i="131"/>
  <c r="C251" i="131" s="1"/>
  <c r="D211" i="134"/>
  <c r="C211" i="134" s="1"/>
  <c r="D212" i="134"/>
  <c r="C212" i="134" s="1"/>
  <c r="D210" i="134"/>
  <c r="C210" i="134" s="1"/>
  <c r="D258" i="131"/>
  <c r="C258" i="131" s="1"/>
  <c r="D248" i="131"/>
  <c r="C248" i="131" s="1"/>
  <c r="D261" i="131"/>
  <c r="C261" i="131" s="1"/>
  <c r="D253" i="131"/>
  <c r="C253" i="131" s="1"/>
  <c r="D256" i="131"/>
  <c r="C256" i="131" s="1"/>
  <c r="D246" i="131"/>
  <c r="C246" i="131" s="1"/>
  <c r="D257" i="131"/>
  <c r="C257" i="131" s="1"/>
  <c r="D31" i="131"/>
  <c r="C31" i="131" s="1"/>
  <c r="D13" i="134"/>
  <c r="C13" i="134" s="1"/>
  <c r="D54" i="134"/>
  <c r="C54" i="134" s="1"/>
  <c r="D34" i="134"/>
  <c r="C34" i="134" s="1"/>
  <c r="D24" i="134"/>
  <c r="C24" i="134" s="1"/>
  <c r="D311" i="134"/>
  <c r="C311" i="134" s="1"/>
  <c r="D312" i="134"/>
  <c r="C312" i="134" s="1"/>
  <c r="D260" i="131"/>
  <c r="C260" i="131" s="1"/>
  <c r="D259" i="131"/>
  <c r="C259" i="131" s="1"/>
  <c r="D213" i="134"/>
  <c r="C213" i="134" s="1"/>
  <c r="D227" i="134"/>
  <c r="C227" i="134" s="1"/>
  <c r="D244" i="134"/>
  <c r="C244" i="134" s="1"/>
  <c r="D310" i="134"/>
  <c r="C310" i="134" s="1"/>
  <c r="D319" i="134"/>
  <c r="C319" i="134" s="1"/>
  <c r="D52" i="134"/>
  <c r="C52" i="134" s="1"/>
  <c r="D32" i="134"/>
  <c r="C32" i="134" s="1"/>
  <c r="D22" i="134"/>
  <c r="C22" i="134" s="1"/>
  <c r="D379" i="131"/>
  <c r="C379" i="131" s="1"/>
  <c r="D320" i="134"/>
  <c r="C320" i="134" s="1"/>
  <c r="D106" i="134"/>
  <c r="C106" i="134" s="1"/>
  <c r="D178" i="134"/>
  <c r="C178" i="134" s="1"/>
  <c r="D143" i="134"/>
  <c r="C143" i="134" s="1"/>
  <c r="D96" i="134"/>
  <c r="C96" i="134" s="1"/>
  <c r="D168" i="134"/>
  <c r="C168" i="134" s="1"/>
  <c r="D133" i="134"/>
  <c r="C133" i="134" s="1"/>
  <c r="D86" i="134"/>
  <c r="C86" i="134" s="1"/>
  <c r="D158" i="134"/>
  <c r="C158" i="134" s="1"/>
  <c r="D123" i="134"/>
  <c r="C123" i="134" s="1"/>
  <c r="D76" i="134"/>
  <c r="C76" i="134" s="1"/>
  <c r="D112" i="134"/>
  <c r="C112" i="134" s="1"/>
  <c r="D148" i="134"/>
  <c r="C148" i="134" s="1"/>
  <c r="D51" i="134"/>
  <c r="C51" i="134" s="1"/>
  <c r="D66" i="134"/>
  <c r="C66" i="134" s="1"/>
  <c r="D198" i="134"/>
  <c r="C198" i="134" s="1"/>
  <c r="D188" i="134"/>
  <c r="C188" i="134" s="1"/>
  <c r="D21" i="134"/>
  <c r="C21" i="134" s="1"/>
  <c r="D31" i="134"/>
  <c r="C31" i="134" s="1"/>
  <c r="D93" i="134"/>
  <c r="C93" i="134" s="1"/>
  <c r="D165" i="134"/>
  <c r="C165" i="134" s="1"/>
  <c r="D130" i="134"/>
  <c r="C130" i="134" s="1"/>
  <c r="D83" i="134"/>
  <c r="C83" i="134" s="1"/>
  <c r="D155" i="134"/>
  <c r="C155" i="134" s="1"/>
  <c r="D120" i="134"/>
  <c r="C120" i="134" s="1"/>
  <c r="D48" i="134"/>
  <c r="C48" i="134" s="1"/>
  <c r="D73" i="134"/>
  <c r="C73" i="134" s="1"/>
  <c r="D109" i="134"/>
  <c r="C109" i="134" s="1"/>
  <c r="D205" i="134"/>
  <c r="C205" i="134" s="1"/>
  <c r="D61" i="134"/>
  <c r="C61" i="134" s="1"/>
  <c r="D195" i="134"/>
  <c r="C195" i="134" s="1"/>
  <c r="D115" i="134"/>
  <c r="C115" i="134" s="1"/>
  <c r="D175" i="134"/>
  <c r="C175" i="134" s="1"/>
  <c r="D58" i="134"/>
  <c r="C58" i="134" s="1"/>
  <c r="D185" i="134"/>
  <c r="C185" i="134" s="1"/>
  <c r="D103" i="134"/>
  <c r="C103" i="134" s="1"/>
  <c r="D140" i="134"/>
  <c r="C140" i="134" s="1"/>
  <c r="D38" i="134"/>
  <c r="C38" i="134" s="1"/>
  <c r="D28" i="134"/>
  <c r="C28" i="134" s="1"/>
  <c r="D129" i="134"/>
  <c r="C129" i="134" s="1"/>
  <c r="D82" i="134"/>
  <c r="C82" i="134" s="1"/>
  <c r="D154" i="134"/>
  <c r="C154" i="134" s="1"/>
  <c r="D119" i="134"/>
  <c r="C119" i="134" s="1"/>
  <c r="D57" i="134"/>
  <c r="C57" i="134" s="1"/>
  <c r="D72" i="134"/>
  <c r="C72" i="134" s="1"/>
  <c r="D108" i="134"/>
  <c r="C108" i="134" s="1"/>
  <c r="D204" i="134"/>
  <c r="C204" i="134" s="1"/>
  <c r="D60" i="134"/>
  <c r="C60" i="134" s="1"/>
  <c r="D194" i="134"/>
  <c r="C194" i="134" s="1"/>
  <c r="D184" i="134"/>
  <c r="C184" i="134" s="1"/>
  <c r="D102" i="134"/>
  <c r="C102" i="134" s="1"/>
  <c r="D114" i="134"/>
  <c r="C114" i="134" s="1"/>
  <c r="D174" i="134"/>
  <c r="C174" i="134" s="1"/>
  <c r="D139" i="134"/>
  <c r="C139" i="134" s="1"/>
  <c r="D92" i="134"/>
  <c r="C92" i="134" s="1"/>
  <c r="D164" i="134"/>
  <c r="C164" i="134" s="1"/>
  <c r="D37" i="134"/>
  <c r="C37" i="134" s="1"/>
  <c r="D27" i="134"/>
  <c r="C27" i="134" s="1"/>
  <c r="D331" i="131"/>
  <c r="C331" i="131" s="1"/>
  <c r="D249" i="131"/>
  <c r="C249" i="131" s="1"/>
  <c r="D254" i="131"/>
  <c r="C254" i="131" s="1"/>
  <c r="D255" i="131"/>
  <c r="C255" i="131" s="1"/>
  <c r="D70" i="134"/>
  <c r="C70" i="134" s="1"/>
  <c r="D202" i="134"/>
  <c r="C202" i="134" s="1"/>
  <c r="D192" i="134"/>
  <c r="C192" i="134" s="1"/>
  <c r="D182" i="134"/>
  <c r="C182" i="134" s="1"/>
  <c r="D127" i="134"/>
  <c r="C127" i="134" s="1"/>
  <c r="D147" i="134"/>
  <c r="C147" i="134" s="1"/>
  <c r="D100" i="134"/>
  <c r="C100" i="134" s="1"/>
  <c r="D172" i="134"/>
  <c r="C172" i="134" s="1"/>
  <c r="D137" i="134"/>
  <c r="C137" i="134" s="1"/>
  <c r="D90" i="134"/>
  <c r="C90" i="134" s="1"/>
  <c r="D162" i="134"/>
  <c r="C162" i="134" s="1"/>
  <c r="D80" i="134"/>
  <c r="C80" i="134" s="1"/>
  <c r="D152" i="134"/>
  <c r="C152" i="134" s="1"/>
  <c r="D17" i="134"/>
  <c r="C17" i="134" s="1"/>
  <c r="D81" i="134"/>
  <c r="C81" i="134" s="1"/>
  <c r="D153" i="134"/>
  <c r="C153" i="134" s="1"/>
  <c r="D118" i="134"/>
  <c r="C118" i="134" s="1"/>
  <c r="D56" i="134"/>
  <c r="C56" i="134" s="1"/>
  <c r="D71" i="134"/>
  <c r="C71" i="134" s="1"/>
  <c r="D107" i="134"/>
  <c r="C107" i="134" s="1"/>
  <c r="D203" i="134"/>
  <c r="C203" i="134" s="1"/>
  <c r="D59" i="134"/>
  <c r="C59" i="134" s="1"/>
  <c r="D193" i="134"/>
  <c r="C193" i="134" s="1"/>
  <c r="D183" i="134"/>
  <c r="C183" i="134" s="1"/>
  <c r="D91" i="134"/>
  <c r="C91" i="134" s="1"/>
  <c r="D101" i="134"/>
  <c r="C101" i="134" s="1"/>
  <c r="D113" i="134"/>
  <c r="C113" i="134" s="1"/>
  <c r="D173" i="134"/>
  <c r="C173" i="134" s="1"/>
  <c r="D138" i="134"/>
  <c r="C138" i="134" s="1"/>
  <c r="D163" i="134"/>
  <c r="C163" i="134" s="1"/>
  <c r="D128" i="134"/>
  <c r="C128" i="134" s="1"/>
  <c r="D36" i="134"/>
  <c r="C36" i="134" s="1"/>
  <c r="D26" i="134"/>
  <c r="C26" i="134" s="1"/>
  <c r="D69" i="134"/>
  <c r="C69" i="134" s="1"/>
  <c r="D201" i="134"/>
  <c r="C201" i="134" s="1"/>
  <c r="D191" i="134"/>
  <c r="C191" i="134" s="1"/>
  <c r="D181" i="134"/>
  <c r="C181" i="134" s="1"/>
  <c r="D146" i="134"/>
  <c r="C146" i="134" s="1"/>
  <c r="D99" i="134"/>
  <c r="C99" i="134" s="1"/>
  <c r="D171" i="134"/>
  <c r="C171" i="134" s="1"/>
  <c r="D136" i="134"/>
  <c r="C136" i="134" s="1"/>
  <c r="D89" i="134"/>
  <c r="C89" i="134" s="1"/>
  <c r="D161" i="134"/>
  <c r="C161" i="134" s="1"/>
  <c r="D79" i="134"/>
  <c r="C79" i="134" s="1"/>
  <c r="D126" i="134"/>
  <c r="C126" i="134" s="1"/>
  <c r="D151" i="134"/>
  <c r="C151" i="134" s="1"/>
  <c r="D208" i="134"/>
  <c r="C208" i="134" s="1"/>
  <c r="D209" i="134"/>
  <c r="C209" i="134" s="1"/>
  <c r="D105" i="134"/>
  <c r="C105" i="134" s="1"/>
  <c r="D117" i="134"/>
  <c r="C117" i="134" s="1"/>
  <c r="D177" i="134"/>
  <c r="C177" i="134" s="1"/>
  <c r="D142" i="134"/>
  <c r="C142" i="134" s="1"/>
  <c r="D95" i="134"/>
  <c r="C95" i="134" s="1"/>
  <c r="D167" i="134"/>
  <c r="C167" i="134" s="1"/>
  <c r="D132" i="134"/>
  <c r="C132" i="134" s="1"/>
  <c r="D85" i="134"/>
  <c r="C85" i="134" s="1"/>
  <c r="D157" i="134"/>
  <c r="C157" i="134" s="1"/>
  <c r="D122" i="134"/>
  <c r="C122" i="134" s="1"/>
  <c r="D75" i="134"/>
  <c r="C75" i="134" s="1"/>
  <c r="D111" i="134"/>
  <c r="C111" i="134" s="1"/>
  <c r="D207" i="134"/>
  <c r="C207" i="134" s="1"/>
  <c r="D187" i="134"/>
  <c r="C187" i="134" s="1"/>
  <c r="D50" i="134"/>
  <c r="C50" i="134" s="1"/>
  <c r="D197" i="134"/>
  <c r="C197" i="134" s="1"/>
  <c r="D317" i="134"/>
  <c r="C317" i="134" s="1"/>
  <c r="D65" i="134"/>
  <c r="C65" i="134" s="1"/>
  <c r="D30" i="134"/>
  <c r="C30" i="134" s="1"/>
  <c r="D141" i="134"/>
  <c r="C141" i="134" s="1"/>
  <c r="D94" i="134"/>
  <c r="C94" i="134" s="1"/>
  <c r="D166" i="134"/>
  <c r="C166" i="134" s="1"/>
  <c r="D131" i="134"/>
  <c r="C131" i="134" s="1"/>
  <c r="D84" i="134"/>
  <c r="C84" i="134" s="1"/>
  <c r="D156" i="134"/>
  <c r="C156" i="134" s="1"/>
  <c r="D121" i="134"/>
  <c r="C121" i="134" s="1"/>
  <c r="D49" i="134"/>
  <c r="C49" i="134" s="1"/>
  <c r="D74" i="134"/>
  <c r="C74" i="134" s="1"/>
  <c r="D110" i="134"/>
  <c r="C110" i="134" s="1"/>
  <c r="D206" i="134"/>
  <c r="C206" i="134" s="1"/>
  <c r="D62" i="134"/>
  <c r="C62" i="134" s="1"/>
  <c r="D196" i="134"/>
  <c r="C196" i="134" s="1"/>
  <c r="D316" i="134"/>
  <c r="C316" i="134" s="1"/>
  <c r="D63" i="134"/>
  <c r="C63" i="134" s="1"/>
  <c r="D64" i="134"/>
  <c r="C64" i="134" s="1"/>
  <c r="D186" i="134"/>
  <c r="C186" i="134" s="1"/>
  <c r="D104" i="134"/>
  <c r="C104" i="134" s="1"/>
  <c r="D116" i="134"/>
  <c r="C116" i="134" s="1"/>
  <c r="D176" i="134"/>
  <c r="C176" i="134" s="1"/>
  <c r="D39" i="134"/>
  <c r="C39" i="134" s="1"/>
  <c r="D29" i="134"/>
  <c r="C29" i="134" s="1"/>
  <c r="D55" i="134"/>
  <c r="C55" i="134" s="1"/>
  <c r="D190" i="134"/>
  <c r="C190" i="134" s="1"/>
  <c r="D180" i="134"/>
  <c r="C180" i="134" s="1"/>
  <c r="D145" i="134"/>
  <c r="C145" i="134" s="1"/>
  <c r="D98" i="134"/>
  <c r="C98" i="134" s="1"/>
  <c r="D170" i="134"/>
  <c r="C170" i="134" s="1"/>
  <c r="D135" i="134"/>
  <c r="C135" i="134" s="1"/>
  <c r="D88" i="134"/>
  <c r="C88" i="134" s="1"/>
  <c r="D160" i="134"/>
  <c r="C160" i="134" s="1"/>
  <c r="D125" i="134"/>
  <c r="C125" i="134" s="1"/>
  <c r="D78" i="134"/>
  <c r="C78" i="134" s="1"/>
  <c r="D150" i="134"/>
  <c r="C150" i="134" s="1"/>
  <c r="D68" i="134"/>
  <c r="C68" i="134" s="1"/>
  <c r="D200" i="134"/>
  <c r="C200" i="134" s="1"/>
  <c r="D35" i="134"/>
  <c r="C35" i="134" s="1"/>
  <c r="D25" i="134"/>
  <c r="C25" i="134" s="1"/>
  <c r="D189" i="134"/>
  <c r="C189" i="134" s="1"/>
  <c r="D199" i="134"/>
  <c r="C199" i="134" s="1"/>
  <c r="D179" i="134"/>
  <c r="C179" i="134" s="1"/>
  <c r="D144" i="134"/>
  <c r="C144" i="134" s="1"/>
  <c r="D97" i="134"/>
  <c r="C97" i="134" s="1"/>
  <c r="D169" i="134"/>
  <c r="C169" i="134" s="1"/>
  <c r="D134" i="134"/>
  <c r="C134" i="134" s="1"/>
  <c r="D87" i="134"/>
  <c r="C87" i="134" s="1"/>
  <c r="D159" i="134"/>
  <c r="C159" i="134" s="1"/>
  <c r="D124" i="134"/>
  <c r="C124" i="134" s="1"/>
  <c r="D77" i="134"/>
  <c r="C77" i="134" s="1"/>
  <c r="D149" i="134"/>
  <c r="C149" i="134" s="1"/>
  <c r="D67" i="134"/>
  <c r="C67" i="134" s="1"/>
  <c r="D53" i="134"/>
  <c r="C53" i="134" s="1"/>
  <c r="D33" i="134"/>
  <c r="C33" i="134" s="1"/>
  <c r="D23" i="134"/>
  <c r="C23" i="134" s="1"/>
  <c r="D374" i="131"/>
  <c r="C374" i="131" s="1"/>
  <c r="D363" i="131"/>
  <c r="C363" i="131" s="1"/>
  <c r="D364" i="131"/>
  <c r="C364" i="131" s="1"/>
  <c r="D349" i="131"/>
  <c r="C349" i="131" s="1"/>
  <c r="D350" i="131"/>
  <c r="C350" i="131" s="1"/>
  <c r="D347" i="131"/>
  <c r="C347" i="131" s="1"/>
  <c r="D342" i="131"/>
  <c r="C342" i="131" s="1"/>
  <c r="D335" i="131"/>
  <c r="C335" i="131" s="1"/>
  <c r="D304" i="131"/>
  <c r="C304" i="131" s="1"/>
  <c r="D303" i="131"/>
  <c r="C303" i="131" s="1"/>
  <c r="D301" i="131"/>
  <c r="C301" i="131" s="1"/>
  <c r="D302" i="131"/>
  <c r="C302" i="131" s="1"/>
  <c r="D305" i="131"/>
  <c r="C305" i="131" s="1"/>
  <c r="D300" i="131"/>
  <c r="C300" i="131" s="1"/>
  <c r="D299" i="131"/>
  <c r="C299" i="131" s="1"/>
  <c r="D306" i="131"/>
  <c r="C306" i="131" s="1"/>
  <c r="D307" i="131"/>
  <c r="C307" i="131" s="1"/>
  <c r="D308" i="131"/>
  <c r="C308" i="131" s="1"/>
  <c r="D309" i="131"/>
  <c r="C309" i="131" s="1"/>
  <c r="D310" i="131"/>
  <c r="C310" i="131" s="1"/>
  <c r="D174" i="131"/>
  <c r="C174" i="131" s="1"/>
  <c r="D184" i="131"/>
  <c r="C184" i="131" s="1"/>
  <c r="D224" i="131"/>
  <c r="C224" i="131" s="1"/>
  <c r="D214" i="131"/>
  <c r="C214" i="131" s="1"/>
  <c r="D204" i="131"/>
  <c r="C204" i="131" s="1"/>
  <c r="D169" i="131"/>
  <c r="C169" i="131" s="1"/>
  <c r="D159" i="131"/>
  <c r="C159" i="131" s="1"/>
  <c r="D194" i="131"/>
  <c r="C194" i="131" s="1"/>
  <c r="D373" i="131"/>
  <c r="C373" i="131" s="1"/>
  <c r="D360" i="131"/>
  <c r="C360" i="131" s="1"/>
  <c r="D361" i="131"/>
  <c r="C361" i="131" s="1"/>
  <c r="D358" i="131"/>
  <c r="C358" i="131" s="1"/>
  <c r="D263" i="131"/>
  <c r="C263" i="131" s="1"/>
  <c r="D274" i="131"/>
  <c r="C274" i="131" s="1"/>
  <c r="D242" i="131"/>
  <c r="C242" i="131" s="1"/>
  <c r="D343" i="131"/>
  <c r="C343" i="131" s="1"/>
  <c r="D146" i="131"/>
  <c r="C146" i="131" s="1"/>
  <c r="D211" i="131"/>
  <c r="C211" i="131" s="1"/>
  <c r="D201" i="131"/>
  <c r="C201" i="131" s="1"/>
  <c r="D166" i="131"/>
  <c r="C166" i="131" s="1"/>
  <c r="D191" i="131"/>
  <c r="C191" i="131" s="1"/>
  <c r="D231" i="131"/>
  <c r="C231" i="131" s="1"/>
  <c r="D181" i="131"/>
  <c r="C181" i="131" s="1"/>
  <c r="D221" i="131"/>
  <c r="C221" i="131" s="1"/>
  <c r="D144" i="131"/>
  <c r="C144" i="131" s="1"/>
  <c r="D199" i="131"/>
  <c r="C199" i="131" s="1"/>
  <c r="D164" i="131"/>
  <c r="C164" i="131" s="1"/>
  <c r="D189" i="131"/>
  <c r="C189" i="131" s="1"/>
  <c r="D209" i="131"/>
  <c r="C209" i="131" s="1"/>
  <c r="D179" i="131"/>
  <c r="C179" i="131" s="1"/>
  <c r="D219" i="131"/>
  <c r="C219" i="131" s="1"/>
  <c r="D229" i="131"/>
  <c r="C229" i="131" s="1"/>
  <c r="D186" i="131"/>
  <c r="C186" i="131" s="1"/>
  <c r="D176" i="131"/>
  <c r="C176" i="131" s="1"/>
  <c r="D226" i="131"/>
  <c r="C226" i="131" s="1"/>
  <c r="D171" i="131"/>
  <c r="C171" i="131" s="1"/>
  <c r="D196" i="131"/>
  <c r="C196" i="131" s="1"/>
  <c r="D216" i="131"/>
  <c r="C216" i="131" s="1"/>
  <c r="D206" i="131"/>
  <c r="C206" i="131" s="1"/>
  <c r="D161" i="131"/>
  <c r="C161" i="131" s="1"/>
  <c r="D313" i="131"/>
  <c r="C313" i="131" s="1"/>
  <c r="D332" i="131"/>
  <c r="C332" i="131" s="1"/>
  <c r="D314" i="131"/>
  <c r="C314" i="131" s="1"/>
  <c r="D312" i="131"/>
  <c r="C312" i="131" s="1"/>
  <c r="D333" i="131"/>
  <c r="C333" i="131" s="1"/>
  <c r="D334" i="131"/>
  <c r="C334" i="131" s="1"/>
  <c r="D239" i="131"/>
  <c r="C239" i="131" s="1"/>
  <c r="D240" i="131"/>
  <c r="C240" i="131" s="1"/>
  <c r="D241" i="131"/>
  <c r="C241" i="131" s="1"/>
  <c r="D372" i="131"/>
  <c r="C372" i="131" s="1"/>
  <c r="D353" i="131"/>
  <c r="C353" i="131" s="1"/>
  <c r="D14" i="131"/>
  <c r="C14" i="131" s="1"/>
  <c r="D26" i="131"/>
  <c r="C26" i="131" s="1"/>
  <c r="D11" i="131"/>
  <c r="C11" i="131" s="1"/>
  <c r="D23" i="131"/>
  <c r="C23" i="131" s="1"/>
  <c r="D15" i="131"/>
  <c r="C15" i="131" s="1"/>
  <c r="D8" i="131"/>
  <c r="C8" i="131" s="1"/>
  <c r="D27" i="131"/>
  <c r="C27" i="131" s="1"/>
  <c r="D25" i="131"/>
  <c r="C25" i="131" s="1"/>
  <c r="D16" i="131"/>
  <c r="C16" i="131" s="1"/>
  <c r="D9" i="131"/>
  <c r="C9" i="131" s="1"/>
  <c r="D13" i="131"/>
  <c r="C13" i="131" s="1"/>
  <c r="D17" i="131"/>
  <c r="C17" i="131" s="1"/>
  <c r="D10" i="131"/>
  <c r="C10" i="131" s="1"/>
  <c r="D22" i="131"/>
  <c r="C22" i="131" s="1"/>
  <c r="D18" i="131"/>
  <c r="C18" i="131" s="1"/>
  <c r="D12" i="131"/>
  <c r="C12" i="131" s="1"/>
  <c r="D19" i="131"/>
  <c r="C19" i="131" s="1"/>
  <c r="D20" i="131"/>
  <c r="C20" i="131" s="1"/>
  <c r="D21" i="131"/>
  <c r="C21" i="131" s="1"/>
  <c r="D24" i="131"/>
  <c r="C24" i="131" s="1"/>
  <c r="D145" i="131"/>
  <c r="C145" i="131" s="1"/>
  <c r="D210" i="131"/>
  <c r="C210" i="131" s="1"/>
  <c r="D200" i="131"/>
  <c r="C200" i="131" s="1"/>
  <c r="D165" i="131"/>
  <c r="C165" i="131" s="1"/>
  <c r="D190" i="131"/>
  <c r="C190" i="131" s="1"/>
  <c r="D220" i="131"/>
  <c r="C220" i="131" s="1"/>
  <c r="D180" i="131"/>
  <c r="C180" i="131" s="1"/>
  <c r="D230" i="131"/>
  <c r="C230" i="131" s="1"/>
  <c r="D370" i="131"/>
  <c r="C370" i="131" s="1"/>
  <c r="D382" i="131"/>
  <c r="C382" i="131" s="1"/>
  <c r="D378" i="131"/>
  <c r="C378" i="131" s="1"/>
  <c r="D359" i="131"/>
  <c r="C359" i="131" s="1"/>
  <c r="D351" i="131"/>
  <c r="C351" i="131" s="1"/>
  <c r="D348" i="131"/>
  <c r="C348" i="131" s="1"/>
  <c r="D341" i="131"/>
  <c r="C341" i="131" s="1"/>
  <c r="D236" i="131"/>
  <c r="C236" i="131" s="1"/>
  <c r="D234" i="131"/>
  <c r="C234" i="131" s="1"/>
  <c r="D235" i="131"/>
  <c r="C235" i="131" s="1"/>
  <c r="D238" i="131"/>
  <c r="C238" i="131" s="1"/>
  <c r="D337" i="131"/>
  <c r="C337" i="131" s="1"/>
  <c r="D148" i="131"/>
  <c r="C148" i="131" s="1"/>
  <c r="D223" i="131"/>
  <c r="C223" i="131" s="1"/>
  <c r="D233" i="131"/>
  <c r="C233" i="131" s="1"/>
  <c r="D213" i="131"/>
  <c r="C213" i="131" s="1"/>
  <c r="D203" i="131"/>
  <c r="C203" i="131" s="1"/>
  <c r="D183" i="131"/>
  <c r="C183" i="131" s="1"/>
  <c r="D168" i="131"/>
  <c r="C168" i="131" s="1"/>
  <c r="D193" i="131"/>
  <c r="C193" i="131" s="1"/>
  <c r="D158" i="131"/>
  <c r="C158" i="131" s="1"/>
  <c r="D162" i="131"/>
  <c r="C162" i="131" s="1"/>
  <c r="D187" i="131"/>
  <c r="C187" i="131" s="1"/>
  <c r="D172" i="131"/>
  <c r="C172" i="131" s="1"/>
  <c r="D197" i="131"/>
  <c r="C197" i="131" s="1"/>
  <c r="D177" i="131"/>
  <c r="C177" i="131" s="1"/>
  <c r="D227" i="131"/>
  <c r="C227" i="131" s="1"/>
  <c r="D217" i="131"/>
  <c r="C217" i="131" s="1"/>
  <c r="D207" i="131"/>
  <c r="C207" i="131" s="1"/>
  <c r="D371" i="131"/>
  <c r="C371" i="131" s="1"/>
  <c r="D352" i="131"/>
  <c r="C352" i="131" s="1"/>
  <c r="D338" i="131"/>
  <c r="C338" i="131" s="1"/>
  <c r="D147" i="131"/>
  <c r="C147" i="131" s="1"/>
  <c r="D222" i="131"/>
  <c r="C222" i="131" s="1"/>
  <c r="D212" i="131"/>
  <c r="C212" i="131" s="1"/>
  <c r="D232" i="131"/>
  <c r="C232" i="131" s="1"/>
  <c r="D202" i="131"/>
  <c r="C202" i="131" s="1"/>
  <c r="D167" i="131"/>
  <c r="C167" i="131" s="1"/>
  <c r="D192" i="131"/>
  <c r="C192" i="131" s="1"/>
  <c r="D182" i="131"/>
  <c r="C182" i="131" s="1"/>
  <c r="D198" i="131"/>
  <c r="C198" i="131" s="1"/>
  <c r="D163" i="131"/>
  <c r="C163" i="131" s="1"/>
  <c r="D188" i="131"/>
  <c r="C188" i="131" s="1"/>
  <c r="D178" i="131"/>
  <c r="C178" i="131" s="1"/>
  <c r="D228" i="131"/>
  <c r="C228" i="131" s="1"/>
  <c r="D173" i="131"/>
  <c r="C173" i="131" s="1"/>
  <c r="D208" i="131"/>
  <c r="C208" i="131" s="1"/>
  <c r="D218" i="131"/>
  <c r="C218" i="131" s="1"/>
  <c r="D175" i="131"/>
  <c r="C175" i="131" s="1"/>
  <c r="D160" i="131"/>
  <c r="C160" i="131" s="1"/>
  <c r="D225" i="131"/>
  <c r="C225" i="131" s="1"/>
  <c r="D185" i="131"/>
  <c r="C185" i="131" s="1"/>
  <c r="D215" i="131"/>
  <c r="C215" i="131" s="1"/>
  <c r="D205" i="131"/>
  <c r="C205" i="131" s="1"/>
  <c r="D170" i="131"/>
  <c r="C170" i="131" s="1"/>
  <c r="D195" i="131"/>
  <c r="C195" i="131" s="1"/>
  <c r="D16" i="138"/>
  <c r="C16" i="138" s="1"/>
  <c r="D19" i="133"/>
  <c r="C19" i="133" s="1"/>
  <c r="D15" i="133"/>
  <c r="C15" i="133" s="1"/>
  <c r="D18" i="133"/>
  <c r="C18" i="133" s="1"/>
  <c r="D12" i="133"/>
  <c r="C12" i="133" s="1"/>
  <c r="D13" i="133"/>
  <c r="C13" i="133" s="1"/>
  <c r="D20" i="133"/>
  <c r="C20" i="133" s="1"/>
  <c r="D11" i="132"/>
  <c r="C11" i="132" s="1"/>
  <c r="D9" i="133"/>
  <c r="C9" i="133" s="1"/>
  <c r="D17" i="133"/>
  <c r="C17" i="133" s="1"/>
  <c r="D10" i="132"/>
  <c r="C10" i="132" s="1"/>
  <c r="D8" i="133"/>
  <c r="C8" i="133" s="1"/>
  <c r="D16" i="133"/>
  <c r="C16" i="133" s="1"/>
  <c r="D16" i="132"/>
  <c r="C16" i="132" s="1"/>
  <c r="D19" i="132"/>
  <c r="C19" i="132" s="1"/>
  <c r="D20" i="132"/>
  <c r="C20" i="132" s="1"/>
  <c r="D14" i="132"/>
  <c r="C14" i="132" s="1"/>
  <c r="D15" i="132"/>
  <c r="C15" i="132" s="1"/>
  <c r="D17" i="132"/>
  <c r="C17" i="132" s="1"/>
  <c r="D18" i="132"/>
  <c r="C18" i="132" s="1"/>
  <c r="D9" i="132"/>
  <c r="C9" i="132" s="1"/>
  <c r="D8" i="132"/>
  <c r="C8" i="132" s="1"/>
  <c r="D18" i="141"/>
  <c r="C18" i="141" s="1"/>
  <c r="D19" i="141"/>
  <c r="C19" i="141" s="1"/>
  <c r="D20" i="141"/>
  <c r="C20" i="141" s="1"/>
  <c r="D16" i="141"/>
  <c r="C16" i="141" s="1"/>
  <c r="D19" i="139"/>
  <c r="C19" i="139" s="1"/>
  <c r="D11" i="141"/>
  <c r="C11" i="141" s="1"/>
  <c r="D13" i="141"/>
  <c r="C13" i="141" s="1"/>
  <c r="D7" i="140"/>
  <c r="C7" i="140" s="1"/>
  <c r="D14" i="140"/>
  <c r="C14" i="140" s="1"/>
  <c r="D13" i="140"/>
  <c r="C13" i="140" s="1"/>
  <c r="D15" i="140"/>
  <c r="C15" i="140" s="1"/>
  <c r="D19" i="140"/>
  <c r="C19" i="140" s="1"/>
  <c r="D11" i="140"/>
  <c r="C11" i="140" s="1"/>
  <c r="D16" i="140"/>
  <c r="C16" i="140" s="1"/>
  <c r="D10" i="140"/>
  <c r="C10" i="140" s="1"/>
  <c r="D18" i="140"/>
  <c r="C18" i="140" s="1"/>
  <c r="D8" i="140"/>
  <c r="C8" i="140" s="1"/>
  <c r="D9" i="140"/>
  <c r="C9" i="140" s="1"/>
  <c r="D17" i="140"/>
  <c r="C17" i="140" s="1"/>
  <c r="D20" i="140"/>
  <c r="C20" i="140" s="1"/>
  <c r="D12" i="140"/>
  <c r="C12" i="140" s="1"/>
  <c r="D15" i="139"/>
  <c r="D16" i="139"/>
  <c r="D18" i="139"/>
  <c r="D20" i="139"/>
  <c r="D7" i="139"/>
  <c r="C7" i="139" s="1"/>
  <c r="D12" i="139"/>
  <c r="D9" i="139"/>
  <c r="D10" i="139"/>
  <c r="D11" i="139"/>
  <c r="D13" i="139"/>
  <c r="D14" i="139"/>
  <c r="D18" i="138"/>
  <c r="C18" i="138" s="1"/>
  <c r="D20" i="138"/>
  <c r="C20" i="138" s="1"/>
  <c r="D17" i="138"/>
  <c r="C17" i="138" s="1"/>
  <c r="D19" i="138"/>
  <c r="C19" i="138" s="1"/>
  <c r="D7" i="132"/>
  <c r="C7" i="132" s="1"/>
  <c r="D15" i="138"/>
  <c r="C15" i="138" s="1"/>
  <c r="D9" i="138"/>
  <c r="C9" i="138" s="1"/>
  <c r="D13" i="138"/>
  <c r="C13" i="138" s="1"/>
  <c r="D14" i="138"/>
  <c r="C14" i="138" s="1"/>
  <c r="D11" i="138"/>
  <c r="C11" i="138" s="1"/>
  <c r="D10" i="138"/>
  <c r="C10" i="138" s="1"/>
  <c r="D8" i="138"/>
  <c r="C8" i="138" s="1"/>
  <c r="D18" i="121"/>
  <c r="C18" i="121" s="1"/>
  <c r="D10" i="121"/>
  <c r="C10" i="121" s="1"/>
  <c r="D14" i="121"/>
  <c r="C14" i="121" s="1"/>
  <c r="D15" i="121"/>
  <c r="C15" i="121" s="1"/>
  <c r="D17" i="121"/>
  <c r="C17" i="121" s="1"/>
  <c r="D9" i="121"/>
  <c r="C9" i="121" s="1"/>
  <c r="D8" i="121"/>
  <c r="C8" i="121" s="1"/>
  <c r="D16" i="121"/>
  <c r="C16" i="121" s="1"/>
  <c r="D19" i="121"/>
  <c r="C19" i="121" s="1"/>
  <c r="D11" i="121"/>
  <c r="C11" i="121" s="1"/>
  <c r="D13" i="121"/>
  <c r="C13" i="121" s="1"/>
  <c r="D20" i="121"/>
  <c r="C20" i="121" s="1"/>
  <c r="D12" i="121"/>
  <c r="C12" i="121" s="1"/>
  <c r="D7" i="136"/>
  <c r="C7" i="136" s="1"/>
  <c r="D17" i="136"/>
  <c r="C17" i="136" s="1"/>
  <c r="D15" i="136"/>
  <c r="C15" i="136" s="1"/>
  <c r="D8" i="136"/>
  <c r="C8" i="136" s="1"/>
  <c r="D12" i="136"/>
  <c r="C12" i="136" s="1"/>
  <c r="D13" i="136"/>
  <c r="C13" i="136" s="1"/>
  <c r="D14" i="136"/>
  <c r="C14" i="136" s="1"/>
  <c r="D124" i="131"/>
  <c r="C124" i="131" s="1"/>
  <c r="D128" i="131"/>
  <c r="C128" i="131" s="1"/>
  <c r="D130" i="131"/>
  <c r="C130" i="131" s="1"/>
  <c r="D153" i="131"/>
  <c r="C153" i="131" s="1"/>
  <c r="D142" i="131"/>
  <c r="C142" i="131" s="1"/>
  <c r="D122" i="131"/>
  <c r="C122" i="131" s="1"/>
  <c r="D136" i="131"/>
  <c r="C136" i="131" s="1"/>
  <c r="D77" i="131"/>
  <c r="C77" i="131" s="1"/>
  <c r="D116" i="131"/>
  <c r="C116" i="131" s="1"/>
  <c r="D56" i="131"/>
  <c r="C56" i="131" s="1"/>
  <c r="D104" i="131"/>
  <c r="C104" i="131" s="1"/>
  <c r="D70" i="131"/>
  <c r="C70" i="131" s="1"/>
  <c r="D84" i="131"/>
  <c r="C84" i="131" s="1"/>
  <c r="D110" i="131"/>
  <c r="C110" i="131" s="1"/>
  <c r="D63" i="131"/>
  <c r="C63" i="131" s="1"/>
  <c r="D97" i="131"/>
  <c r="C97" i="131" s="1"/>
  <c r="D91" i="131"/>
  <c r="C91" i="131" s="1"/>
  <c r="D95" i="131"/>
  <c r="C95" i="131" s="1"/>
  <c r="D133" i="131"/>
  <c r="C133" i="131" s="1"/>
  <c r="D80" i="131"/>
  <c r="C80" i="131" s="1"/>
  <c r="D107" i="131"/>
  <c r="C107" i="131" s="1"/>
  <c r="D119" i="131"/>
  <c r="C119" i="131" s="1"/>
  <c r="D59" i="131"/>
  <c r="C59" i="131" s="1"/>
  <c r="D52" i="131"/>
  <c r="C52" i="131" s="1"/>
  <c r="D66" i="131"/>
  <c r="C66" i="131" s="1"/>
  <c r="D73" i="131"/>
  <c r="C73" i="131" s="1"/>
  <c r="D87" i="131"/>
  <c r="C87" i="131" s="1"/>
  <c r="D113" i="131"/>
  <c r="C113" i="131" s="1"/>
  <c r="D100" i="131"/>
  <c r="C100" i="131" s="1"/>
  <c r="D7" i="135"/>
  <c r="D13" i="135"/>
  <c r="D12" i="135"/>
  <c r="D14" i="135"/>
  <c r="D10" i="135"/>
  <c r="D11" i="135"/>
  <c r="D156" i="131"/>
  <c r="C156" i="131" s="1"/>
  <c r="D150" i="131"/>
  <c r="C150" i="131" s="1"/>
  <c r="D139" i="131"/>
  <c r="C139" i="131" s="1"/>
  <c r="D155" i="131"/>
  <c r="C155" i="131" s="1"/>
  <c r="D149" i="131"/>
  <c r="C149" i="131" s="1"/>
  <c r="D126" i="131"/>
  <c r="C126" i="131" s="1"/>
  <c r="D127" i="131"/>
  <c r="C127" i="131" s="1"/>
  <c r="D132" i="131"/>
  <c r="C132" i="131" s="1"/>
  <c r="D138" i="131"/>
  <c r="C138" i="131" s="1"/>
  <c r="D99" i="131"/>
  <c r="C99" i="131" s="1"/>
  <c r="D106" i="131"/>
  <c r="C106" i="131" s="1"/>
  <c r="D118" i="131"/>
  <c r="C118" i="131" s="1"/>
  <c r="D58" i="131"/>
  <c r="C58" i="131" s="1"/>
  <c r="D51" i="131"/>
  <c r="C51" i="131" s="1"/>
  <c r="D72" i="131"/>
  <c r="C72" i="131" s="1"/>
  <c r="D86" i="131"/>
  <c r="C86" i="131" s="1"/>
  <c r="D112" i="131"/>
  <c r="C112" i="131" s="1"/>
  <c r="D65" i="131"/>
  <c r="C65" i="131" s="1"/>
  <c r="D79" i="131"/>
  <c r="C79" i="131" s="1"/>
  <c r="D9" i="135"/>
  <c r="D8" i="135"/>
  <c r="D101" i="131"/>
  <c r="C101" i="131" s="1"/>
  <c r="D81" i="131"/>
  <c r="C81" i="131" s="1"/>
  <c r="D60" i="131"/>
  <c r="C60" i="131" s="1"/>
  <c r="D53" i="131"/>
  <c r="C53" i="131" s="1"/>
  <c r="D74" i="131"/>
  <c r="C74" i="131" s="1"/>
  <c r="D88" i="131"/>
  <c r="C88" i="131" s="1"/>
  <c r="D92" i="131"/>
  <c r="C92" i="131" s="1"/>
  <c r="D67" i="131"/>
  <c r="C67" i="131" s="1"/>
  <c r="D152" i="131"/>
  <c r="C152" i="131" s="1"/>
  <c r="D141" i="131"/>
  <c r="C141" i="131" s="1"/>
  <c r="D121" i="131"/>
  <c r="C121" i="131" s="1"/>
  <c r="D135" i="131"/>
  <c r="C135" i="131" s="1"/>
  <c r="D109" i="131"/>
  <c r="C109" i="131" s="1"/>
  <c r="D115" i="131"/>
  <c r="C115" i="131" s="1"/>
  <c r="D46" i="134"/>
  <c r="C46" i="134" s="1"/>
  <c r="D47" i="134"/>
  <c r="C47" i="134" s="1"/>
  <c r="D11" i="134"/>
  <c r="C11" i="134" s="1"/>
  <c r="D10" i="134"/>
  <c r="C10" i="134" s="1"/>
  <c r="D12" i="134"/>
  <c r="C12" i="134" s="1"/>
  <c r="D40" i="134"/>
  <c r="C40" i="134" s="1"/>
  <c r="D42" i="134"/>
  <c r="C42" i="134" s="1"/>
  <c r="D41" i="134"/>
  <c r="C41" i="134" s="1"/>
  <c r="D44" i="134"/>
  <c r="C44" i="134" s="1"/>
  <c r="D43" i="134"/>
  <c r="C43" i="134" s="1"/>
  <c r="D45" i="134"/>
  <c r="C45" i="134" s="1"/>
  <c r="D7" i="134"/>
  <c r="C7" i="134" s="1"/>
  <c r="D8" i="134"/>
  <c r="C8" i="134" s="1"/>
  <c r="D9" i="134"/>
  <c r="C9" i="134" s="1"/>
  <c r="D36" i="131"/>
  <c r="C36" i="131" s="1"/>
  <c r="D50" i="131"/>
  <c r="C50" i="131" s="1"/>
  <c r="D48" i="131"/>
  <c r="C48" i="131" s="1"/>
  <c r="D37" i="131"/>
  <c r="C37" i="131" s="1"/>
  <c r="D49" i="131"/>
  <c r="C49" i="131" s="1"/>
  <c r="D34" i="131"/>
  <c r="C34" i="131" s="1"/>
  <c r="D38" i="131"/>
  <c r="C38" i="131" s="1"/>
  <c r="D39" i="131"/>
  <c r="C39" i="131" s="1"/>
  <c r="D46" i="131"/>
  <c r="C46" i="131" s="1"/>
  <c r="D40" i="131"/>
  <c r="C40" i="131" s="1"/>
  <c r="D41" i="131"/>
  <c r="C41" i="131" s="1"/>
  <c r="D42" i="131"/>
  <c r="C42" i="131" s="1"/>
  <c r="D43" i="131"/>
  <c r="C43" i="131" s="1"/>
  <c r="D44" i="131"/>
  <c r="C44" i="131" s="1"/>
  <c r="D45" i="131"/>
  <c r="C45" i="131" s="1"/>
  <c r="D35" i="131"/>
  <c r="C35" i="131" s="1"/>
  <c r="D47" i="131"/>
  <c r="C47" i="131" s="1"/>
  <c r="D125" i="131"/>
  <c r="C125" i="131" s="1"/>
  <c r="D154" i="131"/>
  <c r="C154" i="131" s="1"/>
  <c r="D131" i="131"/>
  <c r="C131" i="131" s="1"/>
  <c r="D129" i="131"/>
  <c r="C129" i="131" s="1"/>
  <c r="D123" i="131"/>
  <c r="C123" i="131" s="1"/>
  <c r="D143" i="131"/>
  <c r="C143" i="131" s="1"/>
  <c r="D137" i="131"/>
  <c r="C137" i="131" s="1"/>
  <c r="D117" i="131"/>
  <c r="C117" i="131" s="1"/>
  <c r="D111" i="131"/>
  <c r="C111" i="131" s="1"/>
  <c r="D157" i="131"/>
  <c r="C157" i="131" s="1"/>
  <c r="D151" i="131"/>
  <c r="C151" i="131" s="1"/>
  <c r="D134" i="131"/>
  <c r="C134" i="131" s="1"/>
  <c r="D140" i="131"/>
  <c r="C140" i="131" s="1"/>
  <c r="D68" i="131"/>
  <c r="C68" i="131" s="1"/>
  <c r="D102" i="131"/>
  <c r="C102" i="131" s="1"/>
  <c r="D82" i="131"/>
  <c r="C82" i="131" s="1"/>
  <c r="D108" i="131"/>
  <c r="C108" i="131" s="1"/>
  <c r="D120" i="131"/>
  <c r="C120" i="131" s="1"/>
  <c r="D61" i="131"/>
  <c r="C61" i="131" s="1"/>
  <c r="D114" i="131"/>
  <c r="C114" i="131" s="1"/>
  <c r="D54" i="131"/>
  <c r="C54" i="131" s="1"/>
  <c r="D75" i="131"/>
  <c r="C75" i="131" s="1"/>
  <c r="D89" i="131"/>
  <c r="C89" i="131" s="1"/>
  <c r="D93" i="131"/>
  <c r="C93" i="131" s="1"/>
  <c r="D17" i="135"/>
  <c r="D18" i="135"/>
  <c r="D78" i="131"/>
  <c r="C78" i="131" s="1"/>
  <c r="D96" i="131"/>
  <c r="C96" i="131" s="1"/>
  <c r="D105" i="131"/>
  <c r="C105" i="131" s="1"/>
  <c r="D71" i="131"/>
  <c r="C71" i="131" s="1"/>
  <c r="D85" i="131"/>
  <c r="C85" i="131" s="1"/>
  <c r="D57" i="131"/>
  <c r="C57" i="131" s="1"/>
  <c r="D64" i="131"/>
  <c r="C64" i="131" s="1"/>
  <c r="D98" i="131"/>
  <c r="C98" i="131" s="1"/>
  <c r="D15" i="135"/>
  <c r="D76" i="131"/>
  <c r="C76" i="131" s="1"/>
  <c r="D69" i="131"/>
  <c r="C69" i="131" s="1"/>
  <c r="D103" i="131"/>
  <c r="C103" i="131" s="1"/>
  <c r="D83" i="131"/>
  <c r="C83" i="131" s="1"/>
  <c r="D62" i="131"/>
  <c r="C62" i="131" s="1"/>
  <c r="D55" i="131"/>
  <c r="C55" i="131" s="1"/>
  <c r="D94" i="131"/>
  <c r="C94" i="131" s="1"/>
  <c r="D90" i="131"/>
  <c r="C90" i="131" s="1"/>
  <c r="B7" i="132"/>
  <c r="B8" i="132" s="1"/>
  <c r="B7" i="134"/>
  <c r="B8" i="134" s="1"/>
  <c r="B9" i="134" s="1"/>
  <c r="B10" i="134" s="1"/>
  <c r="B11" i="134" s="1"/>
  <c r="B12" i="134" s="1"/>
  <c r="B13" i="134" s="1"/>
  <c r="B14" i="134" s="1"/>
  <c r="B15" i="134" s="1"/>
  <c r="B16" i="134" s="1"/>
  <c r="B17" i="134" s="1"/>
  <c r="B18" i="134" s="1"/>
  <c r="B19" i="134" s="1"/>
  <c r="B20" i="134" s="1"/>
  <c r="B21" i="134" s="1"/>
  <c r="B22" i="134" s="1"/>
  <c r="B23" i="134" s="1"/>
  <c r="B24" i="134" s="1"/>
  <c r="B7" i="13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B33" i="131" s="1"/>
  <c r="B34" i="131" s="1"/>
  <c r="D10" i="141"/>
  <c r="C10" i="141" s="1"/>
  <c r="D9" i="141"/>
  <c r="C9" i="141" s="1"/>
  <c r="D33" i="131"/>
  <c r="C33" i="131" s="1"/>
  <c r="D7" i="121"/>
  <c r="C7" i="121" s="1"/>
  <c r="D7" i="141"/>
  <c r="C7" i="141" s="1"/>
  <c r="B7" i="133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7" i="141"/>
  <c r="B8" i="141" s="1"/>
  <c r="B9" i="141" s="1"/>
  <c r="B10" i="141" s="1"/>
  <c r="B11" i="141" s="1"/>
  <c r="B12" i="141" s="1"/>
  <c r="B13" i="141" s="1"/>
  <c r="B14" i="141" s="1"/>
  <c r="B7" i="139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7" i="138"/>
  <c r="B8" i="138" s="1"/>
  <c r="B9" i="138" s="1"/>
  <c r="B10" i="138" s="1"/>
  <c r="B11" i="138" s="1"/>
  <c r="B12" i="138" s="1"/>
  <c r="B13" i="138" s="1"/>
  <c r="B7" i="140"/>
  <c r="B8" i="140" s="1"/>
  <c r="D8" i="141"/>
  <c r="C8" i="141" s="1"/>
  <c r="D8" i="139"/>
  <c r="D7" i="133"/>
  <c r="C7" i="133" s="1"/>
  <c r="D7" i="138"/>
  <c r="D7" i="131"/>
  <c r="C7" i="131" s="1"/>
  <c r="D32" i="131"/>
  <c r="C32" i="131" s="1"/>
  <c r="B7" i="137"/>
  <c r="B7" i="136"/>
  <c r="B7" i="121"/>
  <c r="B7" i="135"/>
  <c r="D7" i="137"/>
  <c r="C7" i="137" s="1"/>
  <c r="Q21" i="121"/>
  <c r="T21" i="121"/>
  <c r="T383" i="131"/>
  <c r="V383" i="131" s="1"/>
  <c r="J392" i="131" l="1"/>
  <c r="B104" i="149"/>
  <c r="B105" i="149" s="1"/>
  <c r="B106" i="149" s="1"/>
  <c r="B107" i="149" s="1"/>
  <c r="B108" i="149" s="1"/>
  <c r="B109" i="149" s="1"/>
  <c r="B110" i="149" s="1"/>
  <c r="B111" i="149" s="1"/>
  <c r="B112" i="149" s="1"/>
  <c r="B113" i="149" s="1"/>
  <c r="B114" i="149" s="1"/>
  <c r="B115" i="149" s="1"/>
  <c r="B116" i="149" s="1"/>
  <c r="B117" i="149" s="1"/>
  <c r="B118" i="149" s="1"/>
  <c r="B119" i="149" s="1"/>
  <c r="B120" i="149" s="1"/>
  <c r="B121" i="149" s="1"/>
  <c r="B122" i="149" s="1"/>
  <c r="B123" i="149" s="1"/>
  <c r="B124" i="149" s="1"/>
  <c r="B125" i="149" s="1"/>
  <c r="B126" i="149" s="1"/>
  <c r="B127" i="149" s="1"/>
  <c r="B128" i="149" s="1"/>
  <c r="B129" i="149" s="1"/>
  <c r="B130" i="149" s="1"/>
  <c r="B131" i="149" s="1"/>
  <c r="B132" i="149" s="1"/>
  <c r="B133" i="149" s="1"/>
  <c r="B134" i="149" s="1"/>
  <c r="B135" i="149" s="1"/>
  <c r="B136" i="149" s="1"/>
  <c r="B137" i="149" s="1"/>
  <c r="B138" i="149" s="1"/>
  <c r="B139" i="149" s="1"/>
  <c r="B140" i="149" s="1"/>
  <c r="B141" i="149" s="1"/>
  <c r="B142" i="149" s="1"/>
  <c r="B143" i="149" s="1"/>
  <c r="B144" i="149" s="1"/>
  <c r="B145" i="149" s="1"/>
  <c r="B146" i="149" s="1"/>
  <c r="B147" i="149" s="1"/>
  <c r="B148" i="149" s="1"/>
  <c r="B149" i="149" s="1"/>
  <c r="B150" i="149" s="1"/>
  <c r="B151" i="149" s="1"/>
  <c r="B152" i="149" s="1"/>
  <c r="B153" i="149" s="1"/>
  <c r="B154" i="149" s="1"/>
  <c r="B155" i="149" s="1"/>
  <c r="B156" i="149" s="1"/>
  <c r="B157" i="149" s="1"/>
  <c r="B158" i="149" s="1"/>
  <c r="B159" i="149" s="1"/>
  <c r="B160" i="149" s="1"/>
  <c r="B161" i="149" s="1"/>
  <c r="B162" i="149" s="1"/>
  <c r="B163" i="149" s="1"/>
  <c r="B164" i="149" s="1"/>
  <c r="B165" i="149" s="1"/>
  <c r="B166" i="149" s="1"/>
  <c r="B167" i="149" s="1"/>
  <c r="B168" i="149" s="1"/>
  <c r="B169" i="149" s="1"/>
  <c r="B170" i="149" s="1"/>
  <c r="B171" i="149" s="1"/>
  <c r="B172" i="149" s="1"/>
  <c r="B173" i="149" s="1"/>
  <c r="B174" i="149" s="1"/>
  <c r="B175" i="149" s="1"/>
  <c r="B176" i="149" s="1"/>
  <c r="B177" i="149" s="1"/>
  <c r="B178" i="149" s="1"/>
  <c r="B179" i="149" s="1"/>
  <c r="B180" i="149" s="1"/>
  <c r="B181" i="149" s="1"/>
  <c r="B182" i="149" s="1"/>
  <c r="B183" i="149" s="1"/>
  <c r="B184" i="149" s="1"/>
  <c r="B185" i="149" s="1"/>
  <c r="B186" i="149" s="1"/>
  <c r="B187" i="149" s="1"/>
  <c r="B188" i="149" s="1"/>
  <c r="B189" i="149" s="1"/>
  <c r="B190" i="149" s="1"/>
  <c r="B191" i="149" s="1"/>
  <c r="B192" i="149" s="1"/>
  <c r="B193" i="149" s="1"/>
  <c r="B194" i="149" s="1"/>
  <c r="B195" i="149" s="1"/>
  <c r="B196" i="149" s="1"/>
  <c r="B197" i="149" s="1"/>
  <c r="B198" i="149" s="1"/>
  <c r="B199" i="149" s="1"/>
  <c r="B200" i="149" s="1"/>
  <c r="B201" i="149" s="1"/>
  <c r="B202" i="149" s="1"/>
  <c r="B203" i="149" s="1"/>
  <c r="B204" i="149" s="1"/>
  <c r="B205" i="149" s="1"/>
  <c r="B206" i="149" s="1"/>
  <c r="B207" i="149" s="1"/>
  <c r="B208" i="149" s="1"/>
  <c r="B209" i="149" s="1"/>
  <c r="B210" i="149" s="1"/>
  <c r="B211" i="149" s="1"/>
  <c r="B212" i="149" s="1"/>
  <c r="B213" i="149" s="1"/>
  <c r="B214" i="149" s="1"/>
  <c r="B215" i="149" s="1"/>
  <c r="B216" i="149" s="1"/>
  <c r="B217" i="149" s="1"/>
  <c r="B218" i="149" s="1"/>
  <c r="B219" i="149" s="1"/>
  <c r="B220" i="149" s="1"/>
  <c r="B221" i="149" s="1"/>
  <c r="B222" i="149" s="1"/>
  <c r="B223" i="149" s="1"/>
  <c r="B224" i="149" s="1"/>
  <c r="B225" i="149" s="1"/>
  <c r="B226" i="149" s="1"/>
  <c r="B227" i="149" s="1"/>
  <c r="B228" i="149" s="1"/>
  <c r="B229" i="149" s="1"/>
  <c r="B230" i="149" s="1"/>
  <c r="B231" i="149" s="1"/>
  <c r="B232" i="149" s="1"/>
  <c r="B233" i="149" s="1"/>
  <c r="B234" i="149" s="1"/>
  <c r="B235" i="149" s="1"/>
  <c r="B236" i="149" s="1"/>
  <c r="B237" i="149" s="1"/>
  <c r="B238" i="149" s="1"/>
  <c r="B239" i="149" s="1"/>
  <c r="B240" i="149" s="1"/>
  <c r="B241" i="149" s="1"/>
  <c r="B242" i="149" s="1"/>
  <c r="B243" i="149" s="1"/>
  <c r="B244" i="149" s="1"/>
  <c r="B245" i="149" s="1"/>
  <c r="B246" i="149" s="1"/>
  <c r="B99" i="149"/>
  <c r="B100" i="149" s="1"/>
  <c r="B101" i="149" s="1"/>
  <c r="B102" i="149" s="1"/>
  <c r="B103" i="149" s="1"/>
  <c r="B12" i="149"/>
  <c r="B21" i="149" s="1"/>
  <c r="B22" i="149" s="1"/>
  <c r="B23" i="149" s="1"/>
  <c r="B24" i="149" s="1"/>
  <c r="B25" i="149" s="1"/>
  <c r="B26" i="149" s="1"/>
  <c r="B27" i="149" s="1"/>
  <c r="B28" i="149" s="1"/>
  <c r="B30" i="149" s="1"/>
  <c r="B17" i="149"/>
  <c r="B35" i="131"/>
  <c r="B36" i="131" s="1"/>
  <c r="B37" i="131" s="1"/>
  <c r="B38" i="131" s="1"/>
  <c r="B39" i="131" s="1"/>
  <c r="B40" i="131" s="1"/>
  <c r="B41" i="131" s="1"/>
  <c r="B42" i="131" s="1"/>
  <c r="B43" i="131" s="1"/>
  <c r="B44" i="131" s="1"/>
  <c r="B45" i="131" s="1"/>
  <c r="B46" i="131" s="1"/>
  <c r="B47" i="131" s="1"/>
  <c r="B48" i="131" s="1"/>
  <c r="B49" i="131" s="1"/>
  <c r="B50" i="131" s="1"/>
  <c r="B51" i="131" s="1"/>
  <c r="B52" i="131" s="1"/>
  <c r="B53" i="131" s="1"/>
  <c r="B54" i="131" s="1"/>
  <c r="B55" i="131" s="1"/>
  <c r="B56" i="131" s="1"/>
  <c r="B57" i="131" s="1"/>
  <c r="B58" i="131" s="1"/>
  <c r="B59" i="131" s="1"/>
  <c r="B60" i="131" s="1"/>
  <c r="B61" i="131" s="1"/>
  <c r="B62" i="131" s="1"/>
  <c r="B63" i="131" s="1"/>
  <c r="B64" i="131" s="1"/>
  <c r="B65" i="131" s="1"/>
  <c r="B66" i="131" s="1"/>
  <c r="B67" i="131" s="1"/>
  <c r="B68" i="131" s="1"/>
  <c r="B69" i="131" s="1"/>
  <c r="B70" i="131" s="1"/>
  <c r="B71" i="131" s="1"/>
  <c r="B72" i="131" s="1"/>
  <c r="B73" i="131" s="1"/>
  <c r="B74" i="131" s="1"/>
  <c r="B75" i="131" s="1"/>
  <c r="B76" i="131" s="1"/>
  <c r="B77" i="131" s="1"/>
  <c r="B78" i="131" s="1"/>
  <c r="B79" i="131" s="1"/>
  <c r="B80" i="131" s="1"/>
  <c r="B81" i="131" s="1"/>
  <c r="B82" i="131" s="1"/>
  <c r="B83" i="131" s="1"/>
  <c r="B84" i="131" s="1"/>
  <c r="B85" i="131" s="1"/>
  <c r="B86" i="131" s="1"/>
  <c r="B87" i="131" s="1"/>
  <c r="B88" i="131" s="1"/>
  <c r="B89" i="131" s="1"/>
  <c r="B90" i="131" s="1"/>
  <c r="B91" i="131" s="1"/>
  <c r="B92" i="131" s="1"/>
  <c r="B93" i="131" s="1"/>
  <c r="B94" i="131" s="1"/>
  <c r="B95" i="131" s="1"/>
  <c r="B96" i="131" s="1"/>
  <c r="B97" i="131" s="1"/>
  <c r="B98" i="131" s="1"/>
  <c r="B99" i="131" s="1"/>
  <c r="B100" i="131" s="1"/>
  <c r="B101" i="131" s="1"/>
  <c r="B102" i="131" s="1"/>
  <c r="B103" i="131" s="1"/>
  <c r="B104" i="131" s="1"/>
  <c r="B105" i="131" s="1"/>
  <c r="B106" i="131" s="1"/>
  <c r="B107" i="131" s="1"/>
  <c r="B108" i="131" s="1"/>
  <c r="B109" i="131" s="1"/>
  <c r="B110" i="131" s="1"/>
  <c r="B111" i="131" s="1"/>
  <c r="B112" i="131" s="1"/>
  <c r="B113" i="131" s="1"/>
  <c r="B114" i="131" s="1"/>
  <c r="B115" i="131" s="1"/>
  <c r="B116" i="131" s="1"/>
  <c r="B117" i="131" s="1"/>
  <c r="B118" i="131" s="1"/>
  <c r="B119" i="131" s="1"/>
  <c r="B120" i="131" s="1"/>
  <c r="B121" i="131" s="1"/>
  <c r="B122" i="131" s="1"/>
  <c r="B123" i="131" s="1"/>
  <c r="B124" i="131" s="1"/>
  <c r="B125" i="131" s="1"/>
  <c r="B126" i="131" s="1"/>
  <c r="B127" i="131" s="1"/>
  <c r="B128" i="131" s="1"/>
  <c r="B129" i="131" s="1"/>
  <c r="B130" i="131" s="1"/>
  <c r="B131" i="131" s="1"/>
  <c r="B132" i="131" s="1"/>
  <c r="B133" i="131" s="1"/>
  <c r="B134" i="131" s="1"/>
  <c r="B135" i="131" s="1"/>
  <c r="B136" i="131" s="1"/>
  <c r="B137" i="131" s="1"/>
  <c r="B138" i="131" s="1"/>
  <c r="B139" i="131" s="1"/>
  <c r="B140" i="131" s="1"/>
  <c r="B141" i="131" s="1"/>
  <c r="B142" i="131" s="1"/>
  <c r="B143" i="131" s="1"/>
  <c r="B144" i="131" s="1"/>
  <c r="B145" i="131" s="1"/>
  <c r="B146" i="131" s="1"/>
  <c r="B147" i="131" s="1"/>
  <c r="B148" i="131" s="1"/>
  <c r="B149" i="131" s="1"/>
  <c r="B150" i="131" s="1"/>
  <c r="B151" i="131" s="1"/>
  <c r="B152" i="131" s="1"/>
  <c r="B153" i="131" s="1"/>
  <c r="B154" i="131" s="1"/>
  <c r="B155" i="131" s="1"/>
  <c r="B156" i="131" s="1"/>
  <c r="B157" i="131" s="1"/>
  <c r="B158" i="131" s="1"/>
  <c r="B159" i="131" s="1"/>
  <c r="B160" i="131" s="1"/>
  <c r="B161" i="131" s="1"/>
  <c r="B162" i="131" s="1"/>
  <c r="B163" i="131" s="1"/>
  <c r="B164" i="131" s="1"/>
  <c r="B165" i="131" s="1"/>
  <c r="B166" i="131" s="1"/>
  <c r="B167" i="131" s="1"/>
  <c r="B168" i="131" s="1"/>
  <c r="B169" i="131" s="1"/>
  <c r="B170" i="131" s="1"/>
  <c r="B171" i="131" s="1"/>
  <c r="B172" i="131" s="1"/>
  <c r="B173" i="131" s="1"/>
  <c r="B174" i="131" s="1"/>
  <c r="B175" i="131" s="1"/>
  <c r="B176" i="131" s="1"/>
  <c r="B177" i="131" s="1"/>
  <c r="B178" i="131" s="1"/>
  <c r="B179" i="131" s="1"/>
  <c r="B180" i="131" s="1"/>
  <c r="B181" i="131" s="1"/>
  <c r="B182" i="131" s="1"/>
  <c r="B183" i="131" s="1"/>
  <c r="B184" i="131" s="1"/>
  <c r="B185" i="131" s="1"/>
  <c r="B186" i="131" s="1"/>
  <c r="B187" i="131" s="1"/>
  <c r="B188" i="131" s="1"/>
  <c r="B189" i="131" s="1"/>
  <c r="B190" i="131" s="1"/>
  <c r="B191" i="131" s="1"/>
  <c r="B192" i="131" s="1"/>
  <c r="B193" i="131" s="1"/>
  <c r="B194" i="131" s="1"/>
  <c r="B195" i="131" s="1"/>
  <c r="B196" i="131" s="1"/>
  <c r="B197" i="131" s="1"/>
  <c r="B198" i="131" s="1"/>
  <c r="B199" i="131" s="1"/>
  <c r="B200" i="131" s="1"/>
  <c r="B201" i="131" s="1"/>
  <c r="B202" i="131" s="1"/>
  <c r="B203" i="131" s="1"/>
  <c r="B204" i="131" s="1"/>
  <c r="B205" i="131" s="1"/>
  <c r="B206" i="131" s="1"/>
  <c r="B207" i="131" s="1"/>
  <c r="B208" i="131" s="1"/>
  <c r="B209" i="131" s="1"/>
  <c r="B210" i="131" s="1"/>
  <c r="B211" i="131" s="1"/>
  <c r="B212" i="131" s="1"/>
  <c r="B213" i="131" s="1"/>
  <c r="B214" i="131" s="1"/>
  <c r="B215" i="131" s="1"/>
  <c r="B216" i="131" s="1"/>
  <c r="B217" i="131" s="1"/>
  <c r="B218" i="131" s="1"/>
  <c r="B219" i="131" s="1"/>
  <c r="B220" i="131" s="1"/>
  <c r="B221" i="131" s="1"/>
  <c r="B222" i="131" s="1"/>
  <c r="B223" i="131" s="1"/>
  <c r="B224" i="131" s="1"/>
  <c r="B225" i="131" s="1"/>
  <c r="B226" i="131" s="1"/>
  <c r="B227" i="131" s="1"/>
  <c r="B228" i="131" s="1"/>
  <c r="B229" i="131" s="1"/>
  <c r="B230" i="131" s="1"/>
  <c r="B231" i="131" s="1"/>
  <c r="B232" i="131" s="1"/>
  <c r="B233" i="131" s="1"/>
  <c r="B234" i="131" s="1"/>
  <c r="B235" i="131" s="1"/>
  <c r="B236" i="131" s="1"/>
  <c r="B9" i="132"/>
  <c r="B10" i="132" s="1"/>
  <c r="B11" i="132" s="1"/>
  <c r="B12" i="132" s="1"/>
  <c r="B13" i="132" s="1"/>
  <c r="B14" i="132" s="1"/>
  <c r="B15" i="132" s="1"/>
  <c r="B16" i="132" s="1"/>
  <c r="B17" i="132" s="1"/>
  <c r="B18" i="132" s="1"/>
  <c r="B19" i="132" s="1"/>
  <c r="B20" i="132" s="1"/>
  <c r="B15" i="141"/>
  <c r="B16" i="141" s="1"/>
  <c r="B17" i="141" s="1"/>
  <c r="B18" i="141" s="1"/>
  <c r="B19" i="141" s="1"/>
  <c r="B20" i="141" s="1"/>
  <c r="D21" i="138"/>
  <c r="C20" i="139"/>
  <c r="C8" i="139"/>
  <c r="C14" i="139"/>
  <c r="C13" i="139"/>
  <c r="C16" i="139"/>
  <c r="C11" i="139"/>
  <c r="C10" i="139"/>
  <c r="C9" i="139"/>
  <c r="C12" i="139"/>
  <c r="C15" i="139"/>
  <c r="C18" i="139"/>
  <c r="B9" i="140"/>
  <c r="B10" i="140" s="1"/>
  <c r="B11" i="140" s="1"/>
  <c r="B12" i="140" s="1"/>
  <c r="B13" i="140" s="1"/>
  <c r="B14" i="140" s="1"/>
  <c r="B15" i="140" s="1"/>
  <c r="B16" i="140" s="1"/>
  <c r="B17" i="140" s="1"/>
  <c r="B18" i="140" s="1"/>
  <c r="B19" i="140" s="1"/>
  <c r="B20" i="140" s="1"/>
  <c r="B14" i="138"/>
  <c r="B15" i="138" s="1"/>
  <c r="B16" i="138" s="1"/>
  <c r="B17" i="138" s="1"/>
  <c r="C7" i="138"/>
  <c r="B8" i="12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8" i="137"/>
  <c r="B9" i="137" s="1"/>
  <c r="C18" i="135"/>
  <c r="C17" i="135"/>
  <c r="C7" i="135"/>
  <c r="C11" i="135"/>
  <c r="C10" i="135"/>
  <c r="C14" i="135"/>
  <c r="C12" i="135"/>
  <c r="C13" i="135"/>
  <c r="C15" i="135"/>
  <c r="C8" i="135"/>
  <c r="C9" i="135"/>
  <c r="B8" i="136"/>
  <c r="B9" i="136" s="1"/>
  <c r="B10" i="136" s="1"/>
  <c r="B11" i="136" s="1"/>
  <c r="B12" i="136" s="1"/>
  <c r="B13" i="136" s="1"/>
  <c r="B14" i="136" s="1"/>
  <c r="B15" i="136" s="1"/>
  <c r="B16" i="136" s="1"/>
  <c r="B17" i="136" s="1"/>
  <c r="B18" i="136" s="1"/>
  <c r="B19" i="136" s="1"/>
  <c r="B20" i="136" s="1"/>
  <c r="B237" i="131" l="1"/>
  <c r="B238" i="131" s="1"/>
  <c r="B239" i="131" s="1"/>
  <c r="B240" i="131" s="1"/>
  <c r="B241" i="131" s="1"/>
  <c r="B242" i="131" s="1"/>
  <c r="B243" i="131" s="1"/>
  <c r="B244" i="131" s="1"/>
  <c r="B245" i="131" s="1"/>
  <c r="B246" i="131" s="1"/>
  <c r="B247" i="131" s="1"/>
  <c r="B248" i="131" s="1"/>
  <c r="B249" i="131" s="1"/>
  <c r="B250" i="131" s="1"/>
  <c r="B251" i="131" s="1"/>
  <c r="B252" i="131" s="1"/>
  <c r="B253" i="131" s="1"/>
  <c r="B254" i="131" s="1"/>
  <c r="B255" i="131" s="1"/>
  <c r="B256" i="131" s="1"/>
  <c r="B257" i="131" s="1"/>
  <c r="B258" i="131" s="1"/>
  <c r="B259" i="131" s="1"/>
  <c r="B260" i="131" s="1"/>
  <c r="B261" i="131" s="1"/>
  <c r="B262" i="131" s="1"/>
  <c r="B263" i="131" s="1"/>
  <c r="B264" i="131" s="1"/>
  <c r="B265" i="131" s="1"/>
  <c r="B266" i="131" s="1"/>
  <c r="B267" i="131" s="1"/>
  <c r="B268" i="131" s="1"/>
  <c r="B269" i="131" s="1"/>
  <c r="B270" i="131" s="1"/>
  <c r="B271" i="131" s="1"/>
  <c r="B272" i="131" s="1"/>
  <c r="B273" i="131" s="1"/>
  <c r="B274" i="131" s="1"/>
  <c r="B275" i="131" s="1"/>
  <c r="B276" i="131" s="1"/>
  <c r="B277" i="131" s="1"/>
  <c r="B278" i="131" s="1"/>
  <c r="B279" i="131" s="1"/>
  <c r="B280" i="131" s="1"/>
  <c r="B281" i="131" s="1"/>
  <c r="B282" i="131" s="1"/>
  <c r="B283" i="131" s="1"/>
  <c r="B284" i="131" s="1"/>
  <c r="B285" i="131" s="1"/>
  <c r="B286" i="131" s="1"/>
  <c r="B287" i="131" s="1"/>
  <c r="B288" i="131" s="1"/>
  <c r="B289" i="131" s="1"/>
  <c r="B290" i="131" s="1"/>
  <c r="B291" i="131" s="1"/>
  <c r="B292" i="131" s="1"/>
  <c r="B293" i="131" s="1"/>
  <c r="B294" i="131" s="1"/>
  <c r="B295" i="131" s="1"/>
  <c r="B296" i="131" s="1"/>
  <c r="B297" i="131" s="1"/>
  <c r="B298" i="131" s="1"/>
  <c r="B299" i="131" s="1"/>
  <c r="B300" i="131" s="1"/>
  <c r="B301" i="131" s="1"/>
  <c r="B302" i="131" s="1"/>
  <c r="B303" i="131" s="1"/>
  <c r="B304" i="131" s="1"/>
  <c r="B305" i="131" s="1"/>
  <c r="B306" i="131" s="1"/>
  <c r="B307" i="131" s="1"/>
  <c r="B308" i="131" s="1"/>
  <c r="B309" i="131" s="1"/>
  <c r="B310" i="131" s="1"/>
  <c r="B311" i="131" s="1"/>
  <c r="B312" i="131" s="1"/>
  <c r="B313" i="131" s="1"/>
  <c r="B314" i="131" s="1"/>
  <c r="B315" i="131" s="1"/>
  <c r="B316" i="131" s="1"/>
  <c r="B317" i="131" s="1"/>
  <c r="B318" i="131" s="1"/>
  <c r="B319" i="131" s="1"/>
  <c r="B320" i="131" s="1"/>
  <c r="B321" i="131" s="1"/>
  <c r="B322" i="131" s="1"/>
  <c r="B323" i="131" s="1"/>
  <c r="B324" i="131" s="1"/>
  <c r="B325" i="131" s="1"/>
  <c r="B326" i="131" s="1"/>
  <c r="B327" i="131" s="1"/>
  <c r="B328" i="131" s="1"/>
  <c r="B329" i="131" s="1"/>
  <c r="B330" i="131" s="1"/>
  <c r="B331" i="131" s="1"/>
  <c r="B332" i="131" s="1"/>
  <c r="B333" i="131" s="1"/>
  <c r="B334" i="131" s="1"/>
  <c r="B335" i="131" s="1"/>
  <c r="B336" i="131" s="1"/>
  <c r="B337" i="131" s="1"/>
  <c r="B338" i="131" s="1"/>
  <c r="B339" i="131" s="1"/>
  <c r="B340" i="131" s="1"/>
  <c r="B341" i="131" s="1"/>
  <c r="B342" i="131" s="1"/>
  <c r="B343" i="131" s="1"/>
  <c r="B344" i="131" s="1"/>
  <c r="B345" i="131" s="1"/>
  <c r="B346" i="131" s="1"/>
  <c r="B347" i="131" s="1"/>
  <c r="B348" i="131" s="1"/>
  <c r="B349" i="131" s="1"/>
  <c r="B350" i="131" s="1"/>
  <c r="B351" i="131" s="1"/>
  <c r="B352" i="131" s="1"/>
  <c r="B353" i="131" s="1"/>
  <c r="B354" i="131" s="1"/>
  <c r="B355" i="131" s="1"/>
  <c r="B356" i="131" s="1"/>
  <c r="B357" i="131" s="1"/>
  <c r="B358" i="131" s="1"/>
  <c r="B359" i="131" s="1"/>
  <c r="B360" i="131" s="1"/>
  <c r="B361" i="131" s="1"/>
  <c r="B362" i="131" s="1"/>
  <c r="B363" i="131" s="1"/>
  <c r="B364" i="131" s="1"/>
  <c r="B365" i="131" s="1"/>
  <c r="B366" i="131" s="1"/>
  <c r="B367" i="131" s="1"/>
  <c r="B368" i="131" s="1"/>
  <c r="B369" i="131" s="1"/>
  <c r="B370" i="131" s="1"/>
  <c r="B371" i="131" s="1"/>
  <c r="B372" i="131" s="1"/>
  <c r="B373" i="131" s="1"/>
  <c r="B374" i="131" s="1"/>
  <c r="B375" i="131" s="1"/>
  <c r="B376" i="131" s="1"/>
  <c r="B377" i="131" s="1"/>
  <c r="B378" i="131" s="1"/>
  <c r="B379" i="131" s="1"/>
  <c r="B380" i="131" s="1"/>
  <c r="B381" i="131" s="1"/>
  <c r="B382" i="131" s="1"/>
  <c r="B25" i="134"/>
  <c r="B26" i="134" s="1"/>
  <c r="B27" i="134" s="1"/>
  <c r="B28" i="134" s="1"/>
  <c r="B29" i="134" s="1"/>
  <c r="B30" i="134" s="1"/>
  <c r="B31" i="134" s="1"/>
  <c r="B32" i="134" s="1"/>
  <c r="B33" i="134" s="1"/>
  <c r="B34" i="134" s="1"/>
  <c r="B35" i="134" s="1"/>
  <c r="B36" i="134" s="1"/>
  <c r="B37" i="134" s="1"/>
  <c r="B38" i="134" s="1"/>
  <c r="B39" i="134" s="1"/>
  <c r="B40" i="134" s="1"/>
  <c r="B41" i="134" s="1"/>
  <c r="B42" i="134" s="1"/>
  <c r="B43" i="134" s="1"/>
  <c r="B44" i="134" s="1"/>
  <c r="B45" i="134" s="1"/>
  <c r="B46" i="134" s="1"/>
  <c r="B47" i="134" s="1"/>
  <c r="B48" i="134" s="1"/>
  <c r="B49" i="134" s="1"/>
  <c r="B50" i="134" s="1"/>
  <c r="B51" i="134" s="1"/>
  <c r="B52" i="134" s="1"/>
  <c r="B53" i="134" s="1"/>
  <c r="B54" i="134" s="1"/>
  <c r="B55" i="134" s="1"/>
  <c r="B56" i="134" s="1"/>
  <c r="B57" i="134" s="1"/>
  <c r="B58" i="134" s="1"/>
  <c r="B59" i="134" s="1"/>
  <c r="B60" i="134" s="1"/>
  <c r="B61" i="134" s="1"/>
  <c r="B62" i="134" s="1"/>
  <c r="B63" i="134" s="1"/>
  <c r="B64" i="134" s="1"/>
  <c r="B65" i="134" s="1"/>
  <c r="B66" i="134" s="1"/>
  <c r="B67" i="134" s="1"/>
  <c r="B68" i="134" s="1"/>
  <c r="B69" i="134" s="1"/>
  <c r="B70" i="134" s="1"/>
  <c r="B71" i="134" s="1"/>
  <c r="B72" i="134" s="1"/>
  <c r="B73" i="134" s="1"/>
  <c r="B74" i="134" s="1"/>
  <c r="B75" i="134" s="1"/>
  <c r="B76" i="134" s="1"/>
  <c r="B77" i="134" s="1"/>
  <c r="B78" i="134" s="1"/>
  <c r="B79" i="134" s="1"/>
  <c r="B80" i="134" s="1"/>
  <c r="B81" i="134" s="1"/>
  <c r="B82" i="134" s="1"/>
  <c r="B83" i="134" s="1"/>
  <c r="B84" i="134" s="1"/>
  <c r="B85" i="134" s="1"/>
  <c r="B86" i="134" s="1"/>
  <c r="B87" i="134" s="1"/>
  <c r="B88" i="134" s="1"/>
  <c r="B89" i="134" s="1"/>
  <c r="B90" i="134" s="1"/>
  <c r="B91" i="134" s="1"/>
  <c r="B92" i="134" s="1"/>
  <c r="B93" i="134" s="1"/>
  <c r="B94" i="134" s="1"/>
  <c r="B95" i="134" s="1"/>
  <c r="B96" i="134" s="1"/>
  <c r="B97" i="134" s="1"/>
  <c r="B98" i="134" s="1"/>
  <c r="B99" i="134" s="1"/>
  <c r="B100" i="134" s="1"/>
  <c r="B101" i="134" s="1"/>
  <c r="B102" i="134" s="1"/>
  <c r="B103" i="134" s="1"/>
  <c r="B104" i="134" s="1"/>
  <c r="B105" i="134" s="1"/>
  <c r="B106" i="134" s="1"/>
  <c r="B107" i="134" s="1"/>
  <c r="B108" i="134" s="1"/>
  <c r="B109" i="134" s="1"/>
  <c r="B110" i="134" s="1"/>
  <c r="B111" i="134" s="1"/>
  <c r="B112" i="134" s="1"/>
  <c r="B113" i="134" s="1"/>
  <c r="B114" i="134" s="1"/>
  <c r="B115" i="134" s="1"/>
  <c r="B116" i="134" s="1"/>
  <c r="B117" i="134" s="1"/>
  <c r="B118" i="134" s="1"/>
  <c r="B119" i="134" s="1"/>
  <c r="B120" i="134" s="1"/>
  <c r="B121" i="134" s="1"/>
  <c r="B122" i="134" s="1"/>
  <c r="B123" i="134" s="1"/>
  <c r="B124" i="134" s="1"/>
  <c r="B125" i="134" s="1"/>
  <c r="B126" i="134" s="1"/>
  <c r="B127" i="134" s="1"/>
  <c r="B128" i="134" s="1"/>
  <c r="B129" i="134" s="1"/>
  <c r="B130" i="134" s="1"/>
  <c r="B131" i="134" s="1"/>
  <c r="B132" i="134" s="1"/>
  <c r="B133" i="134" s="1"/>
  <c r="B134" i="134" s="1"/>
  <c r="B135" i="134" s="1"/>
  <c r="B136" i="134" s="1"/>
  <c r="B137" i="134" s="1"/>
  <c r="B138" i="134" s="1"/>
  <c r="B139" i="134" s="1"/>
  <c r="B140" i="134" s="1"/>
  <c r="B141" i="134" s="1"/>
  <c r="B142" i="134" s="1"/>
  <c r="B143" i="134" s="1"/>
  <c r="B144" i="134" s="1"/>
  <c r="B145" i="134" s="1"/>
  <c r="B146" i="134" s="1"/>
  <c r="B147" i="134" s="1"/>
  <c r="B148" i="134" s="1"/>
  <c r="B149" i="134" s="1"/>
  <c r="B150" i="134" s="1"/>
  <c r="B151" i="134" s="1"/>
  <c r="B152" i="134" s="1"/>
  <c r="B153" i="134" s="1"/>
  <c r="B154" i="134" s="1"/>
  <c r="B155" i="134" s="1"/>
  <c r="B156" i="134" s="1"/>
  <c r="B157" i="134" s="1"/>
  <c r="B158" i="134" s="1"/>
  <c r="B159" i="134" s="1"/>
  <c r="B160" i="134" s="1"/>
  <c r="B161" i="134" s="1"/>
  <c r="B162" i="134" s="1"/>
  <c r="B163" i="134" s="1"/>
  <c r="B164" i="134" s="1"/>
  <c r="B165" i="134" s="1"/>
  <c r="B166" i="134" s="1"/>
  <c r="B167" i="134" s="1"/>
  <c r="B168" i="134" s="1"/>
  <c r="B169" i="134" s="1"/>
  <c r="B170" i="134" s="1"/>
  <c r="B171" i="134" s="1"/>
  <c r="B172" i="134" s="1"/>
  <c r="B173" i="134" s="1"/>
  <c r="B174" i="134" s="1"/>
  <c r="B175" i="134" s="1"/>
  <c r="B176" i="134" s="1"/>
  <c r="B177" i="134" s="1"/>
  <c r="B178" i="134" s="1"/>
  <c r="B179" i="134" s="1"/>
  <c r="B180" i="134" s="1"/>
  <c r="B181" i="134" s="1"/>
  <c r="B182" i="134" s="1"/>
  <c r="B183" i="134" s="1"/>
  <c r="B184" i="134" s="1"/>
  <c r="B185" i="134" s="1"/>
  <c r="B186" i="134" s="1"/>
  <c r="B187" i="134" s="1"/>
  <c r="B188" i="134" s="1"/>
  <c r="B189" i="134" s="1"/>
  <c r="B190" i="134" s="1"/>
  <c r="B191" i="134" s="1"/>
  <c r="B192" i="134" s="1"/>
  <c r="B193" i="134" s="1"/>
  <c r="B194" i="134" s="1"/>
  <c r="B195" i="134" s="1"/>
  <c r="B196" i="134" s="1"/>
  <c r="B197" i="134" s="1"/>
  <c r="B198" i="134" s="1"/>
  <c r="B199" i="134" s="1"/>
  <c r="B200" i="134" s="1"/>
  <c r="B201" i="134" s="1"/>
  <c r="B202" i="134" s="1"/>
  <c r="B203" i="134" s="1"/>
  <c r="B204" i="134" s="1"/>
  <c r="B205" i="134" s="1"/>
  <c r="B206" i="134" s="1"/>
  <c r="B207" i="134" s="1"/>
  <c r="B208" i="134" s="1"/>
  <c r="B209" i="134" s="1"/>
  <c r="B210" i="134" s="1"/>
  <c r="B211" i="134" s="1"/>
  <c r="B212" i="134" s="1"/>
  <c r="B213" i="134" s="1"/>
  <c r="B214" i="134" s="1"/>
  <c r="B215" i="134" s="1"/>
  <c r="B216" i="134" s="1"/>
  <c r="B217" i="134" s="1"/>
  <c r="B218" i="134" s="1"/>
  <c r="B219" i="134" s="1"/>
  <c r="B220" i="134" s="1"/>
  <c r="B221" i="134" s="1"/>
  <c r="B222" i="134" s="1"/>
  <c r="B223" i="134" s="1"/>
  <c r="B224" i="134" s="1"/>
  <c r="B225" i="134" s="1"/>
  <c r="B226" i="134" s="1"/>
  <c r="B227" i="134" s="1"/>
  <c r="B228" i="134" s="1"/>
  <c r="B229" i="134" s="1"/>
  <c r="B230" i="134" s="1"/>
  <c r="B231" i="134" s="1"/>
  <c r="B232" i="134" s="1"/>
  <c r="B233" i="134" s="1"/>
  <c r="B234" i="134" s="1"/>
  <c r="B235" i="134" s="1"/>
  <c r="B236" i="134" s="1"/>
  <c r="B237" i="134" s="1"/>
  <c r="B238" i="134" s="1"/>
  <c r="B239" i="134" s="1"/>
  <c r="B240" i="134" s="1"/>
  <c r="B241" i="134" s="1"/>
  <c r="B242" i="134" s="1"/>
  <c r="B243" i="134" s="1"/>
  <c r="B244" i="134" s="1"/>
  <c r="B245" i="134" s="1"/>
  <c r="B246" i="134" s="1"/>
  <c r="B247" i="134" s="1"/>
  <c r="B248" i="134" s="1"/>
  <c r="B249" i="134" s="1"/>
  <c r="B250" i="134" s="1"/>
  <c r="B251" i="134" s="1"/>
  <c r="B252" i="134" s="1"/>
  <c r="B253" i="134" s="1"/>
  <c r="B254" i="134" s="1"/>
  <c r="B255" i="134" s="1"/>
  <c r="B256" i="134" s="1"/>
  <c r="B257" i="134" s="1"/>
  <c r="B258" i="134" s="1"/>
  <c r="B259" i="134" s="1"/>
  <c r="B260" i="134" s="1"/>
  <c r="B261" i="134" s="1"/>
  <c r="B262" i="134" s="1"/>
  <c r="B263" i="134" s="1"/>
  <c r="B264" i="134" s="1"/>
  <c r="B265" i="134" s="1"/>
  <c r="B266" i="134" s="1"/>
  <c r="B267" i="134" s="1"/>
  <c r="B268" i="134" s="1"/>
  <c r="B269" i="134" s="1"/>
  <c r="B270" i="134" s="1"/>
  <c r="B271" i="134" s="1"/>
  <c r="B272" i="134" s="1"/>
  <c r="B273" i="134" s="1"/>
  <c r="B274" i="134" s="1"/>
  <c r="B275" i="134" s="1"/>
  <c r="B276" i="134" s="1"/>
  <c r="B277" i="134" s="1"/>
  <c r="B278" i="134" s="1"/>
  <c r="B279" i="134" s="1"/>
  <c r="B280" i="134" s="1"/>
  <c r="B281" i="134" s="1"/>
  <c r="B282" i="134" s="1"/>
  <c r="B283" i="134" s="1"/>
  <c r="B284" i="134" s="1"/>
  <c r="B285" i="134" s="1"/>
  <c r="B286" i="134" s="1"/>
  <c r="B287" i="134" s="1"/>
  <c r="B288" i="134" s="1"/>
  <c r="B289" i="134" s="1"/>
  <c r="B290" i="134" s="1"/>
  <c r="B291" i="134" s="1"/>
  <c r="B292" i="134" s="1"/>
  <c r="B293" i="134" s="1"/>
  <c r="B294" i="134" s="1"/>
  <c r="B295" i="134" s="1"/>
  <c r="B296" i="134" s="1"/>
  <c r="B297" i="134" s="1"/>
  <c r="B298" i="134" s="1"/>
  <c r="B299" i="134" s="1"/>
  <c r="B300" i="134" s="1"/>
  <c r="B301" i="134" s="1"/>
  <c r="B302" i="134" s="1"/>
  <c r="B303" i="134" s="1"/>
  <c r="B304" i="134" s="1"/>
  <c r="B305" i="134" s="1"/>
  <c r="B306" i="134" s="1"/>
  <c r="B307" i="134" s="1"/>
  <c r="B308" i="134" s="1"/>
  <c r="B309" i="134" s="1"/>
  <c r="B310" i="134" s="1"/>
  <c r="B311" i="134" s="1"/>
  <c r="B312" i="134" s="1"/>
  <c r="B313" i="134" s="1"/>
  <c r="B314" i="134" s="1"/>
  <c r="B315" i="134" s="1"/>
  <c r="B316" i="134" s="1"/>
  <c r="B317" i="134" s="1"/>
  <c r="B318" i="134" s="1"/>
  <c r="B319" i="134" s="1"/>
  <c r="B320" i="134" s="1"/>
  <c r="B321" i="134" s="1"/>
  <c r="B322" i="134" s="1"/>
  <c r="B323" i="134" s="1"/>
  <c r="B324" i="134" s="1"/>
  <c r="B325" i="134" s="1"/>
  <c r="B326" i="134" s="1"/>
  <c r="B327" i="134" s="1"/>
  <c r="B328" i="134" s="1"/>
  <c r="B329" i="134" s="1"/>
  <c r="B330" i="134" s="1"/>
  <c r="B331" i="134" s="1"/>
  <c r="B332" i="134" s="1"/>
  <c r="B333" i="134" s="1"/>
  <c r="B334" i="134" s="1"/>
  <c r="B335" i="134" s="1"/>
  <c r="B336" i="134" s="1"/>
  <c r="B337" i="134" s="1"/>
  <c r="B338" i="134" s="1"/>
  <c r="B339" i="134" s="1"/>
  <c r="B340" i="134" s="1"/>
  <c r="B341" i="134" s="1"/>
  <c r="B342" i="134" s="1"/>
  <c r="B343" i="134" s="1"/>
  <c r="B344" i="134" s="1"/>
  <c r="B345" i="134" s="1"/>
  <c r="B346" i="134" s="1"/>
  <c r="B347" i="134" s="1"/>
  <c r="B348" i="134" s="1"/>
  <c r="B349" i="134" s="1"/>
  <c r="B350" i="134" s="1"/>
  <c r="B351" i="134" s="1"/>
  <c r="B352" i="134" s="1"/>
  <c r="B353" i="134" s="1"/>
  <c r="B354" i="134" s="1"/>
  <c r="B355" i="134" s="1"/>
  <c r="B356" i="134" s="1"/>
  <c r="B357" i="134" s="1"/>
  <c r="B358" i="134" s="1"/>
  <c r="B359" i="134" s="1"/>
  <c r="B360" i="134" s="1"/>
  <c r="B361" i="134" s="1"/>
  <c r="B32" i="149"/>
  <c r="B34" i="149" s="1"/>
  <c r="B35" i="149" s="1"/>
  <c r="B31" i="149"/>
  <c r="B247" i="149"/>
  <c r="B249" i="149" s="1"/>
  <c r="B251" i="149" s="1"/>
  <c r="B253" i="149" s="1"/>
  <c r="B248" i="149"/>
  <c r="B250" i="149" s="1"/>
  <c r="B252" i="149" s="1"/>
  <c r="B254" i="149" s="1"/>
  <c r="C21" i="138"/>
  <c r="B19" i="138"/>
  <c r="B20" i="138" s="1"/>
  <c r="B18" i="138"/>
  <c r="B10" i="137"/>
  <c r="B11" i="137" s="1"/>
  <c r="B12" i="137" s="1"/>
  <c r="B13" i="137" s="1"/>
  <c r="B14" i="137" s="1"/>
  <c r="B15" i="137" s="1"/>
  <c r="B16" i="137" s="1"/>
  <c r="B17" i="137" s="1"/>
  <c r="B18" i="137" s="1"/>
  <c r="B19" i="137" s="1"/>
  <c r="B20" i="137" s="1"/>
  <c r="C295" i="135"/>
  <c r="B255" i="149" l="1"/>
  <c r="B257" i="149" s="1"/>
  <c r="B259" i="149" s="1"/>
  <c r="B256" i="149"/>
  <c r="B258" i="149" s="1"/>
  <c r="B260" i="149" s="1"/>
  <c r="AI66" i="146"/>
  <c r="B261" i="149" l="1"/>
  <c r="B262" i="149"/>
  <c r="B263" i="149" s="1"/>
  <c r="B264" i="149" s="1"/>
  <c r="B265" i="149" s="1"/>
  <c r="B266" i="149" s="1"/>
  <c r="AJ66" i="146"/>
  <c r="AI179" i="146"/>
  <c r="AK66" i="146"/>
  <c r="AK179" i="146" s="1"/>
  <c r="F188" i="146" s="1"/>
  <c r="B267" i="149" l="1"/>
  <c r="B268" i="149"/>
  <c r="B269" i="149" s="1"/>
  <c r="B270" i="149" s="1"/>
  <c r="B271" i="149" s="1"/>
  <c r="B272" i="149" s="1"/>
  <c r="B273" i="149" s="1"/>
  <c r="B274" i="149" s="1"/>
  <c r="B275" i="149" s="1"/>
  <c r="B276" i="149" s="1"/>
  <c r="B277" i="149" s="1"/>
  <c r="B278" i="149" s="1"/>
  <c r="B279" i="149" s="1"/>
  <c r="B280" i="149" s="1"/>
  <c r="B281" i="149" s="1"/>
  <c r="B282" i="149" s="1"/>
  <c r="B283" i="149" s="1"/>
  <c r="B284" i="149" s="1"/>
  <c r="B285" i="149" s="1"/>
  <c r="B286" i="149" s="1"/>
  <c r="B287" i="149" s="1"/>
  <c r="B288" i="149" s="1"/>
  <c r="B289" i="149" s="1"/>
  <c r="B290" i="149" s="1"/>
  <c r="B291" i="149" s="1"/>
  <c r="B292" i="149" s="1"/>
  <c r="B293" i="149" s="1"/>
  <c r="B294" i="149" s="1"/>
  <c r="B295" i="149" s="1"/>
  <c r="B296" i="149" s="1"/>
  <c r="B297" i="149" s="1"/>
  <c r="B298" i="149" s="1"/>
  <c r="B299" i="149" s="1"/>
  <c r="B300" i="149" s="1"/>
  <c r="B301" i="149" s="1"/>
  <c r="B302" i="149" s="1"/>
  <c r="B303" i="149" s="1"/>
  <c r="G188" i="146"/>
  <c r="AS66" i="146"/>
  <c r="AT66" i="146" l="1"/>
  <c r="AS179" i="146"/>
  <c r="AT179" i="146" l="1"/>
  <c r="G189" i="146"/>
  <c r="F189" i="146"/>
  <c r="S21" i="138" l="1"/>
  <c r="T21" i="138"/>
  <c r="R21" i="138"/>
  <c r="D102" i="149"/>
  <c r="C102" i="149" s="1"/>
  <c r="D99" i="149"/>
  <c r="C99" i="149" s="1"/>
  <c r="D100" i="149"/>
  <c r="C100" i="149" s="1"/>
  <c r="D103" i="149"/>
  <c r="C103" i="149" s="1"/>
  <c r="D101" i="149"/>
  <c r="C101" i="149" s="1"/>
  <c r="D19" i="149"/>
  <c r="C19" i="149" s="1"/>
  <c r="D18" i="149"/>
  <c r="C18" i="149" s="1"/>
  <c r="D20" i="149"/>
  <c r="C20" i="1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  <author>Jailson-PC</author>
    <author>tc={3676E215-D18A-4BED-9F7F-D403A330784B}</author>
    <author>tc={11281199-090B-4D7F-9160-CDDC11AD8B52}</author>
  </authors>
  <commentList>
    <comment ref="AK153" authorId="0" shapeId="0" xr:uid="{4ED02FD3-9AA2-473E-8FDF-13A60099810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2.775,54 COMP 01/25_GPS</t>
        </r>
      </text>
    </comment>
    <comment ref="AK155" authorId="0" shapeId="0" xr:uid="{25FD4806-2796-4809-95D7-64957A2CD654}">
      <text>
        <r>
          <rPr>
            <sz val="9"/>
            <color indexed="81"/>
            <rFont val="Segoe UI"/>
            <family val="2"/>
          </rPr>
          <t xml:space="preserve">
1.053,97 GPS_SILVANETE E GILVANIA
   137,05 GPS_NADSON</t>
        </r>
      </text>
    </comment>
    <comment ref="AK162" authorId="0" shapeId="0" xr:uid="{2BC5BCAC-0E28-4080-BD14-D7F34EE5BAF4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2.775,54 COMP 01/25_GPS</t>
        </r>
      </text>
    </comment>
    <comment ref="AK163" authorId="0" shapeId="0" xr:uid="{3E51DB77-E968-49D8-A874-AFB7B85E6C5D}">
      <text>
        <r>
          <rPr>
            <sz val="9"/>
            <color indexed="81"/>
            <rFont val="Segoe UI"/>
            <family val="2"/>
          </rPr>
          <t xml:space="preserve">
556,86 COMP 01/25_V TOTAL INSS</t>
        </r>
      </text>
    </comment>
    <comment ref="AK164" authorId="0" shapeId="0" xr:uid="{3BAD4960-C16E-4FC1-BD69-145E752CA4CF}">
      <text>
        <r>
          <rPr>
            <b/>
            <sz val="9"/>
            <color indexed="81"/>
            <rFont val="Segoe UI"/>
            <family val="2"/>
          </rPr>
          <t>1.053,97 PRESUMIDO_COMP 01/25_GPS_GILVÂNIA E SILVANETE
   137,05 S/N COMP 01/25_GPS_NADSON</t>
        </r>
      </text>
    </comment>
    <comment ref="AK169" authorId="0" shapeId="0" xr:uid="{725B8FF6-2AA3-4881-B486-2204D1824731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4.263,78 COMP 01/25_GPS_FLPGTO</t>
        </r>
      </text>
    </comment>
    <comment ref="AK172" authorId="0" shapeId="0" xr:uid="{CA19F186-EFF9-4768-9175-B715F388EE57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2.775,54 COMP 01/25_GPS</t>
        </r>
      </text>
    </comment>
    <comment ref="AK173" authorId="0" shapeId="0" xr:uid="{D68D7E25-A6C3-4CDB-B1D3-626A85C8750E}">
      <text>
        <r>
          <rPr>
            <sz val="9"/>
            <color indexed="81"/>
            <rFont val="Segoe UI"/>
            <family val="2"/>
          </rPr>
          <t xml:space="preserve">
556,86 COMP 01/25_V TOTAL INSS</t>
        </r>
      </text>
    </comment>
    <comment ref="AK174" authorId="0" shapeId="0" xr:uid="{A786991B-9E72-43A2-BF06-9AAB63D8B5B7}">
      <text>
        <r>
          <rPr>
            <b/>
            <sz val="9"/>
            <color indexed="81"/>
            <rFont val="Segoe UI"/>
            <family val="2"/>
          </rPr>
          <t>1.053,97 PRESUMIDO_COMP 01/25_GPS_GILVÂNIA E SILVANETE
   137,05 S/N COMP 01/25_GPS_NADSON</t>
        </r>
      </text>
    </comment>
    <comment ref="AK176" authorId="0" shapeId="0" xr:uid="{ADD8CBF2-E786-49A7-8AC3-75E56B8A24BE}">
      <text>
        <r>
          <rPr>
            <sz val="9"/>
            <color indexed="81"/>
            <rFont val="Segoe UI"/>
            <family val="2"/>
          </rPr>
          <t xml:space="preserve">
3.633,70 INSS_COMP 02/25</t>
        </r>
      </text>
    </comment>
    <comment ref="AK178" authorId="0" shapeId="0" xr:uid="{4A6894C8-FC65-48A6-9B67-1FE306A5EF37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4.263,78 COMP 01/25_GPS_FLPGTO</t>
        </r>
      </text>
    </comment>
    <comment ref="AK179" authorId="0" shapeId="0" xr:uid="{2A1375EE-8B17-4648-A736-90DFB0295F1E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02/25  
 1.000,94  SEGURADO
 2.717,61  EMPRESA
 733,12  OUTRAS ENTIDADES
 -    DEDEUDÇÃO FPAS
 4.451,67  TOTAL
 3.450,73  INSS A PAGAR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K181" authorId="0" shapeId="0" xr:uid="{58A7F709-999B-4235-BC11-EE60E4373F22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2.775,54 COMP 01/25_GPS</t>
        </r>
      </text>
    </comment>
    <comment ref="E182" authorId="0" shapeId="0" xr:uid="{111CF22B-8810-413B-8907-41BE4AA6F002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182" authorId="0" shapeId="0" xr:uid="{5CDB1733-CB79-4F2A-9FDF-59CD279D516E}">
      <text>
        <r>
          <rPr>
            <sz val="9"/>
            <color indexed="81"/>
            <rFont val="Segoe UI"/>
            <family val="2"/>
          </rPr>
          <t xml:space="preserve">
556,86 COMP 01/25_V TOTAL INSS</t>
        </r>
      </text>
    </comment>
    <comment ref="E183" authorId="0" shapeId="0" xr:uid="{F5212A03-67E0-4265-AFC0-64BF4CFDBFFB}">
      <text>
        <r>
          <rPr>
            <sz val="9"/>
            <color indexed="81"/>
            <rFont val="Segoe UI"/>
            <family val="2"/>
          </rPr>
          <t>Bom dia! Tudo bem, Sr Mailton
Nesta fatura da competência 04/25 será inserido o valor retroativo ref as faturas de janeiro e fevereiro de 2025, a saber:
R$ 16.252,00 COMP 01/25 NF 305 (AGUARDANDO CCT 2025)
R$ 16.252,00 COMP 02/25 NF 328 (AGUARDANDO REUNIÃO COM ADM PARA ALINHAMENTO, ASSEMBLÉIA, TROCA DE GESTÃO)
R$ 18.185,00 COMP 02/25 NF 333 (REAJUSTADO)
R$ 3.866,00 DIFERENÇA A PAGAR REF 01 E 02/25
R$ 22.051,00 COMP 04/25 A FATURAR
Fico a disposição para maiores esclarecimentos</t>
        </r>
      </text>
    </comment>
    <comment ref="AK183" authorId="0" shapeId="0" xr:uid="{D89AABAF-A93B-4859-85DA-42725B9BA14B}">
      <text>
        <r>
          <rPr>
            <b/>
            <sz val="9"/>
            <color indexed="81"/>
            <rFont val="Segoe UI"/>
            <family val="2"/>
          </rPr>
          <t>1.053,97 PRESUMIDO_COMP 01/25_GPS_GILVÂNIA E SILVANETE
   137,05 S/N COMP 01/25_GPS_NADSON</t>
        </r>
      </text>
    </comment>
    <comment ref="E184" authorId="0" shapeId="0" xr:uid="{413948E8-3BB1-4983-8626-B44F05B2FF8B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E185" authorId="0" shapeId="0" xr:uid="{91092CF8-12FB-47B1-8760-411D299418C0}">
      <text>
        <r>
          <rPr>
            <sz val="9"/>
            <color indexed="81"/>
            <rFont val="Segoe UI"/>
            <family val="2"/>
          </rPr>
          <t xml:space="preserve">
01/25_316_RPR27_28.588,00_2.144,10_(7,5%)_30.732,10_AGUARDANDO HOMOLOGAÇÃO CCT 2025
02/25_327_RPR27_28.588,00_2.144,10_(7,5%)_30.732,10_AGUARDANDO ORNON DELIBERAR
03/25_335_RPR27_31.952,00_1.219,90_(9,51%)_30.732,10_INDICE APLICADO_CCT 2025 + TRIBUTOS
04/25_EMITIR_RPR27_30.732,10_(7,5%)_4.288,20_1.219,90_33.800,40_AJUSTADO ORNON 7,5% 
</t>
        </r>
      </text>
    </comment>
    <comment ref="AK185" authorId="0" shapeId="0" xr:uid="{B97B5621-6D1D-481D-BAB3-4A855AB3E7E1}">
      <text>
        <r>
          <rPr>
            <sz val="9"/>
            <color indexed="81"/>
            <rFont val="Segoe UI"/>
            <family val="2"/>
          </rPr>
          <t xml:space="preserve">
3.633,70 INSS_COMP 02/25</t>
        </r>
      </text>
    </comment>
    <comment ref="E186" authorId="0" shapeId="0" xr:uid="{9C284A14-F402-4275-8242-C79F5B07F015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apenas valor ref ao reajuste conforme o contrato.
R$ 5.698,00 - 01/25
R$ 6.098,00_  02/25 (REAJUSTE CONFORME Publicação oficial da CCT 2025)
R$ 400,00 - DIFERENÇA A SER FATURADA
R$ 6.498,00 - 04/25 VALOR BRUTO DA FATURA</t>
        </r>
      </text>
    </comment>
    <comment ref="E187" authorId="0" shapeId="0" xr:uid="{0DAA9A11-0B2F-4E4F-ACD5-BDB06ABB43D7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187" authorId="0" shapeId="0" xr:uid="{6475C8B9-ACBE-48D6-9F2F-BEF3A671060A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4.263,78 COMP 01/25_GPS_FLPGTO</t>
        </r>
      </text>
    </comment>
    <comment ref="E188" authorId="0" shapeId="0" xr:uid="{99A4DF10-00B0-4319-A678-39363B46149E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188" authorId="0" shapeId="0" xr:uid="{203AA087-E712-4D75-A236-519F8B3E56D7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02/25  
 1.000,94  SEGURADO
 2.717,61  EMPRESA
 733,12  OUTRAS ENTIDADES
 -    DEDEUDÇÃO FPAS
 4.451,67  TOTAL
 3.450,73  INSS A PAGAR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K190" authorId="0" shapeId="0" xr:uid="{0902BB18-132C-4ED6-B76D-5419753DF5F0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2.775,54 COMP 01/25_GPS</t>
        </r>
      </text>
    </comment>
    <comment ref="E191" authorId="0" shapeId="0" xr:uid="{95CF7BE0-66F5-4FF9-8269-2754DE9BBE60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191" authorId="0" shapeId="0" xr:uid="{38DFC5B7-E6E5-4AC0-9692-166E4E771D80}">
      <text>
        <r>
          <rPr>
            <sz val="9"/>
            <color indexed="81"/>
            <rFont val="Segoe UI"/>
            <family val="2"/>
          </rPr>
          <t xml:space="preserve">
556,86 COMP 01/25_V TOTAL INSS</t>
        </r>
      </text>
    </comment>
    <comment ref="E192" authorId="0" shapeId="0" xr:uid="{77BFF8F7-0589-447E-8689-BC4B4E6672B8}">
      <text>
        <r>
          <rPr>
            <sz val="9"/>
            <color indexed="81"/>
            <rFont val="Segoe UI"/>
            <family val="2"/>
          </rPr>
          <t>Bom dia! Tudo bem, Sr Mailton
Nesta fatura da competência 04/25 será inserido o valor retroativo ref as faturas de janeiro e fevereiro de 2025, a saber:
R$ 16.252,00 COMP 01/25 NF 305 (AGUARDANDO CCT 2025)
R$ 16.252,00 COMP 02/25 NF 328 (AGUARDANDO REUNIÃO COM ADM PARA ALINHAMENTO, ASSEMBLÉIA, TROCA DE GESTÃO)
R$ 18.185,00 COMP 02/25 NF 333 (REAJUSTADO)
R$ 3.866,00 DIFERENÇA A PAGAR REF 01 E 02/25
R$ 22.051,00 COMP 04/25 A FATURAR
Fico a disposição para maiores esclarecimentos</t>
        </r>
      </text>
    </comment>
    <comment ref="AK192" authorId="0" shapeId="0" xr:uid="{FBCA8228-B629-4867-B0A2-BB01759EDFA2}">
      <text>
        <r>
          <rPr>
            <b/>
            <sz val="9"/>
            <color indexed="81"/>
            <rFont val="Segoe UI"/>
            <family val="2"/>
          </rPr>
          <t>1.053,97 PRESUMIDO_COMP 01/25_GPS_GILVÂNIA E SILVANETE
   137,05 S/N COMP 01/25_GPS_NADSON</t>
        </r>
      </text>
    </comment>
    <comment ref="E193" authorId="0" shapeId="0" xr:uid="{EA5F30A8-2D22-4A9B-BBC0-EB30F8F23481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193" authorId="0" shapeId="0" xr:uid="{FB658B1A-3307-48B2-A434-6050AEF56496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01/25_R$ 621,86</t>
        </r>
      </text>
    </comment>
    <comment ref="E194" authorId="0" shapeId="0" xr:uid="{538EF7F7-7FBC-49A4-91D1-0C235907A3EF}">
      <text>
        <r>
          <rPr>
            <sz val="9"/>
            <color indexed="81"/>
            <rFont val="Segoe UI"/>
            <family val="2"/>
          </rPr>
          <t xml:space="preserve">
01/25_316_RPR27_28.588,00_2.144,10_(7,5%)_30.732,10_AGUARDANDO HOMOLOGAÇÃO CCT 2025
02/25_327_RPR27_28.588,00_2.144,10_(7,5%)_30.732,10_AGUARDANDO ORNON DELIBERAR
03/25_335_RPR27_31.952,00_1.219,90_(9,51%)_30.732,10_INDICE APLICADO_CCT 2025 + TRIBUTOS
04/25_EMITIR_RPR27_30.732,10_(7,5%)_4.288,20_1.219,90_33.800,40_AJUSTADO ORNON 7,5% 
</t>
        </r>
      </text>
    </comment>
    <comment ref="AK194" authorId="0" shapeId="0" xr:uid="{A9BB64C6-8D31-4087-A18E-FC6AB655EEB1}">
      <text>
        <r>
          <rPr>
            <sz val="9"/>
            <color indexed="81"/>
            <rFont val="Segoe UI"/>
            <family val="2"/>
          </rPr>
          <t xml:space="preserve">
3.633,70 INSS_COMP 02/25</t>
        </r>
      </text>
    </comment>
    <comment ref="E195" authorId="0" shapeId="0" xr:uid="{64DCFC4D-6481-4F6C-8CFE-6DAA1986458D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195" authorId="0" shapeId="0" xr:uid="{88314BF7-76A2-4346-A60A-4DA03B9F23F6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4.263,78 COMP 01/25_GPS_FLPGTO</t>
        </r>
      </text>
    </comment>
    <comment ref="E196" authorId="0" shapeId="0" xr:uid="{EA6CE8AE-CC3E-4253-BC33-28E8DB2BDCF9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196" authorId="0" shapeId="0" xr:uid="{4BD6CD42-849A-4A51-8E12-867718163867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02/25  
 1.000,94  SEGURADO
 2.717,61  EMPRESA
 733,12  OUTRAS ENTIDADES
 -    DEDEUDÇÃO FPAS
 4.451,67  TOTAL
 3.450,73  INSS A PAGAR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198" authorId="0" shapeId="0" xr:uid="{109D5762-DEBB-4954-9767-D44204FEDBAB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198" authorId="0" shapeId="0" xr:uid="{A97C2D4A-C41E-47C4-94BD-11000F04B6D0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E199" authorId="0" shapeId="0" xr:uid="{5009B29A-370C-4F3D-AA86-DB2E079CCB57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199" authorId="0" shapeId="0" xr:uid="{52934665-2A51-455F-A320-9E58655BD514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E200" authorId="0" shapeId="0" xr:uid="{C17C2C95-437A-495C-9F3D-7C21BE34C92C}">
      <text>
        <r>
          <rPr>
            <sz val="9"/>
            <color indexed="81"/>
            <rFont val="Segoe UI"/>
            <family val="2"/>
          </rPr>
          <t xml:space="preserve">
01/25_316_RPR27_28.588,00_2.144,10_(7,5%)_30.732,10_AGUARDANDO HOMOLOGAÇÃO CCT 2025
02/25_327_RPR27_28.588,00_2.144,10_(7,5%)_30.732,10_AGUARDANDO ORNON DELIBERAR
03/25_335_RPR27_31.952,00_1.219,90_(9,51%)_30.732,10_INDICE APLICADO_CCT 2025 + TRIBUTOS
04/25_EMITIR_RPR27_30.732,10_(7,5%)_4.288,20_1.219,90_33.800,40_AJUSTADO ORNON 7,5% 
</t>
        </r>
      </text>
    </comment>
    <comment ref="AK200" authorId="0" shapeId="0" xr:uid="{913ABCDC-2DD6-4A69-BF9B-06ED42296130}">
      <text>
        <r>
          <rPr>
            <sz val="9"/>
            <color indexed="81"/>
            <rFont val="Segoe UI"/>
            <family val="2"/>
          </rPr>
          <t xml:space="preserve">
+/- 1600,00 INSS_COMP 05/25</t>
        </r>
      </text>
    </comment>
    <comment ref="E201" authorId="0" shapeId="0" xr:uid="{77ECB0A2-09E1-4608-B369-958CDA37C7DF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01" authorId="0" shapeId="0" xr:uid="{1A26ADEC-A763-4B3E-8474-FB0379F60402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E202" authorId="0" shapeId="0" xr:uid="{6A5FE7A1-A7C8-4386-85A7-3EB85E50CEDE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202" authorId="0" shapeId="0" xr:uid="{9300EF1D-2BCA-498B-A689-9B9702B4EF88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04" authorId="0" shapeId="0" xr:uid="{A3C7AD43-ED6C-49B0-BC48-7E1C7B26B6C8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04" authorId="0" shapeId="0" xr:uid="{BDE9AF14-9266-4A21-B609-6D12316D4F74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E205" authorId="0" shapeId="0" xr:uid="{100E1AB5-B0D5-465A-A17E-C1D1108167B0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05" authorId="0" shapeId="0" xr:uid="{13F78A7F-E54F-4C4A-B51E-EB9DE4FAD705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E206" authorId="0" shapeId="0" xr:uid="{45A09BC4-6FFE-4F2D-9B06-BADA853E77BE}">
      <text>
        <r>
          <rPr>
            <sz val="9"/>
            <color indexed="81"/>
            <rFont val="Segoe UI"/>
            <family val="2"/>
          </rPr>
          <t xml:space="preserve">
01/25_316_RPR27_28.588,00_2.144,10_(7,5%)_30.732,10_AGUARDANDO HOMOLOGAÇÃO CCT 2025
02/25_327_RPR27_28.588,00_2.144,10_(7,5%)_30.732,10_AGUARDANDO ORNON DELIBERAR
03/25_335_RPR27_31.952,00_1.219,90_(9,51%)_30.732,10_INDICE APLICADO_CCT 2025 + TRIBUTOS
04/25_EMITIR_RPR27_30.732,10_(7,5%)_4.288,20_1.219,90_33.800,40_AJUSTADO ORNON 7,5% 
</t>
        </r>
      </text>
    </comment>
    <comment ref="AK206" authorId="0" shapeId="0" xr:uid="{BD9ECA27-3397-473B-9576-093BEBA23477}">
      <text>
        <r>
          <rPr>
            <sz val="9"/>
            <color indexed="81"/>
            <rFont val="Segoe UI"/>
            <family val="2"/>
          </rPr>
          <t xml:space="preserve">
+/- 1600,00 INSS_COMP 05/25</t>
        </r>
      </text>
    </comment>
    <comment ref="E207" authorId="0" shapeId="0" xr:uid="{5F971E49-9F4F-4F29-BC23-E9AD228CD14E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07" authorId="0" shapeId="0" xr:uid="{ABF34710-23D9-45CC-B932-DA258A44532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E208" authorId="0" shapeId="0" xr:uid="{D50FE434-BBE6-430F-BDB7-601D4FBB88A9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208" authorId="0" shapeId="0" xr:uid="{91CADCB9-6044-4A5D-8303-63850A45BF4C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10" authorId="0" shapeId="0" xr:uid="{395434F9-256C-48C0-948D-18913225EDF4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10" authorId="0" shapeId="0" xr:uid="{D7C353C0-BEEB-4E7C-A781-335F550BA690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E211" authorId="0" shapeId="0" xr:uid="{6CEB2DA3-604C-40C9-8FD4-128B9B10D466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11" authorId="0" shapeId="0" xr:uid="{DF63C208-CC0D-4DA1-AA3A-E775C051F995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E212" authorId="0" shapeId="0" xr:uid="{370D8EA6-CD76-44BF-BD5F-A62AC497DCC3}">
      <text>
        <r>
          <rPr>
            <sz val="9"/>
            <color indexed="81"/>
            <rFont val="Segoe UI"/>
            <family val="2"/>
          </rPr>
          <t xml:space="preserve">
01/25_316_RPR27_28.588,00_2.144,10_(7,5%)_30.732,10_AGUARDANDO HOMOLOGAÇÃO CCT 2025
02/25_327_RPR27_28.588,00_2.144,10_(7,5%)_30.732,10_AGUARDANDO ORNON DELIBERAR
03/25_335_RPR27_31.952,00_1.219,90_(9,51%)_30.732,10_INDICE APLICADO_CCT 2025 + TRIBUTOS
04/25_EMITIR_RPR27_30.732,10_(7,5%)_4.288,20_1.219,90_33.800,40_AJUSTADO ORNON 7,5% 
</t>
        </r>
      </text>
    </comment>
    <comment ref="AK212" authorId="0" shapeId="0" xr:uid="{11706363-D77A-4751-A87A-A68E4279EB7F}">
      <text>
        <r>
          <rPr>
            <sz val="9"/>
            <color indexed="81"/>
            <rFont val="Segoe UI"/>
            <family val="2"/>
          </rPr>
          <t xml:space="preserve">
+/- 1600,00 INSS_COMP 05/25</t>
        </r>
      </text>
    </comment>
    <comment ref="E213" authorId="0" shapeId="0" xr:uid="{160C8EB3-A778-49F6-98F1-9BEB60F32E55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13" authorId="0" shapeId="0" xr:uid="{A59AB7AA-1CA7-430B-910E-A260816904B4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E214" authorId="0" shapeId="0" xr:uid="{F81B21D4-7C30-4284-AA14-D906B5D6D483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214" authorId="0" shapeId="0" xr:uid="{46D43D96-7B70-484A-895B-6190416BBA8A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16" authorId="0" shapeId="0" xr:uid="{939E60E9-962C-4281-9EF5-62E653C41651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16" authorId="0" shapeId="0" xr:uid="{13CF6538-2BD0-4022-9F25-8C6172F99106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E217" authorId="0" shapeId="0" xr:uid="{F1F0F2B5-506A-438A-B8B5-84A540B91939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17" authorId="0" shapeId="0" xr:uid="{852BD9C6-87F1-4148-B59A-4460285B07BA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E218" authorId="0" shapeId="0" xr:uid="{B966D4ED-3840-4B55-903E-93D0C6E8000E}">
      <text>
        <r>
          <rPr>
            <sz val="9"/>
            <color indexed="81"/>
            <rFont val="Segoe UI"/>
            <family val="2"/>
          </rPr>
          <t xml:space="preserve">
01/25_316_RPR27_28.588,00_2.144,10_(7,5%)_30.732,10_AGUARDANDO HOMOLOGAÇÃO CCT 2025
02/25_327_RPR27_28.588,00_2.144,10_(7,5%)_30.732,10_AGUARDANDO ORNON DELIBERAR
03/25_335_RPR27_31.952,00_1.219,90_(9,51%)_30.732,10_INDICE APLICADO_CCT 2025 + TRIBUTOS
04/25_EMITIR_RPR27_30.732,10_(7,5%)_4.288,20_1.219,90_33.800,40_AJUSTADO ORNON 7,5% 
</t>
        </r>
      </text>
    </comment>
    <comment ref="AK218" authorId="0" shapeId="0" xr:uid="{401192F6-7A89-48DC-968D-435B93D6A5EF}">
      <text>
        <r>
          <rPr>
            <sz val="9"/>
            <color indexed="81"/>
            <rFont val="Segoe UI"/>
            <family val="2"/>
          </rPr>
          <t xml:space="preserve">
+/- 1600,00 INSS_COMP 05/25</t>
        </r>
      </text>
    </comment>
    <comment ref="E219" authorId="0" shapeId="0" xr:uid="{33C95059-08B5-4EB9-89C9-F964F2DF7DF2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19" authorId="0" shapeId="0" xr:uid="{67A6C50E-1794-4C98-8A28-3E50AA5BDF8C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E220" authorId="0" shapeId="0" xr:uid="{39AFD83C-C3FA-486E-A4C8-0E5EFB9034BF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220" authorId="0" shapeId="0" xr:uid="{CFA522EE-1E0F-454C-A325-2A7D2C59FC35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2" authorId="0" shapeId="0" xr:uid="{596BBB34-FA5D-4C6E-9453-617FCE78CEF1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22" authorId="0" shapeId="0" xr:uid="{0F6CE697-A0FF-4F88-B80E-D9F51AC5D7A5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E223" authorId="0" shapeId="0" xr:uid="{9F00019E-B0F4-40BC-AF7C-0A0CEDB26E28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23" authorId="0" shapeId="0" xr:uid="{E190DD53-DA93-4003-B085-14F8C74DDABA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E224" authorId="0" shapeId="0" xr:uid="{C776F9D7-65F3-4D4A-81BB-BBF6D4F76429}">
      <text>
        <r>
          <rPr>
            <sz val="9"/>
            <color indexed="81"/>
            <rFont val="Segoe UI"/>
            <family val="2"/>
          </rPr>
          <t xml:space="preserve">
01/25_316_RPR27_28.588,00_2.144,10_(7,5%)_30.732,10_AGUARDANDO HOMOLOGAÇÃO CCT 2025
02/25_327_RPR27_28.588,00_2.144,10_(7,5%)_30.732,10_AGUARDANDO ORNON DELIBERAR
03/25_335_RPR27_31.952,00_1.219,90_(9,51%)_30.732,10_INDICE APLICADO_CCT 2025 + TRIBUTOS
04/25_EMITIR_RPR27_30.732,10_(7,5%)_4.288,20_1.219,90_33.800,40_AJUSTADO ORNON 7,5% 
</t>
        </r>
      </text>
    </comment>
    <comment ref="AK224" authorId="0" shapeId="0" xr:uid="{BB86861E-05B1-45D6-8634-E0E83EEC452C}">
      <text>
        <r>
          <rPr>
            <sz val="9"/>
            <color indexed="81"/>
            <rFont val="Segoe UI"/>
            <family val="2"/>
          </rPr>
          <t xml:space="preserve">
+/- 1600,00 INSS_COMP 05/25</t>
        </r>
      </text>
    </comment>
    <comment ref="E225" authorId="0" shapeId="0" xr:uid="{AFBB365E-17E3-4FB0-A2DA-BF4FE90B4761}">
      <text>
        <r>
          <rPr>
            <sz val="9"/>
            <color indexed="81"/>
            <rFont val="Segoe UI"/>
            <family val="2"/>
          </rPr>
          <t xml:space="preserve">
01/25_316_RPR27_28.588,00_2.144,10_(7,5%)_30.732,10_AGUARDANDO HOMOLOGAÇÃO CCT 2025
02/25_327_RPR27_28.588,00_2.144,10_(7,5%)_30.732,10_AGUARDANDO ORNON DELIBERAR
03/25_335_RPR27_31.952,00_1.219,90_(9,51%)_30.732,10_INDICE APLICADO_CCT 2025 + TRIBUTOS
04/25_EMITIR_RPR27_30.732,10_(7,5%)_4.288,20_1.219,90_33.800,40_AJUSTADO ORNON 7,5% 
</t>
        </r>
      </text>
    </comment>
    <comment ref="AK225" authorId="0" shapeId="0" xr:uid="{FC278D9C-D0F1-4B53-B866-5A4E5B5067DE}">
      <text>
        <r>
          <rPr>
            <sz val="9"/>
            <color indexed="81"/>
            <rFont val="Segoe UI"/>
            <family val="2"/>
          </rPr>
          <t xml:space="preserve">
+/- 1600,00 INSS_COMP 05/25</t>
        </r>
      </text>
    </comment>
    <comment ref="E226" authorId="0" shapeId="0" xr:uid="{4A6686FE-DA43-4189-B8ED-38513455A8EF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26" authorId="0" shapeId="0" xr:uid="{7765D26A-2A7F-4B37-A042-12E3684359EF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E227" authorId="0" shapeId="0" xr:uid="{77B44DAD-FA24-4627-A131-FEE62E7F9FA4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227" authorId="0" shapeId="0" xr:uid="{CE4AB673-5428-4293-993F-A112086D60DF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9" authorId="0" shapeId="0" xr:uid="{65EB8F55-41A8-489A-AFA2-8C042AE39518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29" authorId="0" shapeId="0" xr:uid="{0255E870-C288-45E5-B311-E9D6E842AEDC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E230" authorId="0" shapeId="0" xr:uid="{F3A4507F-6EBC-4CFB-B988-27F23E469EAD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30" authorId="0" shapeId="0" xr:uid="{F362453D-6ECB-4974-B4EF-BD6357FA9100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E231" authorId="0" shapeId="0" xr:uid="{78A03587-050C-441E-8916-45F2AF5425B2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31" authorId="0" shapeId="0" xr:uid="{2D9844EE-68C1-459F-A6B0-B2833BD6CF6E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E232" authorId="0" shapeId="0" xr:uid="{F3471E42-5D23-471F-8C3B-E9DE342CB775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232" authorId="0" shapeId="0" xr:uid="{5FB56C27-35BD-4ABA-B2EB-10DA7A862D19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K234" authorId="0" shapeId="0" xr:uid="{ED3B5895-E676-425A-B25E-081386135EA2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K235" authorId="0" shapeId="0" xr:uid="{ABAE3854-8B6B-4D5E-B732-A93BEA249EF9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36" authorId="0" shapeId="0" xr:uid="{A8ACD786-BC3F-46E0-9E43-E7D37A486C5E}">
      <text>
        <r>
          <rPr>
            <b/>
            <sz val="9"/>
            <color indexed="81"/>
            <rFont val="Segoe UI"/>
            <family val="2"/>
          </rPr>
          <t xml:space="preserve">
6.405,00
407,00 REAJUSTE_RETROATIVO Jan/25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36" authorId="0" shapeId="0" xr:uid="{3DB69256-A4D2-404B-A1E5-22B84490C2BB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E237" authorId="0" shapeId="0" xr:uid="{F425A534-09A1-44D5-8B81-6F1DE2B14672}">
      <text>
        <r>
          <rPr>
            <sz val="9"/>
            <color indexed="81"/>
            <rFont val="Segoe UI"/>
            <family val="2"/>
          </rPr>
          <t>Bom dia! Tudo bem, Leila
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37" authorId="0" shapeId="0" xr:uid="{3525CDAE-CA3C-4BC3-81C6-2FBE4CC691DA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E238" authorId="0" shapeId="0" xr:uid="{1E49D055-DDD6-42D7-8077-05901305587F}">
      <text>
        <r>
          <rPr>
            <sz val="9"/>
            <color indexed="81"/>
            <rFont val="Segoe UI"/>
            <family val="2"/>
          </rPr>
          <t>Nesta fatura da competência 04/25 será inserido o valor retroativo referente a janeiro de 2025, tudo bem?
Lembrando que na fatura de janeiro foi colocado o mesmo valor de Dezembro/2024, devido a demora da publicação oficial da CCT 2025.</t>
        </r>
      </text>
    </comment>
    <comment ref="AK238" authorId="0" shapeId="0" xr:uid="{1E63E282-2AE1-4EC9-8E7A-D1632F74178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E239" authorId="0" shapeId="0" xr:uid="{32257E81-C60E-467D-90AE-019F9B204ECF}">
      <text>
        <r>
          <rPr>
            <sz val="9"/>
            <color indexed="81"/>
            <rFont val="Segoe UI"/>
            <family val="2"/>
          </rPr>
          <t xml:space="preserve">Apenas para conhecimento e ficarmos alinhados:
Nesta fatura da competência 04/25 será inserido o valor retroativo/complementar referente a janeiro de 2025, tudo bem?
Lembrando que na fatura de janeiro foi colocado o mesmo valor de Dezembro/2024, devido a demora da publicação oficial da CCT 2025.
</t>
        </r>
      </text>
    </comment>
    <comment ref="AK239" authorId="0" shapeId="0" xr:uid="{CED94D6F-DB9E-4093-90C2-0FEC284A1A7A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K242" authorId="0" shapeId="0" xr:uid="{554D707C-8D59-4D73-A7A8-FA6C57766AE2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AK243" authorId="0" shapeId="0" xr:uid="{1D42A52B-455A-4133-AEE4-966665888667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AK244" authorId="0" shapeId="0" xr:uid="{26D4CD5F-4E2C-4D72-9764-A51C0C551F8D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AK245" authorId="0" shapeId="0" xr:uid="{BECAC8D4-A610-4219-84FD-708A9DEDEB05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K247" authorId="0" shapeId="0" xr:uid="{3CEEC2DE-0A9A-4335-99B6-06BAB32F2914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K249" authorId="0" shapeId="0" xr:uid="{4A63BB90-7319-4CF5-BFF9-872642651B44}">
      <text>
        <r>
          <rPr>
            <sz val="9"/>
            <color indexed="81"/>
            <rFont val="Segoe UI"/>
            <family val="2"/>
          </rPr>
          <t xml:space="preserve">
601,99 COMP 05/25_V TOTAL INSS</t>
        </r>
      </text>
    </comment>
    <comment ref="AK250" authorId="0" shapeId="0" xr:uid="{E248F65F-A20C-4816-A181-5027C59D41AF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COMP 05/25_R$ 709,29</t>
        </r>
      </text>
    </comment>
    <comment ref="AK251" authorId="0" shapeId="0" xr:uid="{F0148AFC-CA31-46BD-AAE2-D8E180CF510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3.960,05 COMP 05/25_GPS_FLPGTO</t>
        </r>
      </text>
    </comment>
    <comment ref="AK252" authorId="0" shapeId="0" xr:uid="{D1A446B1-BA73-4236-A642-8171357E0A04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K253" authorId="0" shapeId="0" xr:uid="{EB2BE1D1-1536-4AF9-94A0-415161E4D393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81"/>
            <rFont val="Segoe UI"/>
            <family val="2"/>
          </rPr>
          <t xml:space="preserve">COMP 05/25  
 983,60  SEGURADO
 2,676,18  EMPRESA
 721,95  OUTRAS ENTIDADES 
-390,00 DEDEUDÇÃO FPAS
 3.991,73 TOTAL INSS
 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B258" authorId="1" shapeId="0" xr:uid="{3C9C22C9-383C-45AF-BBD3-3E5E8C2192E1}">
      <text>
        <r>
          <rPr>
            <b/>
            <sz val="9"/>
            <color indexed="81"/>
            <rFont val="Segoe UI"/>
            <family val="2"/>
          </rPr>
          <t>IRPJ - IMPOSTO DE RENDA PESSOA JURIDICA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58" authorId="2" shapeId="0" xr:uid="{3676E215-D18A-4BED-9F7F-D403A330784B}">
      <text>
        <t>[Threaded comment]
Your version of Excel allows you to read this threaded comment; however, any edits to it will get removed if the file is opened in a newer version of Excel. Learn more: https://go.microsoft.com/fwlink/?linkid=870924
Comment:
    4,84% IRPJ</t>
      </text>
    </comment>
    <comment ref="B259" authorId="1" shapeId="0" xr:uid="{EC330D1B-EED3-4B3C-9FA3-BD3421A3E034}">
      <text>
        <r>
          <rPr>
            <b/>
            <sz val="9"/>
            <color indexed="81"/>
            <rFont val="Segoe UI"/>
            <family val="2"/>
          </rPr>
          <t>CSLL - CONTRIBUIÇÃO SOBRE O LUCRO LIQUIDO
 (1,88% EMPRESA + 1% CONDOMINIO)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59" authorId="3" shapeId="0" xr:uid="{11281199-090B-4D7F-9160-CDDC11AD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2,88% CSLL</t>
      </text>
    </comment>
    <comment ref="B260" authorId="1" shapeId="0" xr:uid="{712E4E5F-F833-43B6-BA5F-FDC262557939}">
      <text>
        <r>
          <rPr>
            <b/>
            <sz val="9"/>
            <color indexed="81"/>
            <rFont val="Segoe UI"/>
            <family val="2"/>
          </rPr>
          <t>COFINS - CONTRIB FINANCIAMENTO SEGURIDADE SOCIAL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261" authorId="1" shapeId="0" xr:uid="{5844A571-D22F-4078-A5D0-DC9069494C94}">
      <text>
        <r>
          <rPr>
            <b/>
            <sz val="9"/>
            <color indexed="81"/>
            <rFont val="Segoe UI"/>
            <family val="2"/>
          </rPr>
          <t>PIS - PROGRAMA DE INTEGRAÇÃO SOCIAL</t>
        </r>
      </text>
    </comment>
    <comment ref="B262" authorId="1" shapeId="0" xr:uid="{603CF176-9C25-44A0-BC11-47758B602076}">
      <text>
        <r>
          <rPr>
            <b/>
            <sz val="9"/>
            <color indexed="81"/>
            <rFont val="Segoe UI"/>
            <family val="2"/>
          </rPr>
          <t xml:space="preserve">
ISSQN - IMPOSTO SOBRE SERVIÇO DE QUALQUER NATUREZA</t>
        </r>
      </text>
    </comment>
    <comment ref="B263" authorId="1" shapeId="0" xr:uid="{B11083F9-8FA7-4585-A667-5CCE614DC109}">
      <text>
        <r>
          <rPr>
            <b/>
            <sz val="9"/>
            <color indexed="81"/>
            <rFont val="Segoe UI"/>
            <family val="2"/>
          </rPr>
          <t>INSS - INSTITUTO NACIONAL DO SEGURO SOCIAL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  <author>tc={9B86FB34-1081-40D4-8807-1767A6F93B85}</author>
    <author>tc={F2E86A18-D9EA-44F3-AEDF-52A1223872D0}</author>
    <author>tc={1AAD4982-D8F9-400F-9FC3-0BC061D7DA4D}</author>
    <author>Jailson-PC</author>
    <author>tc={17436198-C87F-4062-8BFF-36E37864D349}</author>
    <author>tc={A1B0E509-1AF7-432E-A9A2-8AE2BD4D9168}</author>
  </authors>
  <commentList>
    <comment ref="R37" authorId="0" shapeId="0" xr:uid="{6683094C-97DF-40FF-9502-811B59DB2A8B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K37" authorId="0" shapeId="0" xr:uid="{64874BCF-0FC7-4902-A2FB-B042EEDFC45D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37" authorId="0" shapeId="0" xr:uid="{4D8F29DA-6BD8-4107-B723-26E3AB3D71C5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R38" authorId="0" shapeId="0" xr:uid="{5215B692-D388-4E16-9CE6-DD6F20F8AE3D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K38" authorId="0" shapeId="0" xr:uid="{090D31AE-0A77-43B8-B81E-D72D125C108D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38" authorId="0" shapeId="0" xr:uid="{F76A327F-2DF6-48DC-823E-8E5DA32382F8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R40" authorId="0" shapeId="0" xr:uid="{1920E0EC-4197-48C2-A4F4-36F411A54CF3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K40" authorId="0" shapeId="0" xr:uid="{B93AE475-A046-4AB5-AF06-E806E7CA0A38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40" authorId="0" shapeId="0" xr:uid="{6B7D5F5F-F23C-4102-8478-D0E9E7675F26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R41" authorId="0" shapeId="0" xr:uid="{595EC313-8E28-4B51-AB5C-811F6CCFD070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K41" authorId="0" shapeId="0" xr:uid="{010167E9-B314-4CA7-96EC-92E000C4EB4A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41" authorId="0" shapeId="0" xr:uid="{C6ED9BC7-6B49-4C9F-8459-A9AE38C9F5E2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R42" authorId="0" shapeId="0" xr:uid="{D25BBCBF-8A82-4A6F-AB02-FE7D1A63DC7E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T42" authorId="0" shapeId="0" xr:uid="{DD452AB8-B48A-4194-A2EC-257CBCE41A28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R44" authorId="0" shapeId="0" xr:uid="{CB01770E-C958-4B6B-A423-CFFD7963939F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K44" authorId="0" shapeId="0" xr:uid="{92D61DA9-CEEB-479D-9E5B-A5527BE4CA98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44" authorId="0" shapeId="0" xr:uid="{EB392D58-0D6C-49A2-A716-05A2F4BECD65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R45" authorId="0" shapeId="0" xr:uid="{3FDDA12E-C9C6-49DE-B521-33B3A1B55C0C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K45" authorId="0" shapeId="0" xr:uid="{E78D87C5-5583-4B7D-A2AA-23CA0FD3D5FC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45" authorId="0" shapeId="0" xr:uid="{F37E04CE-B7B4-4798-9EFD-38FBB62B7426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R46" authorId="0" shapeId="0" xr:uid="{DE99A569-047A-458F-B7EB-7A9011A6ECB6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T46" authorId="0" shapeId="0" xr:uid="{8194FFC4-958F-4DC5-A12D-C8875BA54D07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E47" authorId="1" shapeId="0" xr:uid="{9B86FB34-1081-40D4-8807-1767A6F93B85}">
      <text>
        <t>[Threaded comment]
Your version of Excel allows you to read this threaded comment; however, any edits to it will get removed if the file is opened in a newer version of Excel. Learn more: https://go.microsoft.com/fwlink/?linkid=870924
Comment:
    530,00 _ CONTRATO INICO 28/11/24_ 3 dias
5.300,00 _ CONTRATO</t>
      </text>
    </comment>
    <comment ref="AP49" authorId="0" shapeId="0" xr:uid="{E0AD186C-EDB3-4EA9-8E47-E81FACF39538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R50" authorId="0" shapeId="0" xr:uid="{F06225CC-F3AE-4D31-BD34-479A47A44265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K50" authorId="0" shapeId="0" xr:uid="{EDAF8EAE-332A-459B-9BBD-496771DF83E0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50" authorId="0" shapeId="0" xr:uid="{BAC01649-9A49-48A4-B0B9-2C6EA7BB629E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R51" authorId="0" shapeId="0" xr:uid="{D1B55E3A-FA28-41A6-8D60-97628F710DED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K51" authorId="0" shapeId="0" xr:uid="{B3DF7A0E-1F34-40F2-8A5E-E2D20668486B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51" authorId="0" shapeId="0" xr:uid="{0810CD7A-319B-41FE-B4A7-B202805D47D1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R52" authorId="0" shapeId="0" xr:uid="{19F2CA78-3654-4A7A-83B2-BFA72DEAC7AC}">
      <text>
        <r>
          <rPr>
            <sz val="9"/>
            <color indexed="81"/>
            <rFont val="Segoe UI"/>
            <family val="2"/>
          </rPr>
          <t xml:space="preserve">
20,00 GO-ALIMENTAÇÃO
42,50 DF_ALIMENTAÇÃO</t>
        </r>
      </text>
    </comment>
    <comment ref="AT52" authorId="0" shapeId="0" xr:uid="{283F5B26-E538-4BBC-B579-C3A3508C79BD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P53" authorId="0" shapeId="0" xr:uid="{8CC5BAC9-5945-4710-8B73-82E39B6910A9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56" authorId="0" shapeId="0" xr:uid="{3C129635-6DF5-430D-8DDB-96691C48F237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56" authorId="0" shapeId="0" xr:uid="{C9913A54-8CCB-438A-8F45-E360C25C4DD0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P57" authorId="0" shapeId="0" xr:uid="{515C2DFE-3C0D-4EA5-9CEB-47905CFFDE2A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58" authorId="0" shapeId="0" xr:uid="{B9A6E3B9-6B82-4059-95CE-B26B504D77EF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58" authorId="0" shapeId="0" xr:uid="{0FC6F0A6-22EF-4081-9A67-656F8F0C8D5C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59" authorId="0" shapeId="0" xr:uid="{0384DD24-79C5-4C8E-BEF2-1AAE5AB795B5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59" authorId="0" shapeId="0" xr:uid="{CFEE1E85-3443-4C8F-9100-E4E2D218A880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E60" authorId="2" shapeId="0" xr:uid="{F2E86A18-D9EA-44F3-AEDF-52A1223872D0}">
      <text>
        <t>[Threaded comment]
Your version of Excel allows you to read this threaded comment; however, any edits to it will get removed if the file is opened in a newer version of Excel. Learn more: https://go.microsoft.com/fwlink/?linkid=870924
Comment:
    5.300,00 _ CONTRATO
530,00 _3 DIAS_FOLGA_JULIO 7_DIAS 
4 DIAS_FOLGA_JULIO_ FALTA FATURAR E RAJUSTAR</t>
      </text>
    </comment>
    <comment ref="AP60" authorId="0" shapeId="0" xr:uid="{C4A66F22-CDF9-4F3A-8B5F-F62EB77735E6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62" authorId="0" shapeId="0" xr:uid="{131F38E3-D99A-4EB9-A3E1-53AD4D5C1E5F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64" authorId="0" shapeId="0" xr:uid="{E0D19841-AF7D-4247-AAB8-6115D691BA83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64" authorId="0" shapeId="0" xr:uid="{6DE71ECA-5E27-4EAB-AD1A-0B5E897E01C1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P65" authorId="0" shapeId="0" xr:uid="{3EF555FC-44CE-4FC1-A9A6-9A99E86BB9ED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E66" authorId="0" shapeId="0" xr:uid="{60A4B20D-EDD3-42EE-A70E-D9DE9E74DF09}">
      <text>
        <r>
          <rPr>
            <sz val="9"/>
            <color indexed="81"/>
            <rFont val="Segoe UI"/>
            <family val="2"/>
          </rPr>
          <t>Jailson:
TAJ MAHAL_GO_8,28%
37.805,00_JAN/25
3.132,00_REAJUSTE
40.937,00 MAR/25</t>
        </r>
      </text>
    </comment>
    <comment ref="AK66" authorId="0" shapeId="0" xr:uid="{869931CC-EDFC-4FB5-9994-AFCC5235D8E3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67" authorId="0" shapeId="0" xr:uid="{F198C228-49BF-40DE-ADA2-B32DBD80B774}">
      <text>
        <r>
          <rPr>
            <b/>
            <sz val="9"/>
            <color indexed="81"/>
            <rFont val="Segoe UI"/>
            <family val="2"/>
          </rPr>
          <t xml:space="preserve">TAJ MAHAL CONSTRUÇÃO E INCORPORAÇÃO_GO _13,85%
R$ 1.562,00 VALOR REAJUSTADO 2025
R$    235,74 DESCONTO A PEDIDO DA VAL REF ÁGUA, TORNEIRA ABERTA EM 1 APTO
</t>
        </r>
      </text>
    </comment>
    <comment ref="AK67" authorId="0" shapeId="0" xr:uid="{37690F49-8275-41D7-83B8-5257C8829E6E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67" authorId="0" shapeId="0" xr:uid="{EA51272B-32EA-42B3-9AE9-F029F9633098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E68" authorId="3" shapeId="0" xr:uid="{1AAD4982-D8F9-400F-9FC3-0BC061D7DA4D}">
      <text>
        <t>[Threaded comment]
Your version of Excel allows you to read this threaded comment; however, any edits to it will get removed if the file is opened in a newer version of Excel. Learn more: https://go.microsoft.com/fwlink/?linkid=870924
Comment:
    5.300,00 _ CONTRATO
530,00 _3 DIAS_FOLGA_JULIO 7_DIAS 
4 DIAS_FOLGA_JULIO_ FALTA FATURAR E RAJUSTAR</t>
      </text>
    </comment>
    <comment ref="AP68" authorId="0" shapeId="0" xr:uid="{9D794429-E1C0-4F4F-A364-83EC5B4EDAAF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E69" authorId="0" shapeId="0" xr:uid="{EAE756FF-210C-43BB-A97F-0D455143C03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VICENZA_GO_
8.960,00_MAR/25 VALOR REAJUSTADO_14,58%
</t>
        </r>
      </text>
    </comment>
    <comment ref="AP70" authorId="0" shapeId="0" xr:uid="{B0D316BA-83D6-4258-894B-501175861F21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72" authorId="0" shapeId="0" xr:uid="{F17B37FE-5426-47DE-AB9F-5202B72C4775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72" authorId="0" shapeId="0" xr:uid="{42419F05-CF6E-4056-88A4-2D82A1765112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72" authorId="0" shapeId="0" xr:uid="{B14E5C62-D02C-4238-9FC0-6393878B3933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73" authorId="0" shapeId="0" xr:uid="{E2859E49-017A-4B59-880B-1319DE915073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962,47_COMP 03/25_GPS</t>
        </r>
      </text>
    </comment>
    <comment ref="AP73" authorId="0" shapeId="0" xr:uid="{6EEEEEBA-01F3-445C-9F28-E013D0AD12E5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74" authorId="0" shapeId="0" xr:uid="{5AA5B1F2-EA6A-4C68-A439-0582EA78F0DD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75" authorId="0" shapeId="0" xr:uid="{683535AF-3036-43E4-9A71-27ABA0B10CF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40.937,00 MAR/25
  3.132,00_JAN/25_REAJUSTE/COMPLEMENTAÇÃO
  3.132,00_FEV/25_REAJUSTE/COMPLEMENTAÇÃO</t>
        </r>
      </text>
    </comment>
    <comment ref="AK75" authorId="0" shapeId="0" xr:uid="{CD9DB359-4365-48B6-96C9-7C394C471B1E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76" authorId="0" shapeId="0" xr:uid="{8F875FB1-03C2-4FC4-BE7B-F2ACF4AADC2A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R$ 1.562,00 VALOR REAJUSTADO 2025
R$ 190,00 COMP JAN/25 _ COMPLEMENTAÇÃO
R$ 190,00 COMP FEV/25  _ COMPLEMENTAÇÃO
</t>
        </r>
      </text>
    </comment>
    <comment ref="AK76" authorId="0" shapeId="0" xr:uid="{761CB288-CDA0-4193-B695-EB5B7F932C66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76" authorId="0" shapeId="0" xr:uid="{A8307980-35E6-47D1-8BB0-40897C0B65D0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E77" authorId="0" shapeId="0" xr:uid="{3FA891D9-CF0E-40B7-BD78-95BA910BFF36}">
      <text>
        <r>
          <rPr>
            <b/>
            <sz val="9"/>
            <color indexed="81"/>
            <rFont val="Segoe UI"/>
            <family val="2"/>
          </rPr>
          <t>5.300,00 _ CONTRATO
570,00 _reajuste 
4 DIAS_FOLGA_JULIO_ FALTA FATURAR E RAJUSTAR</t>
        </r>
      </text>
    </comment>
    <comment ref="AP77" authorId="0" shapeId="0" xr:uid="{1E75E0ED-E314-483E-B005-955BC131009E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E78" authorId="0" shapeId="0" xr:uid="{9EEFDABA-B8E7-429A-91C4-09D9585C4EAF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Jailson:
VICENZA_GO_
8.960,00_MAR/25 VALOR REAJUSTADO_14,58%
1.140,00_JAN/25_REAJUSTE/COMPLENTAÇÃO
1.140,00_FEV/25_REAJUSTE/COMPLENTAÇÃO</t>
        </r>
      </text>
    </comment>
    <comment ref="AP79" authorId="0" shapeId="0" xr:uid="{EABA9CA7-487A-453E-8455-15521A832FE1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81" authorId="0" shapeId="0" xr:uid="{0008E5ED-0D8F-4D36-9251-A8487A406878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81" authorId="0" shapeId="0" xr:uid="{1E6AD2C0-ED7A-4689-9F10-BEEB20177F7E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81" authorId="0" shapeId="0" xr:uid="{DB7615C1-BC5A-4793-9678-A0D62451F530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82" authorId="0" shapeId="0" xr:uid="{3B659C61-B069-4399-975E-5D9E0F8CA18D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962,47_COMP 03/25_GPS</t>
        </r>
      </text>
    </comment>
    <comment ref="AP82" authorId="0" shapeId="0" xr:uid="{B76CB579-2ABD-456C-BBFD-56D75B93DEA9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83" authorId="0" shapeId="0" xr:uid="{CBB252F6-EB2F-43A5-8E10-17400BA07388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84" authorId="0" shapeId="0" xr:uid="{D613DD2B-72B4-4C36-8100-974632B46139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R$ 1.562,00 VALOR REAJUSTADO 2025
R$ 190,00 COMP JAN/25 _ COMPLEMENTAÇÃO
R$ 190,00 COMP FEV/25  _ COMPLEMENTAÇÃO
</t>
        </r>
      </text>
    </comment>
    <comment ref="AK84" authorId="0" shapeId="0" xr:uid="{3296497B-FD88-47DE-B14C-965EE0DC51BB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84" authorId="0" shapeId="0" xr:uid="{C420AE15-D747-4EDA-85F7-DF30899CB898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E85" authorId="0" shapeId="0" xr:uid="{10A7DB35-28CF-4FFF-A6D1-6F1E62286882}">
      <text>
        <r>
          <rPr>
            <b/>
            <sz val="9"/>
            <color indexed="81"/>
            <rFont val="Segoe UI"/>
            <family val="2"/>
          </rPr>
          <t>5.300,00 _ CONTRATO
570,00 _reajuste 
4 DIAS_FOLGA_JULIO_ FALTA FATURAR E RAJUSTAR</t>
        </r>
      </text>
    </comment>
    <comment ref="AP85" authorId="0" shapeId="0" xr:uid="{A7B26D4A-CCB7-4E9F-ADDC-0EA100DB2514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E86" authorId="0" shapeId="0" xr:uid="{A77ABF6C-8BA4-419D-BB2B-B80310CCEBFC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Jailson:
VICENZA_GO_
8.960,00_MAR/25 VALOR REAJUSTADO_14,58%
1.140,00_JAN/25_REAJUSTE/COMPLENTAÇÃO
1.140,00_FEV/25_REAJUSTE/COMPLENTAÇÃO</t>
        </r>
      </text>
    </comment>
    <comment ref="AP87" authorId="0" shapeId="0" xr:uid="{A0B805D1-E129-419D-A2CC-3D8532DED881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89" authorId="0" shapeId="0" xr:uid="{181FEA5C-5A5A-4FB1-8B4A-97C7BC691561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89" authorId="0" shapeId="0" xr:uid="{469157CE-851A-4297-8453-34B3E52132D1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89" authorId="0" shapeId="0" xr:uid="{CB635C61-050A-4273-B9D9-A2A6AA95E99A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90" authorId="0" shapeId="0" xr:uid="{B5ED9C8B-A097-408F-B0BD-31FB0B0693F1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91" authorId="0" shapeId="0" xr:uid="{7A8996A6-22C1-45EC-96A8-65E5867A2322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R$ 1.562,00 VALOR REAJUSTADO 2025
R$ 190,00 COMP JAN/25 _ COMPLEMENTAÇÃO
R$ 190,00 COMP FEV/25  _ COMPLEMENTAÇÃO
</t>
        </r>
      </text>
    </comment>
    <comment ref="AK91" authorId="0" shapeId="0" xr:uid="{BEC71378-9E19-4285-BA29-D9DF8528BA4B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91" authorId="0" shapeId="0" xr:uid="{8FAEA0C5-4718-43CC-9DAC-A518912F2FE8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E92" authorId="0" shapeId="0" xr:uid="{62D28B1F-4926-41D9-9E73-14E4695CCAAA}">
      <text>
        <r>
          <rPr>
            <b/>
            <sz val="9"/>
            <color indexed="81"/>
            <rFont val="Segoe UI"/>
            <family val="2"/>
          </rPr>
          <t>5.300,00 _ CONTRATO
570,00 _reajuste 
4 DIAS_FOLGA_JULIO_ FALTA FATURAR E RAJUSTAR</t>
        </r>
      </text>
    </comment>
    <comment ref="AP92" authorId="0" shapeId="0" xr:uid="{723B2B87-D0A7-4C2B-B340-B39212F6CFC1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E93" authorId="0" shapeId="0" xr:uid="{EBA81632-4CC6-4CDB-8070-243D831E01D7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Jailson:
VICENZA_GO_
8.960,00_MAR/25 VALOR REAJUSTADO_14,58%
1.140,00_JAN/25_REAJUSTE/COMPLENTAÇÃO
1.140,00_FEV/25_REAJUSTE/COMPLENTAÇÃO</t>
        </r>
      </text>
    </comment>
    <comment ref="AP94" authorId="0" shapeId="0" xr:uid="{8B033B82-9169-4CDC-86D1-2E6862079B52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95" authorId="0" shapeId="0" xr:uid="{C0443FBC-7BB9-43A2-B032-117A4CDBDBA0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95" authorId="0" shapeId="0" xr:uid="{3968EFC8-368C-4994-B29B-992AD87EE177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97" authorId="0" shapeId="0" xr:uid="{3E968758-EE68-4195-941B-5575EB3D1CB5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97" authorId="0" shapeId="0" xr:uid="{948746A2-C41D-4287-8B10-324585EFAFC7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97" authorId="0" shapeId="0" xr:uid="{4A8F73D1-B492-4AC2-B2A7-90221C424A68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98" authorId="0" shapeId="0" xr:uid="{EB9C14FE-8F46-457D-803A-E347CA8DCDF7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99" authorId="0" shapeId="0" xr:uid="{E7E111C2-A978-4BA3-9716-89E015E62E0A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R$ 1.562,00 VALOR REAJUSTADO 2025
R$ 190,00 COMP JAN/25 _ COMPLEMENTAÇÃO
R$ 190,00 COMP FEV/25  _ COMPLEMENTAÇÃO
</t>
        </r>
      </text>
    </comment>
    <comment ref="AK99" authorId="0" shapeId="0" xr:uid="{7D096DCC-8E5E-4A5E-BEEB-AC76AA798F23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99" authorId="0" shapeId="0" xr:uid="{0787FB64-187B-41BA-8545-1CA3A098FAB2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E100" authorId="0" shapeId="0" xr:uid="{3B39CF41-321D-4731-8FB4-7EE0A49FD23A}">
      <text>
        <r>
          <rPr>
            <b/>
            <sz val="9"/>
            <color indexed="81"/>
            <rFont val="Segoe UI"/>
            <family val="2"/>
          </rPr>
          <t>5.300,00 _ CONTRATO
570,00 _reajuste 
4 DIAS_FOLGA_JULIO_ FALTA FATURAR E RAJUSTAR</t>
        </r>
      </text>
    </comment>
    <comment ref="AP100" authorId="0" shapeId="0" xr:uid="{68E94139-4AF6-4232-B09B-68D48A1CCF87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E101" authorId="0" shapeId="0" xr:uid="{FA6E2ED0-DBD2-4000-99F7-862DD06C6AE7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Jailson:
VICENZA_GO_
8.960,00_MAR/25 VALOR REAJUSTADO_14,58%
1.140,00_JAN/25_REAJUSTE/COMPLENTAÇÃO
1.140,00_FEV/25_REAJUSTE/COMPLENTAÇÃO</t>
        </r>
      </text>
    </comment>
    <comment ref="AP102" authorId="0" shapeId="0" xr:uid="{6EE26E18-3706-45EF-961C-02C0F2FD6386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03" authorId="0" shapeId="0" xr:uid="{8AD17DBD-6C08-4A39-8BE9-BEA5B41CFD82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103" authorId="0" shapeId="0" xr:uid="{D7A3B101-2B51-42AA-9FFD-393995BA031A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05" authorId="0" shapeId="0" xr:uid="{7A11C0B5-5020-4FB8-A48B-1CB8681CB645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105" authorId="0" shapeId="0" xr:uid="{6BEC1BBD-C59B-4FFA-85EA-361892EE40D9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105" authorId="0" shapeId="0" xr:uid="{C4C25A76-B9A6-42E5-8B85-C7860A0E5CAA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106" authorId="0" shapeId="0" xr:uid="{4C9CDEFC-8642-4FF9-990E-DA863139421A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107" authorId="0" shapeId="0" xr:uid="{91390E4F-7AF4-4F88-A0A5-733AA6C07E9F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R$ 1.562,00 VALOR REAJUSTADO 2025
R$ 190,00 COMP JAN/25 _ COMPLEMENTAÇÃO
R$ 190,00 COMP FEV/25  _ COMPLEMENTAÇÃO
</t>
        </r>
      </text>
    </comment>
    <comment ref="AK107" authorId="0" shapeId="0" xr:uid="{2E6B5798-6DD8-41B8-A754-22E4A2EF726E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107" authorId="0" shapeId="0" xr:uid="{37AF54B2-F469-4F55-A681-B799165891B2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E108" authorId="0" shapeId="0" xr:uid="{EA64D6F3-60C5-4720-8093-2CE9AB68AF41}">
      <text>
        <r>
          <rPr>
            <b/>
            <sz val="9"/>
            <color indexed="81"/>
            <rFont val="Segoe UI"/>
            <family val="2"/>
          </rPr>
          <t>5.300,00 _ CONTRATO
570,00 _reajuste 
4 DIAS_FOLGA_JULIO_ FALTA FATURAR E RAJUSTAR</t>
        </r>
      </text>
    </comment>
    <comment ref="AP108" authorId="0" shapeId="0" xr:uid="{8758F167-F8FF-49C2-83D1-D71DF753EB60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E109" authorId="0" shapeId="0" xr:uid="{4CA18235-7D3C-47E3-88AD-048214113592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Jailson:
VICENZA_GO_
8.960,00_MAR/25 VALOR REAJUSTADO_14,58%
1.140,00_JAN/25_REAJUSTE/COMPLENTAÇÃO
1.140,00_FEV/25_REAJUSTE/COMPLENTAÇÃO</t>
        </r>
      </text>
    </comment>
    <comment ref="AP110" authorId="0" shapeId="0" xr:uid="{05F7ABCE-BC7A-482B-8F58-5A0B6652C13A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11" authorId="0" shapeId="0" xr:uid="{B88A1CB5-5C58-4EC2-A8F0-2885749B7E32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111" authorId="0" shapeId="0" xr:uid="{ECFCE10E-AF6A-4393-A9D8-2DDE46D0FCA7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16" authorId="0" shapeId="0" xr:uid="{38D17AB6-B311-4E34-891F-F9B9E4A3CF99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116" authorId="0" shapeId="0" xr:uid="{262DF9CD-5AAA-4072-9B10-178BCD3CA758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116" authorId="0" shapeId="0" xr:uid="{650F0FFD-9DDC-4F0B-A73D-5BF6F8C35DA6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117" authorId="0" shapeId="0" xr:uid="{2A453394-9972-48A7-946D-1798B054D8EE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118" authorId="0" shapeId="0" xr:uid="{2040CF6E-BC36-418D-A116-EE17A8DC8698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395,05 APTO 1001_TORNEIRA ABERTA_DESCONTO
</t>
        </r>
      </text>
    </comment>
    <comment ref="AK118" authorId="0" shapeId="0" xr:uid="{D7AACD27-3F70-481F-9490-655E09CBB538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118" authorId="0" shapeId="0" xr:uid="{7D37874C-A65F-4D0B-88B0-6569374AD4ED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AP119" authorId="0" shapeId="0" xr:uid="{67458D59-983C-49E1-9F9A-17E60DC35D7B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121" authorId="0" shapeId="0" xr:uid="{5472BA9F-5D06-4E67-B7AB-6F632104E161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22" authorId="0" shapeId="0" xr:uid="{7ED41527-97A3-496A-819F-2EE7D2A358D0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122" authorId="0" shapeId="0" xr:uid="{3C083A92-252C-4728-A645-6BC320E84BB1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23" authorId="0" shapeId="0" xr:uid="{DB5BBF30-676E-456D-9363-A9E8FF675CE3}">
      <text>
        <r>
          <rPr>
            <b/>
            <sz val="9"/>
            <color indexed="81"/>
            <rFont val="Segoe UI"/>
            <family val="2"/>
          </rPr>
          <t xml:space="preserve">
122,00 GPS_PREVISÃO
122,00 COMP 08/25_GPS_01 COLABORADORES</t>
        </r>
      </text>
    </comment>
    <comment ref="AK126" authorId="0" shapeId="0" xr:uid="{063F47A9-F149-4FF5-A21A-6060EC51F483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126" authorId="0" shapeId="0" xr:uid="{0C079B68-3E85-4E32-BC8D-9F7D49929E20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126" authorId="0" shapeId="0" xr:uid="{50CA753C-A79E-4749-867D-663F03BA64C5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127" authorId="0" shapeId="0" xr:uid="{65A488C0-D0A2-4940-ACB4-6B32C7916773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128" authorId="0" shapeId="0" xr:uid="{336AFF18-2425-47D3-8080-FA6760B2CB09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395,05 APTO 1001_TORNEIRA ABERTA_DESCONTO
</t>
        </r>
      </text>
    </comment>
    <comment ref="AK128" authorId="0" shapeId="0" xr:uid="{6C8D17E5-ACC5-4C03-9126-D011D3F7DF4F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128" authorId="0" shapeId="0" xr:uid="{3C276E11-A8BB-4D77-A021-C9178C6EC3A9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AP129" authorId="0" shapeId="0" xr:uid="{4E374519-74AC-49BD-B82F-127053E0EA4B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131" authorId="0" shapeId="0" xr:uid="{42EBAEED-8952-4F86-B59F-C6FDA570BBA3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32" authorId="0" shapeId="0" xr:uid="{B5043517-E57C-42E3-92B3-06DD7E4A634C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132" authorId="0" shapeId="0" xr:uid="{C4ADDC20-D40A-420C-A47F-A0FABBE4E009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33" authorId="0" shapeId="0" xr:uid="{271D427C-295A-4D21-B983-51A8B2F944D1}">
      <text>
        <r>
          <rPr>
            <b/>
            <sz val="9"/>
            <color indexed="81"/>
            <rFont val="Segoe UI"/>
            <family val="2"/>
          </rPr>
          <t xml:space="preserve">
122,00 GPS_PREVISÃO
122,00 COMP 08/25_GPS_01 COLABORADORES</t>
        </r>
      </text>
    </comment>
    <comment ref="AK136" authorId="0" shapeId="0" xr:uid="{2F762360-D91E-410E-AD21-938A041C3A34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136" authorId="0" shapeId="0" xr:uid="{6CB16C2B-BCE6-4C49-AFB4-A03FC2D7ADFC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136" authorId="0" shapeId="0" xr:uid="{1D55BEAB-07D5-4909-BFF4-507E65B4B77D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137" authorId="0" shapeId="0" xr:uid="{B5F90D4D-5A7C-4B5B-93EC-5C29F96184E5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138" authorId="0" shapeId="0" xr:uid="{2D134B71-ED55-48BF-83F2-CCE3058D56C2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395,05 APTO 1001_TORNEIRA ABERTA_DESCONTO
</t>
        </r>
      </text>
    </comment>
    <comment ref="AK138" authorId="0" shapeId="0" xr:uid="{D0971606-0CC8-43F4-9FEC-06439E7A8B80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138" authorId="0" shapeId="0" xr:uid="{EE9C21D2-5957-448A-9112-C0777ACD4E38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AP139" authorId="0" shapeId="0" xr:uid="{FE4E713A-BE15-4E42-AB5E-DB298197C509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141" authorId="0" shapeId="0" xr:uid="{3F5769DC-267B-4CEC-9142-C96D54D2DEE8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42" authorId="0" shapeId="0" xr:uid="{A9F6E2FA-B5D3-4D84-BC9D-43C26F6289DD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142" authorId="0" shapeId="0" xr:uid="{739A3592-AE6E-4897-9B80-78179622F994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43" authorId="0" shapeId="0" xr:uid="{D9FF53CB-099D-4360-AC60-F4679F7B5805}">
      <text>
        <r>
          <rPr>
            <b/>
            <sz val="9"/>
            <color indexed="81"/>
            <rFont val="Segoe UI"/>
            <family val="2"/>
          </rPr>
          <t xml:space="preserve">
122,00 GPS_PREVISÃO
122,00 COMP 08/25_GPS_01 COLABORADORES</t>
        </r>
      </text>
    </comment>
    <comment ref="AK146" authorId="0" shapeId="0" xr:uid="{AD309B86-537B-4C7F-B004-0256268F5A6B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146" authorId="0" shapeId="0" xr:uid="{9BA4A936-AFC2-41F0-AA7C-F206BF08FD53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146" authorId="0" shapeId="0" xr:uid="{1C8FACA8-5687-4A7E-8F91-3787BE80B73A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147" authorId="0" shapeId="0" xr:uid="{B9D12051-9086-4ACE-AF58-D93DE91A4FBF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148" authorId="0" shapeId="0" xr:uid="{AD1D382C-C306-4A6B-8358-337D551B1E69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395,05 APTO 1001_TORNEIRA ABERTA_DESCONTO
</t>
        </r>
      </text>
    </comment>
    <comment ref="AK148" authorId="0" shapeId="0" xr:uid="{65A395ED-B61F-4791-ABCD-07BB2B6718FA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148" authorId="0" shapeId="0" xr:uid="{23AD4D6D-F853-42B8-B611-AFD4E68C0189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AP149" authorId="0" shapeId="0" xr:uid="{DF4F9F89-11A2-46EB-9EF6-457DB2C40B29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151" authorId="0" shapeId="0" xr:uid="{25CE030B-53A2-402F-90FF-50FFC48659A4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52" authorId="0" shapeId="0" xr:uid="{B06077C7-E37F-446C-8E39-17FDF72B38FF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152" authorId="0" shapeId="0" xr:uid="{02DD8F42-84DE-4626-A5F6-C384665268BA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53" authorId="0" shapeId="0" xr:uid="{54BDD081-5DDD-4011-985B-5452ED85E518}">
      <text>
        <r>
          <rPr>
            <b/>
            <sz val="9"/>
            <color indexed="81"/>
            <rFont val="Segoe UI"/>
            <family val="2"/>
          </rPr>
          <t xml:space="preserve">
122,00 GPS_PREVISÃO
122,00 COMP 08/25_GPS_01 COLABORADORES</t>
        </r>
      </text>
    </comment>
    <comment ref="AK156" authorId="0" shapeId="0" xr:uid="{96A42AA3-5252-4C94-AD99-33518794AED0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156" authorId="0" shapeId="0" xr:uid="{49865829-3D99-4EFD-8050-142CA28C7A66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156" authorId="0" shapeId="0" xr:uid="{E284F67A-0C25-4139-B0A1-A3C05DE7028F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157" authorId="0" shapeId="0" xr:uid="{31B96083-347F-4F2B-A958-3AD8239D422F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158" authorId="0" shapeId="0" xr:uid="{5E93D754-A148-4B5F-B089-29C4193A28C4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395,05 APTO 1001_TORNEIRA ABERTA_DESCONTO
</t>
        </r>
      </text>
    </comment>
    <comment ref="AK158" authorId="0" shapeId="0" xr:uid="{C6DF0B27-7305-453E-B71D-E0218CFBDBD3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158" authorId="0" shapeId="0" xr:uid="{70055E89-7038-4BD1-841B-F22795C9C108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AP159" authorId="0" shapeId="0" xr:uid="{57FD8F93-20A4-408E-959B-3B2DD7AD78D1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161" authorId="0" shapeId="0" xr:uid="{962EE8A1-9A47-43C3-8013-782BFC52046A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62" authorId="0" shapeId="0" xr:uid="{A6AA2E72-E8E1-4BB7-A426-CEEC8BD20824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162" authorId="0" shapeId="0" xr:uid="{D2066B8A-3320-4F49-9B3D-AFBFAD845E91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63" authorId="0" shapeId="0" xr:uid="{390E74AB-22A7-4113-9C28-60A896717C6D}">
      <text>
        <r>
          <rPr>
            <b/>
            <sz val="9"/>
            <color indexed="81"/>
            <rFont val="Segoe UI"/>
            <family val="2"/>
          </rPr>
          <t xml:space="preserve">
122,00 GPS_PREVISÃO
122,00 COMP 08/25_GPS_01 COLABORADORES</t>
        </r>
      </text>
    </comment>
    <comment ref="AK166" authorId="0" shapeId="0" xr:uid="{B56DD5F5-A4FE-495A-AB9C-982C3852138E}">
      <text>
        <r>
          <rPr>
            <b/>
            <sz val="9"/>
            <color indexed="81"/>
            <rFont val="Segoe UI"/>
            <family val="2"/>
          </rPr>
          <t xml:space="preserve">
268,75 COMP 03/25_GPS_02 COLABORADORES</t>
        </r>
      </text>
    </comment>
    <comment ref="AP166" authorId="0" shapeId="0" xr:uid="{C84F4A60-53B7-40BE-BED7-B7BCE5AEE51D}">
      <text>
        <r>
          <rPr>
            <b/>
            <sz val="9"/>
            <color indexed="81"/>
            <rFont val="Segoe UI"/>
            <family val="2"/>
          </rPr>
          <t xml:space="preserve">
3,56% NF 93</t>
        </r>
      </text>
    </comment>
    <comment ref="AT166" authorId="0" shapeId="0" xr:uid="{2D7D86BE-411F-4A33-ACE8-B7F726CC23DB}">
      <text>
        <r>
          <rPr>
            <sz val="9"/>
            <color indexed="81"/>
            <rFont val="Segoe UI"/>
            <family val="2"/>
          </rPr>
          <t>ALTERAÇÃO DE REGIME TRIBUTÁRIO: LP PARA SN
COMP 09/24_TAJ MAHAL
32.210,10 LP_TAJ MAHAL
34.791,44 SN_TAJ MAHAL
    2.551,35 AUMENTO NA RECEITA LIQUIDA  E REDUÇÃO DOS IMPOSTOS,  DEVIDO A ALTERAÇÃO DO LUCRO PRESUMIDO PARA O SIMPLES NACIONAL</t>
        </r>
      </text>
    </comment>
    <comment ref="AK167" authorId="0" shapeId="0" xr:uid="{7F4EE77E-592C-4DC9-9F17-3A4C2CA632D0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AK168" authorId="0" shapeId="0" xr:uid="{19BCE8DB-34A4-4166-9FE0-EC19172ECF43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01/25: JJB SERVIÇOS _ SUMMER  
 871,76 VALOR DOS SEGURADOS
 2.741,10 INSS-DIFERENÇA DO LUCRO PRESUMIDO PARA SIMPLES NACIONAL
</t>
        </r>
      </text>
    </comment>
    <comment ref="E169" authorId="0" shapeId="0" xr:uid="{0965A661-DA0E-420F-AECE-1338615C62C3}">
      <text>
        <r>
          <rPr>
            <sz val="11"/>
            <color theme="1"/>
            <rFont val="Calibri"/>
            <family val="2"/>
            <scheme val="minor"/>
          </rPr>
          <t xml:space="preserve">TAJ MAHAL CONSTRUÇÃO E INCORPORAÇÃO_GO
395,05 APTO 1001_TORNEIRA ABERTA_DESCONTO
</t>
        </r>
      </text>
    </comment>
    <comment ref="AK169" authorId="0" shapeId="0" xr:uid="{C66D7909-D286-4802-814C-F90F1F7038E9}">
      <text>
        <r>
          <rPr>
            <b/>
            <sz val="9"/>
            <color indexed="81"/>
            <rFont val="Aptos"/>
            <family val="2"/>
          </rPr>
          <t xml:space="preserve">
COMP 09/24: BRASANTOS _ TAJ MAHAL  
 850,64 VALOR DOS SEGURADOS
 2.321,95 BASE DE TRABALHADORES - OUTRA: 0,00 (+) VALOR DA EMPRESA
 626,39 BASE DE PRÓ-LABORE: 0,00 (+) VALOR DE OUTRAS ENTIDADES
-186,12 BASE DE AUTÔNOMOS SOBRE REMUNERAÇÃO: 0,00 (-) VALOR DA DEDUÇÃO 
 3.612,86 BASE DE AUTÔNOMOS SOBRE SALÁRIO-BASE: 0,00 (=) VALOR TOTAL
 COMP 09/24: JJB SERVIÇOS _ SUMMER  
 871,76 VALOR DOS SEGURADOS
 2.741,10 INSS-DIFERENÇA DO LUCRO PRESUMIDO PARA SIMPLES NACIONAL
</t>
        </r>
      </text>
    </comment>
    <comment ref="AT169" authorId="0" shapeId="0" xr:uid="{FA88FBAD-AFC5-478B-9AE1-2816DF18959F}">
      <text>
        <r>
          <rPr>
            <sz val="9"/>
            <color indexed="81"/>
            <rFont val="Segoe UI"/>
            <family val="2"/>
          </rPr>
          <t>ALTERAÇÃO DE REGIME TRIBUTÁRIO: LP PARA SN
COMP 09/24_TAJ MAHAL CONSTRUÇÃO
1.216,83 LP_TAJ MAHAL CONSTRUÇÃO
1.267,47 SN_TAJ MAHAL
    50,64 AUMENTO NA RECEITA LIQUIDA  E REDUÇÃO DOS IMPOSTOS,  DEVIDO A ALTERAÇÃO DO LUCRO PRESUMIDO PARA O SIMPLES NACIONAL</t>
        </r>
      </text>
    </comment>
    <comment ref="AP170" authorId="0" shapeId="0" xr:uid="{147FEEC7-02D1-47CE-9540-CD0C8C1C39FE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172" authorId="0" shapeId="0" xr:uid="{1BA2EFF8-52B1-4E47-A4EF-D3956E8B2A9E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73" authorId="0" shapeId="0" xr:uid="{655B1353-CF20-4167-8D5A-9F1040A7C251}">
      <text>
        <r>
          <rPr>
            <sz val="9"/>
            <color indexed="81"/>
            <rFont val="Segoe UI"/>
            <family val="2"/>
          </rPr>
          <t xml:space="preserve">
1.268,99 LP_COMP 04/25_GPS_GILVÂNIA E SILVANETE
   148,24 SN_COMP 04/25_GPS_NADSON
ANÁLISE DE REDUÇÃO DE INSS:
LP_1.268,99 / 2 = 634,50 INSS POR COLABORADOR
LP_634,50 INSS POR COLABORADOR
SN_150,00 INSS POR COLABORADOR
REDUÇÃO DO INSS POR COLABORADOR: 
484,50 X 2=969,00 MÊS</t>
        </r>
      </text>
    </comment>
    <comment ref="AP173" authorId="0" shapeId="0" xr:uid="{65D63731-251B-43D9-A4BC-2E2072021039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174" authorId="0" shapeId="0" xr:uid="{85555F80-EC21-4AA1-9F9A-7C0B2BCFC58B}">
      <text>
        <r>
          <rPr>
            <b/>
            <sz val="9"/>
            <color indexed="81"/>
            <rFont val="Segoe UI"/>
            <family val="2"/>
          </rPr>
          <t xml:space="preserve">
122,00 GPS_PREVISÃO
122,00 COMP 08/25_GPS_01 COLABORADORES</t>
        </r>
      </text>
    </comment>
    <comment ref="B183" authorId="4" shapeId="0" xr:uid="{04675EBF-89EF-4EE2-BADE-285892907229}">
      <text>
        <r>
          <rPr>
            <b/>
            <sz val="9"/>
            <color indexed="81"/>
            <rFont val="Segoe UI"/>
            <family val="2"/>
          </rPr>
          <t>IRPJ - IMPOSTO DE RENDA PESSOA JURIDICA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83" authorId="5" shapeId="0" xr:uid="{17436198-C87F-4062-8BFF-36E37864D349}">
      <text>
        <t>[Threaded comment]
Your version of Excel allows you to read this threaded comment; however, any edits to it will get removed if the file is opened in a newer version of Excel. Learn more: https://go.microsoft.com/fwlink/?linkid=870924
Comment:
    4,84% IRPJ</t>
      </text>
    </comment>
    <comment ref="B184" authorId="4" shapeId="0" xr:uid="{A9D9C393-EA2B-4046-80EB-3DDFDE80037B}">
      <text>
        <r>
          <rPr>
            <b/>
            <sz val="9"/>
            <color indexed="81"/>
            <rFont val="Segoe UI"/>
            <family val="2"/>
          </rPr>
          <t>CSLL - CONTRIBUIÇÃO SOBRE O LUCRO LIQUIDO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84" authorId="6" shapeId="0" xr:uid="{A1B0E509-1AF7-432E-A9A2-8AE2BD4D9168}">
      <text>
        <t>[Threaded comment]
Your version of Excel allows you to read this threaded comment; however, any edits to it will get removed if the file is opened in a newer version of Excel. Learn more: https://go.microsoft.com/fwlink/?linkid=870924
Comment:
    2,88% CSLL</t>
      </text>
    </comment>
    <comment ref="B185" authorId="4" shapeId="0" xr:uid="{F06088A2-1847-439F-9A2F-D2B37E34024D}">
      <text>
        <r>
          <rPr>
            <b/>
            <sz val="9"/>
            <color indexed="81"/>
            <rFont val="Segoe UI"/>
            <family val="2"/>
          </rPr>
          <t>COFINS - CONTRIB FINANCIAMENTO SEGURIDADE SOCIAL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86" authorId="4" shapeId="0" xr:uid="{75C214BC-8412-4EF6-B96B-7B1981A66985}">
      <text>
        <r>
          <rPr>
            <b/>
            <sz val="9"/>
            <color indexed="81"/>
            <rFont val="Segoe UI"/>
            <family val="2"/>
          </rPr>
          <t>PIS - PROGRAMA DE INTEGRAÇÃO SOCIAL</t>
        </r>
      </text>
    </comment>
    <comment ref="B187" authorId="4" shapeId="0" xr:uid="{4FE4CF03-3FE2-4B46-A391-39E7C3D40F95}">
      <text>
        <r>
          <rPr>
            <b/>
            <sz val="9"/>
            <color indexed="81"/>
            <rFont val="Segoe UI"/>
            <family val="2"/>
          </rPr>
          <t xml:space="preserve">
ISSQN - IMPOSTO SOBRE SERVIÇO DE QUALQUER NATUREZA</t>
        </r>
      </text>
    </comment>
    <comment ref="D187" authorId="0" shapeId="0" xr:uid="{0B415933-0DD8-455C-B918-CD8A0DF9DABF}">
      <text>
        <r>
          <rPr>
            <b/>
            <sz val="9"/>
            <color indexed="81"/>
            <rFont val="Segoe UI"/>
            <family val="2"/>
          </rPr>
          <t>4,14% COMP09/25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88" authorId="4" shapeId="0" xr:uid="{0A357D90-DEA1-44F7-A2F2-46C13E853628}">
      <text>
        <r>
          <rPr>
            <b/>
            <sz val="9"/>
            <color indexed="81"/>
            <rFont val="Segoe UI"/>
            <family val="2"/>
          </rPr>
          <t>INSS - INSTITUTO NACIONAL DO SEGURO SOCIAL</t>
        </r>
      </text>
    </comment>
    <comment ref="E188" authorId="0" shapeId="0" xr:uid="{3DCED598-036A-4FEC-9B8B-40556B477594}">
      <text>
        <r>
          <rPr>
            <b/>
            <sz val="9"/>
            <color indexed="81"/>
            <rFont val="Segoe UI"/>
            <family val="2"/>
          </rPr>
          <t>INSERIR O VALOR DA GPS DE ACORDO COM A COMPETENCAIA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  <author>Jailson-PC</author>
    <author>tc={DAACE07F-538E-4E6F-B7FD-B23117A30D25}</author>
    <author>tc={04CD0699-A05C-4AF3-A49F-C417C21B4EC8}</author>
  </authors>
  <commentList>
    <comment ref="AP57" authorId="0" shapeId="0" xr:uid="{53505904-E96B-4254-A6BB-A0B5AE38AD48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58" authorId="0" shapeId="0" xr:uid="{12D0D021-8EA6-4DCB-99F8-051CED39F203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P59" authorId="0" shapeId="0" xr:uid="{4B678E5A-089A-4FC2-BA86-44A4A2497EA6}">
      <text>
        <r>
          <rPr>
            <sz val="9"/>
            <color indexed="81"/>
            <rFont val="Segoe UI"/>
            <family val="2"/>
          </rPr>
          <t xml:space="preserve">SOLICITAR RESSARCIMENTO
ALIQUOTA: 3,48%
</t>
        </r>
      </text>
    </comment>
    <comment ref="AK61" authorId="0" shapeId="0" xr:uid="{80465DE5-F41A-47B8-AE4E-E65F48EB33DB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63" authorId="0" shapeId="0" xr:uid="{FD08B8C0-EEBF-4659-8A44-E9EC8DB58DB1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990,86 COMP 02/25_GPS_PORTO SEGURO</t>
        </r>
      </text>
    </comment>
    <comment ref="AK64" authorId="0" shapeId="0" xr:uid="{188B1B2B-90FA-4687-8BFF-C44304381535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990,86 COMP 02/25_GPS_PORTO SEGURO</t>
        </r>
      </text>
    </comment>
    <comment ref="AK66" authorId="0" shapeId="0" xr:uid="{79869319-9B52-44FD-8B5C-E9F44E0C21B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68" authorId="0" shapeId="0" xr:uid="{0DCB0CD3-A917-4CE1-AF2E-7F1E80BC1B51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990,86 COMP 02/25_GPS_PORTO SEGURO</t>
        </r>
      </text>
    </comment>
    <comment ref="AK69" authorId="0" shapeId="0" xr:uid="{6D7B0693-8DD1-4F18-8019-3F5643F312A3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71" authorId="0" shapeId="0" xr:uid="{408F5BA1-520D-4958-8D0B-8C5E845B9E0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73" authorId="0" shapeId="0" xr:uid="{4D9DC584-AC9A-4E7F-A445-49982B84B9A5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990,86 COMP 02/25_GPS_PORTO SEGURO</t>
        </r>
      </text>
    </comment>
    <comment ref="AK74" authorId="0" shapeId="0" xr:uid="{CA83355A-4575-4A29-AC0E-413F7643FA9D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76" authorId="0" shapeId="0" xr:uid="{AE88582F-8074-43B1-B55E-1D6D3EE39B8C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78" authorId="0" shapeId="0" xr:uid="{F550EBBC-5E2E-4122-B1A2-44D5E691FA15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990,86 COMP 02/25_GPS_PORTO SEGURO</t>
        </r>
      </text>
    </comment>
    <comment ref="AK79" authorId="0" shapeId="0" xr:uid="{0BF1125D-F238-4298-9331-F3C1309C6EDA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81" authorId="0" shapeId="0" xr:uid="{F7956327-3889-4939-A1F5-44F739D681D6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83" authorId="0" shapeId="0" xr:uid="{E52D5289-F984-4A37-A5C4-2A299C4EB2F3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990,86 COMP 02/25_GPS_PORTO SEGURO</t>
        </r>
      </text>
    </comment>
    <comment ref="AK84" authorId="0" shapeId="0" xr:uid="{66D9E923-0ACE-4175-B48E-F163155DDB36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86" authorId="0" shapeId="0" xr:uid="{1AE8AD3E-C250-4141-B369-CC7FE453924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88" authorId="0" shapeId="0" xr:uid="{06246FB8-8383-41D6-999E-E32BF8CCE68D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990,86 COMP 02/25_GPS_PORTO SEGURO</t>
        </r>
      </text>
    </comment>
    <comment ref="AK89" authorId="0" shapeId="0" xr:uid="{1FE380E2-FDD5-4562-8D50-8A75209148EE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91" authorId="0" shapeId="0" xr:uid="{7167A60A-7DC5-440A-9446-78F15BEEE58A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93" authorId="0" shapeId="0" xr:uid="{5991BAA3-DA26-423C-BAE5-22943396DC17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990,86 COMP 02/25_GPS_PORTO SEGURO</t>
        </r>
      </text>
    </comment>
    <comment ref="AK94" authorId="0" shapeId="0" xr:uid="{7954CE40-E3E9-4CC0-A202-A004F4B57E6D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96" authorId="0" shapeId="0" xr:uid="{1FE754AC-F99D-4335-995D-57CC89595DE4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98" authorId="0" shapeId="0" xr:uid="{4A2F2A3F-283E-4553-BB36-A599A23E3519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170,00 X 4=680,00 COMP PREVISÃO_GPS_PORTO SEGURO</t>
        </r>
      </text>
    </comment>
    <comment ref="AK99" authorId="0" shapeId="0" xr:uid="{BB5A9D56-1338-4EDC-B576-900B2F471AB8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01" authorId="0" shapeId="0" xr:uid="{E0647017-4117-4E5A-BF81-486BF726BC2B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03" authorId="0" shapeId="0" xr:uid="{93FDD58D-78A3-4E4E-BF36-9E9E742E9C69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170,00 X 4=680,00 COMP PREVISÃO_GPS_PORTO SEGURO</t>
        </r>
      </text>
    </comment>
    <comment ref="AK104" authorId="0" shapeId="0" xr:uid="{06068796-B360-41BF-8EA3-DD42F3C05233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06" authorId="0" shapeId="0" xr:uid="{6C67CFC0-8DD6-4514-8F16-D1E2D57ECF82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08" authorId="0" shapeId="0" xr:uid="{21047AE1-13C3-4EE2-87F3-6928230624ED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170,00 X 4=680,00 COMP PREVISÃO_GPS_PORTO SEGURO</t>
        </r>
      </text>
    </comment>
    <comment ref="AK109" authorId="0" shapeId="0" xr:uid="{7FA55A21-DEA4-4F41-9055-A503CEC58EFE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11" authorId="0" shapeId="0" xr:uid="{89D2D26F-C25F-475C-A734-D594019E5355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13" authorId="0" shapeId="0" xr:uid="{65E48BE2-5E8C-4516-81FB-EAAF11E4D056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170,00 X 4=680,00 COMP PREVISÃO_GPS_PORTO SEGURO</t>
        </r>
      </text>
    </comment>
    <comment ref="AK114" authorId="0" shapeId="0" xr:uid="{9534CB70-2EF0-450C-AB6F-04AD9081F453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16" authorId="0" shapeId="0" xr:uid="{03205ABE-2558-4D0D-B1C2-66D1826FAF73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18" authorId="0" shapeId="0" xr:uid="{948F4968-4BD0-4611-A474-6F42C7DC949B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170,00 X 4=680,00 COMP PREVISÃO_GPS_PORTO SEGURO</t>
        </r>
      </text>
    </comment>
    <comment ref="AK119" authorId="0" shapeId="0" xr:uid="{A3F5907D-75DB-4ECF-B9C1-DB31493E59FA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21" authorId="0" shapeId="0" xr:uid="{88B330BE-7FC3-4E4A-9629-31E634C442EB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AK123" authorId="0" shapeId="0" xr:uid="{5B84827B-42D3-4C8E-80A1-0791DAE5C7A6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170,00 X 4=680,00 COMP PREVISÃO_GPS_PORTO SEGURO</t>
        </r>
      </text>
    </comment>
    <comment ref="AK124" authorId="0" shapeId="0" xr:uid="{7A7CDCE8-DCC1-4355-99B4-C5307E603A04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159,43 COMP 02/25_GPS_DANIEL_ADM</t>
        </r>
      </text>
    </comment>
    <comment ref="B131" authorId="1" shapeId="0" xr:uid="{82553D48-68DE-47BC-BD6D-8414A266021A}">
      <text>
        <r>
          <rPr>
            <b/>
            <sz val="9"/>
            <color indexed="81"/>
            <rFont val="Segoe UI"/>
            <family val="2"/>
          </rPr>
          <t>IRPJ - IMPOSTO DE RENDA PESSOA JURIDICA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31" authorId="2" shapeId="0" xr:uid="{DAACE07F-538E-4E6F-B7FD-B23117A30D25}">
      <text>
        <t>[Threaded comment]
Your version of Excel allows you to read this threaded comment; however, any edits to it will get removed if the file is opened in a newer version of Excel. Learn more: https://go.microsoft.com/fwlink/?linkid=870924
Comment:
    4,84% IRPJ</t>
      </text>
    </comment>
    <comment ref="B132" authorId="1" shapeId="0" xr:uid="{C5640560-9656-447D-BC85-402B3F87B7F6}">
      <text>
        <r>
          <rPr>
            <b/>
            <sz val="9"/>
            <color indexed="81"/>
            <rFont val="Segoe UI"/>
            <family val="2"/>
          </rPr>
          <t>CSLL - CONTRIBUIÇÃO SOBRE O LUCRO LIQUIDO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32" authorId="3" shapeId="0" xr:uid="{04CD0699-A05C-4AF3-A49F-C417C21B4EC8}">
      <text>
        <t>[Threaded comment]
Your version of Excel allows you to read this threaded comment; however, any edits to it will get removed if the file is opened in a newer version of Excel. Learn more: https://go.microsoft.com/fwlink/?linkid=870924
Comment:
    2,88% CSLL</t>
      </text>
    </comment>
    <comment ref="B133" authorId="1" shapeId="0" xr:uid="{678AAC65-9A94-483D-8B6C-E174F4DE224E}">
      <text>
        <r>
          <rPr>
            <b/>
            <sz val="9"/>
            <color indexed="81"/>
            <rFont val="Segoe UI"/>
            <family val="2"/>
          </rPr>
          <t>COFINS - CONTRIB FINANCIAMENTO SEGURIDADE SOCIAL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34" authorId="1" shapeId="0" xr:uid="{588E4136-775B-4599-B51A-3412BE6C514A}">
      <text>
        <r>
          <rPr>
            <b/>
            <sz val="9"/>
            <color indexed="81"/>
            <rFont val="Segoe UI"/>
            <family val="2"/>
          </rPr>
          <t>PIS - PROGRAMA DE INTEGRAÇÃO SOCIAL</t>
        </r>
      </text>
    </comment>
    <comment ref="B135" authorId="1" shapeId="0" xr:uid="{385F3A63-ECAB-4E82-8DFF-8FCD26A123DD}">
      <text>
        <r>
          <rPr>
            <b/>
            <sz val="9"/>
            <color indexed="81"/>
            <rFont val="Segoe UI"/>
            <family val="2"/>
          </rPr>
          <t xml:space="preserve">
ISSQN - IMPOSTO SOBRE SERVIÇO DE QUALQUER NATUREZA</t>
        </r>
      </text>
    </comment>
    <comment ref="B136" authorId="1" shapeId="0" xr:uid="{A9690410-DB79-47E9-9DE7-13DF520B0AE4}">
      <text>
        <r>
          <rPr>
            <b/>
            <sz val="9"/>
            <color indexed="81"/>
            <rFont val="Segoe UI"/>
            <family val="2"/>
          </rPr>
          <t>INSS - INSTITUTO NACIONAL DO SEGURO SOCIAL</t>
        </r>
      </text>
    </comment>
    <comment ref="E136" authorId="0" shapeId="0" xr:uid="{FDD6AD8B-FEA3-424C-80C5-C9F2503AC162}">
      <text>
        <r>
          <rPr>
            <sz val="9"/>
            <color indexed="81"/>
            <rFont val="Segoe UI"/>
            <family val="2"/>
          </rPr>
          <t xml:space="preserve">
COMP 10/25_BASE FOLHA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</authors>
  <commentList>
    <comment ref="R64" authorId="0" shapeId="0" xr:uid="{15811C27-32A1-4B27-9380-CCDE9C26950E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FAZER NOVO CONTRATO PARA O SIMPLES NACIONAL</t>
        </r>
      </text>
    </comment>
    <comment ref="Y80" authorId="0" shapeId="0" xr:uid="{8E84D68B-FB41-41F5-94C5-BEFA7744AAB5}">
      <text>
        <r>
          <rPr>
            <b/>
            <sz val="9"/>
            <color indexed="81"/>
            <rFont val="Segoe UI"/>
            <family val="2"/>
          </rPr>
          <t>DESCONTO A PEDIDO DA VAL NO VALRO DE :
R$235,74 ÁGUA, TORNEIRA ABERTA EM 1 APTO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  <author>Jailson-PC</author>
  </authors>
  <commentList>
    <comment ref="Q162" authorId="0" shapeId="0" xr:uid="{5EDB0CD8-4F21-40B8-BC25-AF0736E9FD1E}">
      <text>
        <r>
          <rPr>
            <sz val="9"/>
            <color indexed="81"/>
            <rFont val="Segoe UI"/>
            <family val="2"/>
          </rPr>
          <t xml:space="preserve">
=787,43-1796,55
</t>
        </r>
        <r>
          <rPr>
            <sz val="12"/>
            <color indexed="81"/>
            <rFont val="Segoe UI"/>
            <family val="2"/>
          </rPr>
          <t>R$ 1.009,12 COMP 05/25_VALOR A COMPENSAR/RESTITUIR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Q166" authorId="0" shapeId="0" xr:uid="{29FE1B99-E140-4818-AB8A-D8AE8206D9B4}">
      <text>
        <r>
          <rPr>
            <b/>
            <sz val="9"/>
            <color indexed="81"/>
            <rFont val="Segoe UI"/>
            <family val="2"/>
          </rPr>
          <t>DESCONTO A PEDIDO DA VAL NO VALRO DE :
R$235,74 ÁGUA, TORNEIRA ABERTA EM 1 APTO</t>
        </r>
      </text>
    </comment>
    <comment ref="Q187" authorId="0" shapeId="0" xr:uid="{5755E111-D4E8-4B26-BDA0-9F8B6BA023E0}">
      <text>
        <r>
          <rPr>
            <b/>
            <sz val="9"/>
            <color indexed="81"/>
            <rFont val="Segoe UI"/>
            <family val="2"/>
          </rPr>
          <t xml:space="preserve">
148,24 COMP 06/25
195,00 COMP 06/25 SALÁRIO FAMILIA
46,76 A REESTITUIR</t>
        </r>
      </text>
    </comment>
    <comment ref="Q232" authorId="1" shapeId="0" xr:uid="{7D2BDE1F-96BE-4D95-81F3-72A0C8D67C83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42% sobre o SALÁRIO MINIMO_2025 R$ 1.509,00
PIX:  61981838617
R$ 633,78
R$ 160,00
 </t>
        </r>
        <r>
          <rPr>
            <b/>
            <sz val="11"/>
            <color indexed="81"/>
            <rFont val="Segoe UI"/>
            <family val="2"/>
          </rPr>
          <t xml:space="preserve">
</t>
        </r>
      </text>
    </comment>
    <comment ref="Q233" authorId="0" shapeId="0" xr:uid="{3CE6533F-5C31-483F-A9C7-B3BF58CCECBB}">
      <text>
        <r>
          <rPr>
            <sz val="12"/>
            <color indexed="81"/>
            <rFont val="Aptos"/>
            <family val="2"/>
          </rPr>
          <t>Mês: Fevereiro: 20
R$ 1.472 ESCOLA
R$ 1.500 ALIMENTAÇÃO
R$ 2.972 TOTAL
DESCONTOS
869,84 - 2/4_PARC_BOLETO_502b_ACORDO_ANCORA CONDOMINIOS
809,91 - 1/3_PARC_MATERIAL ESCOLAR (4.853,37/2= 2.426,34)</t>
        </r>
      </text>
    </comment>
    <comment ref="K298" authorId="0" shapeId="0" xr:uid="{06717AFF-3838-481A-BF30-582CE66D322C}">
      <text>
        <r>
          <rPr>
            <b/>
            <sz val="9"/>
            <color indexed="81"/>
            <rFont val="Segoe UI"/>
            <family val="2"/>
          </rPr>
          <t>EM  06 PARCELAS DE 1.334,18 + ACRESCIMO DE 1% AO MÊS + TAXA SELIC NO VALOR DA PARCELA                                                             PG 22/01/26</t>
        </r>
      </text>
    </comment>
    <comment ref="K299" authorId="0" shapeId="0" xr:uid="{2B1A0508-4F4B-44E5-9925-B8ADB0228E59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 5 PARCELAS DE 316,27+ 7 PARCELAS DE 2.146,17</t>
        </r>
      </text>
    </comment>
    <comment ref="K300" authorId="0" shapeId="0" xr:uid="{BD797A60-2B35-4E7E-A98F-BBF98405CD43}">
      <text>
        <r>
          <rPr>
            <b/>
            <sz val="9"/>
            <color indexed="81"/>
            <rFont val="Segoe UI"/>
            <family val="2"/>
          </rPr>
          <t xml:space="preserve">EM 27 PARCELAS DE 501,04 + ACRESCIMO DE 1% AO MÊS + TAXA SELIC NO VALOR DA PARCELA
 PG 22/01/26              </t>
        </r>
      </text>
    </comment>
    <comment ref="K303" authorId="0" shapeId="0" xr:uid="{1E0394C0-384E-44B0-8A67-CABD1DA8CC35}">
      <text>
        <r>
          <rPr>
            <b/>
            <sz val="9"/>
            <color indexed="81"/>
            <rFont val="Segoe UI"/>
            <family val="2"/>
          </rPr>
          <t xml:space="preserve">05 parcelas de R$ 102,51 + 13 PARCELAS DE 501,90 + ACRESCIMO DE 1% AO MÊS + TAXA SELIC NO VALOR DA PARCELA _PAGO EM 30/01/26_VERIFICAR FLÁVIO RESSARCIMENTO       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  <author>Jailson-PC</author>
  </authors>
  <commentList>
    <comment ref="Q165" authorId="0" shapeId="0" xr:uid="{E970B561-2BA1-4018-A204-DE9728BCE988}">
      <text>
        <r>
          <rPr>
            <sz val="9"/>
            <color indexed="81"/>
            <rFont val="Segoe UI"/>
            <family val="2"/>
          </rPr>
          <t xml:space="preserve">
=787,43-1796,55
</t>
        </r>
        <r>
          <rPr>
            <sz val="12"/>
            <color indexed="81"/>
            <rFont val="Segoe UI"/>
            <family val="2"/>
          </rPr>
          <t>R$ 1.009,12 COMP 05/25_VALOR A COMPENSAR/RESTITUIR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Q169" authorId="0" shapeId="0" xr:uid="{4AB99B57-399D-49BC-B82D-18F93197AE8E}">
      <text>
        <r>
          <rPr>
            <b/>
            <sz val="9"/>
            <color indexed="81"/>
            <rFont val="Segoe UI"/>
            <family val="2"/>
          </rPr>
          <t>DESCONTO A PEDIDO DA VAL NO VALRO DE :
R$235,74 ÁGUA, TORNEIRA ABERTA EM 1 APTO</t>
        </r>
      </text>
    </comment>
    <comment ref="Q190" authorId="0" shapeId="0" xr:uid="{ED218362-5949-47B5-BAFB-B430681BFFCB}">
      <text>
        <r>
          <rPr>
            <b/>
            <sz val="9"/>
            <color indexed="81"/>
            <rFont val="Segoe UI"/>
            <family val="2"/>
          </rPr>
          <t xml:space="preserve">
148,24 COMP 06/25
195,00 COMP 06/25 SALÁRIO FAMILIA
46,76 A REESTITUIR</t>
        </r>
      </text>
    </comment>
    <comment ref="Q234" authorId="1" shapeId="0" xr:uid="{AEA193F9-09FB-4468-A3E5-CD3BE4B55ABC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42% sobre o SALÁRIO MINIMO_2025 R$ 1.509,00
PIX:  61981838617
R$ 633,78
R$ 160,00
 </t>
        </r>
        <r>
          <rPr>
            <b/>
            <sz val="11"/>
            <color indexed="81"/>
            <rFont val="Segoe UI"/>
            <family val="2"/>
          </rPr>
          <t xml:space="preserve">
</t>
        </r>
      </text>
    </comment>
    <comment ref="Q236" authorId="0" shapeId="0" xr:uid="{CF5E2EA4-B60B-45FB-9F67-7C2742B5DEE4}">
      <text>
        <r>
          <rPr>
            <sz val="12"/>
            <color indexed="81"/>
            <rFont val="Aptos"/>
            <family val="2"/>
          </rPr>
          <t>Custos Meninas 
Mês: setembro: 20
R$ 1.472 escola ✅ PAGO EM DEZEMBRO
R$ 1.500 alimentação, gasolina, lanches da escola ✅
Total: R$ 2.972
869,84 1/4_PARC_BOLETO_502b_ACORDO_ANCORA CONDOMINIOS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K365" authorId="0" shapeId="0" xr:uid="{719385E5-BA5E-453B-9C17-8EF22F66AEC3}">
      <text>
        <r>
          <rPr>
            <b/>
            <sz val="9"/>
            <color indexed="81"/>
            <rFont val="Segoe UI"/>
            <family val="2"/>
          </rPr>
          <t xml:space="preserve">EM 27 PARCELAS DE 501,04 + ACRESCIMO DE 1% AO MÊS + TAXA SELIC NO VALOR DA PARCELA
 PG 22/01/26              </t>
        </r>
      </text>
    </comment>
    <comment ref="K366" authorId="0" shapeId="0" xr:uid="{A809921F-0C2B-4A91-B16E-A30BE1BDCA39}">
      <text>
        <r>
          <rPr>
            <b/>
            <sz val="9"/>
            <color indexed="81"/>
            <rFont val="Segoe UI"/>
            <family val="2"/>
          </rPr>
          <t>EM  06 PARCELAS DE 1.334,18 + ACRESCIMO DE 1% AO MÊS + TAXA SELIC NO VALOR DA PARCELA                                                             PG 22/01/26</t>
        </r>
      </text>
    </comment>
    <comment ref="K367" authorId="0" shapeId="0" xr:uid="{AFC0A5A8-E47E-4D0A-9621-0E5CF4FAE98F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 5 PARCELAS DE 316,27+ 7 PARCELAS DE 2.146,17</t>
        </r>
      </text>
    </comment>
    <comment ref="K368" authorId="0" shapeId="0" xr:uid="{EDB8C919-6CB2-409B-9CC8-06FEFA880D67}">
      <text>
        <r>
          <rPr>
            <b/>
            <sz val="9"/>
            <color indexed="81"/>
            <rFont val="Segoe UI"/>
            <family val="2"/>
          </rPr>
          <t xml:space="preserve">EM 27 PARCELAS DE 501,04 + ACRESCIMO DE 1% AO MÊS + TAXA SELIC NO VALOR DA PARCELA
 PG 22/01/26              </t>
        </r>
      </text>
    </comment>
    <comment ref="K376" authorId="0" shapeId="0" xr:uid="{23A91BC0-8758-4B2A-9BC0-844E2C09832A}">
      <text>
        <r>
          <rPr>
            <b/>
            <sz val="9"/>
            <color indexed="81"/>
            <rFont val="Segoe UI"/>
            <family val="2"/>
          </rPr>
          <t xml:space="preserve">05 parcelas de R$ 102,51 + 13 PARCELAS DE 501,90 + ACRESCIMO DE 1% AO MÊS + TAXA SELIC NO VALOR DA PARCELA _PAGO EM 30/01/26_VERIFICAR FLÁVIO RESSARCIMENTO       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  <author>Jailson-PC</author>
  </authors>
  <commentList>
    <comment ref="Q139" authorId="0" shapeId="0" xr:uid="{3D9BD349-CF8E-4D06-94F4-2AA15E3F55F8}">
      <text>
        <r>
          <rPr>
            <sz val="9"/>
            <color indexed="81"/>
            <rFont val="Segoe UI"/>
            <family val="2"/>
          </rPr>
          <t xml:space="preserve">
=787,43-1796,55
</t>
        </r>
        <r>
          <rPr>
            <sz val="12"/>
            <color indexed="81"/>
            <rFont val="Segoe UI"/>
            <family val="2"/>
          </rPr>
          <t>R$ 1.009,12 COMP 05/25_VALOR A COMPENSAR/RESTITUIR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Q143" authorId="0" shapeId="0" xr:uid="{69C96D55-900C-4AA6-A047-FBE2C9654834}">
      <text>
        <r>
          <rPr>
            <b/>
            <sz val="9"/>
            <color indexed="81"/>
            <rFont val="Segoe UI"/>
            <family val="2"/>
          </rPr>
          <t>DESCONTO A PEDIDO DA VAL NO VALRO DE :
R$235,74 ÁGUA, TORNEIRA ABERTA EM 1 APTO</t>
        </r>
      </text>
    </comment>
    <comment ref="Q164" authorId="0" shapeId="0" xr:uid="{F52DED54-52A5-496C-BE69-02B5A02E63E6}">
      <text>
        <r>
          <rPr>
            <b/>
            <sz val="9"/>
            <color indexed="81"/>
            <rFont val="Segoe UI"/>
            <family val="2"/>
          </rPr>
          <t xml:space="preserve">
148,24 COMP 06/25
195,00 COMP 06/25 SALÁRIO FAMILIA
46,76 A REESTITUIR</t>
        </r>
      </text>
    </comment>
    <comment ref="Q208" authorId="1" shapeId="0" xr:uid="{D855D96B-C93E-4747-A094-79C2CFB45B5B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42% sobre o SALÁRIO MINIMO_2025 R$ 1.509,00
PIX:  61981838617
R$ 633,78
R$ 160,00
 </t>
        </r>
        <r>
          <rPr>
            <b/>
            <sz val="11"/>
            <color indexed="81"/>
            <rFont val="Segoe UI"/>
            <family val="2"/>
          </rPr>
          <t xml:space="preserve">
</t>
        </r>
      </text>
    </comment>
    <comment ref="Q209" authorId="0" shapeId="0" xr:uid="{475A1034-F76F-48FA-A419-1C3D349167D9}">
      <text>
        <r>
          <rPr>
            <sz val="12"/>
            <color indexed="81"/>
            <rFont val="Aptos"/>
            <family val="2"/>
          </rPr>
          <t>Mês: Fevereiro: 20
R$ 1.472 ESCOLA
R$ 1.500 ALIMENTAÇÃO
R$ 2.972 TOTAL
DESCONTOS
869,84 - 2/4_PARC_BOLETO_502b_ACORDO_ANCORA CONDOMINIOS
809,91 - 1/3_PARC_MATERIAL ESCOLAR (4.853,37/2= 2.426,34)</t>
        </r>
      </text>
    </comment>
    <comment ref="K300" authorId="0" shapeId="0" xr:uid="{7C881573-302D-4783-B57B-0DBC15DDE5D7}">
      <text>
        <r>
          <rPr>
            <b/>
            <sz val="9"/>
            <color indexed="81"/>
            <rFont val="Segoe UI"/>
            <family val="2"/>
          </rPr>
          <t>EM  06 PARCELAS DE 1.334,18 + ACRESCIMO DE 1% AO MÊS + TAXA SELIC NO VALOR DA PARCELA                                                             PG 22/01/26</t>
        </r>
      </text>
    </comment>
    <comment ref="K301" authorId="0" shapeId="0" xr:uid="{8B91D7F0-A917-42A3-A6FB-A9EFEC4CC547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 5 PARCELAS DE 316,27+ 7 PARCELAS DE 2.146,17</t>
        </r>
      </text>
    </comment>
    <comment ref="K302" authorId="0" shapeId="0" xr:uid="{E9EB3F80-E73B-4750-A6E5-CF41E43A8D22}">
      <text>
        <r>
          <rPr>
            <b/>
            <sz val="9"/>
            <color indexed="81"/>
            <rFont val="Segoe UI"/>
            <family val="2"/>
          </rPr>
          <t xml:space="preserve">EM 27 PARCELAS DE 501,04 + ACRESCIMO DE 1% AO MÊS + TAXA SELIC NO VALOR DA PARCELA
 PG 22/01/26              </t>
        </r>
      </text>
    </comment>
    <comment ref="K305" authorId="0" shapeId="0" xr:uid="{63279414-F9B7-4941-907E-5E97F36F8772}">
      <text>
        <r>
          <rPr>
            <b/>
            <sz val="9"/>
            <color indexed="81"/>
            <rFont val="Segoe UI"/>
            <family val="2"/>
          </rPr>
          <t xml:space="preserve">05 parcelas de R$ 102,51 + 13 PARCELAS DE 501,90 + ACRESCIMO DE 1% AO MÊS + TAXA SELIC NO VALOR DA PARCELA _PAGO EM 30/01/26_VERIFICAR FLÁVIO RESSARCIMENTO       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  <author>Jailson-PC</author>
  </authors>
  <commentList>
    <comment ref="K7" authorId="0" shapeId="0" xr:uid="{15D939AC-EAD7-4896-BDD8-1F9B1DAE193A}">
      <text>
        <r>
          <rPr>
            <b/>
            <sz val="12"/>
            <color indexed="81"/>
            <rFont val="Aptos"/>
            <family val="2"/>
          </rPr>
          <t xml:space="preserve">
Pix: annaluisass03@gmail.com.
ACORDO HOMOLOGADO.
Custas pela parte reclamante no importe de R$160,00, calculadas
sobre R$8.000,00 ( 100% ), dispensadas na forma da lei.
</t>
        </r>
        <r>
          <rPr>
            <sz val="12"/>
            <color indexed="81"/>
            <rFont val="Aptos"/>
            <family val="2"/>
          </rPr>
          <t xml:space="preserve">
DISCRIMINAÇÃO: o valor do acordo corresponde às seguintes
parcelas:
a) indenização por danos morais (R$2.900,00);
b) multa do §8º do art. 477 da CLT (R$1.600,00);
c) TICKET ALIMENTAÇÃO (R$3.500,00).</t>
        </r>
      </text>
    </comment>
    <comment ref="Q162" authorId="0" shapeId="0" xr:uid="{9BC39CEF-8F47-416A-8BB6-64CF2F6B7727}">
      <text>
        <r>
          <rPr>
            <sz val="9"/>
            <color indexed="81"/>
            <rFont val="Segoe UI"/>
            <family val="2"/>
          </rPr>
          <t xml:space="preserve">
=787,43-1796,55
</t>
        </r>
        <r>
          <rPr>
            <sz val="12"/>
            <color indexed="81"/>
            <rFont val="Segoe UI"/>
            <family val="2"/>
          </rPr>
          <t>R$ 1.009,12 COMP 05/25_VALOR A COMPENSAR/RESTITUIR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Q166" authorId="0" shapeId="0" xr:uid="{7EF555F5-533B-4432-87A7-61CE48F0FCF1}">
      <text>
        <r>
          <rPr>
            <b/>
            <sz val="9"/>
            <color indexed="81"/>
            <rFont val="Segoe UI"/>
            <family val="2"/>
          </rPr>
          <t>DESCONTO A PEDIDO DA VAL NO VALRO DE :
R$235,74 ÁGUA, TORNEIRA ABERTA EM 1 APTO</t>
        </r>
      </text>
    </comment>
    <comment ref="Q187" authorId="0" shapeId="0" xr:uid="{4F484E8B-F125-40BF-9313-2864C0306BFE}">
      <text>
        <r>
          <rPr>
            <b/>
            <sz val="9"/>
            <color indexed="81"/>
            <rFont val="Segoe UI"/>
            <family val="2"/>
          </rPr>
          <t xml:space="preserve">
148,24 COMP 06/25
195,00 COMP 06/25 SALÁRIO FAMILIA
46,76 A REESTITUIR</t>
        </r>
      </text>
    </comment>
    <comment ref="Q231" authorId="1" shapeId="0" xr:uid="{180E9AA3-4659-445B-99C4-CAE2C89CBE97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42% sobre o SALÁRIO MINIMO_2025 R$ 1.509,00
PIX:  61981838617
R$ 633,78
R$ 160,00
 </t>
        </r>
        <r>
          <rPr>
            <b/>
            <sz val="11"/>
            <color indexed="81"/>
            <rFont val="Segoe UI"/>
            <family val="2"/>
          </rPr>
          <t xml:space="preserve">
</t>
        </r>
      </text>
    </comment>
    <comment ref="Q232" authorId="0" shapeId="0" xr:uid="{BE37BF78-CB1A-42D0-9F95-9C17A531CC64}">
      <text>
        <r>
          <rPr>
            <sz val="12"/>
            <color indexed="81"/>
            <rFont val="Aptos"/>
            <family val="2"/>
          </rPr>
          <t>Mês: Fevereiro: 20
R$ 1.472 ESCOLA
R$ 1.500 ALIMENTAÇÃO
R$ 2.972 TOTAL
DESCONTOS
869,84 - 2/4_PARC_BOLETO_502b_ACORDO_ANCORA CONDOMINIOS
809,91 - 1/3_PARC_MATERIAL ESCOLAR (4.853,37/2= 2.426,34)</t>
        </r>
      </text>
    </comment>
    <comment ref="Q233" authorId="0" shapeId="0" xr:uid="{A6431382-BF73-4AE5-B74B-07FA782D4021}">
      <text>
        <r>
          <rPr>
            <sz val="12"/>
            <color indexed="81"/>
            <rFont val="Aptos"/>
            <family val="2"/>
          </rPr>
          <t xml:space="preserve">Mês: MARÇO/26
239,90 Tênis Maísa
199,90 Roupa Isa
</t>
        </r>
      </text>
    </comment>
    <comment ref="K289" authorId="0" shapeId="0" xr:uid="{DDBD0B50-B781-4282-A8AC-3B0CA1B5AE54}">
      <text>
        <r>
          <rPr>
            <b/>
            <sz val="9"/>
            <color indexed="81"/>
            <rFont val="Segoe UI"/>
            <family val="2"/>
          </rPr>
          <t>EM  06 PARCELAS DE 1.334,18 + ACRESCIMO DE 1% AO MÊS + TAXA SELIC NO VALOR DA PARCELA                                                             PG 22/01/26</t>
        </r>
      </text>
    </comment>
    <comment ref="K290" authorId="0" shapeId="0" xr:uid="{0C72136A-FC67-420E-AC99-0025060720F0}">
      <text>
        <r>
          <rPr>
            <b/>
            <sz val="9"/>
            <color indexed="81"/>
            <rFont val="Segoe UI"/>
            <family val="2"/>
          </rPr>
          <t>Jailson:</t>
        </r>
        <r>
          <rPr>
            <sz val="9"/>
            <color indexed="81"/>
            <rFont val="Segoe UI"/>
            <family val="2"/>
          </rPr>
          <t xml:space="preserve">
 5 PARCELAS DE 316,27+ 7 PARCELAS DE 2.146,17</t>
        </r>
      </text>
    </comment>
    <comment ref="K291" authorId="0" shapeId="0" xr:uid="{85B03BA7-516E-4DD8-9D2A-90EE8A7E2EE3}">
      <text>
        <r>
          <rPr>
            <b/>
            <sz val="9"/>
            <color indexed="81"/>
            <rFont val="Segoe UI"/>
            <family val="2"/>
          </rPr>
          <t xml:space="preserve">EM 27 PARCELAS DE 501,04 + ACRESCIMO DE 1% AO MÊS + TAXA SELIC NO VALOR DA PARCELA
 PG 22/01/26              </t>
        </r>
      </text>
    </comment>
    <comment ref="K294" authorId="0" shapeId="0" xr:uid="{7DB0D955-D8E2-480E-90E4-4FEE949E026D}">
      <text>
        <r>
          <rPr>
            <b/>
            <sz val="9"/>
            <color indexed="81"/>
            <rFont val="Segoe UI"/>
            <family val="2"/>
          </rPr>
          <t xml:space="preserve">05 parcelas de R$ 102,51 + 13 PARCELAS DE 501,90 + ACRESCIMO DE 1% AO MÊS + TAXA SELIC NO VALOR DA PARCELA _PAGO EM 30/01/26_VERIFICAR FLÁVIO RESSARCIMENTO       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Jailson</author>
  </authors>
  <commentList>
    <comment ref="K8" authorId="0" shapeId="0" xr:uid="{A481E992-8557-45E7-BA1C-1DB5FEC66709}">
      <text>
        <r>
          <rPr>
            <b/>
            <sz val="9"/>
            <color indexed="81"/>
            <rFont val="Segoe UI"/>
            <family val="2"/>
          </rPr>
          <t xml:space="preserve">
1.700,00 BS PENSÃO_NEGOCIAÇÃO _12.23, 05,06 E 07.24_ISABELLA E MAISA_R$ 13.600,00_PARC 5.8</t>
        </r>
      </text>
    </comment>
    <comment ref="K11" authorId="0" shapeId="0" xr:uid="{08760FA4-F46B-40CD-9465-243ACF401B95}">
      <text>
        <r>
          <rPr>
            <b/>
            <sz val="9"/>
            <color indexed="81"/>
            <rFont val="Segoe UI"/>
            <family val="2"/>
          </rPr>
          <t xml:space="preserve">
BRADESCO SEGURO_APOLICE: 836089571
VIGENCIA 26.08.24 À 25.08.25
FIORINO ENDURENCE 1.4 BRANCO_REP0A61</t>
        </r>
      </text>
    </comment>
  </commentList>
</comments>
</file>

<file path=xl/sharedStrings.xml><?xml version="1.0" encoding="utf-8"?>
<sst xmlns="http://schemas.openxmlformats.org/spreadsheetml/2006/main" count="17214" uniqueCount="2681">
  <si>
    <t>DESCRIÇÃO</t>
  </si>
  <si>
    <t>A PAGAR</t>
  </si>
  <si>
    <t>PAGAMENTO</t>
  </si>
  <si>
    <t>CEB</t>
  </si>
  <si>
    <t>Nº</t>
  </si>
  <si>
    <t>FOLHA DE PAGAMENTO</t>
  </si>
  <si>
    <t>MATERIAL DE LIMPEZA</t>
  </si>
  <si>
    <t>PARC</t>
  </si>
  <si>
    <t>BRASANTOS SERVIÇOS ESPECIALIZADOS</t>
  </si>
  <si>
    <t>TRIBUTOS</t>
  </si>
  <si>
    <t>UNIFORMES</t>
  </si>
  <si>
    <t>CONTA</t>
  </si>
  <si>
    <t>TIPO DE DOCUMENTO</t>
  </si>
  <si>
    <t>EMISSÃO</t>
  </si>
  <si>
    <t>VENC.</t>
  </si>
  <si>
    <t>VALOR</t>
  </si>
  <si>
    <t>DIRETORIA EXECUTIVA</t>
  </si>
  <si>
    <t>ANO:</t>
  </si>
  <si>
    <t>MÊS</t>
  </si>
  <si>
    <t>REV.:</t>
  </si>
  <si>
    <t>TRCT</t>
  </si>
  <si>
    <t>GRÁFICA</t>
  </si>
  <si>
    <t>ENCARGOS</t>
  </si>
  <si>
    <t>DESCRIÇÃO CONTABIL</t>
  </si>
  <si>
    <t>VALE ALIMENTAÇÃO</t>
  </si>
  <si>
    <t>VALE TRANSPORTE</t>
  </si>
  <si>
    <t>TELEFONIA</t>
  </si>
  <si>
    <t>CONDOMINIO</t>
  </si>
  <si>
    <t>ALUGUEL</t>
  </si>
  <si>
    <t>PRÓ-LABORE</t>
  </si>
  <si>
    <t>MEDICINA DO TRABALHO</t>
  </si>
  <si>
    <t>LAVANDERIA</t>
  </si>
  <si>
    <t>PROPAGANDA &amp; MARKETING</t>
  </si>
  <si>
    <t>JANEIRO</t>
  </si>
  <si>
    <t>MATERIAL DE JARDINAGEM</t>
  </si>
  <si>
    <t>SERVIÇOS DE TERCEIROS</t>
  </si>
  <si>
    <t>RESSARCIMENTO</t>
  </si>
  <si>
    <t>JARDINAGEM</t>
  </si>
  <si>
    <t>DESPESAS FIXAS</t>
  </si>
  <si>
    <t>MÁQUINAS E EQUIPAMENTOS</t>
  </si>
  <si>
    <t>EMPRESA</t>
  </si>
  <si>
    <t>BRASANTOS</t>
  </si>
  <si>
    <t>DESPESAS GERAIS</t>
  </si>
  <si>
    <t>DESPESAS BANCÁRIAS</t>
  </si>
  <si>
    <t>INVESTIMENTOS</t>
  </si>
  <si>
    <t>UTENSÍLIOS</t>
  </si>
  <si>
    <t>MATERIAL DE ESCRITÓRIO</t>
  </si>
  <si>
    <t>PLANO ODONTOLÓGICO</t>
  </si>
  <si>
    <t>MARÇO</t>
  </si>
  <si>
    <t>PAINEIRA</t>
  </si>
  <si>
    <t>ALIMENTAÇÃO</t>
  </si>
  <si>
    <t>IPTU</t>
  </si>
  <si>
    <t>EPI</t>
  </si>
  <si>
    <t>CARTÓRIO</t>
  </si>
  <si>
    <t>INFORMÁTICA</t>
  </si>
  <si>
    <t>JUROS</t>
  </si>
  <si>
    <t>MAIO</t>
  </si>
  <si>
    <t>MANUTENÇÃO DE EQUIPAMENTOS</t>
  </si>
  <si>
    <t>GRRF</t>
  </si>
  <si>
    <t>SALÁRIO</t>
  </si>
  <si>
    <t>MANUTENÇÃO DE AUTOMÓVEL</t>
  </si>
  <si>
    <t>177 BB GIRO</t>
  </si>
  <si>
    <t>JULHO</t>
  </si>
  <si>
    <t>DEDETIZAÇÃO</t>
  </si>
  <si>
    <t>LOCAÇÃO DE EQUIPAMENTOS</t>
  </si>
  <si>
    <t>FÉRIAS</t>
  </si>
  <si>
    <t>AGOSTO</t>
  </si>
  <si>
    <t>SETEMBRO</t>
  </si>
  <si>
    <t>JUNHO</t>
  </si>
  <si>
    <t>CÓD 2100 GPS</t>
  </si>
  <si>
    <t>ABRIL</t>
  </si>
  <si>
    <t>FEVEREIRO</t>
  </si>
  <si>
    <t>SEGURO DE VIDA</t>
  </si>
  <si>
    <t>SEGURO GARANTIA</t>
  </si>
  <si>
    <t>PENSÃO ALIMENTÍCIA</t>
  </si>
  <si>
    <t>IOF</t>
  </si>
  <si>
    <t>TARIFA</t>
  </si>
  <si>
    <t>AMORTIZAÇÃO DE EMPRÉSTIMO</t>
  </si>
  <si>
    <t>ADIANTAMENTO SALARIAL</t>
  </si>
  <si>
    <t>123 BB COBRANÇA DE JUROS</t>
  </si>
  <si>
    <t>165 BB TARIFA CHEQUE OURO MANUT</t>
  </si>
  <si>
    <t>168 BB OUROCAP PM</t>
  </si>
  <si>
    <t>170 BB TARIFA MÓDULO</t>
  </si>
  <si>
    <t>328 BB PAGAMENTO CARTÃO CRÉDITO</t>
  </si>
  <si>
    <t>435 BB TARIFA PACOTE DE SERVIÇOS</t>
  </si>
  <si>
    <t>170 BB TARIFA COMBO</t>
  </si>
  <si>
    <t>OUTUBRO</t>
  </si>
  <si>
    <t>CLIENTE</t>
  </si>
  <si>
    <t>Código</t>
  </si>
  <si>
    <t>10.</t>
  </si>
  <si>
    <t>RECEITA</t>
  </si>
  <si>
    <t>10.01</t>
  </si>
  <si>
    <t>10.01.001</t>
  </si>
  <si>
    <t>10.01.002</t>
  </si>
  <si>
    <t>20.</t>
  </si>
  <si>
    <t>DESPESA</t>
  </si>
  <si>
    <t>20.01</t>
  </si>
  <si>
    <t>20.01.001</t>
  </si>
  <si>
    <t>20.01.002</t>
  </si>
  <si>
    <t>20.01.003</t>
  </si>
  <si>
    <t>20.01.004</t>
  </si>
  <si>
    <t>20.01.005</t>
  </si>
  <si>
    <t>20.01.006</t>
  </si>
  <si>
    <t>20.01.007</t>
  </si>
  <si>
    <t>20.01.008</t>
  </si>
  <si>
    <t>20.01.009</t>
  </si>
  <si>
    <t>20.01.010</t>
  </si>
  <si>
    <t>20.01.011</t>
  </si>
  <si>
    <t>20.01.012</t>
  </si>
  <si>
    <t>20.01.013</t>
  </si>
  <si>
    <t>20.01.014</t>
  </si>
  <si>
    <t>20.01.015</t>
  </si>
  <si>
    <t>20.01.016</t>
  </si>
  <si>
    <t>20.01.017</t>
  </si>
  <si>
    <t>20.01.018</t>
  </si>
  <si>
    <t>170 BB TARIFA PAG SAL</t>
  </si>
  <si>
    <t>20.01.019</t>
  </si>
  <si>
    <t>20.01.020</t>
  </si>
  <si>
    <t>262 BB CONTRATAÇÃO</t>
  </si>
  <si>
    <t>20.01.021</t>
  </si>
  <si>
    <t>20.01.022</t>
  </si>
  <si>
    <t>20.01.023</t>
  </si>
  <si>
    <t>20.01.024</t>
  </si>
  <si>
    <t>177 BB CAPITAL GIRO MIX PASEP</t>
  </si>
  <si>
    <t>20.02</t>
  </si>
  <si>
    <t>20.02.001</t>
  </si>
  <si>
    <t>20.02.002</t>
  </si>
  <si>
    <t>20.02.003</t>
  </si>
  <si>
    <t>20.02.004</t>
  </si>
  <si>
    <t>20.02.006</t>
  </si>
  <si>
    <t>20.03</t>
  </si>
  <si>
    <t>20.03.001</t>
  </si>
  <si>
    <t>20.03.002</t>
  </si>
  <si>
    <t>20.03.003</t>
  </si>
  <si>
    <t>20.03.004</t>
  </si>
  <si>
    <t>20.03.005</t>
  </si>
  <si>
    <t>20.03.006</t>
  </si>
  <si>
    <t>20.04</t>
  </si>
  <si>
    <t>20.04.001</t>
  </si>
  <si>
    <t>20.04.002</t>
  </si>
  <si>
    <t>20.04.003</t>
  </si>
  <si>
    <t>20.04.004</t>
  </si>
  <si>
    <t>20.04.005</t>
  </si>
  <si>
    <t>20.05</t>
  </si>
  <si>
    <t>20.05.001</t>
  </si>
  <si>
    <t>20.05.002</t>
  </si>
  <si>
    <t>20.05.003</t>
  </si>
  <si>
    <t>20.05.004</t>
  </si>
  <si>
    <t>20.05.005</t>
  </si>
  <si>
    <t>20.05.006</t>
  </si>
  <si>
    <t>20.05.007</t>
  </si>
  <si>
    <t>20.05.008</t>
  </si>
  <si>
    <t>20.05.009</t>
  </si>
  <si>
    <t>20.05.010</t>
  </si>
  <si>
    <t>20.05.011</t>
  </si>
  <si>
    <t>20.05.012</t>
  </si>
  <si>
    <t>20.05.013</t>
  </si>
  <si>
    <t>20.05.014</t>
  </si>
  <si>
    <t>20.06</t>
  </si>
  <si>
    <t>20.06.001</t>
  </si>
  <si>
    <t>20.06.002</t>
  </si>
  <si>
    <t>20.07</t>
  </si>
  <si>
    <t>20.07.001</t>
  </si>
  <si>
    <t>20.07.002</t>
  </si>
  <si>
    <t>20.07.003</t>
  </si>
  <si>
    <t>20.07.004</t>
  </si>
  <si>
    <t>20.07.005</t>
  </si>
  <si>
    <t>20.07.006</t>
  </si>
  <si>
    <t>20.07.007</t>
  </si>
  <si>
    <t>20.07.008</t>
  </si>
  <si>
    <t>20.07.009</t>
  </si>
  <si>
    <t>20.07.010</t>
  </si>
  <si>
    <t>20.07.011</t>
  </si>
  <si>
    <t>20.07.012</t>
  </si>
  <si>
    <t>20.07.013</t>
  </si>
  <si>
    <t>20.07.014</t>
  </si>
  <si>
    <t>20.07.015</t>
  </si>
  <si>
    <t>20.08</t>
  </si>
  <si>
    <t>20.08.001</t>
  </si>
  <si>
    <t>20.08.002</t>
  </si>
  <si>
    <t>20.08.003</t>
  </si>
  <si>
    <t>20.08.004</t>
  </si>
  <si>
    <t>20.08.005</t>
  </si>
  <si>
    <t>20.08.006</t>
  </si>
  <si>
    <t>20.08.007</t>
  </si>
  <si>
    <t>20.08.008</t>
  </si>
  <si>
    <t>20.08.009</t>
  </si>
  <si>
    <t>LIMPEZA CX. GORDURA</t>
  </si>
  <si>
    <t>CAPTAÇÃO DE EMPRÉSTIMOS</t>
  </si>
  <si>
    <t>170 BB TARIFA MÓDULO COBRANÇA</t>
  </si>
  <si>
    <t>Código2</t>
  </si>
  <si>
    <t>ANO CORRENTE</t>
  </si>
  <si>
    <t>COMPETÊNCIA</t>
  </si>
  <si>
    <t>CÓDIGO CONTABIL</t>
  </si>
  <si>
    <t>DEZEMBRO</t>
  </si>
  <si>
    <t>NOVEMBRO</t>
  </si>
  <si>
    <t>SUBCONTA</t>
  </si>
  <si>
    <t>Total</t>
  </si>
  <si>
    <t>INVESTIMENTOS - NÃO UTILIZAR</t>
  </si>
  <si>
    <t>SERVIÇOS DE TERCEIROS - NÃO UTILIZAR</t>
  </si>
  <si>
    <t>TRIBUTOS - NÃO UTILIZAR</t>
  </si>
  <si>
    <t>ENCARGOS - NÃO UTILIZAR</t>
  </si>
  <si>
    <t>DESPESAS GERAIS - NÃO UTILIZAR</t>
  </si>
  <si>
    <t>DESPESAS FIXAS - NÃO UTILIZAR</t>
  </si>
  <si>
    <t>DESPESAS BANCÁRIAS - NÃO UTILIZAR</t>
  </si>
  <si>
    <t>DESPESA - NÃO UTILIZAR</t>
  </si>
  <si>
    <t>RECEITA CONTA - NÃO UTILIZAR</t>
  </si>
  <si>
    <t>RECEITA - NÃO UTILIZAR</t>
  </si>
  <si>
    <t>RECEITA -</t>
  </si>
  <si>
    <t>DESCRIÇÃO DA CONTA - NÃO UTILIZAR</t>
  </si>
  <si>
    <t>900 BB BONUS PARC EM DIA</t>
  </si>
  <si>
    <t>OUTROS</t>
  </si>
  <si>
    <t>STATUS</t>
  </si>
  <si>
    <t>ATLANTIS</t>
  </si>
  <si>
    <t>PAGO</t>
  </si>
  <si>
    <t>A RECEBER</t>
  </si>
  <si>
    <t>A VERIFICAR</t>
  </si>
  <si>
    <t>23.372.953.0001-86</t>
  </si>
  <si>
    <t>SUMMER PARK</t>
  </si>
  <si>
    <t>TEL</t>
  </si>
  <si>
    <t>ITEM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</si>
  <si>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</si>
  <si>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</si>
  <si>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</si>
  <si>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</si>
  <si>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</si>
  <si>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</si>
  <si>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</si>
  <si>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</si>
  <si>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</si>
  <si>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</si>
  <si>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</si>
  <si>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</si>
  <si>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</si>
  <si>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</si>
  <si>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</si>
  <si>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CNPJ</t>
  </si>
  <si>
    <t>ENDEREÇO</t>
  </si>
  <si>
    <t>CEP</t>
  </si>
  <si>
    <t>71.953-000</t>
  </si>
  <si>
    <t>CIDADE</t>
  </si>
  <si>
    <t>CT Nº</t>
  </si>
  <si>
    <t>RAZÃO SOCIAL</t>
  </si>
  <si>
    <t>INICIO CONTRATO</t>
  </si>
  <si>
    <t>FIM CONTRATO</t>
  </si>
  <si>
    <t>FORNECEDOR</t>
  </si>
  <si>
    <t>OBJETO</t>
  </si>
  <si>
    <t>VENCIMENTO</t>
  </si>
  <si>
    <t>18</t>
  </si>
  <si>
    <t>16</t>
  </si>
  <si>
    <t>SQS214G</t>
  </si>
  <si>
    <t>CARREFOUR COMÉRCIO E INDUSTRIA</t>
  </si>
  <si>
    <t>CARTÓRIO 3º OFÍCIO TAGUATINGA</t>
  </si>
  <si>
    <t xml:space="preserve">NILCE COSTUREIRA FEIBOX 49 </t>
  </si>
  <si>
    <t>DRESSING 0 JANDIRA DE JESUS RAMOS ME</t>
  </si>
  <si>
    <t>MAISA CRISTINA DA SILVA ME</t>
  </si>
  <si>
    <t>LOJÃO DOS CALÇADOS</t>
  </si>
  <si>
    <t xml:space="preserve">NACIONAL FERRAGENS </t>
  </si>
  <si>
    <t>TERRA NOVA COM. DE RAÇÕES</t>
  </si>
  <si>
    <t>POSTO FORQUILHA II</t>
  </si>
  <si>
    <t>OPÇÃO PISCINAS</t>
  </si>
  <si>
    <t>ELITE GESTÃO CONDOMÍNIAL</t>
  </si>
  <si>
    <t xml:space="preserve">ANCORA GESTÃO CONDOMINIAL </t>
  </si>
  <si>
    <t xml:space="preserve">SODEXO </t>
  </si>
  <si>
    <t>INSTITUTO NACIONAL DO SEGURO SOCIAL INSS</t>
  </si>
  <si>
    <t>MANUTENÇÃO DE PISCINA</t>
  </si>
  <si>
    <t>PINTURA</t>
  </si>
  <si>
    <t>PLANO DE SAÚDE</t>
  </si>
  <si>
    <t>20.02.005</t>
  </si>
  <si>
    <t>20.04.006</t>
  </si>
  <si>
    <t>DESPESAS COM PESSOAL</t>
  </si>
  <si>
    <t>DESPESAS COM PESSOAL - NÃO UTILIZAR</t>
  </si>
  <si>
    <t>BENEFICIO</t>
  </si>
  <si>
    <t>UNIFORME</t>
  </si>
  <si>
    <t>20.05.017</t>
  </si>
  <si>
    <t>20.05.018</t>
  </si>
  <si>
    <t>20.05.019</t>
  </si>
  <si>
    <t>20.05.020</t>
  </si>
  <si>
    <t>REVISÃO</t>
  </si>
  <si>
    <t>20.05.021</t>
  </si>
  <si>
    <t>PROJETOS</t>
  </si>
  <si>
    <t>17</t>
  </si>
  <si>
    <t>MEDILIFE</t>
  </si>
  <si>
    <t>MULTA</t>
  </si>
  <si>
    <t>TOTAL</t>
  </si>
  <si>
    <t>PRINCIPAL</t>
  </si>
  <si>
    <t>COMISSÃO</t>
  </si>
  <si>
    <t>20.05.022</t>
  </si>
  <si>
    <t>20.05.023</t>
  </si>
  <si>
    <t>ASSISTÊNCIA JURIDICA</t>
  </si>
  <si>
    <t>20.07.016</t>
  </si>
  <si>
    <t>TREINAMENTO E CAPACITAÇÃO</t>
  </si>
  <si>
    <t>20.05.024</t>
  </si>
  <si>
    <t>EXAMES</t>
  </si>
  <si>
    <t>ASSISTÊNCIA CONTÁBIL E FISCAL</t>
  </si>
  <si>
    <t>RESERVA DE CAPITAL</t>
  </si>
  <si>
    <t>20.06.003</t>
  </si>
  <si>
    <t>10.02</t>
  </si>
  <si>
    <t>10.02.001</t>
  </si>
  <si>
    <t>10.02.002</t>
  </si>
  <si>
    <t>10.02.003</t>
  </si>
  <si>
    <t>MULTA E JUROS</t>
  </si>
  <si>
    <t xml:space="preserve">CIA DO TERNO TURQUEZA TECIDOS </t>
  </si>
  <si>
    <t xml:space="preserve">VN IND E COM DE RECICLÁVEIS </t>
  </si>
  <si>
    <t>FOGO DO GALPÃO</t>
  </si>
  <si>
    <t>MANUTENÇÃO ELÉTRICA</t>
  </si>
  <si>
    <t>MANUTENÇÃO HIDRÁULICA</t>
  </si>
  <si>
    <t>20.07.017</t>
  </si>
  <si>
    <t>20.07.018</t>
  </si>
  <si>
    <t>20.07.019</t>
  </si>
  <si>
    <t>MULTIRÃO DE LIMPEZA</t>
  </si>
  <si>
    <t>RECEITA EXTRA</t>
  </si>
  <si>
    <t>RECEITA SUBCONTA</t>
  </si>
  <si>
    <t>SOL TELECON</t>
  </si>
  <si>
    <t>PORTO SEGURO  BUFFALO COMPANY</t>
  </si>
  <si>
    <t>19</t>
  </si>
  <si>
    <t>20</t>
  </si>
  <si>
    <t>LIMPIMAX</t>
  </si>
  <si>
    <t>DOMETEC</t>
  </si>
  <si>
    <t>ATACADÃO DA LIMPEZA</t>
  </si>
  <si>
    <t>29</t>
  </si>
  <si>
    <t>30</t>
  </si>
  <si>
    <t>31</t>
  </si>
  <si>
    <t>32</t>
  </si>
  <si>
    <t>HP COM MAT ELET HID</t>
  </si>
  <si>
    <t>MAIS QUÍMICA PROD LIMP</t>
  </si>
  <si>
    <t>PJ COM E EQUIP</t>
  </si>
  <si>
    <t>PRIMEIRA LINHA COM</t>
  </si>
  <si>
    <t>VULCÃO DA BORRACHA</t>
  </si>
  <si>
    <t>MEGA CLEAN</t>
  </si>
  <si>
    <t>CÓD 2631 GPS | COND</t>
  </si>
  <si>
    <t>CÓD 2003 GPS | EMP</t>
  </si>
  <si>
    <t>20.04.007</t>
  </si>
  <si>
    <t>REDE EPI EQUIP SEG</t>
  </si>
  <si>
    <t>33</t>
  </si>
  <si>
    <t>34</t>
  </si>
  <si>
    <t>35</t>
  </si>
  <si>
    <t>36</t>
  </si>
  <si>
    <t>37</t>
  </si>
  <si>
    <t>38</t>
  </si>
  <si>
    <t>39</t>
  </si>
  <si>
    <t>40</t>
  </si>
  <si>
    <t>SAN REMO</t>
  </si>
  <si>
    <t>COMBUSTIVEL E LUBRIFICANTE</t>
  </si>
  <si>
    <t>AUTÔNOMO</t>
  </si>
  <si>
    <t>/</t>
  </si>
  <si>
    <t>ELO 7 INTERNET COISAS DE MARIA</t>
  </si>
  <si>
    <t>GOVERNANÇA CONDOMINIAL</t>
  </si>
  <si>
    <t>GRF FGTS</t>
  </si>
  <si>
    <t>WEGOBI</t>
  </si>
  <si>
    <t>MIX COM IND MAT</t>
  </si>
  <si>
    <t>21</t>
  </si>
  <si>
    <t>22</t>
  </si>
  <si>
    <t>23</t>
  </si>
  <si>
    <t>24</t>
  </si>
  <si>
    <t>25</t>
  </si>
  <si>
    <t>26</t>
  </si>
  <si>
    <t>27</t>
  </si>
  <si>
    <t>28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</si>
  <si>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</si>
  <si>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</si>
  <si>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</si>
  <si>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</si>
  <si>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</si>
  <si>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</si>
  <si>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</si>
  <si>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</si>
  <si>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</si>
  <si>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FENACON</t>
  </si>
  <si>
    <t>RR SERV REPAROS</t>
  </si>
  <si>
    <t>ADDERE</t>
  </si>
  <si>
    <t>50</t>
  </si>
  <si>
    <t>LETTIERI</t>
  </si>
  <si>
    <t>51</t>
  </si>
  <si>
    <t>TIM</t>
  </si>
  <si>
    <t>CEF</t>
  </si>
  <si>
    <t>MILENIO GRAFICA</t>
  </si>
  <si>
    <t>SECRETARIA DO ESTADO DA FAZENDA</t>
  </si>
  <si>
    <t>SECRETARIA DA RECEITA FEDERAL DO BRASIL</t>
  </si>
  <si>
    <t>CÓD 1708 ISS</t>
  </si>
  <si>
    <t>CÓD 2172 COFINS</t>
  </si>
  <si>
    <t>CÓD 8109 PIS</t>
  </si>
  <si>
    <t>SIMPLES NACIONAL</t>
  </si>
  <si>
    <t>52</t>
  </si>
  <si>
    <t>FGTS</t>
  </si>
  <si>
    <t>53</t>
  </si>
  <si>
    <t>SINDISERVIÇOS</t>
  </si>
  <si>
    <t>54</t>
  </si>
  <si>
    <t>DESENTUPIDORA LEONARDO</t>
  </si>
  <si>
    <t>55</t>
  </si>
  <si>
    <t>OMNI</t>
  </si>
  <si>
    <t>56</t>
  </si>
  <si>
    <t>S&amp;S INFORMÁTICA</t>
  </si>
  <si>
    <t>EXATA CONTABILIDADE</t>
  </si>
  <si>
    <t>57</t>
  </si>
  <si>
    <t>58</t>
  </si>
  <si>
    <t>MARIA BONITA</t>
  </si>
  <si>
    <t>59</t>
  </si>
  <si>
    <t>FIO URBANO</t>
  </si>
  <si>
    <t>60</t>
  </si>
  <si>
    <t>INSCRIÇÃO</t>
  </si>
  <si>
    <t>COBERTURA</t>
  </si>
  <si>
    <t>COBERTURA FÉRIAS</t>
  </si>
  <si>
    <t>61</t>
  </si>
  <si>
    <t>ENERGIA</t>
  </si>
  <si>
    <t>OI S.A.</t>
  </si>
  <si>
    <t>62</t>
  </si>
  <si>
    <t>APPARATUS</t>
  </si>
  <si>
    <t>63</t>
  </si>
  <si>
    <t>DROGARIA MEGAFARMA</t>
  </si>
  <si>
    <t>64</t>
  </si>
  <si>
    <t>65</t>
  </si>
  <si>
    <t>BIOCLEAN</t>
  </si>
  <si>
    <t>66</t>
  </si>
  <si>
    <t>EGM CENTRO AUTOMOTIVO</t>
  </si>
  <si>
    <t>67</t>
  </si>
  <si>
    <t>GOMES E FRANCO MOV ART PROD NATURAIS</t>
  </si>
  <si>
    <t>68</t>
  </si>
  <si>
    <t>DROGARIA SÃO PAULO</t>
  </si>
  <si>
    <t>69</t>
  </si>
  <si>
    <t>PAPELARIA E LIVRARIA RISK</t>
  </si>
  <si>
    <t>70</t>
  </si>
  <si>
    <t>TCA COM DE CONFECÇÕES</t>
  </si>
  <si>
    <t>SARKIS E SARKIS</t>
  </si>
  <si>
    <t>20.01.025</t>
  </si>
  <si>
    <t>20.01.026</t>
  </si>
  <si>
    <t>TRANSPORTE</t>
  </si>
  <si>
    <t>20.07.020</t>
  </si>
  <si>
    <t>20.01.027</t>
  </si>
  <si>
    <t>170 BB TAR PAG SALÁRIO CRÉDITO CONTA</t>
  </si>
  <si>
    <t>170 BB TARIFA TRANSF RECURSO E/I</t>
  </si>
  <si>
    <t>71</t>
  </si>
  <si>
    <t>72</t>
  </si>
  <si>
    <t>73</t>
  </si>
  <si>
    <t>74</t>
  </si>
  <si>
    <t>234 BB COMPRA COM CARTÃO</t>
  </si>
  <si>
    <t>500 BB TARIFA RENOVAÇÃO CADASTRO</t>
  </si>
  <si>
    <t>310 BB TARIFA DOC/TED ELETRÔNICO</t>
  </si>
  <si>
    <t>EMPRÉSTIMO</t>
  </si>
  <si>
    <t>UELDER JACINTO DE OLIVEIRA</t>
  </si>
  <si>
    <t>CLEANNER MATERIAL DE LIMPEZA</t>
  </si>
  <si>
    <t>RIACHO FERRAGENS</t>
  </si>
  <si>
    <t xml:space="preserve">RENATO CESAR DE ARAÚJO </t>
  </si>
  <si>
    <t>CASTELO FORTE</t>
  </si>
  <si>
    <t>DROGARIA NACIONAL</t>
  </si>
  <si>
    <t>AJUDA DE CUSTO</t>
  </si>
  <si>
    <t>20.05.015</t>
  </si>
  <si>
    <t>20.05.016</t>
  </si>
  <si>
    <t>75</t>
  </si>
  <si>
    <t>76</t>
  </si>
  <si>
    <t>UNICOM</t>
  </si>
  <si>
    <t>MELHOR ATACADISTA</t>
  </si>
  <si>
    <t>77</t>
  </si>
  <si>
    <t>78</t>
  </si>
  <si>
    <t>79</t>
  </si>
  <si>
    <t>80</t>
  </si>
  <si>
    <t>81</t>
  </si>
  <si>
    <t>20.01.028</t>
  </si>
  <si>
    <t>170 BB TARIFA LIB/ANT FLOAT PG SAL</t>
  </si>
  <si>
    <t>UBER</t>
  </si>
  <si>
    <t>82</t>
  </si>
  <si>
    <t xml:space="preserve">SPOTIFY      </t>
  </si>
  <si>
    <t xml:space="preserve">RI HAPPY BRINQUEDOS     </t>
  </si>
  <si>
    <t>EXTRA TAGUATINGA 160</t>
  </si>
  <si>
    <t>TAGUATINGA SHOPPING</t>
  </si>
  <si>
    <t>83</t>
  </si>
  <si>
    <t>84</t>
  </si>
  <si>
    <t>85</t>
  </si>
  <si>
    <t>86</t>
  </si>
  <si>
    <t>87</t>
  </si>
  <si>
    <t>88</t>
  </si>
  <si>
    <t>POLICLINICA SANTA RITA</t>
  </si>
  <si>
    <t>NETFLIX.COM</t>
  </si>
  <si>
    <t>89</t>
  </si>
  <si>
    <t>LEROY MERLIN</t>
  </si>
  <si>
    <t>90</t>
  </si>
  <si>
    <t>GP BRASILIA COM DE PNEUS</t>
  </si>
  <si>
    <t>91</t>
  </si>
  <si>
    <t>20.01.029</t>
  </si>
  <si>
    <t>92</t>
  </si>
  <si>
    <t>LOJAS AMERICANAS S/A</t>
  </si>
  <si>
    <t>AUTO POSTO ROCHA</t>
  </si>
  <si>
    <t>93</t>
  </si>
  <si>
    <t>TROCA DE ÓLEO DO NENEM</t>
  </si>
  <si>
    <t>COPALIMPA</t>
  </si>
  <si>
    <t>94</t>
  </si>
  <si>
    <t>95</t>
  </si>
  <si>
    <t>96</t>
  </si>
  <si>
    <t>LIVRARIA E PAPELARIA ÁGUAS CLARAS</t>
  </si>
  <si>
    <t>20.01.030</t>
  </si>
  <si>
    <t>ACADEMIA DOM BOSCO</t>
  </si>
  <si>
    <t>97</t>
  </si>
  <si>
    <t>98</t>
  </si>
  <si>
    <t>MADUREIRA CONFEITARIA</t>
  </si>
  <si>
    <t>RESTAURANTE MINEIRA</t>
  </si>
  <si>
    <t>VANDERLEY FELIX DO NASCIMENTO</t>
  </si>
  <si>
    <t>PADARIA 5 ESTRELAS</t>
  </si>
  <si>
    <t>ALELO</t>
  </si>
  <si>
    <t>99</t>
  </si>
  <si>
    <t>100</t>
  </si>
  <si>
    <t>101</t>
  </si>
  <si>
    <t>102</t>
  </si>
  <si>
    <t>VIVEIRO DE MUDAS AROEIRA</t>
  </si>
  <si>
    <t>COPA PRODUTOS LIMP E UTILIDADES</t>
  </si>
  <si>
    <t>103</t>
  </si>
  <si>
    <t>104</t>
  </si>
  <si>
    <t>CONFRATERNIZAÇÃO</t>
  </si>
  <si>
    <t>BRINDES E OUTROS</t>
  </si>
  <si>
    <t>LDA LAVADORA DE ALTA PRESSÃO</t>
  </si>
  <si>
    <t>105</t>
  </si>
  <si>
    <t>COLÉGIO MARISTA CHAMPAGNAT</t>
  </si>
  <si>
    <t>BOLOS DONA MARIA</t>
  </si>
  <si>
    <t>106</t>
  </si>
  <si>
    <t>PLANALTO MATERIAIS DE LIMPEZA E ILUMINAÇÃO</t>
  </si>
  <si>
    <t>107</t>
  </si>
  <si>
    <t>108</t>
  </si>
  <si>
    <t>109</t>
  </si>
  <si>
    <t>LUAND'S CAMISARIA</t>
  </si>
  <si>
    <t>DALTON JOSÉ SOUTO TEIXEIRA</t>
  </si>
  <si>
    <t>110</t>
  </si>
  <si>
    <t>SUPER ADEGA ATACADISTA DE ALIMENTOS</t>
  </si>
  <si>
    <t>111</t>
  </si>
  <si>
    <t>MASTER PÃO</t>
  </si>
  <si>
    <t>112</t>
  </si>
  <si>
    <t>KINGHOST</t>
  </si>
  <si>
    <t>CARTÓRIO 5º OFÍCIO ALAMEDA</t>
  </si>
  <si>
    <t>CENTRO D I K L ME | KID +</t>
  </si>
  <si>
    <t>113</t>
  </si>
  <si>
    <t>114</t>
  </si>
  <si>
    <t>115</t>
  </si>
  <si>
    <t>VIA AREAL MATERIAIS PARA CONSTRUÇÃO</t>
  </si>
  <si>
    <t>PRISCILA MINARI DOCES FINOS</t>
  </si>
  <si>
    <t>JAPÃO DA CONSTRUÇÃO</t>
  </si>
  <si>
    <t>SUPERMERCADOS TATICO</t>
  </si>
  <si>
    <t>116</t>
  </si>
  <si>
    <t>117</t>
  </si>
  <si>
    <t>IMAGEMED MEDICINA E IMAGEM LTDA</t>
  </si>
  <si>
    <t xml:space="preserve"> </t>
  </si>
  <si>
    <t>TRANSPORTE ESCOLAR TIO GEISON E TIA PRISCILA</t>
  </si>
  <si>
    <t>IFOOD OSASCO BR</t>
  </si>
  <si>
    <t>BAR E RESTAURANTE CARNE DE SOL</t>
  </si>
  <si>
    <t>118</t>
  </si>
  <si>
    <t>119</t>
  </si>
  <si>
    <t>120</t>
  </si>
  <si>
    <t>121</t>
  </si>
  <si>
    <t>122</t>
  </si>
  <si>
    <t>123</t>
  </si>
  <si>
    <t>FARMÁCIA DESCONTÃO</t>
  </si>
  <si>
    <t>PRIMICIAS DO TRIGO PANIFICADORA E CONFEITARIA</t>
  </si>
  <si>
    <t>124</t>
  </si>
  <si>
    <t>125</t>
  </si>
  <si>
    <t>MAIS VOCE FARMA</t>
  </si>
  <si>
    <t>SORT SERVIÇOS DE ORTOPEDIA E TRAUMATOLOGIA</t>
  </si>
  <si>
    <t>126</t>
  </si>
  <si>
    <t>20.01.031</t>
  </si>
  <si>
    <t>331 BB SAQUE NO TAA</t>
  </si>
  <si>
    <t>CEFISIO - CENTRO DE EXCELENCIA EM FISIOTERAPIA</t>
  </si>
  <si>
    <t>TESUS COMÉRCIO DE TECIDOS E CONFECCÇÕES</t>
  </si>
  <si>
    <t>C&amp;A</t>
  </si>
  <si>
    <t>FESTAKI EVENTOS E BUFFET</t>
  </si>
  <si>
    <t>EDIMARA CAETANO COM. DE PEÇAS E SERVIÇOS</t>
  </si>
  <si>
    <t>MUNDO DOS FILTROS</t>
  </si>
  <si>
    <t>A3 COPIADORA, COMUNICAÇÃO E IMPRESSÃO</t>
  </si>
  <si>
    <t>REGISTRO.BR</t>
  </si>
  <si>
    <t>SDL SERVIÇOS E REPRESENTAÇÕES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</si>
  <si>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</si>
  <si>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</si>
  <si>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</si>
  <si>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</si>
  <si>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</si>
  <si>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</si>
  <si>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</si>
  <si>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</si>
  <si>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</si>
  <si>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</si>
  <si>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20.07.021</t>
  </si>
  <si>
    <t>ESTACIONAMENTO</t>
  </si>
  <si>
    <t>137</t>
  </si>
  <si>
    <t>20.05.025</t>
  </si>
  <si>
    <t>13º SALÁRIO</t>
  </si>
  <si>
    <t>41.106.556.0001-44</t>
  </si>
  <si>
    <t>JJB SERV</t>
  </si>
  <si>
    <t>JJB ADM</t>
  </si>
  <si>
    <t>RPR01</t>
  </si>
  <si>
    <t>MAGAZINE LUIZA</t>
  </si>
  <si>
    <t>138</t>
  </si>
  <si>
    <t>JAIRO LOPES FERREIRA</t>
  </si>
  <si>
    <t>F&amp;R COM E SERV FERRAGENS</t>
  </si>
  <si>
    <t>20.05.026</t>
  </si>
  <si>
    <t>CÓD 1001 IRPJ+1002 CSLL+1004 COFINS+1005 PIS</t>
  </si>
  <si>
    <t>20.08.010</t>
  </si>
  <si>
    <t>MICROBACKUP</t>
  </si>
  <si>
    <t>139</t>
  </si>
  <si>
    <t>CASA DA CONSTRUÇÃO</t>
  </si>
  <si>
    <t>REPAROS MASTER</t>
  </si>
  <si>
    <t>ADM</t>
  </si>
  <si>
    <t>SV AGROPECUÁRIA E MANUTENÇÃO</t>
  </si>
  <si>
    <t>140</t>
  </si>
  <si>
    <t>141</t>
  </si>
  <si>
    <t>142</t>
  </si>
  <si>
    <t>143</t>
  </si>
  <si>
    <t>144</t>
  </si>
  <si>
    <t>145</t>
  </si>
  <si>
    <t>JAILSON</t>
  </si>
  <si>
    <t>20.03.007</t>
  </si>
  <si>
    <t>DIVERSOS</t>
  </si>
  <si>
    <t>341 ITAÚ 4146 30211-4</t>
  </si>
  <si>
    <t>104 CEF 2399 8081-9</t>
  </si>
  <si>
    <t>001 BB 4883-6 7098-X</t>
  </si>
  <si>
    <t>001 BB 1887-2 45339-0</t>
  </si>
  <si>
    <t>001 BB 4275-7 17605-2</t>
  </si>
  <si>
    <t xml:space="preserve">001 BB 4275-7 17760-1 </t>
  </si>
  <si>
    <t>146</t>
  </si>
  <si>
    <t>147</t>
  </si>
  <si>
    <t>SHEYLA</t>
  </si>
  <si>
    <t>341 ITAÚ 4146 01488-3</t>
  </si>
  <si>
    <t>148</t>
  </si>
  <si>
    <t>20.08.011</t>
  </si>
  <si>
    <t>CÓD 0561 IRRF</t>
  </si>
  <si>
    <t>COMANDO AUTO PEÇAS</t>
  </si>
  <si>
    <t>149</t>
  </si>
  <si>
    <t>PREMIUM PNEUS CENTRO AUTOMOTIVO</t>
  </si>
  <si>
    <t>W.L. ATACADISTA</t>
  </si>
  <si>
    <t>COMERCIAL AGROFORTE AGROPECUÁRIOS</t>
  </si>
  <si>
    <t>BIG MÁQUINAS SERVIÇOS</t>
  </si>
  <si>
    <t>GALPÃO CENTRO OESTE</t>
  </si>
  <si>
    <t>WG ASSESSORIA CONTÁBIL</t>
  </si>
  <si>
    <t>258 BB PIX ENVIADO</t>
  </si>
  <si>
    <t>20.01.032</t>
  </si>
  <si>
    <t>PROVISÃO RESERVA TÉCNICA</t>
  </si>
  <si>
    <t>20.09</t>
  </si>
  <si>
    <t>OVERHEAD</t>
  </si>
  <si>
    <t>OVERHEAD - NÃO UTILIZAR</t>
  </si>
  <si>
    <t>20.09.001</t>
  </si>
  <si>
    <t>20.10</t>
  </si>
  <si>
    <t>PROVISÕES</t>
  </si>
  <si>
    <t>PROVISÕES - NÃO UTILIZAR</t>
  </si>
  <si>
    <t>20.10.001</t>
  </si>
  <si>
    <t>SHCES QD 509 BL B</t>
  </si>
  <si>
    <t>HOSPITAL SANTA LUCIA</t>
  </si>
  <si>
    <t>DROGARIA ROSÁRIO</t>
  </si>
  <si>
    <t>FREELANCER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</si>
  <si>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</si>
  <si>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</si>
  <si>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</si>
  <si>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</si>
  <si>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</si>
  <si>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</si>
  <si>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</si>
  <si>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</si>
  <si>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</si>
  <si>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CIAL CENTRAL DE IMPLEMENTOS AGRICOLAS</t>
  </si>
  <si>
    <t>NYL FERRAGENS LTDA</t>
  </si>
  <si>
    <t>PORTO SEGURO</t>
  </si>
  <si>
    <t xml:space="preserve">SECRETARIA DO ESTADO DE ECONOMIA </t>
  </si>
  <si>
    <t>CARTÓRIO 1º OFÍCIO NÚCLEO BANDEIRANTES</t>
  </si>
  <si>
    <t>CARTÓRIO 1º OFÍCIO BRASÍLIA</t>
  </si>
  <si>
    <t>JOÃO FÁBIO BRANDÃO MOVEIS</t>
  </si>
  <si>
    <t>20.05.027</t>
  </si>
  <si>
    <t>SINDICATO</t>
  </si>
  <si>
    <t>MENSALIDADE SINDICAL</t>
  </si>
  <si>
    <t>ECONDOMINIOS</t>
  </si>
  <si>
    <t>COMERCIAL ALVORADA</t>
  </si>
  <si>
    <t>ALINE FEIJÓ ARQUITETURA &amp; INTERIORES</t>
  </si>
  <si>
    <t>364 BB CONSÓRCIO PRESTAÇÃO</t>
  </si>
  <si>
    <t>20.01.033</t>
  </si>
  <si>
    <t>RECEITA CONTA - NÃO UTILIZAR .</t>
  </si>
  <si>
    <t>ÁGUAS CLARAS MATERIAIS DE CONSTRUÇÃO</t>
  </si>
  <si>
    <t>159</t>
  </si>
  <si>
    <t>160</t>
  </si>
  <si>
    <t>161</t>
  </si>
  <si>
    <t>162</t>
  </si>
  <si>
    <t>163</t>
  </si>
  <si>
    <t>164</t>
  </si>
  <si>
    <t>165</t>
  </si>
  <si>
    <t>KATIÚSCIA FIÚZA FISIOTERAPIA E SAÚDE INTEGRADA</t>
  </si>
  <si>
    <t>Categoria</t>
  </si>
  <si>
    <t>ROSALIA LANCHES</t>
  </si>
  <si>
    <t>CHAVES &amp; CARIMBOS</t>
  </si>
  <si>
    <t>20.01.034</t>
  </si>
  <si>
    <t>500 BB GIRO PRONAMPE</t>
  </si>
  <si>
    <t>900 BB GIRO PRONAMPE</t>
  </si>
  <si>
    <t>LAVANDERIA E PASSADORIA LIDIA VIEIRA</t>
  </si>
  <si>
    <t>RUBIA DUARTE SERVIÇOS DE BELEZA</t>
  </si>
  <si>
    <t>166</t>
  </si>
  <si>
    <t>167</t>
  </si>
  <si>
    <t>168</t>
  </si>
  <si>
    <t>169</t>
  </si>
  <si>
    <t>170</t>
  </si>
  <si>
    <t>REZENGE HOME CENTER</t>
  </si>
  <si>
    <t>171</t>
  </si>
  <si>
    <t>RENNER</t>
  </si>
  <si>
    <t>172</t>
  </si>
  <si>
    <t>MAGRASS TAGUATINGA</t>
  </si>
  <si>
    <t>173</t>
  </si>
  <si>
    <t>DELL COMPUTADORES DO BRASIL LTDA</t>
  </si>
  <si>
    <t>174</t>
  </si>
  <si>
    <t>DJACI MARTINS BEZERRA UTILIDADES PARA O LAR</t>
  </si>
  <si>
    <t>BALI BRASILIA AUTOMÓVEIS LTDA</t>
  </si>
  <si>
    <t>CONSELHO DE ARQUITETURA E URBANISMO</t>
  </si>
  <si>
    <t>175</t>
  </si>
  <si>
    <t>176</t>
  </si>
  <si>
    <t>177</t>
  </si>
  <si>
    <t>ATUAL COMÉRCIO</t>
  </si>
  <si>
    <t>BRADESCO SEGUROS</t>
  </si>
  <si>
    <t>EXCECON ADM E SOLUÇÕES CONTÁBEIS</t>
  </si>
  <si>
    <t>SEVEN COMUNICAÇÃO VISUAL LTDA</t>
  </si>
  <si>
    <t>178</t>
  </si>
  <si>
    <t>179</t>
  </si>
  <si>
    <t>180</t>
  </si>
  <si>
    <t>181</t>
  </si>
  <si>
    <t>IPVA</t>
  </si>
  <si>
    <t>20.02.007</t>
  </si>
  <si>
    <t>LIBERTY SEGUROS</t>
  </si>
  <si>
    <t xml:space="preserve">CRLNK COMÉRCIO VAREJISTA DE VESTUÁRIO </t>
  </si>
  <si>
    <t>182</t>
  </si>
  <si>
    <t>183</t>
  </si>
  <si>
    <t>ARTE EM FANTASIA E ANIMAÇÃO</t>
  </si>
  <si>
    <t>184</t>
  </si>
  <si>
    <t>BANDEIRANTE</t>
  </si>
  <si>
    <t>MIRO DESENTUPIDORA</t>
  </si>
  <si>
    <t>BARUQUE COMÉRCIO DE FERRAGENS</t>
  </si>
  <si>
    <t>GLOW PRODUÇÕES</t>
  </si>
  <si>
    <t>LISA COMERCIAL</t>
  </si>
  <si>
    <t>185</t>
  </si>
  <si>
    <t>186</t>
  </si>
  <si>
    <t>187</t>
  </si>
  <si>
    <t>188</t>
  </si>
  <si>
    <t>189</t>
  </si>
  <si>
    <t>190</t>
  </si>
  <si>
    <t>WESLEY ATANAZIO XAVIER CORTEZ</t>
  </si>
  <si>
    <t>ELDER CARLOS MOURÃO</t>
  </si>
  <si>
    <t>NOVO MUNDO</t>
  </si>
  <si>
    <t>191</t>
  </si>
  <si>
    <t>AMAZON SERVIÇOS DE VAREJO DO BRASIL LTDA</t>
  </si>
  <si>
    <t>LRG AR CONDICIONADO</t>
  </si>
  <si>
    <t>ELLEN MORMINO DE LIMA</t>
  </si>
  <si>
    <t>PENA VERDE COMÉRCIO DE PRODUTOS</t>
  </si>
  <si>
    <t xml:space="preserve">PRIMORDIAL OPERADORA E TURISMO </t>
  </si>
  <si>
    <t>MEGA PLUS SERVIÇOS E MANUTENÇÃO</t>
  </si>
  <si>
    <t>FORTE LUB</t>
  </si>
  <si>
    <t xml:space="preserve">POLIMPORT COMÉRCIO E EXPORTAÇÃO </t>
  </si>
  <si>
    <t>TOUR DE FORCE PAPELARIA</t>
  </si>
  <si>
    <t>SOLARE COMÉRCIO VAR DE ALIMENTOS NATURAIS</t>
  </si>
  <si>
    <t>20.07.022</t>
  </si>
  <si>
    <t>SEGURO DE VEÍCULO</t>
  </si>
  <si>
    <t>RODRIGO KIDS</t>
  </si>
  <si>
    <t>CALVIN KLEIN</t>
  </si>
  <si>
    <t>TRACK &amp; FIELD</t>
  </si>
  <si>
    <t>TIP TOP &amp; PUKET</t>
  </si>
  <si>
    <t>WSC COMÉRCIO DE ARTIGOS ESPORTIVOS</t>
  </si>
  <si>
    <t>LOJINHA DA CRIANÇA</t>
  </si>
  <si>
    <t>SUP DOS COSMETICOS</t>
  </si>
  <si>
    <t>DECOLAR GUARULHOS BR</t>
  </si>
  <si>
    <t>AZUL LINHAS CIGTBQ BARUERI BR</t>
  </si>
  <si>
    <t>CARTÓRIO 7º OFÍCIO SAMAMBAIA NORTE</t>
  </si>
  <si>
    <t>ECT EMP BRAS DE CORREIOS E TELEGRÁFOS</t>
  </si>
  <si>
    <t>RECEITA FEDERAL</t>
  </si>
  <si>
    <t>CARTÓRIO 3º OFÍCIO SANTOS - SOUSA E SILVA</t>
  </si>
  <si>
    <t>YAGO MARTINS BRAGA FERREIRA OAB/SP 444.336</t>
  </si>
  <si>
    <t>FCA FIAT CHRYSLER AUTOMOVEIS BRASIL LTDA</t>
  </si>
  <si>
    <t>ALFA SEGURADORA S.A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</si>
  <si>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</si>
  <si>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</si>
  <si>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</si>
  <si>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</si>
  <si>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</si>
  <si>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</si>
  <si>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</si>
  <si>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</si>
  <si>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</si>
  <si>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</si>
  <si>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</si>
  <si>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</si>
  <si>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</si>
  <si>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</si>
  <si>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</si>
  <si>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</si>
  <si>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</si>
  <si>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</si>
  <si>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</si>
  <si>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</si>
  <si>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</si>
  <si>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</si>
  <si>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</si>
  <si>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</si>
  <si>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</si>
  <si>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</si>
  <si>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</si>
  <si>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CLEANWELL SERVIÇOS AUTOMOTIVOS</t>
  </si>
  <si>
    <t>20.03.008</t>
  </si>
  <si>
    <t>MATERIAL DE PISCINA</t>
  </si>
  <si>
    <t>CLUBE DAS PISCINAS</t>
  </si>
  <si>
    <t>20.01.035</t>
  </si>
  <si>
    <t>109 BB PAGAMENTO DE BOLETO</t>
  </si>
  <si>
    <t>MENDES ELÉTRICA E HIDRÁULICA</t>
  </si>
  <si>
    <t>AGROCAMPO</t>
  </si>
  <si>
    <t>POSTO CAPITAL</t>
  </si>
  <si>
    <t>POSTO CASCOL</t>
  </si>
  <si>
    <t>ELÉTRICA CAPITAL REIS</t>
  </si>
  <si>
    <t>219</t>
  </si>
  <si>
    <t>220</t>
  </si>
  <si>
    <t>221</t>
  </si>
  <si>
    <t>222</t>
  </si>
  <si>
    <t>223</t>
  </si>
  <si>
    <t>224</t>
  </si>
  <si>
    <t>225</t>
  </si>
  <si>
    <t>BRAZPEL</t>
  </si>
  <si>
    <t>MAXIMIZA DF ADMINISTRACAO E CORRETAGEM DESEGUROS</t>
  </si>
  <si>
    <t>AGROPECUÁRIA ALVES TEIXEIRA</t>
  </si>
  <si>
    <t>MMS DO BRASIL LTDA</t>
  </si>
  <si>
    <t>CAMPEÃO DA CONSTRUÇÃO</t>
  </si>
  <si>
    <t>NÉVOA CONFECÇÕES DE UNIFORMES E SERVIÇOS</t>
  </si>
  <si>
    <t>GARBO</t>
  </si>
  <si>
    <t>ROVITA COMÉRCIO DE MODA</t>
  </si>
  <si>
    <t>NUCLEO DE DIAGNOSE E MICROCIRURGIA OCULAR DE BRASILIA LTDA</t>
  </si>
  <si>
    <t>TRATAUTO CENTRO DE DETALHAMENTO AUTOMOTIVO LTDA</t>
  </si>
  <si>
    <t>SABOR DIVERTIDO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</si>
  <si>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</si>
  <si>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</si>
  <si>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</si>
  <si>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</si>
  <si>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</si>
  <si>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</si>
  <si>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</si>
  <si>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</si>
  <si>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</si>
  <si>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</si>
  <si>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</si>
  <si>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20.02.008</t>
  </si>
  <si>
    <t>LICENCIAMENTO</t>
  </si>
  <si>
    <t>CLINICA PLASMA</t>
  </si>
  <si>
    <t>A ALTA PRESSÃO PEÇAS E SERVIÇOS</t>
  </si>
  <si>
    <t>CENTRAL AGRO</t>
  </si>
  <si>
    <t>BRASLIMPE COMÉRCIO E PRODUTOS DE LIMPEZA</t>
  </si>
  <si>
    <t>TAXA ASSISTENCIAL</t>
  </si>
  <si>
    <t>20.05.028</t>
  </si>
  <si>
    <t>CHAVEIRO SOUSA</t>
  </si>
  <si>
    <t>20.02.009</t>
  </si>
  <si>
    <t>MULTA DE TRÂNSITO</t>
  </si>
  <si>
    <t>DEPARTAMENTO DE ESTRADAS E RODAGEM DO DISTRITO FEDERAL - DER</t>
  </si>
  <si>
    <t>SHOPPING DA LIMPEZA</t>
  </si>
  <si>
    <t>FORTCOM COMÉRCIO DE PRODUTOS DE LIMPEZA</t>
  </si>
  <si>
    <t>AÇÃO TRABALHISTA</t>
  </si>
  <si>
    <t>TRIBUNAL REGIONAL DO TRABALHO</t>
  </si>
  <si>
    <t>TRIBUNAL REGIONAL DO TRABALHO 10A REGIÃO</t>
  </si>
  <si>
    <t>LIMPEZA CX. D'ÁGUA</t>
  </si>
  <si>
    <t>20.07.023</t>
  </si>
  <si>
    <t>VIVARA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</si>
  <si>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</si>
  <si>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</si>
  <si>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</si>
  <si>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</si>
  <si>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</si>
  <si>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</si>
  <si>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</si>
  <si>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</si>
  <si>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</si>
  <si>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</si>
  <si>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</si>
  <si>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OSC COMÉRCIO E SERVIÇOS DE INFORMÁTICA</t>
  </si>
  <si>
    <t>POSTO PLAYTIME</t>
  </si>
  <si>
    <t>POSTO CEILÂNDIA</t>
  </si>
  <si>
    <t>ECOEMA</t>
  </si>
  <si>
    <t>ARATAQUE AUTOMOTIVO</t>
  </si>
  <si>
    <t>VIDRAÇARIA LIMA</t>
  </si>
  <si>
    <t>VIDROMAIS</t>
  </si>
  <si>
    <t>DIARISTA</t>
  </si>
  <si>
    <t>248</t>
  </si>
  <si>
    <t>249</t>
  </si>
  <si>
    <t>250</t>
  </si>
  <si>
    <t>251</t>
  </si>
  <si>
    <t>252</t>
  </si>
  <si>
    <t>253</t>
  </si>
  <si>
    <t>254</t>
  </si>
  <si>
    <t>255</t>
  </si>
  <si>
    <t>CACAU SHOW</t>
  </si>
  <si>
    <t>MICROSOLFT</t>
  </si>
  <si>
    <t>BABÁ</t>
  </si>
  <si>
    <t>PEM CURSOS E TREINAMENTOS - ACADEMIA MILITAR MIRIM</t>
  </si>
  <si>
    <t>ARCA SISTEMAS</t>
  </si>
  <si>
    <t>SISTEMA</t>
  </si>
  <si>
    <t>20.07.024</t>
  </si>
  <si>
    <t>LOVYCA</t>
  </si>
  <si>
    <t>256</t>
  </si>
  <si>
    <t>257</t>
  </si>
  <si>
    <t>258</t>
  </si>
  <si>
    <t>259</t>
  </si>
  <si>
    <t>260</t>
  </si>
  <si>
    <t>261</t>
  </si>
  <si>
    <t>MONTEBLOCO EQUIPAMENTOS DE PROTEÇÃO INDIVIDUAL</t>
  </si>
  <si>
    <t>CVP COMERCIAL DE VEÍCULOS E PEÇAS LTDA</t>
  </si>
  <si>
    <t>20.01.036</t>
  </si>
  <si>
    <t>324 BB BANCO 24 HORAS</t>
  </si>
  <si>
    <t>CONSULTORIA</t>
  </si>
  <si>
    <t>20.07.025</t>
  </si>
  <si>
    <t>RESTAURACAR</t>
  </si>
  <si>
    <t>FENIX CASA E CONSTRUÇÃO</t>
  </si>
  <si>
    <t>PRG / PCMSO / LTCAT</t>
  </si>
  <si>
    <t>20.07.026</t>
  </si>
  <si>
    <t>CLINICLASS</t>
  </si>
  <si>
    <t>ADIDAS</t>
  </si>
  <si>
    <t>SANTA PAULA MEDICINA LABORATORIAL</t>
  </si>
  <si>
    <t>VIVER CLÍNICA DE IMAGENS MÉDICAS</t>
  </si>
  <si>
    <t>ROBERTA BEATRIZ FREITAS DE OLIVEIRA</t>
  </si>
  <si>
    <t>JUNTA COMERCIAL DO DISTRITO FEDERAL</t>
  </si>
  <si>
    <t>SOLUÇÃO PISCINAS</t>
  </si>
  <si>
    <t>PERFECT NUTRY NUTRIÇÃO ESPORTIVA</t>
  </si>
  <si>
    <t>VIVA PRODUTOS HOSPITALARES</t>
  </si>
  <si>
    <t>FARMÁCIA BLUE FARMA</t>
  </si>
  <si>
    <t>POSTO 214 SUL</t>
  </si>
  <si>
    <t>262</t>
  </si>
  <si>
    <t>263</t>
  </si>
  <si>
    <t>REAL ASSESSÓRIOS</t>
  </si>
  <si>
    <t>CORPO CONCEITO CLINICA DE ESTÉLICA</t>
  </si>
  <si>
    <t>SECRETARIA DE MOBILIDADE URBANA E SISTEMA VIÁRIO</t>
  </si>
  <si>
    <t>CAESB</t>
  </si>
  <si>
    <t>PRIMAVERA PNEUS AUTO CENTER</t>
  </si>
  <si>
    <t>LAVA JATO ARAÚJO</t>
  </si>
  <si>
    <t>LIGIA DIAS ADVOCACIA</t>
  </si>
  <si>
    <t>IKIGAI DESENVOLVIMENTO HUMANO</t>
  </si>
  <si>
    <t>KELLYSON</t>
  </si>
  <si>
    <t>ADCOS DERMOCOMÉSTICO</t>
  </si>
  <si>
    <t>FRANCISCO DE JESUS SILVA 76812170100</t>
  </si>
  <si>
    <t>TRIBUNAL DE JUSTIÇA DO DISTRITO FEDERAL E TERRITÓRIOS</t>
  </si>
  <si>
    <t>OUROCARD EMPRESARIAL ELO</t>
  </si>
  <si>
    <t xml:space="preserve">A M LIMA FIGUEIREDO   MOVEIS   ME   </t>
  </si>
  <si>
    <t>DEPARTAMENTO DE OPERAÇÕES DO SISTEMA VIÁRIO - CAMPOS DO JORDÃO</t>
  </si>
  <si>
    <t>IDEAL PNEUS</t>
  </si>
  <si>
    <t>MAILSON FERREIRA VAZ</t>
  </si>
  <si>
    <t>CASA DE BISCOITOS MINEIRO</t>
  </si>
  <si>
    <t>COFFEE BREAK / LANCHE</t>
  </si>
  <si>
    <t>20.03.009</t>
  </si>
  <si>
    <t>REGIA COMERCIO DE INFORMÁTICA</t>
  </si>
  <si>
    <t>GRUPO LED - NEGÓCIOS INTELIGENTES</t>
  </si>
  <si>
    <t>POSTO PONTEIO</t>
  </si>
  <si>
    <t>CAROLINA SOUSA FARINHA</t>
  </si>
  <si>
    <t>PANIFICADORA NACIONAL</t>
  </si>
  <si>
    <t>20.07.027</t>
  </si>
  <si>
    <t>ENCANTTAR SOLUÇÕES CORPORATIVA</t>
  </si>
  <si>
    <t>TREINAMENTO &amp; DESENVOLVIMENTO</t>
  </si>
  <si>
    <t>QUATRO ESTAÇÕES 507</t>
  </si>
  <si>
    <t>ROTA 122 MECÂNICA AUTO CENTER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</si>
  <si>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</si>
  <si>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</si>
  <si>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</si>
  <si>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</si>
  <si>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</si>
  <si>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</si>
  <si>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</si>
  <si>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</si>
  <si>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</si>
  <si>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</si>
  <si>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</si>
  <si>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</si>
  <si>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</si>
  <si>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</si>
  <si>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</si>
  <si>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</si>
  <si>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</si>
  <si>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</si>
  <si>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</si>
  <si>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</si>
  <si>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</si>
  <si>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</si>
  <si>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</si>
  <si>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</si>
  <si>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</si>
  <si>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</si>
  <si>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</si>
  <si>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</si>
  <si>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</si>
  <si>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</si>
  <si>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</si>
  <si>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</si>
  <si>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</si>
  <si>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</si>
  <si>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</si>
  <si>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</si>
  <si>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</si>
  <si>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</si>
  <si>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ASSOSSIAÇÃO BRASILEIRA DE FACILITIES - ABRAFAC</t>
  </si>
  <si>
    <t>AHSERC</t>
  </si>
  <si>
    <t>BILLY BILLY FESTAS</t>
  </si>
  <si>
    <t>PONTO BELLO COMÉRCIO DE MOVEIS EIRELI</t>
  </si>
  <si>
    <t>DEPARTAMENTO DE TRÂNSITO - DETRAN DF</t>
  </si>
  <si>
    <t>ATACADISTA SUPER ADEGA</t>
  </si>
  <si>
    <t>AMAZON PRIME BR SÃO PAULO</t>
  </si>
  <si>
    <t>AUTO POSTO EPTG</t>
  </si>
  <si>
    <t>BUCHICHO SERVIÇOS AUTOMOTIVOS</t>
  </si>
  <si>
    <t>S4 HOTEL BRASILIA BR</t>
  </si>
  <si>
    <t>OUROCARD PLATINUM ESTILO VISA</t>
  </si>
  <si>
    <t>ATHENAS CAFÉ SÃO PAULO BR</t>
  </si>
  <si>
    <t>STERCI E STERCI RESTAURANTE SANTO ANDRÉ BR</t>
  </si>
  <si>
    <t>HOSPEDARIA DONA SÃO PAULO BR</t>
  </si>
  <si>
    <t>LATAM</t>
  </si>
  <si>
    <t>PIPEDRIVE CURITIBA BR</t>
  </si>
  <si>
    <t>20.07.028</t>
  </si>
  <si>
    <t>SEGURO INCÊNDIO</t>
  </si>
  <si>
    <t>AGENCIA DE DADOS</t>
  </si>
  <si>
    <t>29.148.959.0001-50</t>
  </si>
  <si>
    <t>VIEW NOW CONSULTORIA EM TECNOLOGIA</t>
  </si>
  <si>
    <t>SQS214J</t>
  </si>
  <si>
    <t>RIO PARANÃ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</si>
  <si>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</si>
  <si>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</si>
  <si>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</si>
  <si>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</si>
  <si>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</si>
  <si>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</si>
  <si>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</si>
  <si>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</si>
  <si>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</si>
  <si>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</si>
  <si>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</si>
  <si>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</si>
  <si>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</si>
  <si>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</si>
  <si>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</si>
  <si>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</si>
  <si>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</si>
  <si>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</si>
  <si>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CHRISTOPHE DESSEAUX TECNOLOGIA DA INFORMAÇÃO</t>
  </si>
  <si>
    <t>NOVA CASA MATERIAL DE CONSTRUÇÃO</t>
  </si>
  <si>
    <t>RDS ENGENHARIA</t>
  </si>
  <si>
    <t>320</t>
  </si>
  <si>
    <t>FERRO E AÇO</t>
  </si>
  <si>
    <t>ROTTA ROLAMENTOS</t>
  </si>
  <si>
    <t>321</t>
  </si>
  <si>
    <t>322</t>
  </si>
  <si>
    <t>FORTE LAR MATERIAL DE CONSTRUÇÃO</t>
  </si>
  <si>
    <t>CÓD 2214 PARCELAMENTO ADMINISTRATIVO</t>
  </si>
  <si>
    <t>20.08.012</t>
  </si>
  <si>
    <t>20.01.037</t>
  </si>
  <si>
    <t>500 BB CAP GIRO DIG AMORTIZAÇÃO</t>
  </si>
  <si>
    <t>ELÉTRICA BRASIL SUL COMERCIO VAREJISTA DE MATERIAL</t>
  </si>
  <si>
    <t>ZOOM EDUCATION FOR LIFE</t>
  </si>
  <si>
    <t>WORD GYM</t>
  </si>
  <si>
    <t>CLICKSIGN GESTÃO DE DOCUMENTOS S/A</t>
  </si>
  <si>
    <t>CARCONECT _ CONNECTIME FIAT</t>
  </si>
  <si>
    <t>CIATOY</t>
  </si>
  <si>
    <t>VK COMÉRCIO DE CALÇA</t>
  </si>
  <si>
    <t>BOTICÁRIO</t>
  </si>
  <si>
    <t>ALPHABETO</t>
  </si>
  <si>
    <t>ANNE KIDS</t>
  </si>
  <si>
    <t>LINDA BIJUTERIAS</t>
  </si>
  <si>
    <t>L&amp;L PAPELARIA E LIVRARIA</t>
  </si>
  <si>
    <t>MELHOR PRODUTOS DE LIMPEZA, HIGIENE E DESCARTÁVEIS</t>
  </si>
  <si>
    <t>MEGA CONSTRUÇÃO</t>
  </si>
  <si>
    <t xml:space="preserve">ACQUA BRASILIA COMÉRCIO E SERVIÇOS DE PISCINA </t>
  </si>
  <si>
    <t>INDUSTRIAS ROSSI</t>
  </si>
  <si>
    <t>20.07.029</t>
  </si>
  <si>
    <t>RECRUTAMENTO E SELEÇÃO</t>
  </si>
  <si>
    <t>20.01.038</t>
  </si>
  <si>
    <t>170 BB COMISSÃO FLAT</t>
  </si>
  <si>
    <t>20.01.039</t>
  </si>
  <si>
    <t>500 BB MOVIMENTO DO DIA</t>
  </si>
  <si>
    <t>20.08.013</t>
  </si>
  <si>
    <t>CÓD 6176 TAXA FISCALIZACAO DE ESTABELECIMENTO - TFE</t>
  </si>
  <si>
    <t>DISTRITAL COMÉRCI DE TINTAS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</si>
  <si>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</si>
  <si>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</si>
  <si>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</si>
  <si>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</si>
  <si>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</si>
  <si>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</si>
  <si>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</si>
  <si>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</si>
  <si>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</si>
  <si>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</si>
  <si>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FLORÊNCIO FIGUEIREDO</t>
  </si>
  <si>
    <t>ASV AGROPECUÁRIA</t>
  </si>
  <si>
    <t>CASA DA QUIMICA</t>
  </si>
  <si>
    <t>20.01.040</t>
  </si>
  <si>
    <t>239 BB TARIFA ADIANT DEPOSITANTE</t>
  </si>
  <si>
    <t>ENCARGOS FINANC ROTATIVO</t>
  </si>
  <si>
    <t>MC NUNES MARCENARIA LTDA</t>
  </si>
  <si>
    <t>20.01.041</t>
  </si>
  <si>
    <t>144 BB PIX ENVIADO</t>
  </si>
  <si>
    <t>RURAL TOP COMERCIAL AGRICOLA</t>
  </si>
  <si>
    <t>NOLTEC MATERIAIS ELÉTRICOS</t>
  </si>
  <si>
    <t>QUATRO ESTAÇÕES 509</t>
  </si>
  <si>
    <t>VANESSA</t>
  </si>
  <si>
    <t>BANCO DO BRASIL</t>
  </si>
  <si>
    <t>SEMPRE TECNOLOGIA</t>
  </si>
  <si>
    <t>20.08.014</t>
  </si>
  <si>
    <t>CÓD 5440 MULTA  ATRASO ENTREGA DCTFWEB RECIBO DECLARAÇÃO</t>
  </si>
  <si>
    <t>IMPRIME SERVICES LTDA-ME</t>
  </si>
  <si>
    <t>20.01.042</t>
  </si>
  <si>
    <t>10.02.004</t>
  </si>
  <si>
    <t>900 BB CAP GIRO DIGIT LIBERAÇÃO</t>
  </si>
  <si>
    <t>RODOLFO IMÓVEIS</t>
  </si>
  <si>
    <t>LAP GLASS VIDROS E ESQUADRIAS</t>
  </si>
  <si>
    <t>MC SOLUÇÕES EMPRESARIAIS</t>
  </si>
  <si>
    <t>BORRACHARIA DO KATATAU</t>
  </si>
  <si>
    <t>SEM PARAR</t>
  </si>
  <si>
    <t>ECO VISÃO PARTICIPAÇÕES E COLETA DE RESIDUOS</t>
  </si>
  <si>
    <t>DEMERVAL RAFAEL DE O CASTRO</t>
  </si>
  <si>
    <t>RIACHUELO</t>
  </si>
  <si>
    <t>MAGALU</t>
  </si>
  <si>
    <t>TOK &amp; STOK</t>
  </si>
  <si>
    <t>CANAA TELECOMUNICACOES LTDA</t>
  </si>
  <si>
    <t>R &amp; A MATERIAL DE CONSTRUÇÃO</t>
  </si>
  <si>
    <t>HONOAGRO PRODUTOS AGRICOLAS</t>
  </si>
  <si>
    <t>COLÉGIO BIÂNGULO</t>
  </si>
  <si>
    <t>LIM PAPEL DISTRIBUIDORA</t>
  </si>
  <si>
    <t>FACTORIAL LTDA</t>
  </si>
  <si>
    <t>METLIFE</t>
  </si>
  <si>
    <t>EMITIR</t>
  </si>
  <si>
    <t>CONDOMINIO BLEND</t>
  </si>
  <si>
    <t>KIT CLEAN SOL LIMPEZA BRASILIA</t>
  </si>
  <si>
    <t>20.02.010</t>
  </si>
  <si>
    <t>ÁGUA</t>
  </si>
  <si>
    <t>DIRECIONAL_ ÁGUA BRANCA_SOBRADINHO</t>
  </si>
  <si>
    <t>DIRECIONAL_ ITAGUATINS_SAMAMBAIA</t>
  </si>
  <si>
    <t>ZELO</t>
  </si>
  <si>
    <t>ASSAÍ ATACADISTA</t>
  </si>
  <si>
    <t>REAL EXPRESSO</t>
  </si>
  <si>
    <t>NAÇÃO CLUB</t>
  </si>
  <si>
    <t>GLEICIARA A P JESUS</t>
  </si>
  <si>
    <t>JANAINA ALVES DE BRITO</t>
  </si>
  <si>
    <t>LIMPEZA DE FACHADA</t>
  </si>
  <si>
    <t>20.07.030</t>
  </si>
  <si>
    <t>20.02.011</t>
  </si>
  <si>
    <t>INTERNET</t>
  </si>
  <si>
    <t>GREEN WAY CONTABILIDADE LTDA</t>
  </si>
  <si>
    <t>AGENCIA GOIANA DE INFRAESTRUTURA E TRANSPORTES</t>
  </si>
  <si>
    <t>CLINICA BRASIL CENTRAL MEDICINA E SEGURANCA DO TRABALHO LTDA</t>
  </si>
  <si>
    <t>GIZELE FRANCISCA BARBOSA</t>
  </si>
  <si>
    <t>AUTO ESCOLA PLUS</t>
  </si>
  <si>
    <t>OPERACIONAL</t>
  </si>
  <si>
    <t>DIRECIONAL_TAGUATINGA_SANTA MARIA</t>
  </si>
  <si>
    <t>DIRECIONAL_ITAPEMA_PLANALTINA</t>
  </si>
  <si>
    <t>20.08.015</t>
  </si>
  <si>
    <t>CÓD 0211 IRPF DECLARAÇÃO AJUSTE ANUAL</t>
  </si>
  <si>
    <t>NAIAFE CONFECÇÕES</t>
  </si>
  <si>
    <t>PREFEITURA MUNICIPAL DE SÃO CAETANO DO SUL _ SEMOB</t>
  </si>
  <si>
    <t>TAJ MAHAL</t>
  </si>
  <si>
    <t>ALISSON MARTINS DE OLIVEIRA _ELÉTRICA MARTINS</t>
  </si>
  <si>
    <t>RECOL COMÉRCIO E ENERGIA SOLAR LTDA</t>
  </si>
  <si>
    <t>KENYA F RODRIGUES</t>
  </si>
  <si>
    <t>AVICULTURA QUINTAL</t>
  </si>
  <si>
    <t>ROTA SOLUÇÕES EM TI</t>
  </si>
  <si>
    <t>01/24</t>
  </si>
  <si>
    <t>CLINICA DIAGNOSE</t>
  </si>
  <si>
    <t>TEIXEIRA E MARQUES LTDA</t>
  </si>
  <si>
    <t>PRUDENTIAL DO BRASIL VIDA EM GRUPO SA</t>
  </si>
  <si>
    <t>JW COMERCIO DE FERRAMENTAS _VULCÃO DA BORRACHA_SIA</t>
  </si>
  <si>
    <t>AGUIA SERVIÇOS LTDA</t>
  </si>
  <si>
    <t>INSTITUTO DE APOIO AOS FUNCIONÁRIOS ATIVOS DO SETOR DE TERCEIRIZAÇÃO DE MÃO DE OBRA</t>
  </si>
  <si>
    <t>IAFAS</t>
  </si>
  <si>
    <t>AMPARO FAMILIAR</t>
  </si>
  <si>
    <t>02/24</t>
  </si>
  <si>
    <t>IDEAL PAPELARIA LIVRARIA INFORMÁTICA</t>
  </si>
  <si>
    <t>IMPERIUM MENTORING LTDA _ ANDRÉ MENEZES</t>
  </si>
  <si>
    <t>ALTA PERFORMANCE PRODUÇÕES_MENTORIA EMPRESA LUCRATIVA</t>
  </si>
  <si>
    <t>MARVAL CENTRO AUTOMOTIVO</t>
  </si>
  <si>
    <t>ZENITE MARVAL CENTRO AUTOMOTIVO LTDA - ME</t>
  </si>
  <si>
    <t>20.08.016</t>
  </si>
  <si>
    <t>DAS PARCELAMENTO</t>
  </si>
  <si>
    <t>NEOENERGIA</t>
  </si>
  <si>
    <t>CASA DO AGROPEARISTA CERRADÃO LTDA</t>
  </si>
  <si>
    <t>JOSE EUSTAQUIO DE SOUSA</t>
  </si>
  <si>
    <t>CASA PLANETA</t>
  </si>
  <si>
    <t>VALLE DESENTUPIDORA</t>
  </si>
  <si>
    <t>ERINALDO DA C MENDES SERVIÇOS E MANUTENÇÂO</t>
  </si>
  <si>
    <t>27.468.199/0001-33</t>
  </si>
  <si>
    <t>07.805.461/001-66</t>
  </si>
  <si>
    <t>07.738.862/001-13</t>
  </si>
  <si>
    <t>08.039.882/001-34</t>
  </si>
  <si>
    <t xml:space="preserve">QS 03, LT 3,5,7 e 9 _EDIFICO PÁTIO CAPITAL SL 613 </t>
  </si>
  <si>
    <t>03/24</t>
  </si>
  <si>
    <t>BONÉS SÃO JOSÉ &amp; CIA</t>
  </si>
  <si>
    <t>SHEIN</t>
  </si>
  <si>
    <t>20.08.017</t>
  </si>
  <si>
    <t>CÓD 1124_PARCELAMENTO_PEGAR COM FLÁVIO</t>
  </si>
  <si>
    <t>SOLUÇÃO PARABRISAS</t>
  </si>
  <si>
    <t>GT DISTRIBUIDORA DE PRODUTOS AUTOMOTIVOS</t>
  </si>
  <si>
    <t>ELETROPOSITIVA COMERCIAL</t>
  </si>
  <si>
    <t>04/24</t>
  </si>
  <si>
    <t>GFD</t>
  </si>
  <si>
    <t xml:space="preserve">INICIO </t>
  </si>
  <si>
    <t>TÉRMINO</t>
  </si>
  <si>
    <t>TOTAL DESPESAS</t>
  </si>
  <si>
    <t>LUCRO LIQUIDO</t>
  </si>
  <si>
    <t>INATIVO</t>
  </si>
  <si>
    <t>PORTO DAS ÁGUAS</t>
  </si>
  <si>
    <t>CONDOMÍNIO PORTO DAS ÁGUAS</t>
  </si>
  <si>
    <t>07.430.130.0001-03</t>
  </si>
  <si>
    <t>ISENTO</t>
  </si>
  <si>
    <t>ÁGUAS CLARAS</t>
  </si>
  <si>
    <t>RUA 20 SUL LT 08</t>
  </si>
  <si>
    <t>71.925-360</t>
  </si>
  <si>
    <t>3021-8012</t>
  </si>
  <si>
    <t>2019.004</t>
  </si>
  <si>
    <t>4AGP</t>
  </si>
  <si>
    <t>ATIVO</t>
  </si>
  <si>
    <t>BRASANTOS SERVIÇOS ESPECIALIZADOS EIRELI ME</t>
  </si>
  <si>
    <t>07.738.862.001-13</t>
  </si>
  <si>
    <t>TAGUATINGA</t>
  </si>
  <si>
    <t xml:space="preserve">QS 03, LT 3,5,7 e 9, SL 613 </t>
  </si>
  <si>
    <t>3563-9000</t>
  </si>
  <si>
    <t>RJBH</t>
  </si>
  <si>
    <t>CONDOMÍNIO RIO DE JANEIRO E BELO HORIZONTE</t>
  </si>
  <si>
    <t>07.366.380.0001-21</t>
  </si>
  <si>
    <t>QD 205 LT 04 BL A/B</t>
  </si>
  <si>
    <t>71.925-000</t>
  </si>
  <si>
    <t>3597-4492</t>
  </si>
  <si>
    <t>2020.001</t>
  </si>
  <si>
    <t>4AGP+2Z</t>
  </si>
  <si>
    <t>SAMVILLE</t>
  </si>
  <si>
    <t>CONDOMÍNIO DO RESIDENCIAL SAMVILLE</t>
  </si>
  <si>
    <t xml:space="preserve">30.281.833.0001-39 </t>
  </si>
  <si>
    <t>SAMAMBAIA</t>
  </si>
  <si>
    <t>QR 203 CJ 04 LT 42 A 49</t>
  </si>
  <si>
    <t>72.341-104</t>
  </si>
  <si>
    <t>+55613013-0609</t>
  </si>
  <si>
    <t>2021.001</t>
  </si>
  <si>
    <t>4Z+1ASG</t>
  </si>
  <si>
    <t>RACIONAL ENGENHARIA</t>
  </si>
  <si>
    <t>RACIONAL ENGENHARIA LTDA</t>
  </si>
  <si>
    <t>43.202.951.0001-56</t>
  </si>
  <si>
    <t>108.669.461.113</t>
  </si>
  <si>
    <t>SÃO PAULO</t>
  </si>
  <si>
    <t>AV CHEDID JAFET, 222 - BLOCO D 3 ANDAR</t>
  </si>
  <si>
    <t>04551-065</t>
  </si>
  <si>
    <t>(11)3732-3777</t>
  </si>
  <si>
    <t>1111 DIÁRIAS</t>
  </si>
  <si>
    <t>*****</t>
  </si>
  <si>
    <t>JJ BARBOSA ADMINISTRAÇÃO</t>
  </si>
  <si>
    <t>08.039.882.001-34</t>
  </si>
  <si>
    <t>OURO VERDE</t>
  </si>
  <si>
    <t>CONDOMÍNIO DO EDIFÍCIO OURO VERDE</t>
  </si>
  <si>
    <t xml:space="preserve">06.298.105.0001-55 </t>
  </si>
  <si>
    <t>RIACHO FUNDO 01</t>
  </si>
  <si>
    <t xml:space="preserve">CLN 05 BL J </t>
  </si>
  <si>
    <t>71.805-530</t>
  </si>
  <si>
    <t>2021002</t>
  </si>
  <si>
    <t>1Z</t>
  </si>
  <si>
    <t>SAINT MARTIN</t>
  </si>
  <si>
    <t>CONDOMÍNIO RESIDENCIAL SAINT MARTIM</t>
  </si>
  <si>
    <t>23.103.107.0001-60</t>
  </si>
  <si>
    <t xml:space="preserve">ÁREA CENTRAL 02 LOTE 05 </t>
  </si>
  <si>
    <t>2021.003</t>
  </si>
  <si>
    <t>4AGP+1Z+1S</t>
  </si>
  <si>
    <t>CONDOMÍNIO RESIDENCIAL PARQUE RIACHO 01</t>
  </si>
  <si>
    <t xml:space="preserve">25.245.871.0001-04 </t>
  </si>
  <si>
    <t>08.231.565.001-40</t>
  </si>
  <si>
    <t>RIACHO FUNDO 02</t>
  </si>
  <si>
    <t>QN 12D CJ 09 LT 01</t>
  </si>
  <si>
    <t>71881-617</t>
  </si>
  <si>
    <t>2Z</t>
  </si>
  <si>
    <t xml:space="preserve"> CONDOMINIO SHCES QUADRA 509 BLOCO B</t>
  </si>
  <si>
    <t>16.780.600.0001-50</t>
  </si>
  <si>
    <t>08.205.900.001-07</t>
  </si>
  <si>
    <t>CRUZEIRO NOVO</t>
  </si>
  <si>
    <t xml:space="preserve">SHCES QD 509 BL B </t>
  </si>
  <si>
    <t>706.50.592</t>
  </si>
  <si>
    <t>2021.004</t>
  </si>
  <si>
    <t>RESIDENCIAL PORTO SEGURO</t>
  </si>
  <si>
    <t xml:space="preserve">42.115.004.0001-65 </t>
  </si>
  <si>
    <t xml:space="preserve"> CEILANDIA NORTE</t>
  </si>
  <si>
    <t>Q QNM 12 VIA NM 12ª</t>
  </si>
  <si>
    <t>72.210-121</t>
  </si>
  <si>
    <t>2021.005</t>
  </si>
  <si>
    <t>4AGP+3Z</t>
  </si>
  <si>
    <t>JJ BARBOSA SERVIÇOS</t>
  </si>
  <si>
    <t>27.468.199.0001-33</t>
  </si>
  <si>
    <t>07.805.461.001-66</t>
  </si>
  <si>
    <t>AMTT</t>
  </si>
  <si>
    <t>AMTT CBC COMÉRCIO VAREJISTA LTDA</t>
  </si>
  <si>
    <t>41.671.784.0001-67</t>
  </si>
  <si>
    <t>GUARÁ</t>
  </si>
  <si>
    <t>TR SIA TRECHO 03</t>
  </si>
  <si>
    <t>61 3561-6080</t>
  </si>
  <si>
    <t>CONVENÇÃO DE CONDOMÍNIO RESIDENCIAL ATLANTIS</t>
  </si>
  <si>
    <t>21.956.902.0001-76</t>
  </si>
  <si>
    <t>08.194.335/001-41</t>
  </si>
  <si>
    <t>AC 02 LT 06</t>
  </si>
  <si>
    <t>71.810-200</t>
  </si>
  <si>
    <t>99366-1565</t>
  </si>
  <si>
    <t>2020.005</t>
  </si>
  <si>
    <t>4AGP+1Z+1ASG</t>
  </si>
  <si>
    <t>HRO</t>
  </si>
  <si>
    <t>HRO ENGENHARIA, CONSTRUÇÃO E INCORPORAÇÃO LTDA</t>
  </si>
  <si>
    <t>27.733.009.0001-68</t>
  </si>
  <si>
    <t>126.093.958-111</t>
  </si>
  <si>
    <t>AVENIDA DOS TAJURÁS</t>
  </si>
  <si>
    <t>05.670.000</t>
  </si>
  <si>
    <t>11 3819-2200</t>
  </si>
  <si>
    <t>4Z</t>
  </si>
  <si>
    <t>CONDOMÍNIO PAINEIRA</t>
  </si>
  <si>
    <t>22.554.762.0001-72</t>
  </si>
  <si>
    <t xml:space="preserve">08.189.453/001-86 </t>
  </si>
  <si>
    <t>RIACHO FUNDO II</t>
  </si>
  <si>
    <t>QN 14F CJ 07 LT 1 a 3</t>
  </si>
  <si>
    <t>71881177</t>
  </si>
  <si>
    <t>3574-6060</t>
  </si>
  <si>
    <t>2022.003</t>
  </si>
  <si>
    <t>1Z+1ASG</t>
  </si>
  <si>
    <t>RPR02</t>
  </si>
  <si>
    <t>CONDOMÍNIO RESIDENCIAL PARQUE DO RIACHO 02</t>
  </si>
  <si>
    <t>24.394.214.0001-58</t>
  </si>
  <si>
    <t>08.183.288/001-59</t>
  </si>
  <si>
    <t>QN 12D CJ 09 LT 02</t>
  </si>
  <si>
    <t>71.881-617</t>
  </si>
  <si>
    <t>3434-8800</t>
  </si>
  <si>
    <t>CONVENÇÃO DA ADMINISTRAÇÃO DO BLOCO G SQS 214</t>
  </si>
  <si>
    <t xml:space="preserve">00.156.035/0001-14 </t>
  </si>
  <si>
    <t>08.197.060/001-80</t>
  </si>
  <si>
    <t xml:space="preserve"> ASA SUL</t>
  </si>
  <si>
    <t>SQS 214 BL G</t>
  </si>
  <si>
    <t>702.930.70</t>
  </si>
  <si>
    <t>3345-0217</t>
  </si>
  <si>
    <t>2022.002</t>
  </si>
  <si>
    <t>CONDOMINIO DO EDIFICIO SUMMER PARK BLOCO I</t>
  </si>
  <si>
    <t>07.131.156.0001-50</t>
  </si>
  <si>
    <t xml:space="preserve"> 08.189.455/001-93</t>
  </si>
  <si>
    <t>ASA SUL</t>
  </si>
  <si>
    <t>SGAS 910 SUL BL I</t>
  </si>
  <si>
    <t>70390100</t>
  </si>
  <si>
    <t>2020.007</t>
  </si>
  <si>
    <t>TELMEC ENGENHARIA</t>
  </si>
  <si>
    <t>RMP CONSTRUÇÕES E ENGENHARIA LTDA</t>
  </si>
  <si>
    <t>16.539.754/0001-54</t>
  </si>
  <si>
    <t>07.616.522/001-56</t>
  </si>
  <si>
    <t>EQS 114/115 SUL LT A BL 3, 47</t>
  </si>
  <si>
    <t xml:space="preserve"> 70.377-400</t>
  </si>
  <si>
    <t>CONDOMINIO RESIDENCIAL QUATRO ESTAÇÕES 507</t>
  </si>
  <si>
    <t xml:space="preserve">33.441.331.0001-16  </t>
  </si>
  <si>
    <t>08.204.866/00136</t>
  </si>
  <si>
    <t>SAMAMBAIA SUL</t>
  </si>
  <si>
    <t xml:space="preserve">QN 507 CJ 04 LT 02 a 09 </t>
  </si>
  <si>
    <t>72.313-004</t>
  </si>
  <si>
    <t>CONDOMÍNIO RESIDENCIAL AHSERC</t>
  </si>
  <si>
    <t xml:space="preserve">40.338.463.0001-82 </t>
  </si>
  <si>
    <t>SAMAMBAIA NORTE</t>
  </si>
  <si>
    <t xml:space="preserve">QR 604 CJ 06A LT 01 a 02 </t>
  </si>
  <si>
    <t>72.322-107</t>
  </si>
  <si>
    <t>CONVENÇÃO DE ADMINISTRAÇÃO DO BLOCO J SQS 214</t>
  </si>
  <si>
    <t xml:space="preserve">00.156.017.0001-32 </t>
  </si>
  <si>
    <t>08.182.809/001-32</t>
  </si>
  <si>
    <t>SGAS 910 SUL BL J</t>
  </si>
  <si>
    <t>70293-100</t>
  </si>
  <si>
    <t>2023.001</t>
  </si>
  <si>
    <t>3AGP+1Z</t>
  </si>
  <si>
    <t>RESIDENCIAL RIO PARANÁ</t>
  </si>
  <si>
    <t xml:space="preserve">23.648.953/0001-66 </t>
  </si>
  <si>
    <t>08.178.948/001-46</t>
  </si>
  <si>
    <t>QD 301 CJ 01 LT 06</t>
  </si>
  <si>
    <t>72.300-501</t>
  </si>
  <si>
    <t>2023.002</t>
  </si>
  <si>
    <t>2Z+1ASG</t>
  </si>
  <si>
    <t>CONDOMINIO VILLAGES ALVORADA</t>
  </si>
  <si>
    <t>LAGO SUL</t>
  </si>
  <si>
    <t>SHDB QL 32 CJ 17 CASA 10</t>
  </si>
  <si>
    <t>FABÍOLA</t>
  </si>
  <si>
    <t>CONDOMÍNIO QUINTAS DO SOL</t>
  </si>
  <si>
    <t>QUADRA 02, CASA 77</t>
  </si>
  <si>
    <t xml:space="preserve">CELIA MARIA ALCANFOR DE PINHO </t>
  </si>
  <si>
    <t xml:space="preserve"> CPF 149.775.591-34</t>
  </si>
  <si>
    <t>SHIS QI 27 CJ 11 CASA 16</t>
  </si>
  <si>
    <t>CONDOMÍNIO DO EDIFÍCIO VANESSA</t>
  </si>
  <si>
    <t>02.572.493/0001-60</t>
  </si>
  <si>
    <t>08.203.900/001-46</t>
  </si>
  <si>
    <t>QUADRA 406 CJ D LT 01</t>
  </si>
  <si>
    <t>72.318-564</t>
  </si>
  <si>
    <t>2023.005</t>
  </si>
  <si>
    <t>RESIDENCIAL QUATRO ESTACÕES 509</t>
  </si>
  <si>
    <t>33.715.291/0001-53</t>
  </si>
  <si>
    <t>0820589800103</t>
  </si>
  <si>
    <t>QN 509 CJ 3 LT 2 A 12</t>
  </si>
  <si>
    <t>72.313-203</t>
  </si>
  <si>
    <t>2023.008</t>
  </si>
  <si>
    <t>2023.004</t>
  </si>
  <si>
    <t>3AGP+2Z+1F</t>
  </si>
  <si>
    <t>LUCIANA _ SUMMER_APTO 242</t>
  </si>
  <si>
    <t>LUCIANA MESQUITA NUNES SANTOS NASCIMENTO</t>
  </si>
  <si>
    <t>CPF 014165203-92</t>
  </si>
  <si>
    <t>TOPÁZIO</t>
  </si>
  <si>
    <t>CONDOMINIO RESIDENCIAL TOPAZIO IMPERIAL</t>
  </si>
  <si>
    <t>05.411.585/0001-56</t>
  </si>
  <si>
    <t>08.190.728.001-02</t>
  </si>
  <si>
    <t>AC 02 Lote 03 ADE</t>
  </si>
  <si>
    <t>2023.012</t>
  </si>
  <si>
    <t>ITAGUATINS EMPREENDIMENTOS IMOBILIARIOS LTDA</t>
  </si>
  <si>
    <t>34.393.222/0001-33</t>
  </si>
  <si>
    <t>07.990.020/001-92</t>
  </si>
  <si>
    <t>ASA NORTE</t>
  </si>
  <si>
    <t>SCN Quadra 4 Bloco B</t>
  </si>
  <si>
    <t>70714-900</t>
  </si>
  <si>
    <t>(31)3431-5400</t>
  </si>
  <si>
    <t>AGUA BRANCA EMPREENDIMENTOS IMOBILIARIOS LTDA</t>
  </si>
  <si>
    <t>12.615.707/0002-72</t>
  </si>
  <si>
    <t>07.776.146/002-97</t>
  </si>
  <si>
    <t>ST SCN QUADRA 4 BLOCO B _ LOJA 0052 PETALA D</t>
  </si>
  <si>
    <t>70.714-900</t>
  </si>
  <si>
    <t>(31) 3431-5687/ (31) 3431-5684</t>
  </si>
  <si>
    <t>DIRECIONAL TAGUATINGA ENGENHARIA LTDA</t>
  </si>
  <si>
    <t>08.985.446/0021-78</t>
  </si>
  <si>
    <t>0750450900275</t>
  </si>
  <si>
    <t>ITAPEMA EMPREENDIMENTOS IMOBILIARIOS SPE LTDA</t>
  </si>
  <si>
    <t>19.330.308/0002-04</t>
  </si>
  <si>
    <t>0773384800203</t>
  </si>
  <si>
    <t>SCN QD 4 BL B-CTO EMPRES VARIG BRASILIA</t>
  </si>
  <si>
    <t>(61 ) 96472411</t>
  </si>
  <si>
    <t>1ASG</t>
  </si>
  <si>
    <t>EDIFICIO TAJ MAHAL</t>
  </si>
  <si>
    <t xml:space="preserve">50.482.145/0001-44 </t>
  </si>
  <si>
    <t>FORMOSA_GO</t>
  </si>
  <si>
    <t>SETOR DE CHÁCARAS SUL</t>
  </si>
  <si>
    <t>73.802-489</t>
  </si>
  <si>
    <t>2023.013</t>
  </si>
  <si>
    <t>KENYA FERREIRA RODRIGUES</t>
  </si>
  <si>
    <t>CPF 610.256.901-68</t>
  </si>
  <si>
    <t>SETOR DE MANSÕES PARQUE WAY</t>
  </si>
  <si>
    <t>SMPW_QD 18 CJ 03 LT 01 CS A</t>
  </si>
  <si>
    <t>71.741-180</t>
  </si>
  <si>
    <t>PR_2023.048</t>
  </si>
  <si>
    <t>CONDOMINIO PARQUE RIACHO 27</t>
  </si>
  <si>
    <t xml:space="preserve">24.465.224/0001-37 </t>
  </si>
  <si>
    <t>08.177.975/001-92</t>
  </si>
  <si>
    <t>RIACHO FUNDO II-DF</t>
  </si>
  <si>
    <t>Q QS 5 Conjunto 02, Lote 01</t>
  </si>
  <si>
    <t>71.884-052</t>
  </si>
  <si>
    <t>2024.002.0</t>
  </si>
  <si>
    <t>RPR27</t>
  </si>
  <si>
    <t>MIRANTE SÃO FRANCISCO</t>
  </si>
  <si>
    <t>CCD</t>
  </si>
  <si>
    <t>CONDOMÍNIO COSTA DOURADA ED. ILHA BELA</t>
  </si>
  <si>
    <t xml:space="preserve">05.648.992.0001-81 </t>
  </si>
  <si>
    <t>QS 07 RUA 800 LT 01</t>
  </si>
  <si>
    <t>71.971-540</t>
  </si>
  <si>
    <t>3356-1797</t>
  </si>
  <si>
    <t>2016.002</t>
  </si>
  <si>
    <t>4AGP+1Z+2ASG</t>
  </si>
  <si>
    <t>MADEIRA</t>
  </si>
  <si>
    <t>ASSOCIAÇÃO DOS ADQUIRENTE DE UNIDADES AUTÔNOMAS DOS BLOCOS A, B E C DO RESIDENCIAL JOÃO AGUIAR MADEIRA</t>
  </si>
  <si>
    <t xml:space="preserve">04.889.155.0001-81 </t>
  </si>
  <si>
    <t>QD 206 LT 05 PRAÇA TUIM</t>
  </si>
  <si>
    <t>719.251.80</t>
  </si>
  <si>
    <t>3568-6727</t>
  </si>
  <si>
    <t>2016.003</t>
  </si>
  <si>
    <t>RPR03</t>
  </si>
  <si>
    <t>CONDOMÍNIO 03 PARQUE DO RIACHO</t>
  </si>
  <si>
    <t>29.501.439.0001-80</t>
  </si>
  <si>
    <t>QN 12C CJ 09 LT 01</t>
  </si>
  <si>
    <t>71.881-659</t>
  </si>
  <si>
    <t>2018.003</t>
  </si>
  <si>
    <t>THE POINT RESIDENCE</t>
  </si>
  <si>
    <t>CONDOMINIO THE POINT RESIDENCE</t>
  </si>
  <si>
    <t xml:space="preserve">29.549.170.0001-01 </t>
  </si>
  <si>
    <t>RUA DAS PITANGUEIRAS LT 03</t>
  </si>
  <si>
    <t>71.908-720</t>
  </si>
  <si>
    <t>3877-1093</t>
  </si>
  <si>
    <t>2018.001</t>
  </si>
  <si>
    <t>4AGP+2Z+2ASG</t>
  </si>
  <si>
    <t>CONDOMÍNIO MIRANTE SÃO FRANCISCO</t>
  </si>
  <si>
    <t>25.014.946.0001-38</t>
  </si>
  <si>
    <t xml:space="preserve">Rua 24 Sul, Lote 25 </t>
  </si>
  <si>
    <t>71.927-000</t>
  </si>
  <si>
    <t>2019.003</t>
  </si>
  <si>
    <t>BOULEVARD DAS ACÁCIAS</t>
  </si>
  <si>
    <t>EDIFICIO RESIDENCIAL E COMERCIAL BOULEVARD DAS ACÁCIAS</t>
  </si>
  <si>
    <t>25.172.717.0001-41</t>
  </si>
  <si>
    <t>QR 302 CJ 03 LT 4/11</t>
  </si>
  <si>
    <t>72.300-635</t>
  </si>
  <si>
    <t>99368-6804</t>
  </si>
  <si>
    <t>2019.002</t>
  </si>
  <si>
    <t>BANCO</t>
  </si>
  <si>
    <t>CONSTRUTORA</t>
  </si>
  <si>
    <t>SEGMENTO</t>
  </si>
  <si>
    <t>COMÉRCIO</t>
  </si>
  <si>
    <t>IMOBILIÁRIA</t>
  </si>
  <si>
    <t>INDÚSTRIAS</t>
  </si>
  <si>
    <t>RESIDENCIAL</t>
  </si>
  <si>
    <t>FILIPE ALMEIDA SOLUCOES EM SEGURANCA</t>
  </si>
  <si>
    <t>CONDOMINIO DO EDIFICIO MONACO</t>
  </si>
  <si>
    <t>MONACO</t>
  </si>
  <si>
    <t>10.925.157/0001-81</t>
  </si>
  <si>
    <t>CEILÂNDIA</t>
  </si>
  <si>
    <t>Q QNM 12 VIA NM 12 B LOTE 21</t>
  </si>
  <si>
    <t>72.210-120</t>
  </si>
  <si>
    <t>55 61 99669-4507</t>
  </si>
  <si>
    <t>2024.003.0</t>
  </si>
  <si>
    <t>PLANALTO EMPREENDIMENTOS AGRICOLAS EIRELI ME</t>
  </si>
  <si>
    <t>APOIO A EVENTOS</t>
  </si>
  <si>
    <t>DIRECIONAL_MUNIQUE_CEILÂNDIA</t>
  </si>
  <si>
    <t>MUNIQUE EMPREENDIMENTOS IMOBILIÁRIOS LTDA</t>
  </si>
  <si>
    <t>22.458.670/0002-70</t>
  </si>
  <si>
    <t>07760950002-10</t>
  </si>
  <si>
    <t>05/24</t>
  </si>
  <si>
    <t>08.281.141/001-88</t>
  </si>
  <si>
    <t>TAJ MAHAL CONSTRUÇÃO E INCORPORAÇÃO LTDA</t>
  </si>
  <si>
    <t>13.307.082/0001-63</t>
  </si>
  <si>
    <t>AVENIDA TANCREDO NEVES, CHÁCARA 247 e 248, SUL</t>
  </si>
  <si>
    <t>ENGENHARIA DO PÃO</t>
  </si>
  <si>
    <t>06/24</t>
  </si>
  <si>
    <t>CONDOMÍNIO RESIDENCIAL JARDIM DOS IPÊS</t>
  </si>
  <si>
    <t xml:space="preserve"> JARDIM DOS IPÊS</t>
  </si>
  <si>
    <t xml:space="preserve">09.517.007.0001/50 </t>
  </si>
  <si>
    <t>08.174.149.001-09</t>
  </si>
  <si>
    <t>RUA IPÊ AMARELO LT 06 - SUL</t>
  </si>
  <si>
    <t>71.937-360</t>
  </si>
  <si>
    <t>55 61 98216-3793</t>
  </si>
  <si>
    <t>2024.004.0</t>
  </si>
  <si>
    <t>RESCON ADMINISTRAÇÃO DE CONDOMINIOS</t>
  </si>
  <si>
    <t>FOCUS GESTÃO CONDOMINIAL</t>
  </si>
  <si>
    <t>TAJ MAHAL CONSTRUÇÃO E INCORPORAÇÃO</t>
  </si>
  <si>
    <t>2023.007</t>
  </si>
  <si>
    <t>INDÚSTRIAS ROSSI ELETROMECÂNICA LTDA</t>
  </si>
  <si>
    <t xml:space="preserve">00.736.546/0001-05 </t>
  </si>
  <si>
    <t>07.320.161/001-42</t>
  </si>
  <si>
    <t>ADE CJ 05 LT 29 e 30</t>
  </si>
  <si>
    <t>71.987-180</t>
  </si>
  <si>
    <t>POR DEMANDA</t>
  </si>
  <si>
    <t>INDETERMINADO</t>
  </si>
  <si>
    <t>07/24</t>
  </si>
  <si>
    <t>FEIRÃO DA CONSTRUÇÃO</t>
  </si>
  <si>
    <t>KALUNGA COMERCIO E INDUSTRIA GRAFICA LTDA</t>
  </si>
  <si>
    <t>DISTRIBUIDORA SANTA ANA COMÉRCIO E PRODUTOS DE LIMPEZA E DESCA</t>
  </si>
  <si>
    <t>PAPELARIA TEMDTUDO</t>
  </si>
  <si>
    <t>PAULO SERGIO SIMPLICIO FILHO</t>
  </si>
  <si>
    <t>BIG LAR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</si>
  <si>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</si>
  <si>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</si>
  <si>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</si>
  <si>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</si>
  <si>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</si>
  <si>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</si>
  <si>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</si>
  <si>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</si>
  <si>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</si>
  <si>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</si>
  <si>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</si>
  <si>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</si>
  <si>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</si>
  <si>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</si>
  <si>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</si>
  <si>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</si>
  <si>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</si>
  <si>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</si>
  <si>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</si>
  <si>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</si>
  <si>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</si>
  <si>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</si>
  <si>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</si>
  <si>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</si>
  <si>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</si>
  <si>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</si>
  <si>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</si>
  <si>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</si>
  <si>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</si>
  <si>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</si>
  <si>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</si>
  <si>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</si>
  <si>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</si>
  <si>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</si>
  <si>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</si>
  <si>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</si>
  <si>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</si>
  <si>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</si>
  <si>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</si>
  <si>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</si>
  <si>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</si>
  <si>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</si>
  <si>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</si>
  <si>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</si>
  <si>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</si>
  <si>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</si>
  <si>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</si>
  <si>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</si>
  <si>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</si>
  <si>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</si>
  <si>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</si>
  <si>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</si>
  <si>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</si>
  <si>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</si>
  <si>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</si>
  <si>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</si>
  <si>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</si>
  <si>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</si>
  <si>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</si>
  <si>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</si>
  <si>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</si>
  <si>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</si>
  <si>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</si>
  <si>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</si>
  <si>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</si>
  <si>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</si>
  <si>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</si>
  <si>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</si>
  <si>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</si>
  <si>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</si>
  <si>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</si>
  <si>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</si>
  <si>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</si>
  <si>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</si>
  <si>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</si>
  <si>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</si>
  <si>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</si>
  <si>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</si>
  <si>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</si>
  <si>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</si>
  <si>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</si>
  <si>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08/24</t>
  </si>
  <si>
    <t>EDUARDO LIRA DE VASCONCELOS_UNITV S1</t>
  </si>
  <si>
    <t>AGRO CARREIRO</t>
  </si>
  <si>
    <t>09/24</t>
  </si>
  <si>
    <t>IMC COMÉRCIO DE PERFUME</t>
  </si>
  <si>
    <t>WEST CENTER INFORMÁTICA</t>
  </si>
  <si>
    <t>AMERICANAS</t>
  </si>
  <si>
    <t>KALUNGA S.A</t>
  </si>
  <si>
    <t>JAMILSON SOARES MORAIS</t>
  </si>
  <si>
    <t>SOL DIST. DE PRODUTO DE LIMPEZA</t>
  </si>
  <si>
    <t xml:space="preserve">CLINICA BRASIL CENTRAL </t>
  </si>
  <si>
    <t>10/24</t>
  </si>
  <si>
    <t>11/24</t>
  </si>
  <si>
    <t>12/24</t>
  </si>
  <si>
    <t>AUTOCAR CENTRO AUTOMOTIVO</t>
  </si>
  <si>
    <t>II         REMUNERAÇÃO</t>
  </si>
  <si>
    <t>IV                 BENEFICIOS</t>
  </si>
  <si>
    <t>V             INSUMOS M.O.D.</t>
  </si>
  <si>
    <t>VII              DEMAIS COMPONENTES</t>
  </si>
  <si>
    <t>VIII             TRIBUTOS</t>
  </si>
  <si>
    <t>SALÁRIO BASE</t>
  </si>
  <si>
    <t>VI          INSUMOS        M.O.I.</t>
  </si>
  <si>
    <t>III                ENCARGOS 77,26%</t>
  </si>
  <si>
    <t>L&amp;C SERVICOS E TRANSPORTES</t>
  </si>
  <si>
    <t>AGRONEGÓCIO</t>
  </si>
  <si>
    <t>AGROBRASIL</t>
  </si>
  <si>
    <t>SINDICATO DOS EMPREGADOS DE EMP DE ASS CON LIMP
PUB E AMB COL LIXO SIM EST GOIAS -</t>
  </si>
  <si>
    <t>02.851.939/0001-95</t>
  </si>
  <si>
    <t>SINDICATO DOS EMPREGADOS GO</t>
  </si>
  <si>
    <t>BELA VISTA</t>
  </si>
  <si>
    <t>2024.005.0</t>
  </si>
  <si>
    <t>JAILSON E SHEYLA</t>
  </si>
  <si>
    <t>20.08.018</t>
  </si>
  <si>
    <t>GRU</t>
  </si>
  <si>
    <t>TERRA DO BRASIL PRODUTOS AGROPECUÁRIOS LTDA</t>
  </si>
  <si>
    <t>05.650.381/0001-78</t>
  </si>
  <si>
    <t>10.360.989-0</t>
  </si>
  <si>
    <t>MARGINAL 2, Nº 01-A, QD 148-A LT 01-A _ PARQUE LAGUNA</t>
  </si>
  <si>
    <t>73.814-338</t>
  </si>
  <si>
    <t>55 61 3643-2900</t>
  </si>
  <si>
    <t>2024.001.0 _ MOE</t>
  </si>
  <si>
    <t>CONDOMINIO RESIDENCIAL BELA VISTA</t>
  </si>
  <si>
    <t xml:space="preserve">07.416.507/0001-70 </t>
  </si>
  <si>
    <t>08.190.064/001-00</t>
  </si>
  <si>
    <t>QR 210 CJ 05 LT 01 S/N</t>
  </si>
  <si>
    <t>72.316-200</t>
  </si>
  <si>
    <t>55 61 9693-0077</t>
  </si>
  <si>
    <t>RESPONSÁVEL</t>
  </si>
  <si>
    <t>MARLUCE KARINA DA CUNHA PAGLIARE</t>
  </si>
  <si>
    <t>E-MAIL</t>
  </si>
  <si>
    <t>belavistaresidencial@yahoo.com; karinacunha1021@gmail.com</t>
  </si>
  <si>
    <t>2024.002.0_MOE</t>
  </si>
  <si>
    <t>2024.003.0_MOE</t>
  </si>
  <si>
    <t>contabiltajmahal.walmir@gmail.com</t>
  </si>
  <si>
    <t>VICENTE AMPESSAN</t>
  </si>
  <si>
    <t>DATA PAGAMENTO</t>
  </si>
  <si>
    <t>JAILSON BARBOSA</t>
  </si>
  <si>
    <t>55 61 9912-7358</t>
  </si>
  <si>
    <t>residencialtajmahalformosa@gmail.com</t>
  </si>
  <si>
    <t>VIVIAN BRAS BRANDÃO</t>
  </si>
  <si>
    <t>CNAE-Fiscal:</t>
  </si>
  <si>
    <t>N812140000 _ LIMPEZA EM PREDIOS E EM DOMICILIOS</t>
  </si>
  <si>
    <t>ATIVIDADE MUNICIPIO:</t>
  </si>
  <si>
    <t>710 - 7.10 - Limpeza, manutenção e conservação de vias e logradouros</t>
  </si>
  <si>
    <t>CLIENTE:</t>
  </si>
  <si>
    <t>CNPJ:</t>
  </si>
  <si>
    <t>ENDEREÇO:</t>
  </si>
  <si>
    <t>COMP</t>
  </si>
  <si>
    <t xml:space="preserve">NF </t>
  </si>
  <si>
    <t>VALOR TOTAL DOS SERVIÇOS</t>
  </si>
  <si>
    <t>MATERIAS</t>
  </si>
  <si>
    <t>EQUIPAMENTOS</t>
  </si>
  <si>
    <t>BASE CÁCULO INSS</t>
  </si>
  <si>
    <t>RETENÇÃO DESTACADO NA NF</t>
  </si>
  <si>
    <t>TOTAL RETENÇÃO NF</t>
  </si>
  <si>
    <t>VALOR LIQUIDO DA NOTA FISCAL</t>
  </si>
  <si>
    <t>44H/S</t>
  </si>
  <si>
    <t>12 X 36</t>
  </si>
  <si>
    <t>GPS 2632</t>
  </si>
  <si>
    <t>IRRJ 2089</t>
  </si>
  <si>
    <t>CSLL 2372</t>
  </si>
  <si>
    <t>COFINS 2172</t>
  </si>
  <si>
    <t>PIS 8109</t>
  </si>
  <si>
    <t>ISSQN 1732</t>
  </si>
  <si>
    <t>QTDE</t>
  </si>
  <si>
    <t>$ UNIT</t>
  </si>
  <si>
    <t>DIAS</t>
  </si>
  <si>
    <t>ANO</t>
  </si>
  <si>
    <t>%</t>
  </si>
  <si>
    <t>INDÚSTRIAS ROSSI</t>
  </si>
  <si>
    <t>DIRECIONAL_ CEILÂNDIA</t>
  </si>
  <si>
    <t>210 CANCELAR</t>
  </si>
  <si>
    <t xml:space="preserve">TAJ MAHAL CONSTRUÇÃO E INCORPORAÇÃO </t>
  </si>
  <si>
    <t>ok</t>
  </si>
  <si>
    <t>***</t>
  </si>
  <si>
    <t>ALIQUOTA</t>
  </si>
  <si>
    <t>$ TOTAL</t>
  </si>
  <si>
    <t>$ RETIDOS</t>
  </si>
  <si>
    <t>$ A PAGAR</t>
  </si>
  <si>
    <t>FEDERAIS CÓD 2089 IRPJ</t>
  </si>
  <si>
    <t xml:space="preserve">FEDERAIS CÓD 2372 CSLL </t>
  </si>
  <si>
    <t>FEDERAIS CÓD 2172 COFINS</t>
  </si>
  <si>
    <t xml:space="preserve">FEDERAIS CÓD 8109 PIS </t>
  </si>
  <si>
    <t>ESTADUAIS CÓD 1732 ISSQN</t>
  </si>
  <si>
    <t>FEDERAIS CÓD 2631 INSS  27,80%</t>
  </si>
  <si>
    <t>QUAL A VANTAGEM E DESVANTAGEM DO TOMAR DE SERVIÇOS RETER A LIQUOTA TOTAL?</t>
  </si>
  <si>
    <t>TAJ MAHAL COMO REGULARIZAR A RETENÇÃO DO ISS?</t>
  </si>
  <si>
    <t>27.468,199.0001-33</t>
  </si>
  <si>
    <t>IRRJ 1001</t>
  </si>
  <si>
    <t>CSLL 1002</t>
  </si>
  <si>
    <t>COFINS 1004</t>
  </si>
  <si>
    <t>PIS 1005</t>
  </si>
  <si>
    <t>$</t>
  </si>
  <si>
    <t>050_GRENWAY</t>
  </si>
  <si>
    <t>051_GRENWAY</t>
  </si>
  <si>
    <t>SUMMER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</si>
  <si>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</si>
  <si>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</si>
  <si>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</si>
  <si>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</si>
  <si>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</si>
  <si>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</si>
  <si>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</si>
  <si>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</si>
  <si>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</si>
  <si>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</si>
  <si>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</si>
  <si>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</si>
  <si>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</si>
  <si>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</si>
  <si>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</si>
  <si>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</si>
  <si>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</si>
  <si>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FEDERAIS CÓD 1001 IRPJ</t>
  </si>
  <si>
    <t>FEDERAIS CÓD 1002 CSLL</t>
  </si>
  <si>
    <t>FEDERAIS CÓD 1004 COFINS</t>
  </si>
  <si>
    <t xml:space="preserve">FEDERAIS CÓD 1005PIS </t>
  </si>
  <si>
    <t>FEDERAIS CÓD 2631 INSS</t>
  </si>
  <si>
    <t>41.106.556/0001-44</t>
  </si>
  <si>
    <t>63 GRENWAY</t>
  </si>
  <si>
    <t>64 GRENWAY</t>
  </si>
  <si>
    <t>RPR 01</t>
  </si>
  <si>
    <t>66 GRENWAY</t>
  </si>
  <si>
    <t>SHCES 509 BL B</t>
  </si>
  <si>
    <t>LUCRO PRESUMIDO</t>
  </si>
  <si>
    <t>REGIME DE TRIBUTAÇÃO:</t>
  </si>
  <si>
    <t>VERSÃO 2024.11.20</t>
  </si>
  <si>
    <t xml:space="preserve">CLINICA SHIZA </t>
  </si>
  <si>
    <t>10961528000180</t>
  </si>
  <si>
    <t>25 SUL LT 30 BL A LOJA 102</t>
  </si>
  <si>
    <t>GW PISCINAS LTDA</t>
  </si>
  <si>
    <t>CASA DAS PISCINAS</t>
  </si>
  <si>
    <t>02.603.022/0001-71</t>
  </si>
  <si>
    <t>SOBRADINHO</t>
  </si>
  <si>
    <t xml:space="preserve">73100-700 </t>
  </si>
  <si>
    <t>COND VILA BASEVI AR 01 LT. Nº 55</t>
  </si>
  <si>
    <t>(61)3302-4148</t>
  </si>
  <si>
    <t>SOLUÇÕES PRODUTOS DE LIMPEZA</t>
  </si>
  <si>
    <t>GOLFO IMPORTAÇÃO E EXPORTAÇÃO</t>
  </si>
  <si>
    <t>FJ COMÉRCIO DE NOVIDADES</t>
  </si>
  <si>
    <t>CARTÃO ELO</t>
  </si>
  <si>
    <t>01/01</t>
  </si>
  <si>
    <t>JARDIM DOS IPÊS</t>
  </si>
  <si>
    <t>VICENZA</t>
  </si>
  <si>
    <t>CONSTRULÉO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</si>
  <si>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</si>
  <si>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</si>
  <si>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</si>
  <si>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</si>
  <si>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</si>
  <si>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</si>
  <si>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</si>
  <si>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</si>
  <si>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</si>
  <si>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</si>
  <si>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</si>
  <si>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</si>
  <si>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</si>
  <si>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</si>
  <si>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</si>
  <si>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</si>
  <si>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</si>
  <si>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FTS COMÉRCIO ATACADISTA DE EMBALAGENS</t>
  </si>
  <si>
    <t>NF</t>
  </si>
  <si>
    <t>GPS 2631</t>
  </si>
  <si>
    <t>01 COLABORADOR</t>
  </si>
  <si>
    <t>FLPGTO</t>
  </si>
  <si>
    <t>PRESTAÇÃO DE SERVIÇOS</t>
  </si>
  <si>
    <t>02 COLABORADORES</t>
  </si>
  <si>
    <t>06 COLABORADORES</t>
  </si>
  <si>
    <t>CONDOMINIO DO EDIFICIO VICENZA</t>
  </si>
  <si>
    <t>58.486.550/0001-42</t>
  </si>
  <si>
    <t>73.807-615</t>
  </si>
  <si>
    <t>(61) 3344-0012</t>
  </si>
  <si>
    <t>contato@predialbr.com.br</t>
  </si>
  <si>
    <t>2024.005.0_MOE</t>
  </si>
  <si>
    <t>R OLIMPIO DE MELO ALVARES, N 08B QD 07_ JARDIM CALIFORNIA</t>
  </si>
  <si>
    <t>PIX</t>
  </si>
  <si>
    <t>BOLETO</t>
  </si>
  <si>
    <t>ASSINATURA ELETRONICA DE DOCUMENTOS</t>
  </si>
  <si>
    <t>01/25</t>
  </si>
  <si>
    <t>ALUGUEL SALA 613 PATIO CAPITAL</t>
  </si>
  <si>
    <t>FATURA</t>
  </si>
  <si>
    <t xml:space="preserve">TEL 984121209 </t>
  </si>
  <si>
    <t>TX COND SALA 613 PATIO CAPITAL</t>
  </si>
  <si>
    <t>JJBS_6509***6870</t>
  </si>
  <si>
    <t>FOGÃO GOIANO</t>
  </si>
  <si>
    <t>LANCHONETE CASA GRANDE_FORMOSA_GO</t>
  </si>
  <si>
    <t>ELDER CHAVEIRO</t>
  </si>
  <si>
    <t>OUROCARD EMPRESARIAL VISA</t>
  </si>
  <si>
    <t>MANUTENCAO E LIMPEZA DE PISCINAS</t>
  </si>
  <si>
    <t>TX ODONTOLÓGICA</t>
  </si>
  <si>
    <t>TX ODONTOLÓGICA _JAILSON, SHEYLA</t>
  </si>
  <si>
    <t>ISABELLA E MAISA_ALIMENTOS</t>
  </si>
  <si>
    <t>FLPGTO_ITAÚ</t>
  </si>
  <si>
    <t>1% TRAB. ASSOCIADO REFERENTE_ANDRÉIA</t>
  </si>
  <si>
    <t>CASA DA MANGUEIRA</t>
  </si>
  <si>
    <t>JD PEÇAS USADAS</t>
  </si>
  <si>
    <t>LUCIANA PEREIRA CALDAS_GO</t>
  </si>
  <si>
    <t>COPA BAR</t>
  </si>
  <si>
    <t>2025</t>
  </si>
  <si>
    <t>02/25</t>
  </si>
  <si>
    <t>NF-e</t>
  </si>
  <si>
    <t>AUTO POSTO CINCO ESTRELAS</t>
  </si>
  <si>
    <t>IJP CONFECÇÕES</t>
  </si>
  <si>
    <t>VIDRAÇARIA JERONIMO</t>
  </si>
  <si>
    <t xml:space="preserve">TAJ MAHAL CONSTRUÇÃO E INCORPORAÇÃO_GO </t>
  </si>
  <si>
    <t>AGROBRASIL_GO</t>
  </si>
  <si>
    <t>VICENZA_GO</t>
  </si>
  <si>
    <t>SAFIRA</t>
  </si>
  <si>
    <t>GRÁFICA ARTE &amp; COMPANY</t>
  </si>
  <si>
    <t>PATRICIA</t>
  </si>
  <si>
    <t>TX ODONTOLÓGICA_BOMFIM_PEDRO_ADAILTON</t>
  </si>
  <si>
    <t>LM MANUTENÇÃO DE EQUIPAMENTOS</t>
  </si>
  <si>
    <t>Á RECEBER</t>
  </si>
  <si>
    <t>EM CONSTRUÇÃO</t>
  </si>
  <si>
    <t>EM CONSTRUÇÃO!!!</t>
  </si>
  <si>
    <t>RIO PARANÃ (falta reajustar)</t>
  </si>
  <si>
    <t>RPR27 (falta reajustar)</t>
  </si>
  <si>
    <t>03/25</t>
  </si>
  <si>
    <t>CONDOMÍNIO RESIDENCIAL SAFIRA</t>
  </si>
  <si>
    <t>32.133.523/0001-00</t>
  </si>
  <si>
    <t>08.177.956/001-57</t>
  </si>
  <si>
    <t>Q QS 517 CONJUNTO A 01</t>
  </si>
  <si>
    <t>72.315-480</t>
  </si>
  <si>
    <t>+55 61 99376-6600</t>
  </si>
  <si>
    <t>LUZILEIDE FLORA DA SILVA</t>
  </si>
  <si>
    <t>condominioresidencialsafira@hotmail.com</t>
  </si>
  <si>
    <t>2025.001.0_MOE</t>
  </si>
  <si>
    <t>QTDE COLABORADOR</t>
  </si>
  <si>
    <t>LUCRO %</t>
  </si>
  <si>
    <t>TROPICAL BEER BAR E LACHONETE</t>
  </si>
  <si>
    <t>AUTO POSTO NM 16</t>
  </si>
  <si>
    <t>116_COMPLEM</t>
  </si>
  <si>
    <t>SERVIÇOS PROFISSIONAIS DE CONTABILIDADE</t>
  </si>
  <si>
    <t>POSTO ABASTECE FORMOSA</t>
  </si>
  <si>
    <t>TEL 3563-9000_FIXO E INTERNET</t>
  </si>
  <si>
    <t>04/25</t>
  </si>
  <si>
    <t>11.189.811/0001-07</t>
  </si>
  <si>
    <t>2024.030.0_MOE</t>
  </si>
  <si>
    <t>RIO PARANÃ _11,89%</t>
  </si>
  <si>
    <t>RPR27_9,51%</t>
  </si>
  <si>
    <t>DROGASIL</t>
  </si>
  <si>
    <t>07 COLABORADORES</t>
  </si>
  <si>
    <t>ND XAVIER</t>
  </si>
  <si>
    <t>43.646.129/0001-84</t>
  </si>
  <si>
    <t>CASA COURO COMÉRCIO DE CALÇADOS</t>
  </si>
  <si>
    <t>38.011.462/0001-87</t>
  </si>
  <si>
    <t>PÁTIO CAPITAL</t>
  </si>
  <si>
    <t>49.669.148/0002-93</t>
  </si>
  <si>
    <t>BRASILIA PART PLAN ADM DE SHOP CENTER</t>
  </si>
  <si>
    <t>37.065.604/0002-07</t>
  </si>
  <si>
    <t>BLACK JAB</t>
  </si>
  <si>
    <t>49.708.810.0001/96</t>
  </si>
  <si>
    <t>JJ BEBIDAS</t>
  </si>
  <si>
    <t>414.415.281-00</t>
  </si>
  <si>
    <t>PROCV([@[CÓDIGO CONTABIL]];Contas_Gerencial[#Tudo];3;FALSO)</t>
  </si>
  <si>
    <t>YURI_LUANA _ PIX  61981838617</t>
  </si>
  <si>
    <t>PEGADA ANIMAL PET SHOP EIRELI</t>
  </si>
  <si>
    <t>SENDAS DISTRIBUIDORA S/A</t>
  </si>
  <si>
    <t>05/25</t>
  </si>
  <si>
    <t>AHSERC + R$ 477,00</t>
  </si>
  <si>
    <t>JARDIM DOS IPÊS + R$ 3.440,23</t>
  </si>
  <si>
    <t>MONACO + R$ 400,00</t>
  </si>
  <si>
    <t>PAINEIRA + R$ 3.154,00</t>
  </si>
  <si>
    <t>QUATRO ESTAÇÕES 509 + R$ 593,00</t>
  </si>
  <si>
    <t>RIO PARANÃ  + R$ 3.866,00</t>
  </si>
  <si>
    <t>RPR27_7,5% + R$ 4.288,20</t>
  </si>
  <si>
    <t>RPR 01 + R$ 834,00</t>
  </si>
  <si>
    <t>SHCES 509 BL B + R$ 420,00</t>
  </si>
  <si>
    <t>VANESSA + R$ 390,00</t>
  </si>
  <si>
    <t>emitir</t>
  </si>
  <si>
    <t>QUINTA SANTA BARBARA ECO RESORT</t>
  </si>
  <si>
    <t>LINOX SERVICOS AUTOMOTIVOS</t>
  </si>
  <si>
    <t>EMITIR_MATRIZ</t>
  </si>
  <si>
    <t>2ASL</t>
  </si>
  <si>
    <t>1E+2Z+2ASG</t>
  </si>
  <si>
    <t>RANIA POSTO DE COMBÚSTIVEL</t>
  </si>
  <si>
    <t>COMERCIAL CARACOL DF</t>
  </si>
  <si>
    <t>RECEITA_TRIBUTOS_FLPGTO_ENCARGOS</t>
  </si>
  <si>
    <t>AGROPECUÁRIA SERRA GRANDE LTDA</t>
  </si>
  <si>
    <t>SHOPPING DA LIMPEZA_GO</t>
  </si>
  <si>
    <t>DAS</t>
  </si>
  <si>
    <t>GOVERNO DO DISTRITO FEDERAL</t>
  </si>
  <si>
    <t>POSTO PETROBRASILIA</t>
  </si>
  <si>
    <t>RS SOLUCOES EM TI E SEGURANCA LTDA</t>
  </si>
  <si>
    <t>ROTA SOLUCOES EM TI E SEGURANCA</t>
  </si>
  <si>
    <t>55.806.682/0001-16</t>
  </si>
  <si>
    <t xml:space="preserve">RIO PARANÃ  </t>
  </si>
  <si>
    <t xml:space="preserve">QUATRO ESTAÇÕES 509 </t>
  </si>
  <si>
    <t xml:space="preserve">PAINEIRA </t>
  </si>
  <si>
    <t xml:space="preserve">SHCES 509 BL B </t>
  </si>
  <si>
    <t xml:space="preserve">RPR 01 </t>
  </si>
  <si>
    <t>1E+4ASG</t>
  </si>
  <si>
    <t>FORMA DE PAGAMENTO</t>
  </si>
  <si>
    <t>NÃO TEM</t>
  </si>
  <si>
    <t>PIX_BB_JJBS</t>
  </si>
  <si>
    <t>BOLETO_BS_ITAU</t>
  </si>
  <si>
    <t>PIX_BS_ITAÚ</t>
  </si>
  <si>
    <t>CASA DA BORRACHA - GO</t>
  </si>
  <si>
    <t>POSTO COLINA BR 070</t>
  </si>
  <si>
    <t>06/25</t>
  </si>
  <si>
    <t>AUTO POSTO BRAGA</t>
  </si>
  <si>
    <t>EDSON GONÇALVES ADVOCACIA</t>
  </si>
  <si>
    <t>TAGUATINGA NORTE</t>
  </si>
  <si>
    <t>QI 10, LT 54, ST DE INDUSTRIA</t>
  </si>
  <si>
    <t xml:space="preserve"> 72115-901</t>
  </si>
  <si>
    <t>NFS-e</t>
  </si>
  <si>
    <t>HYAGO GABRIEL CAVALCANTE ALVES</t>
  </si>
  <si>
    <t>60.975.376/0001-43</t>
  </si>
  <si>
    <t>EMILY ALENCAR DE SOUZA</t>
  </si>
  <si>
    <t>PONTUAL CAMISETERIA</t>
  </si>
  <si>
    <t>INATIVO_2025</t>
  </si>
  <si>
    <t>AUTO POSTO RIACHO FUNDO 02</t>
  </si>
  <si>
    <t>AGROPECUÁRIA TERRA NOVA</t>
  </si>
  <si>
    <t>DFTUDO COMÉRCIO E DISTRIBUIDOR DE EMBALAGENS</t>
  </si>
  <si>
    <t>AUTO POSTO ESQUINA LIMITADA</t>
  </si>
  <si>
    <t>QUALLITY PRO SAUDE_PLANO DE ASSISTENCIA MEDICA LTDA | CÓDIGO ANS: 418170</t>
  </si>
  <si>
    <t>QUALLITY PRO SAUDE</t>
  </si>
  <si>
    <t>WILDMAR DE SOUSA SOARES</t>
  </si>
  <si>
    <t>ALFA PNEUS E RODAS LTDA</t>
  </si>
  <si>
    <t>50.714.370.0001-69</t>
  </si>
  <si>
    <t>2016</t>
  </si>
  <si>
    <t>2019</t>
  </si>
  <si>
    <t>2018</t>
  </si>
  <si>
    <t>2015</t>
  </si>
  <si>
    <t>2021</t>
  </si>
  <si>
    <t>2022</t>
  </si>
  <si>
    <t>2023</t>
  </si>
  <si>
    <t>2017</t>
  </si>
  <si>
    <t>2020</t>
  </si>
  <si>
    <t>2024</t>
  </si>
  <si>
    <t>SOUSA E ALVES COM DERIVADOS DE PETRÓLEO QNM 15 CEILANDIA</t>
  </si>
  <si>
    <t>VILELA &amp; CASTRO CONFECÇÕES S.A</t>
  </si>
  <si>
    <t>08547329001312</t>
  </si>
  <si>
    <t>MILAZZO VEICULOS PEÇAS E SERVICOS LTDA</t>
  </si>
  <si>
    <t>INSS=&gt;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</si>
  <si>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</si>
  <si>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</si>
  <si>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</si>
  <si>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</si>
  <si>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</si>
  <si>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</si>
  <si>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</si>
  <si>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</si>
  <si>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</si>
  <si>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2025.003</t>
  </si>
  <si>
    <t>3Z</t>
  </si>
  <si>
    <t>02 COLABORADORES_JAILSON E SHEYLA</t>
  </si>
  <si>
    <t>JACKSON MELO DE OLIVEIRA</t>
  </si>
  <si>
    <t>07/25</t>
  </si>
  <si>
    <t>E LDORADO SERVIÇOS GERAIS LTDA</t>
  </si>
  <si>
    <t>29.324.194.0001-62</t>
  </si>
  <si>
    <t>MULT TOP LIMP SERVICE</t>
  </si>
  <si>
    <t>FUJIOKA</t>
  </si>
  <si>
    <t>CT_427.514.775_R$117.000,00 _QUITAR_DIVIDAS</t>
  </si>
  <si>
    <t>CT_427.515.334_R$ 40.000,00_DESPESAS GERIAS</t>
  </si>
  <si>
    <t>12/37</t>
  </si>
  <si>
    <t>EXTRATO</t>
  </si>
  <si>
    <t>CONDOMINIO ISLA FORMOSA</t>
  </si>
  <si>
    <t>55.509.115/0001-06</t>
  </si>
  <si>
    <t>AV CRISTALINA LT 01, SETOR DE CHÁCARAS SUL,</t>
  </si>
  <si>
    <t>73.802-410</t>
  </si>
  <si>
    <t>condominiosformosa@gmail.com</t>
  </si>
  <si>
    <t>2025.004</t>
  </si>
  <si>
    <t>1AL</t>
  </si>
  <si>
    <t>ISLA</t>
  </si>
  <si>
    <t>Coluna2</t>
  </si>
  <si>
    <t>DF</t>
  </si>
  <si>
    <t>UF</t>
  </si>
  <si>
    <t>GO</t>
  </si>
  <si>
    <t>VALOR CONTRATUAL</t>
  </si>
  <si>
    <t>TAGUATINGA PLACAS VEICULAR</t>
  </si>
  <si>
    <t>20.042.288/0002-55</t>
  </si>
  <si>
    <t>REX COMERCIAL DE COMBUSTIVEIS LTDA</t>
  </si>
  <si>
    <t>37.088.549/0001-90</t>
  </si>
  <si>
    <t>GIRA UTILIDADES</t>
  </si>
  <si>
    <t>CONFIANÇA COMÉRCIO DE MATERIAL ELÉTRICO</t>
  </si>
  <si>
    <t>179 BB ENCARGOS</t>
  </si>
  <si>
    <t>00427513123000469</t>
  </si>
  <si>
    <t>CT_427.513.123_R$ 150.000,00_</t>
  </si>
  <si>
    <t>CT_427.515.141_R$ 150.000,00_DESPESAS GERAIS</t>
  </si>
  <si>
    <t>08/25</t>
  </si>
  <si>
    <t>SAMUEL GARCIAS RIBEIRO</t>
  </si>
  <si>
    <t>04223806106</t>
  </si>
  <si>
    <t>HIGOR SOUSA SILVA</t>
  </si>
  <si>
    <t>CPF 005006711-76</t>
  </si>
  <si>
    <t>427514775000386</t>
  </si>
  <si>
    <t>ANDERSON PANIAGUA</t>
  </si>
  <si>
    <t>PERIÓDICA MEDICINA OCUPACIONAL</t>
  </si>
  <si>
    <t>10764956000202</t>
  </si>
  <si>
    <t>DESPESAS</t>
  </si>
  <si>
    <t>SALDO</t>
  </si>
  <si>
    <t>DATA:</t>
  </si>
  <si>
    <t>CONFERENCIA RECEITA + DESPESAS</t>
  </si>
  <si>
    <t>ISLA_01/08 à 30/08</t>
  </si>
  <si>
    <t>LUCAS SCARELLI ARAUJO</t>
  </si>
  <si>
    <t>59.298.068/0001-41</t>
  </si>
  <si>
    <t>ISLA_COMP 07/25_18/07 à 31/07</t>
  </si>
  <si>
    <t>09/25</t>
  </si>
  <si>
    <t>368.420.529-04</t>
  </si>
  <si>
    <t>RODOVIA DF 06 KM 10 ESQ. 06, Nº S/N , ZONA RURAL</t>
  </si>
  <si>
    <t>ERIVALDO B SILVA</t>
  </si>
  <si>
    <t>MATERIAL DE LIMPEZA_DIRETO_CLIENTE</t>
  </si>
  <si>
    <t>ABL PRIME</t>
  </si>
  <si>
    <t>david.bezerra@ablprime.com.br</t>
  </si>
  <si>
    <t>2025.006</t>
  </si>
  <si>
    <t>1P_1C_1E_1S_1ASG</t>
  </si>
  <si>
    <t>LEONARDO OLIVEIRA</t>
  </si>
  <si>
    <t>BUSCARE TELE LTDA</t>
  </si>
  <si>
    <t>49.099.509.0001-22</t>
  </si>
  <si>
    <t>MATRIZ_DESPESAS</t>
  </si>
  <si>
    <t>CONDOMÍNIO TAGUA LIFE CENTER</t>
  </si>
  <si>
    <t>34.330.943/0002-85</t>
  </si>
  <si>
    <t xml:space="preserve">CSG 03 LOTE 07 SALAS COMERCIAIS </t>
  </si>
  <si>
    <t>CALIL MUSSE NETO</t>
  </si>
  <si>
    <t>R02_SU.CPS</t>
  </si>
  <si>
    <t>JK ELETRONICOS</t>
  </si>
  <si>
    <t>11.910.893/0001-29</t>
  </si>
  <si>
    <t>NF_PONTO ELETRONICO_65 COLABORADORES</t>
  </si>
  <si>
    <t>AUTO POSTO MORADA DOS NOBRES</t>
  </si>
  <si>
    <t>RECEITA=&gt;</t>
  </si>
  <si>
    <t>GRAVIA</t>
  </si>
  <si>
    <t>GOLFO IMPORTAÇÃO EXPORTAÇÃO E COMÉRCIO DE VESTUÁRIO LTDA</t>
  </si>
  <si>
    <t>VICENTE AMPESSAN_GO</t>
  </si>
  <si>
    <t>ISLA_GO</t>
  </si>
  <si>
    <t>TAJ MAHAL_GO</t>
  </si>
  <si>
    <t>TOTAL BASE RETENÇÃO INSS</t>
  </si>
  <si>
    <t>FORT ATACADISTA</t>
  </si>
  <si>
    <t>CLINICA DO MOTORISTA</t>
  </si>
  <si>
    <t>LOJÃO NORDESTE</t>
  </si>
  <si>
    <t>UAI SUPERMERCADO FORMOSA</t>
  </si>
  <si>
    <t>11.184.752-4</t>
  </si>
  <si>
    <t>2025.012_PR_MOE</t>
  </si>
  <si>
    <t xml:space="preserve">sementesampessan@uol.com.br; compras@grupoampessan.com.br </t>
  </si>
  <si>
    <t>HOTMART</t>
  </si>
  <si>
    <t>ADYEN DO BRASIL IP LTDA.</t>
  </si>
  <si>
    <t>13.427.325/0001-05</t>
  </si>
  <si>
    <t>01 COLABORADOR_MILTON</t>
  </si>
  <si>
    <t>TAGUA LIFE CENTER</t>
  </si>
  <si>
    <t>MATRIZ</t>
  </si>
  <si>
    <t>00427515141000228</t>
  </si>
  <si>
    <t>COMP:</t>
  </si>
  <si>
    <t>GPS_RETIDO:</t>
  </si>
  <si>
    <t>GPS_A PAGAR:</t>
  </si>
  <si>
    <t>SALDO A RESTITUIR:</t>
  </si>
  <si>
    <t>GPS</t>
  </si>
  <si>
    <t>10/25</t>
  </si>
  <si>
    <t>EDSON OLIVEIRA PH- SERRALHEIRO</t>
  </si>
  <si>
    <t>NIO EMPRESAS</t>
  </si>
  <si>
    <t>RPR27 _TÉRMINO CT 06/10/25</t>
  </si>
  <si>
    <t>LUMOM BEAUTY SAUDE E ESTETICA</t>
  </si>
  <si>
    <t>01 COLABORADOR_ADAILTON</t>
  </si>
  <si>
    <t>HINOVA VIDROS</t>
  </si>
  <si>
    <t>IRENE ALVES PEREIRA</t>
  </si>
  <si>
    <t>11/25</t>
  </si>
  <si>
    <t>POTENCIALIZE RH CONSULTORIA</t>
  </si>
  <si>
    <t>POTENCIALIZE RH CONSULTORIA LTDA</t>
  </si>
  <si>
    <t>54.632.058-0001-87</t>
  </si>
  <si>
    <t>PG PARCELA AUTOMAT 09/14 0173043045</t>
  </si>
  <si>
    <t>CÓD 1732 ISS _ 5%_CLIENTE</t>
  </si>
  <si>
    <t xml:space="preserve">CÓD 2089 IRPJ_P.A __º TRIM </t>
  </si>
  <si>
    <t xml:space="preserve">CÓD 5952_0,65% PIS + 3% COFINS + 1% CSLL </t>
  </si>
  <si>
    <t>GPS 2100_EMPRESA</t>
  </si>
  <si>
    <t>GPS 2003_EMPRESA</t>
  </si>
  <si>
    <t>ADENILTON C SANTOS</t>
  </si>
  <si>
    <t>MULT LIMP EIRELI - GO</t>
  </si>
  <si>
    <t>01 COLABORADOR_JOCINEY DA ROCHA BENTO</t>
  </si>
  <si>
    <t>LHL CONSULTORIA EMPRESARIAL</t>
  </si>
  <si>
    <t>59.689.192/0001-38</t>
  </si>
  <si>
    <t>SALDO A RESTITUIR/PAGAR</t>
  </si>
  <si>
    <t>IRPJ</t>
  </si>
  <si>
    <t>CSLL</t>
  </si>
  <si>
    <t>COFINS</t>
  </si>
  <si>
    <t>PIS</t>
  </si>
  <si>
    <t>ISS</t>
  </si>
  <si>
    <t>FEDERAIS CÓD 2631 INSS_BASE FLPGTO</t>
  </si>
  <si>
    <t>EVOLUE SAÚDE</t>
  </si>
  <si>
    <t>CT 384877_APÓLICE 1099300024705/136_VIG 31.10.26</t>
  </si>
  <si>
    <t>12/25</t>
  </si>
  <si>
    <t>CT 384877_APÓLICE 1099300024705-121_VIG:</t>
  </si>
  <si>
    <t>TAGUA LIFE CENTER_COMP 09/25</t>
  </si>
  <si>
    <t>TAGUA LIFE CENTER_COMP 10/25</t>
  </si>
  <si>
    <t>ASO_NOME COLABORADOR</t>
  </si>
  <si>
    <t>CÓD 5797_DÉBITO INSCRITO EM DIVIDA ATIVA</t>
  </si>
  <si>
    <t>CASA_CEILÂNDIA_ROSA_326 KWH</t>
  </si>
  <si>
    <t>13/25</t>
  </si>
  <si>
    <t>CÓD 1010 ISS</t>
  </si>
  <si>
    <t>RETENÇÃO_GPS 2631_CLIENTE</t>
  </si>
  <si>
    <t>RETENÇÃO_CÓD 1732 ISS _ 3,7% _5%_CLIENTE</t>
  </si>
  <si>
    <t>REI CAPACHOS C I T LTDA ME</t>
  </si>
  <si>
    <t>08.727.087/0001-05</t>
  </si>
  <si>
    <t>TOP MÁQUINAS</t>
  </si>
  <si>
    <t>TOP COMERCIO DE MAQUINAS E EQUIPAMENTOS LTDA</t>
  </si>
  <si>
    <t>35.794.024/0001-44</t>
  </si>
  <si>
    <t>Setor Habitacional Vicente Pires</t>
  </si>
  <si>
    <t>CH MANUTENÇÃO</t>
  </si>
  <si>
    <t>FRANCISCO AMORIM DAS NEVES 
CH MANUTENÇÃO</t>
  </si>
  <si>
    <t>PADARIA MUNHOZ - GO</t>
  </si>
  <si>
    <t>Jefferson T Fonseca</t>
  </si>
  <si>
    <t>JEFFERSON T FONSECA</t>
  </si>
  <si>
    <t>VK COMÉRCIO DE CALÇADOS E ACESSÓRIOS</t>
  </si>
  <si>
    <t>3554610/0001-45</t>
  </si>
  <si>
    <t>REJ MODAS INFANTIL LTDA</t>
  </si>
  <si>
    <t>40.409.107.0001-02</t>
  </si>
  <si>
    <t>13/14</t>
  </si>
  <si>
    <t>SOLLI ATACADISTA LTDA</t>
  </si>
  <si>
    <t>INSS</t>
  </si>
  <si>
    <t>2026</t>
  </si>
  <si>
    <t>18/37</t>
  </si>
  <si>
    <t>21/21</t>
  </si>
  <si>
    <t>27/37</t>
  </si>
  <si>
    <t>01/26</t>
  </si>
  <si>
    <t>01.12.26 JOSÉ R B FRANÇA_ELVIS_ALAIDE</t>
  </si>
  <si>
    <t>04 COLABORADORES</t>
  </si>
  <si>
    <t>Teixeira Advogados</t>
  </si>
  <si>
    <t>TEIXEIRA ADVOGADOS</t>
  </si>
  <si>
    <t xml:space="preserve"> 26.192.961/0001-39</t>
  </si>
  <si>
    <t>DIAGNÓSTICO IMPOSTOS_BS_JJBA_JJBS</t>
  </si>
  <si>
    <t>03 COLABORADORES</t>
  </si>
  <si>
    <t>01 COLABORADORES_MARCELO</t>
  </si>
  <si>
    <t>05 COLABORADORES</t>
  </si>
  <si>
    <t>CASA_CEILÂNDIA_ROSA_318 KWH</t>
  </si>
  <si>
    <t>02 À 20.01.26 WELTO DE OLIVEIRA BORGES</t>
  </si>
  <si>
    <t>BOLEO</t>
  </si>
  <si>
    <t>HOSPEDAGEM DE SITE 10.01.26 À 10.01.27</t>
  </si>
  <si>
    <t>02.03  À 03.03.26 FRANCISMAR D. FREITAS_P.A.01.08.24 a 31.07.25</t>
  </si>
  <si>
    <t>06 COLABORADORES_FRANCISCO,JOÃO, JOSÉ, JOSÉ NETO, LAERTE, WELTON</t>
  </si>
  <si>
    <t>01 COLABORADOR_JARISON E IVONE INSS</t>
  </si>
  <si>
    <t>23.372.953.0001.86</t>
  </si>
  <si>
    <t>ANO 2026_COD 1244_ FIAT FIORINO_REO0A61</t>
  </si>
  <si>
    <t>ANO 2026_COD 0000_ FIAT FIORINO_REO0A61</t>
  </si>
  <si>
    <t>ANO 2026_COD 1244_FIAT TORO RANCH_RER0D41</t>
  </si>
  <si>
    <t>ANO 2026_COD 0000_FIAT TORO RANCH_RER0D41</t>
  </si>
  <si>
    <t>FIORINO REP0A61_46,01 LT GASOLINA</t>
  </si>
  <si>
    <t>12.01 ROGÉRIO F DE SOUSA_CASSIA_PIX_rogeriodj10@gmail.com</t>
  </si>
  <si>
    <t>DARF</t>
  </si>
  <si>
    <t>07.01.26009.3909025-5</t>
  </si>
  <si>
    <t>07.01.26009.3908999-0</t>
  </si>
  <si>
    <t>PA 31.12.25_PA 04/2025_VENC 31/01/2026</t>
  </si>
  <si>
    <t>6ª REVISÃO 120.852 KM - FIAT TORO RER0D41</t>
  </si>
  <si>
    <t xml:space="preserve"> william@terradobrasil.com.br;  deise@terradobrasil.com.br; rh@terradobrasil.com.br</t>
  </si>
  <si>
    <t>15.01_DENISE A CARVALHO_PIX 004532441 73_ATM IVONETE</t>
  </si>
  <si>
    <t>NFC-e</t>
  </si>
  <si>
    <t>FIORINO REP0A61_37,89 LT GASOLINA</t>
  </si>
  <si>
    <t>14 E 16.01 ALAIDE_ATM THIAGO</t>
  </si>
  <si>
    <t>16.01 ROGÉRIO F DE SOUSA_ATM_CASSIA_PIX_rogeriodj10@gmail.com</t>
  </si>
  <si>
    <t>DESPESAS_PAI JOÃO A BARBOSA_FALECIMENTO 30/12/25</t>
  </si>
  <si>
    <t>ISABELLA E MAISA_ALIMENTOS_ABATIMENTO</t>
  </si>
  <si>
    <t>FIAT TORO RER0D_44,98 LT DIESEL</t>
  </si>
  <si>
    <t>01.12.25 À 09.01.26 HILTON ALVES BEZERRA</t>
  </si>
  <si>
    <t>YURI_LUANA _ PIX  61981838617_COMPLEMENTAÇÃO</t>
  </si>
  <si>
    <t>120.093</t>
  </si>
  <si>
    <t>FIO DE CORTE STHIL 2,7MM X 215M E ÓLEO 2T SHTIL 8017 H500L</t>
  </si>
  <si>
    <t>5ª REVISÃO 106.000 KM -  FIORINO ENDURENCE 1.4 REP0A61</t>
  </si>
  <si>
    <t xml:space="preserve"> 21.01 a 20.02.26</t>
  </si>
  <si>
    <t xml:space="preserve"> 21.01 a 20.02.26_ADAILTON</t>
  </si>
  <si>
    <t xml:space="preserve"> 21.01 a 20.02.26_ALDOMIRO</t>
  </si>
  <si>
    <t xml:space="preserve"> 21.01 a 20.02.26_JOCICLEY</t>
  </si>
  <si>
    <t xml:space="preserve"> 21.01 a 20.02.26_MARCELO</t>
  </si>
  <si>
    <t>ASO_PAULO</t>
  </si>
  <si>
    <t xml:space="preserve">TAPETE_SILVER VULCANIZADO CO1.17 X LA0.8 - (01 CINZA) </t>
  </si>
  <si>
    <t>02/02</t>
  </si>
  <si>
    <t>20486-2/2</t>
  </si>
  <si>
    <t>TXO202512</t>
  </si>
  <si>
    <t>TX ODONTOLÓGICA_CHARLES_FELIPE_MARCIO_MICHAEL</t>
  </si>
  <si>
    <t>TX ODONTOLÓGICA_JOÃO</t>
  </si>
  <si>
    <t>MATERIAL DE LIMPEZA COMPLEMENTAÇÃO</t>
  </si>
  <si>
    <t>02 LIVRO ATA E 4 CANETAS</t>
  </si>
  <si>
    <t>02 SAPATO EVA ANTIDERRAPANTE PT</t>
  </si>
  <si>
    <t>EQUIPAMENTOS_10 LT GASOLINA</t>
  </si>
  <si>
    <t>01 SAPATO SOCIAL _ADAILTON</t>
  </si>
  <si>
    <t>01 SAPATO SOCIAL _EVERALDO</t>
  </si>
  <si>
    <t>FIO DE NYLON 30.0 MT.</t>
  </si>
  <si>
    <t>MEN202510</t>
  </si>
  <si>
    <t>MEN202511</t>
  </si>
  <si>
    <t>12729_5964</t>
  </si>
  <si>
    <t>PATIO CAPITAL SL 613_43 KWH</t>
  </si>
  <si>
    <t>12/14</t>
  </si>
  <si>
    <t>19 À 22.01 FRANCISCO FONSECA MELO</t>
  </si>
  <si>
    <t>23.01 MARCELO_ATM_10 DIAS_20 À 30.01_CASSIA</t>
  </si>
  <si>
    <t>07.18.26023.4497018-8</t>
  </si>
  <si>
    <t>PERÍODO: 05/23 À 08/23_PARCELAMENTO: 5_Parcela: 1/60</t>
  </si>
  <si>
    <t>Procuradoria-Geral da Fazenda Nacional</t>
  </si>
  <si>
    <t>PROCURADORIA GERAL DA FAZENDA NACIONAL</t>
  </si>
  <si>
    <t>014862570</t>
  </si>
  <si>
    <t>PERÍODO: 07 E 08/23_1469 IRPJ_ 1470 CSLL_1472 PIS_1471 COFINS</t>
  </si>
  <si>
    <t>0/60</t>
  </si>
  <si>
    <t>0/6</t>
  </si>
  <si>
    <t xml:space="preserve"> 014862865</t>
  </si>
  <si>
    <t>PERÍODO: LANÇAR_1469 IRPJ_ 1470 CSLL_1472 PIS_1471 COFINS</t>
  </si>
  <si>
    <t>1/5</t>
  </si>
  <si>
    <t xml:space="preserve"> 014862569</t>
  </si>
  <si>
    <t>INSS_PERÍODO: LANÇAR_4133 CONTR SEGURADOS</t>
  </si>
  <si>
    <t>1/27</t>
  </si>
  <si>
    <t>10 2 25 004747-33</t>
  </si>
  <si>
    <t>IRPJ_PERÍODO: LANÇAR_3560 IRPJ FONTE</t>
  </si>
  <si>
    <t>FIAT TORO RER0D_51286 LT DIESEL</t>
  </si>
  <si>
    <t>AUTO POSTO SÃO MATEUS QNM 34</t>
  </si>
  <si>
    <t>10.12 À 20.01.26 PAULO HENRIQUE VIEIRA DE AMORIM</t>
  </si>
  <si>
    <t>BERNADO_MATERIAIS ESCOLAR</t>
  </si>
  <si>
    <t>27.01 MARCELO_ATM_10 DIAS_20 À 30.01_CASSIA</t>
  </si>
  <si>
    <t>12755_5970</t>
  </si>
  <si>
    <t>07.18.26030.9025334-8</t>
  </si>
  <si>
    <t>PERÍODO: 06/23 À 10/23_PARCELAMENTO: 5_Parcela: 1/60</t>
  </si>
  <si>
    <t>07.17.26030.9100594-7</t>
  </si>
  <si>
    <t>07.16.26030.9037622-0</t>
  </si>
  <si>
    <t>DCTFWEB_PA 18/09/23 E 18/12/23</t>
  </si>
  <si>
    <t>INSS_PERÍODO: LANÇAR_4133 CONTR SEGURADOS_R$ 13.650,00</t>
  </si>
  <si>
    <t>04.02 À 27.02.26_JOSE SANTOS B CASTRO_P.A.02.08.24 a 01.08.25</t>
  </si>
  <si>
    <t>23.597.031-0001-10</t>
  </si>
  <si>
    <t>FIORINO REP0A61_49,13 LT GASOLINA</t>
  </si>
  <si>
    <t>CUPOM FISCAL</t>
  </si>
  <si>
    <t>BAR DA FRAN</t>
  </si>
  <si>
    <t>59.946608.0001-83</t>
  </si>
  <si>
    <t>RESTAURANTE</t>
  </si>
  <si>
    <t>SOPRADOR TRAPP_RETIRADADE RELE</t>
  </si>
  <si>
    <t>01 ALMOÇO JAILSON, JOÃO, MICHAEL E MÁRCIO</t>
  </si>
  <si>
    <t>GA REFRIGERAÇÃO</t>
  </si>
  <si>
    <t>TANQUINHO</t>
  </si>
  <si>
    <t>NOTAS:</t>
  </si>
  <si>
    <t>ATÉ O MÊS DE 12/25 OS VALORES REFERENTE A RETENÇÃO DOS IMPOSTOS FORAM RETIRADO A FÓRMULA E COPIADO E COLADO OS VALORES</t>
  </si>
  <si>
    <t>A PARTIR DE JANEIRO DE 2026 OS PORCENTUIAIS E AS FÓRMULAS FORAM INSERIDAS E CADA CÉLULA.</t>
  </si>
  <si>
    <t>AUMENTADO O PERCENTUAL DE RETENÇÃO DO CSLL DE 1% PARA 2,88%</t>
  </si>
  <si>
    <t>O PRINCIPAL OBJETIVO É GARANTIR O PAGAMENTO DO CSLL EM SUA TOTALIDADE;</t>
  </si>
  <si>
    <t>NÃO SEI QUAIS SÃO OS PONTOS POSITIVOS E NEGATIVOS DA RETENÇÃO TOTAL DO CSLL...</t>
  </si>
  <si>
    <t>22, 26,28 e 30.01 ROGÉRIO F DE SOUSA_ATM_CASSIA_PIX_rogeriodj10@gmail.com</t>
  </si>
  <si>
    <t>OK</t>
  </si>
  <si>
    <t>IMPOSTO</t>
  </si>
  <si>
    <t>TOTAL DAS</t>
  </si>
  <si>
    <t>LUCAS V BATISTA - MATERIAL ESCOLAR</t>
  </si>
  <si>
    <t>109/56257873-7</t>
  </si>
  <si>
    <t xml:space="preserve"> 21.02 a 20.03.26</t>
  </si>
  <si>
    <t>02/26</t>
  </si>
  <si>
    <t xml:space="preserve"> 21.02 a 20.03.26_ADAILTON</t>
  </si>
  <si>
    <t>01/06</t>
  </si>
  <si>
    <t>FIORINO REP0A61_45,64 LT GASOLINA</t>
  </si>
  <si>
    <t>FICHA</t>
  </si>
  <si>
    <t>01 CJ UNIFORME LIMPEZA _P_GUTÁLIA A LIMA</t>
  </si>
  <si>
    <t>01 CJ UNIFORME LIMPEZA _M_JOSÉ HENRIQUE</t>
  </si>
  <si>
    <t>ALAIDE M LOPES_ELVIS</t>
  </si>
  <si>
    <t>RPR12</t>
  </si>
  <si>
    <t>PRESTAÇÃO DE SERVIÇOS_JARDINAGEM_30/01 À 04/02/26</t>
  </si>
  <si>
    <t>TAGUA LIFE CENTER_COMP 11 e 12/25</t>
  </si>
  <si>
    <t>JATO TECH</t>
  </si>
  <si>
    <t>DANIEL DIAS DA SILVA</t>
  </si>
  <si>
    <t>55.286.214/0001-68</t>
  </si>
  <si>
    <t>QNN 3 CONJUNTO B, 3</t>
  </si>
  <si>
    <t>CEILÂNDIA NORTE</t>
  </si>
  <si>
    <t>KARCHER HD585_TROCA DOS REPAROS DO BYPASS E REPAROS DA HASTE</t>
  </si>
  <si>
    <t>31.01.25, 02 E 03.02 GABRIEL MEDEIROS SOUZA</t>
  </si>
  <si>
    <t>01.02 A 10.02.26_HUDSON FELIPE_AGP COBERTURA</t>
  </si>
  <si>
    <t>26.01 e 30.01.26_HUDSON FELIPE_AGP COBERTURA</t>
  </si>
  <si>
    <t>19/37</t>
  </si>
  <si>
    <t>28/37</t>
  </si>
  <si>
    <t>13/37</t>
  </si>
  <si>
    <t>14/14</t>
  </si>
  <si>
    <t>CASA_CEILÂNDIA_ROSA_300 KWH</t>
  </si>
  <si>
    <t>MATERIAL DE LIMPEZA_COMPLEMENTARES</t>
  </si>
  <si>
    <t>PRESTAÇÃO DE SERVIÇOS_PG 2.500,00 16.02.26_ FALTA 2.958,00</t>
  </si>
  <si>
    <t>NAZO SUCHI BAR</t>
  </si>
  <si>
    <t>JANTAR JAILSON E ROSA</t>
  </si>
  <si>
    <t>AUTO DE INFRAÇÃO</t>
  </si>
  <si>
    <t>N440037737</t>
  </si>
  <si>
    <t>COMPOS JORDÃO_04.06.22_07H24_MULTA PJ NÃO INDENT. CONDUTOR_FIAT TORO RER0D41</t>
  </si>
  <si>
    <t>N440037750</t>
  </si>
  <si>
    <t>N440037762</t>
  </si>
  <si>
    <t>N00258157</t>
  </si>
  <si>
    <t>SÃO CAETANO_01.09.23_15H21_MULTA PJ NÃO INDENT. CONDUTOR_FIAT TORO RER0D41</t>
  </si>
  <si>
    <t>00000000511058527</t>
  </si>
  <si>
    <t>00810020700038766</t>
  </si>
  <si>
    <t>00000000391100702</t>
  </si>
  <si>
    <t>00890051200064871</t>
  </si>
  <si>
    <t>00810060700106036</t>
  </si>
  <si>
    <t>00860061200056981</t>
  </si>
  <si>
    <t>00000000000168745</t>
  </si>
  <si>
    <t>00000000000000032</t>
  </si>
  <si>
    <t>00870121100230815</t>
  </si>
  <si>
    <t>00870121102957499</t>
  </si>
  <si>
    <t>00860161200074299</t>
  </si>
  <si>
    <t>00000000000144051</t>
  </si>
  <si>
    <t>00000000000269461</t>
  </si>
  <si>
    <t>00890211200072242</t>
  </si>
  <si>
    <t>00870221200002795</t>
  </si>
  <si>
    <t>00890231200079581</t>
  </si>
  <si>
    <t>00890260800042830</t>
  </si>
  <si>
    <t>00890260800042831</t>
  </si>
  <si>
    <t>00880301200036178</t>
  </si>
  <si>
    <t xml:space="preserve">Tarifa Cheque Ouro Manut </t>
  </si>
  <si>
    <t xml:space="preserve">Cobrança de I.O.F.       </t>
  </si>
  <si>
    <t xml:space="preserve">Tarifa Pix Enviado       </t>
  </si>
  <si>
    <t>Tar Mensal Programa Relac</t>
  </si>
  <si>
    <t xml:space="preserve">Tarifa Modulo            </t>
  </si>
  <si>
    <t>Tarifa Pacote de Serviços</t>
  </si>
  <si>
    <t>Tarifa MSG - Mês Anterior</t>
  </si>
  <si>
    <t xml:space="preserve">Cobrança de Juros        </t>
  </si>
  <si>
    <t xml:space="preserve">11/01 19:05 MC DONALDS CED            </t>
  </si>
  <si>
    <t xml:space="preserve">17/01 12:14 59.395.886 VINICI         </t>
  </si>
  <si>
    <t xml:space="preserve">17/01 19:17 59.395.886 VINICI         </t>
  </si>
  <si>
    <t>00000000511057327</t>
  </si>
  <si>
    <t>00830061100120354</t>
  </si>
  <si>
    <t>00830061100120355</t>
  </si>
  <si>
    <t>00830061100120356</t>
  </si>
  <si>
    <t>00830061100120357</t>
  </si>
  <si>
    <t>00830061100120358</t>
  </si>
  <si>
    <t>00870121103146620</t>
  </si>
  <si>
    <t>00890201200197976</t>
  </si>
  <si>
    <t>00890201200197977</t>
  </si>
  <si>
    <t xml:space="preserve">Tar Pag Salár Créd Conta </t>
  </si>
  <si>
    <t>00830061100120344</t>
  </si>
  <si>
    <t>00830061100120345</t>
  </si>
  <si>
    <t>00830061100120346</t>
  </si>
  <si>
    <t>00830061100120347</t>
  </si>
  <si>
    <t>00830061100120348</t>
  </si>
  <si>
    <t>00830061100120349</t>
  </si>
  <si>
    <t>00830061100120350</t>
  </si>
  <si>
    <t>00830061100120351</t>
  </si>
  <si>
    <t>00830061100120352</t>
  </si>
  <si>
    <t>00830061100120353</t>
  </si>
  <si>
    <t>00840071100171849</t>
  </si>
  <si>
    <t>00840071100171850</t>
  </si>
  <si>
    <t>00840071100171851</t>
  </si>
  <si>
    <t>00840071100171852</t>
  </si>
  <si>
    <t>00840071100171853</t>
  </si>
  <si>
    <t>00870121103146582</t>
  </si>
  <si>
    <t>00000000000138443</t>
  </si>
  <si>
    <t>00890201200197974</t>
  </si>
  <si>
    <t>00890201200197975</t>
  </si>
  <si>
    <t>00840271100102874</t>
  </si>
  <si>
    <t>00000000000133965</t>
  </si>
  <si>
    <t>00000000000245676</t>
  </si>
  <si>
    <t xml:space="preserve">20/01 10:40 PedroCesarMoreira         </t>
  </si>
  <si>
    <t xml:space="preserve">30/01 09:26 AUTO POSTO RIACHO         </t>
  </si>
  <si>
    <t xml:space="preserve">30/01 12:41 BAR DA FRAN               </t>
  </si>
  <si>
    <t>ESTILO PAPELARIA E LIVRARIA</t>
  </si>
  <si>
    <t>48.089.243.0001-74</t>
  </si>
  <si>
    <t>QNJ 17</t>
  </si>
  <si>
    <t>ISABELLA E MAISA_MATERIAL ESCOLAR - LIVROS E MAT DIVERSOS</t>
  </si>
  <si>
    <t>12.02 A 20.02.26_ELVIS_COMPLEMENTAÇÃO</t>
  </si>
  <si>
    <t>LANÇAR</t>
  </si>
  <si>
    <t>RECEITA:</t>
  </si>
  <si>
    <t>DESPESAS:</t>
  </si>
  <si>
    <t>DESPESAS OPER E ADM</t>
  </si>
  <si>
    <t>LUCRO LIQUIDO:</t>
  </si>
  <si>
    <t>% LUCRO LIQUIDO:</t>
  </si>
  <si>
    <t>TX202601</t>
  </si>
  <si>
    <t>20.02 JOÃO_ELIENE ATM</t>
  </si>
  <si>
    <t>18.02 JOÃO_ELIENE ATM</t>
  </si>
  <si>
    <t>02.03  À 31.03.26 MARCOS C LIMA_P.A.01.06.24 a 31.05.25</t>
  </si>
  <si>
    <t>02.03  À 31.03.26 ADAILTON C DOS SANTOS_P.A.01.06.24 a 31.05.25</t>
  </si>
  <si>
    <t xml:space="preserve"> 21.02 a 20.03.26_MARCELO E ALAIDE</t>
  </si>
  <si>
    <t xml:space="preserve"> 01.01 À 20.01.26 E 21.01 À 20.02.26_DIF_CCT 2026 (44,30 - 46,38 = 2,08 DIF)</t>
  </si>
  <si>
    <t>01.01 À 20.01.26 E 21.01 À 20.02.26_DIF_CCT 2026 (44,30 - 46,38 = 2,08 DIF)_ADAILTON</t>
  </si>
  <si>
    <t>01.01 À 20.01.26 E 21.01 À 20.02.26_DIF_CCT 2026 (44,30 - 46,38 = 2,08 DIF)_MARCELO E ALAIDE</t>
  </si>
  <si>
    <t>01 E 02/26</t>
  </si>
  <si>
    <t>CASCOL COMBUSTIVEIS</t>
  </si>
  <si>
    <t>00.306.597.083-43</t>
  </si>
  <si>
    <t>BRASE_5,14 LT GASOLINA</t>
  </si>
  <si>
    <t>11.02 A 20.02.26_HUDSON FELIPE_AGP COBERTURA</t>
  </si>
  <si>
    <t>002.005</t>
  </si>
  <si>
    <t>50 MT MANGUEIRA TRAÇADA 1/2 VERDE</t>
  </si>
  <si>
    <t>FIORINO REP0A61_45,58 LT GASOLINA</t>
  </si>
  <si>
    <t>SERV CAR DERIVADO DE PETRÓLEO LTDA</t>
  </si>
  <si>
    <t>00.313.221.0001-10</t>
  </si>
  <si>
    <t>PLANALTINA - GO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</si>
  <si>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</si>
  <si>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</si>
  <si>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</si>
  <si>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</si>
  <si>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</si>
  <si>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</si>
  <si>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</si>
  <si>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</si>
  <si>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</si>
  <si>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</si>
  <si>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</si>
  <si>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</si>
  <si>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</si>
  <si>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</si>
  <si>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</si>
  <si>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</si>
  <si>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</si>
  <si>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</si>
  <si>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</si>
  <si>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</si>
  <si>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</si>
  <si>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</si>
  <si>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</si>
  <si>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</si>
  <si>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</si>
  <si>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</si>
  <si>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</si>
  <si>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</si>
  <si>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</si>
  <si>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</si>
  <si>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</si>
  <si>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</si>
  <si>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</si>
  <si>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</si>
  <si>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</si>
  <si>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</si>
  <si>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</si>
  <si>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</si>
  <si>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</si>
  <si>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</si>
  <si>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</si>
  <si>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</si>
  <si>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</si>
  <si>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</si>
  <si>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</si>
  <si>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</si>
  <si>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</si>
  <si>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</si>
  <si>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</si>
  <si>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</si>
  <si>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</si>
  <si>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</si>
  <si>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</si>
  <si>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</si>
  <si>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</si>
  <si>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</si>
  <si>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</si>
  <si>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</si>
  <si>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</si>
  <si>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</si>
  <si>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</si>
  <si>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</si>
  <si>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</si>
  <si>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</si>
  <si>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</si>
  <si>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</si>
  <si>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</si>
  <si>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</si>
  <si>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</si>
  <si>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</si>
  <si>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</si>
  <si>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</si>
  <si>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</si>
  <si>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</si>
  <si>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</si>
  <si>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</si>
  <si>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</si>
  <si>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</si>
  <si>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</si>
  <si>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</si>
  <si>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</si>
  <si>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</si>
  <si>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</si>
  <si>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</si>
  <si>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</si>
  <si>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</si>
  <si>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</si>
  <si>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</si>
  <si>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</si>
  <si>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</si>
  <si>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</si>
  <si>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</si>
  <si>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</si>
  <si>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</si>
  <si>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</si>
  <si>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</si>
  <si>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</si>
  <si>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</si>
  <si>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</si>
  <si>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</si>
  <si>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</si>
  <si>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</si>
  <si>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06.02.26 DEDETIZAÇÃO</t>
  </si>
  <si>
    <t>29.11, 31.01, 14.02 E 16.02.26_ELIENE GONÇALVES BRITO</t>
  </si>
  <si>
    <t>JAILSON BARBOSA_INVESTIMENTO_COFRINHO</t>
  </si>
  <si>
    <t>PATIO CAPITAL SL 613_44 KWH</t>
  </si>
  <si>
    <t>NF_ITAÚ_BOLETO</t>
  </si>
  <si>
    <t>09,11,13, 19, 23.02 ROGÉRIO F DE SOUSA_PAULO_PIX_rogeriodj10@gmail.com</t>
  </si>
  <si>
    <t>19, 21.02 WELTON_ELIENE ATM</t>
  </si>
  <si>
    <t>25.02 ELIENE_TROCA DE POSTO_JARISON_ATM</t>
  </si>
  <si>
    <t>TROCA POSTO</t>
  </si>
  <si>
    <t>12.02.26 THIAGO_ALAIDE_TRANSF PORTO SEGURO</t>
  </si>
  <si>
    <t>CHECAR_ ALAIDE_ATM ELIENE</t>
  </si>
  <si>
    <t>BRASE</t>
  </si>
  <si>
    <t>RECIBO</t>
  </si>
  <si>
    <t>DURAVELL ELETRÔNICO E ACESSÓRIOS</t>
  </si>
  <si>
    <t>FEIRA DOS IMPORTADOS - BL A LOJA 120</t>
  </si>
  <si>
    <t>SIA</t>
  </si>
  <si>
    <t>PROJETOR TIME TO ENJOY</t>
  </si>
  <si>
    <t>25 E 26.02 ISAAC_</t>
  </si>
  <si>
    <t>24,25,26,27.02_JOÃO BATISTA MENDES PEREIRA_PAULO</t>
  </si>
  <si>
    <t>27.02 ROGÉRIO F DE SOUSA_PAULO_PIX_ATM_RITA</t>
  </si>
  <si>
    <t>02.03.26 DEDETIZAÇÃO</t>
  </si>
  <si>
    <t>BR20261505-B</t>
  </si>
  <si>
    <t>1/6</t>
  </si>
  <si>
    <t>2/5</t>
  </si>
  <si>
    <t>2/27</t>
  </si>
  <si>
    <t>RFB_SN_PARC</t>
  </si>
  <si>
    <t>2/60</t>
  </si>
  <si>
    <t>PERÍODO: 05/23 À 08/23_PARCELAMENTO: 5</t>
  </si>
  <si>
    <t>TAJ MAHAL_GO_NF COMPLEMENTAR</t>
  </si>
  <si>
    <t>PGFN_SN_SISPAR</t>
  </si>
  <si>
    <t>PGFN_SISPAR_PREV</t>
  </si>
  <si>
    <t>PGFN_SISPAR_SN</t>
  </si>
  <si>
    <t>015184421</t>
  </si>
  <si>
    <t>PERÍODO: 06/23 À 10/23_PARCELAMENTO: 5</t>
  </si>
  <si>
    <t>ARENA GUARAENSE_JAILSON BARBOSA</t>
  </si>
  <si>
    <t>CONFIGURAÇÃO UNITV</t>
  </si>
  <si>
    <t>00810330700059702</t>
  </si>
  <si>
    <t>00810331200062069</t>
  </si>
  <si>
    <t>00810350700091401</t>
  </si>
  <si>
    <t>00840411100197982</t>
  </si>
  <si>
    <t>00840411102814851</t>
  </si>
  <si>
    <t>00870501200055249</t>
  </si>
  <si>
    <t>00830541200091498</t>
  </si>
  <si>
    <t>00890560800029495</t>
  </si>
  <si>
    <t>00890560800029496</t>
  </si>
  <si>
    <t>00890561200077192</t>
  </si>
  <si>
    <t xml:space="preserve">                                      </t>
  </si>
  <si>
    <t xml:space="preserve">Cobrança referente 30/01/2026         </t>
  </si>
  <si>
    <t>Tar. agrupadas - ocorrencia 02/02/2026</t>
  </si>
  <si>
    <t xml:space="preserve">IOF Saldo Devedor Conta               </t>
  </si>
  <si>
    <t xml:space="preserve">Cobrança referente 10/02/2026         </t>
  </si>
  <si>
    <t>Tar. agrupadas - ocorrencia 19/02/2026</t>
  </si>
  <si>
    <t>Tar. agrupadas - ocorrencia 23/02/2026</t>
  </si>
  <si>
    <t>Tar. agrupadas - ocorrencia 25/02/2026</t>
  </si>
  <si>
    <t>00820351100112432</t>
  </si>
  <si>
    <t>00820351100112433</t>
  </si>
  <si>
    <t>00820351100112434</t>
  </si>
  <si>
    <t>00820351100112435</t>
  </si>
  <si>
    <t>00820351100112436</t>
  </si>
  <si>
    <t>00820351100112437</t>
  </si>
  <si>
    <t>00820351100112438</t>
  </si>
  <si>
    <t>00870361200148686</t>
  </si>
  <si>
    <t>00870361200148687</t>
  </si>
  <si>
    <t>00870361200148688</t>
  </si>
  <si>
    <t>00870361200148689</t>
  </si>
  <si>
    <t>00870361200148690</t>
  </si>
  <si>
    <t>00870361200148691</t>
  </si>
  <si>
    <t>00870361200148692</t>
  </si>
  <si>
    <t>00870361200148693</t>
  </si>
  <si>
    <t>00840411103000121</t>
  </si>
  <si>
    <t>00880511200242617</t>
  </si>
  <si>
    <t>00880511200242618</t>
  </si>
  <si>
    <t>00880541100330100</t>
  </si>
  <si>
    <t>00820561100206385</t>
  </si>
  <si>
    <t>00870581100409969</t>
  </si>
  <si>
    <t xml:space="preserve">Cobrança referente 04/02/2026         </t>
  </si>
  <si>
    <t xml:space="preserve">Cobrança referente 05/02/2026         </t>
  </si>
  <si>
    <t xml:space="preserve">Cobrança referente 20/02/2026         </t>
  </si>
  <si>
    <t xml:space="preserve">Cobrança referente 23/02/2026         </t>
  </si>
  <si>
    <t xml:space="preserve">Cobrança referente 25/02/2026         </t>
  </si>
  <si>
    <t xml:space="preserve">Cobrança referente 27/02/2026         </t>
  </si>
  <si>
    <t>00870361200148694</t>
  </si>
  <si>
    <t>00870361200148695</t>
  </si>
  <si>
    <t>00870361200148696</t>
  </si>
  <si>
    <t>00870361200148697</t>
  </si>
  <si>
    <t>00820371100199372</t>
  </si>
  <si>
    <t>00820371100199373</t>
  </si>
  <si>
    <t>00840411103000157</t>
  </si>
  <si>
    <t>00830501100202750</t>
  </si>
  <si>
    <t>00880511200242619</t>
  </si>
  <si>
    <t>00880511200242620</t>
  </si>
  <si>
    <t>00880511200242621</t>
  </si>
  <si>
    <t>00890561200136615</t>
  </si>
  <si>
    <t>00862206181712085</t>
  </si>
  <si>
    <t>00870581100409970</t>
  </si>
  <si>
    <t xml:space="preserve">Seg Créd Proteg Empresa  </t>
  </si>
  <si>
    <t>514587X</t>
  </si>
  <si>
    <t>IPTU/TLP 2026_PATIO CAPITAL_SL 613</t>
  </si>
  <si>
    <t xml:space="preserve"> 21.03 a 20.04.26</t>
  </si>
  <si>
    <t>03/26</t>
  </si>
  <si>
    <t xml:space="preserve"> 21.03 a 20.04.26_ADAILTON</t>
  </si>
  <si>
    <t xml:space="preserve"> 21.03 a 20.04.26_MARCELO E ALAIDE</t>
  </si>
  <si>
    <t>2/6</t>
  </si>
  <si>
    <t>3/5</t>
  </si>
  <si>
    <t>3/27</t>
  </si>
  <si>
    <t>3/60</t>
  </si>
  <si>
    <t>PREVISÃO_RECEITA</t>
  </si>
  <si>
    <t>PREVISÃO_DESPESAS</t>
  </si>
  <si>
    <t>PREVISÃO_SALDO</t>
  </si>
  <si>
    <t>PREVISÃO_RESERVA DE CAPITAL</t>
  </si>
  <si>
    <t>2025 CERTIFICADO DIGITAL A1 PJ JJB SERVIÇOS_ VAL 30.07.25</t>
  </si>
  <si>
    <t>2025 CERTIFICADO DIGITAL A1 PJ BRASANTOS_ VAL 28.05.25</t>
  </si>
  <si>
    <t>2025 CERTIFICADO DIGITAL A1 PJ JJB ADMINISTRAÇÃO_ VAL 24.04.26</t>
  </si>
  <si>
    <t>13/26</t>
  </si>
  <si>
    <t>DESPESAS FIXAS_ANUAIS</t>
  </si>
  <si>
    <t>TODOS</t>
  </si>
  <si>
    <t>DATA_DEDETIZAÇÃO</t>
  </si>
  <si>
    <t>DATA_CAIXA DE GORDURA</t>
  </si>
  <si>
    <t>DATA_MANUTENÇÃO DOS JARDINS</t>
  </si>
  <si>
    <t>DATA_MUTIRÃO DE LIMPEZA</t>
  </si>
  <si>
    <t>PRODUÇÃO DE SEGURO INCÊNDIO 571811_SL 613</t>
  </si>
  <si>
    <t>198 refazer</t>
  </si>
  <si>
    <t>02.03 BENTO_EVERALDO_CARRO QUEBOU</t>
  </si>
  <si>
    <t>02 A 07.03_JOÃO B M PEREIRA_PAULO</t>
  </si>
  <si>
    <t>APÓLICE</t>
  </si>
  <si>
    <t>0749514324/02</t>
  </si>
  <si>
    <t>FIORINO ENDURENCE 1.4 BRANCO_REP0A61_VIGENCIA 26.08.25 À 25.08.26</t>
  </si>
  <si>
    <t>04/26</t>
  </si>
  <si>
    <t>07/26</t>
  </si>
  <si>
    <t>09/26</t>
  </si>
  <si>
    <t>DESPESAS ADM E OPERACIONAIS</t>
  </si>
  <si>
    <t>%  SOBRE A RECEITA</t>
  </si>
  <si>
    <t>1. AUMENTAR RECEITA</t>
  </si>
  <si>
    <t>2. REDUZIR EQUIPE OPERACIONAL</t>
  </si>
  <si>
    <t>3. QUITAR EMPRÉSTIMOS</t>
  </si>
  <si>
    <t>4. QUITAR PARCELAMENTO IMPOSTOS</t>
  </si>
  <si>
    <t>AÇÕES URGENTES:</t>
  </si>
  <si>
    <t>7. SERVIÇOS DE CONTABILIDADE: DIMINUIR VALORES, FAZER COTAÇÕES</t>
  </si>
  <si>
    <t>8. PONTO DIGITAL-FACTORIAL: NEGOCIAR PARA DIMINUIR VALORES</t>
  </si>
  <si>
    <t>5. INSS CRÉDITO X DÉBITO - RESGATAR. STATUS JUNTO A CONTABILIADE</t>
  </si>
  <si>
    <t>6. TODAS AUSENCIAS DESCONTAR IMPRETERIVELMENTE (DIA, DSR, VA E VT E FÉRIAS)</t>
  </si>
  <si>
    <t>PROVA REAL</t>
  </si>
  <si>
    <t>CÓD 1732 ISS _ 2%_CLIENTE</t>
  </si>
  <si>
    <t>2 AL</t>
  </si>
  <si>
    <t>1 AL</t>
  </si>
  <si>
    <t>INATIVO_2026</t>
  </si>
  <si>
    <t>2026.001</t>
  </si>
  <si>
    <t>2AGP+2Z</t>
  </si>
  <si>
    <t>2Z+1AGP</t>
  </si>
  <si>
    <t>ITAU_BOLETO_BS</t>
  </si>
  <si>
    <t>BB_BOLETO_JJBS</t>
  </si>
  <si>
    <t>BB_PIX_JJBS</t>
  </si>
  <si>
    <t>BB_PIX_BS</t>
  </si>
  <si>
    <t>ITAU_PIX_BS</t>
  </si>
  <si>
    <t>PERÍODO_COLABORADOR_PA</t>
  </si>
  <si>
    <t>07.03 LEANDRO_THIAGO</t>
  </si>
  <si>
    <t>CÓD 1732 ISS_RETENÇÃO_NF</t>
  </si>
  <si>
    <t>CÓD 2089 IRRF_RETENÇÃO_NF</t>
  </si>
  <si>
    <t>CÓD 5952 PIS+COFINS+CSLL_RETENÇÃO_NF</t>
  </si>
  <si>
    <t>CÓD 2631 GPS_RETENÇÃO_NF</t>
  </si>
  <si>
    <t>CÓD 2372 CSLL</t>
  </si>
  <si>
    <t>118 BB COBRANÇA DE IOF</t>
  </si>
  <si>
    <t>124 BB DÉBITO SERVIÇO COBRANÇA</t>
  </si>
  <si>
    <t>124 BB TARIFA INSTR BAIXA TÍTULO</t>
  </si>
  <si>
    <t>133 BB SEG CRÉD PROTEG EMPRESA</t>
  </si>
  <si>
    <t>142 BB TARIFA MSG - MÊS ANTERIOR</t>
  </si>
  <si>
    <t>177 BB GIRO EMPRESA</t>
  </si>
  <si>
    <t>CÓD 2003 GPS_SIMPLES NACIONAL</t>
  </si>
  <si>
    <t>CÓD 2100 GPS_LUCRO PRESUMIDO OU REAL</t>
  </si>
  <si>
    <t>CÓD 2119 GPS_OUTRAS ENTIDADES</t>
  </si>
  <si>
    <t>CÓD 2985 INSS_CPRB</t>
  </si>
  <si>
    <t>PREMIAÇÃO</t>
  </si>
  <si>
    <t>ENCARGOS_INSS_DÉBITO E CRÉDITO_COMP 01/26</t>
  </si>
  <si>
    <t>ENCARGOS_INSS_DÉBITO E CRÉDITO_COMP 02/26</t>
  </si>
  <si>
    <t>FIORINO REP0A61_49,95 LT GASOLINA</t>
  </si>
  <si>
    <t>03,05, 06.03 ROGÉRIO F DE SOUSA_PAULO_PIX_ATM_RITA</t>
  </si>
  <si>
    <t>04.03.26 DEDETIZAÇÃO</t>
  </si>
  <si>
    <t>000110005368</t>
  </si>
  <si>
    <t>CASA_CEILÂNDIA_ROSA_302 KWH</t>
  </si>
  <si>
    <t>01045496</t>
  </si>
  <si>
    <t>ISABELLA E MAISA_ROUPA E CALÇADO_NIVE MAISA</t>
  </si>
  <si>
    <t>GO - TAJ MAHAL</t>
  </si>
  <si>
    <t>GO - AGROBRASIL</t>
  </si>
  <si>
    <t>GO -VICENZA</t>
  </si>
  <si>
    <t>GO - ISLA</t>
  </si>
  <si>
    <t>GO_VICENTE AMPESSAN</t>
  </si>
  <si>
    <t>ENCARGOS: FÉRIAS E DÉCIMO</t>
  </si>
  <si>
    <t>ENCARGOS: TRCT</t>
  </si>
  <si>
    <t xml:space="preserve">GO-TAJ MAHAL CONSTRUÇÃO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</si>
</sst>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dd/mm/yy;@"/>
    <numFmt numFmtId="168" formatCode="_-* #,##0.0_-;\-* #,##0.0_-;_-* &quot;-&quot;??_-;_-@_-"/>
    <numFmt numFmtId="169" formatCode="#,##0_ ;\-#,##0\ "/>
    <numFmt numFmtId="170" formatCode="#,##0.00_ ;\-#,##0.00\ "/>
    <numFmt numFmtId="171" formatCode="_-* #,##0_-;\-* #,##0_-;_-* &quot;-&quot;??_-;_-@_-"/>
    <numFmt numFmtId="172" formatCode="_-* #,##0.000_-;\-* #,##0.000_-;_-* &quot;-&quot;???_-;_-@_-"/>
    <numFmt numFmtId="173" formatCode="0.000%"/>
    <numFmt numFmtId="174" formatCode="0.0000%"/>
    <numFmt numFmtId="175" formatCode="0.0%"/>
    <numFmt numFmtId="176" formatCode="[$-F800]dddd\,\ mmmm\ dd\,\ yyyy"/>
    <numFmt numFmtId="177" formatCode="_-* #,##0.000_-;\-* #,##0.000_-;_-* &quot;-&quot;??_-;_-@_-"/>
    <numFmt numFmtId="178" formatCode="_-* #,##0.0000_-;\-* #,##0.0000_-;_-* &quot;-&quot;????_-;_-@_-"/>
  </numFmts>
  <fonts count="18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color indexed="8"/>
      <name val="Arial Narrow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12"/>
      <color indexed="81"/>
      <name val="Aptos"/>
      <family val="2"/>
    </font>
    <font>
      <sz val="12"/>
      <color indexed="81"/>
      <name val="Aptos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FF0000"/>
      <name val="Aptos"/>
      <family val="2"/>
    </font>
    <font>
      <b/>
      <sz val="11"/>
      <color rgb="FF00FF00"/>
      <name val="Aptos"/>
      <family val="2"/>
    </font>
    <font>
      <sz val="13"/>
      <color theme="1"/>
      <name val="Aptos"/>
      <family val="2"/>
    </font>
    <font>
      <b/>
      <sz val="13"/>
      <color theme="1"/>
      <name val="Aptos"/>
      <family val="2"/>
    </font>
    <font>
      <u/>
      <sz val="11"/>
      <color theme="10"/>
      <name val="Calibri"/>
      <family val="2"/>
      <scheme val="minor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i/>
      <sz val="8"/>
      <color theme="1"/>
      <name val="Aptos"/>
      <family val="2"/>
    </font>
    <font>
      <b/>
      <sz val="10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0"/>
      <name val="Aptos"/>
      <family val="2"/>
    </font>
    <font>
      <b/>
      <sz val="14"/>
      <name val="Aptos"/>
      <family val="2"/>
    </font>
    <font>
      <sz val="14"/>
      <color theme="0"/>
      <name val="Aptos"/>
      <family val="2"/>
    </font>
    <font>
      <sz val="12"/>
      <color theme="0"/>
      <name val="Aptos"/>
      <family val="2"/>
    </font>
    <font>
      <b/>
      <sz val="12"/>
      <name val="Aptos"/>
      <family val="2"/>
    </font>
    <font>
      <sz val="9"/>
      <color theme="0"/>
      <name val="Aptos"/>
      <family val="2"/>
    </font>
    <font>
      <b/>
      <sz val="13"/>
      <name val="Aptos"/>
      <family val="2"/>
    </font>
    <font>
      <b/>
      <sz val="13"/>
      <color theme="0"/>
      <name val="Aptos"/>
      <family val="2"/>
    </font>
    <font>
      <b/>
      <sz val="14"/>
      <color rgb="FFFF0000"/>
      <name val="Aptos"/>
      <family val="2"/>
    </font>
    <font>
      <i/>
      <sz val="14"/>
      <color theme="1"/>
      <name val="Aptos"/>
      <family val="2"/>
    </font>
    <font>
      <b/>
      <i/>
      <sz val="14"/>
      <color theme="1"/>
      <name val="Aptos"/>
      <family val="2"/>
    </font>
    <font>
      <b/>
      <sz val="9"/>
      <color indexed="81"/>
      <name val="Aptos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1"/>
      <color indexed="81"/>
      <name val="Segoe U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4"/>
      <color rgb="FFFFFF00"/>
      <name val="Aptos"/>
      <family val="2"/>
    </font>
    <font>
      <sz val="16"/>
      <color indexed="81"/>
      <name val="Segoe UI"/>
      <family val="2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1"/>
      <name val="Segoe U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indexed="81"/>
      <name val="Segoe UI"/>
      <family val="2"/>
    </font>
    <font>
      <u/>
      <sz val="11"/>
      <color theme="10"/>
      <name val="Aptos"/>
      <family val="2"/>
    </font>
    <font>
      <sz val="12"/>
      <name val="Aptos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theme="0"/>
      <name val="Aptos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6"/>
      <color theme="1"/>
      <name val="Aptos"/>
      <family val="2"/>
    </font>
    <font>
      <sz val="16"/>
      <color theme="1"/>
      <name val="Aptos"/>
      <family val="2"/>
    </font>
    <font>
      <sz val="8"/>
      <color theme="1"/>
      <name val="Aptos"/>
      <family val="2"/>
    </font>
    <font>
      <b/>
      <sz val="16"/>
      <name val="Aptos"/>
      <family val="2"/>
    </font>
    <font>
      <sz val="11"/>
      <color theme="0"/>
      <name val="Aptos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1"/>
      <name val="Segoe U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00"/>
      <name val="Aptos"/>
      <family val="2"/>
    </font>
    <font>
      <sz val="12"/>
      <color indexed="8"/>
      <name val="Calibri"/>
      <family val="2"/>
      <scheme val="minor"/>
    </font>
    <font>
      <sz val="13"/>
      <color rgb="FFFFFF00"/>
      <name val="Aptos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9"/>
      <color rgb="FFFF0000"/>
      <name val="Aptos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name val="Aptos"/>
      <family val="2"/>
    </font>
    <font>
      <b/>
      <sz val="14"/>
      <color theme="9"/>
      <name val="Aptos"/>
      <family val="2"/>
    </font>
    <font>
      <b/>
      <sz val="14"/>
      <color rgb="FF0070C0"/>
      <name val="Aptos"/>
      <family val="2"/>
    </font>
    <font>
      <sz val="14"/>
      <color theme="5"/>
      <name val="Aptos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4"/>
      <color rgb="FFFFFF00"/>
      <name val="Aptos"/>
      <family val="2"/>
    </font>
    <font>
      <b/>
      <u/>
      <sz val="14"/>
      <color rgb="FFFFFF00"/>
      <name val="Aptos"/>
      <family val="2"/>
    </font>
    <font>
      <b/>
      <sz val="18"/>
      <color rgb="FFFFFF00"/>
      <name val="Aptos"/>
      <family val="2"/>
    </font>
    <font>
      <sz val="12"/>
      <color rgb="FFFF0000"/>
      <name val="Aptos"/>
      <family val="2"/>
    </font>
    <font>
      <sz val="14"/>
      <color rgb="FF0D0D0D"/>
      <name val="Geomanist Regular"/>
    </font>
    <font>
      <b/>
      <sz val="20"/>
      <color rgb="FFFF0000"/>
      <name val="Aptos"/>
      <family val="2"/>
    </font>
    <font>
      <sz val="12"/>
      <color theme="1"/>
      <name val="Calibri"/>
      <scheme val="minor"/>
    </font>
    <font>
      <sz val="12"/>
      <color theme="0"/>
      <name val="Calibri"/>
      <scheme val="minor"/>
    </font>
    <font>
      <sz val="12"/>
      <color rgb="FFFFFF00"/>
      <name val="Calibri"/>
      <family val="2"/>
      <scheme val="minor"/>
    </font>
    <font>
      <b/>
      <sz val="20"/>
      <color theme="8"/>
      <name val="Aptos"/>
      <family val="2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00000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/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1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2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" fillId="0" borderId="0"/>
    <xf numFmtId="49" fontId="21" fillId="24" borderId="0" applyBorder="0" applyProtection="0">
      <alignment horizontal="left" vertical="top" wrapText="1"/>
    </xf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3" fillId="0" borderId="14" applyNumberFormat="0" applyFill="0" applyAlignment="0" applyProtection="0"/>
    <xf numFmtId="0" fontId="20" fillId="0" borderId="0"/>
    <xf numFmtId="0" fontId="53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left" vertical="center" shrinkToFit="1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49" fontId="2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7" fillId="30" borderId="0" xfId="0" applyNumberFormat="1" applyFont="1" applyFill="1" applyAlignment="1">
      <alignment horizontal="center" vertical="center"/>
    </xf>
    <xf numFmtId="49" fontId="27" fillId="32" borderId="0" xfId="0" applyNumberFormat="1" applyFont="1" applyFill="1" applyAlignment="1">
      <alignment horizontal="center" vertical="center"/>
    </xf>
    <xf numFmtId="49" fontId="27" fillId="28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29" fillId="0" borderId="0" xfId="0" applyFont="1" applyAlignment="1">
      <alignment horizontal="left" vertical="center" shrinkToFi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shrinkToFit="1"/>
    </xf>
    <xf numFmtId="14" fontId="24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left" vertical="center"/>
    </xf>
    <xf numFmtId="167" fontId="24" fillId="0" borderId="0" xfId="0" applyNumberFormat="1" applyFont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24" fillId="0" borderId="0" xfId="0" applyFont="1" applyAlignment="1">
      <alignment vertical="center" shrinkToFit="1"/>
    </xf>
    <xf numFmtId="43" fontId="31" fillId="0" borderId="0" xfId="48" applyFont="1" applyFill="1" applyBorder="1" applyAlignment="1">
      <alignment horizontal="center" vertical="center"/>
    </xf>
    <xf numFmtId="43" fontId="31" fillId="0" borderId="0" xfId="48" applyFont="1" applyFill="1" applyBorder="1" applyAlignment="1">
      <alignment vertical="center"/>
    </xf>
    <xf numFmtId="1" fontId="31" fillId="0" borderId="0" xfId="48" quotePrefix="1" applyNumberFormat="1" applyFont="1" applyFill="1" applyBorder="1" applyAlignment="1">
      <alignment horizontal="center" vertical="center"/>
    </xf>
    <xf numFmtId="167" fontId="31" fillId="0" borderId="0" xfId="48" quotePrefix="1" applyNumberFormat="1" applyFont="1" applyFill="1" applyBorder="1" applyAlignment="1">
      <alignment horizontal="center" vertical="center"/>
    </xf>
    <xf numFmtId="43" fontId="24" fillId="0" borderId="0" xfId="48" applyFont="1" applyBorder="1" applyAlignment="1">
      <alignment horizontal="left" vertical="center"/>
    </xf>
    <xf numFmtId="43" fontId="31" fillId="0" borderId="0" xfId="48" quotePrefix="1" applyFont="1" applyFill="1" applyBorder="1" applyAlignment="1">
      <alignment horizontal="center" vertical="center"/>
    </xf>
    <xf numFmtId="167" fontId="24" fillId="0" borderId="0" xfId="0" quotePrefix="1" applyNumberFormat="1" applyFont="1" applyAlignment="1">
      <alignment horizontal="center" vertical="center"/>
    </xf>
    <xf numFmtId="43" fontId="24" fillId="0" borderId="0" xfId="48" applyFont="1" applyBorder="1" applyAlignment="1">
      <alignment horizontal="center" vertical="center"/>
    </xf>
    <xf numFmtId="43" fontId="24" fillId="0" borderId="0" xfId="48" quotePrefix="1" applyFont="1" applyBorder="1" applyAlignment="1">
      <alignment horizontal="center" vertical="center"/>
    </xf>
    <xf numFmtId="43" fontId="31" fillId="0" borderId="0" xfId="48" applyFont="1" applyFill="1" applyBorder="1" applyAlignment="1">
      <alignment horizontal="left" vertical="center"/>
    </xf>
    <xf numFmtId="3" fontId="24" fillId="0" borderId="0" xfId="0" quotePrefix="1" applyNumberFormat="1" applyFont="1" applyAlignment="1">
      <alignment horizontal="center" vertical="center"/>
    </xf>
    <xf numFmtId="167" fontId="31" fillId="0" borderId="0" xfId="48" applyNumberFormat="1" applyFont="1" applyFill="1" applyBorder="1" applyAlignment="1">
      <alignment horizontal="center" vertical="center"/>
    </xf>
    <xf numFmtId="43" fontId="24" fillId="0" borderId="0" xfId="48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43" fontId="24" fillId="0" borderId="0" xfId="48" applyFont="1" applyAlignment="1">
      <alignment horizontal="left" vertical="center"/>
    </xf>
    <xf numFmtId="43" fontId="24" fillId="0" borderId="0" xfId="48" quotePrefix="1" applyFont="1" applyAlignment="1">
      <alignment horizontal="center" vertical="center"/>
    </xf>
    <xf numFmtId="167" fontId="24" fillId="0" borderId="0" xfId="48" applyNumberFormat="1" applyFont="1" applyAlignment="1">
      <alignment horizontal="center" vertical="center"/>
    </xf>
    <xf numFmtId="43" fontId="24" fillId="0" borderId="0" xfId="48" quotePrefix="1" applyFont="1" applyFill="1" applyBorder="1" applyAlignment="1">
      <alignment horizontal="center" vertical="center"/>
    </xf>
    <xf numFmtId="167" fontId="28" fillId="0" borderId="0" xfId="0" applyNumberFormat="1" applyFont="1" applyAlignment="1">
      <alignment vertical="center"/>
    </xf>
    <xf numFmtId="167" fontId="24" fillId="0" borderId="0" xfId="0" applyNumberFormat="1" applyFont="1" applyAlignment="1">
      <alignment horizontal="left" vertical="center" shrinkToFit="1"/>
    </xf>
    <xf numFmtId="167" fontId="25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 shrinkToFit="1"/>
    </xf>
    <xf numFmtId="167" fontId="27" fillId="0" borderId="0" xfId="0" applyNumberFormat="1" applyFont="1" applyAlignment="1">
      <alignment horizontal="center" vertical="center"/>
    </xf>
    <xf numFmtId="49" fontId="27" fillId="34" borderId="0" xfId="0" applyNumberFormat="1" applyFont="1" applyFill="1" applyAlignment="1">
      <alignment horizontal="center" vertical="center"/>
    </xf>
    <xf numFmtId="44" fontId="0" fillId="0" borderId="0" xfId="0" applyNumberFormat="1" applyAlignment="1">
      <alignment horizontal="center" vertical="center" shrinkToFit="1"/>
    </xf>
    <xf numFmtId="44" fontId="24" fillId="0" borderId="0" xfId="0" applyNumberFormat="1" applyFont="1" applyAlignment="1">
      <alignment horizontal="center" vertical="center" shrinkToFit="1"/>
    </xf>
    <xf numFmtId="44" fontId="27" fillId="34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43" fontId="24" fillId="0" borderId="0" xfId="48" applyFont="1" applyFill="1" applyBorder="1" applyAlignment="1">
      <alignment horizontal="center" vertical="center"/>
    </xf>
    <xf numFmtId="43" fontId="24" fillId="0" borderId="0" xfId="48" applyFont="1" applyFill="1" applyBorder="1" applyAlignment="1">
      <alignment horizontal="left" vertical="center"/>
    </xf>
    <xf numFmtId="167" fontId="24" fillId="0" borderId="0" xfId="48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67" fontId="24" fillId="0" borderId="0" xfId="48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vertical="center"/>
    </xf>
    <xf numFmtId="43" fontId="0" fillId="0" borderId="0" xfId="48" applyFont="1" applyAlignment="1">
      <alignment vertical="center"/>
    </xf>
    <xf numFmtId="43" fontId="33" fillId="0" borderId="14" xfId="52" applyNumberFormat="1" applyAlignment="1">
      <alignment horizontal="center" vertical="center" wrapText="1"/>
    </xf>
    <xf numFmtId="167" fontId="29" fillId="0" borderId="0" xfId="0" applyNumberFormat="1" applyFont="1" applyAlignment="1">
      <alignment horizontal="left" vertical="center"/>
    </xf>
    <xf numFmtId="0" fontId="24" fillId="36" borderId="0" xfId="0" quotePrefix="1" applyFont="1" applyFill="1" applyAlignment="1">
      <alignment horizontal="left" vertical="center"/>
    </xf>
    <xf numFmtId="0" fontId="0" fillId="0" borderId="0" xfId="0" applyAlignment="1">
      <alignment horizontal="left" vertical="center" shrinkToFit="1"/>
    </xf>
    <xf numFmtId="0" fontId="24" fillId="0" borderId="0" xfId="0" applyFont="1" applyAlignment="1">
      <alignment horizontal="left" vertical="center" shrinkToFit="1"/>
    </xf>
    <xf numFmtId="49" fontId="27" fillId="0" borderId="0" xfId="0" applyNumberFormat="1" applyFont="1" applyAlignment="1">
      <alignment horizontal="left" vertical="center"/>
    </xf>
    <xf numFmtId="44" fontId="30" fillId="0" borderId="0" xfId="0" applyNumberFormat="1" applyFont="1" applyAlignment="1">
      <alignment vertical="center"/>
    </xf>
    <xf numFmtId="1" fontId="24" fillId="0" borderId="0" xfId="48" quotePrefix="1" applyNumberFormat="1" applyFont="1" applyFill="1" applyBorder="1" applyAlignment="1">
      <alignment horizontal="center" vertical="center"/>
    </xf>
    <xf numFmtId="167" fontId="24" fillId="0" borderId="0" xfId="48" quotePrefix="1" applyNumberFormat="1" applyFont="1" applyFill="1" applyBorder="1" applyAlignment="1">
      <alignment horizontal="center" vertical="center"/>
    </xf>
    <xf numFmtId="167" fontId="27" fillId="0" borderId="0" xfId="0" applyNumberFormat="1" applyFont="1" applyAlignment="1">
      <alignment horizontal="left" vertical="center"/>
    </xf>
    <xf numFmtId="49" fontId="27" fillId="28" borderId="0" xfId="0" applyNumberFormat="1" applyFont="1" applyFill="1" applyAlignment="1">
      <alignment horizontal="left" vertical="center"/>
    </xf>
    <xf numFmtId="49" fontId="27" fillId="30" borderId="0" xfId="0" applyNumberFormat="1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49" fontId="27" fillId="32" borderId="0" xfId="0" applyNumberFormat="1" applyFont="1" applyFill="1" applyAlignment="1">
      <alignment horizontal="left" vertical="center"/>
    </xf>
    <xf numFmtId="49" fontId="27" fillId="34" borderId="0" xfId="0" applyNumberFormat="1" applyFont="1" applyFill="1" applyAlignment="1">
      <alignment horizontal="left" vertical="center"/>
    </xf>
    <xf numFmtId="44" fontId="27" fillId="34" borderId="0" xfId="0" applyNumberFormat="1" applyFont="1" applyFill="1" applyAlignment="1">
      <alignment horizontal="left" vertical="center"/>
    </xf>
    <xf numFmtId="44" fontId="34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44" fontId="24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2" fillId="0" borderId="0" xfId="0" applyNumberFormat="1" applyFont="1" applyAlignment="1">
      <alignment vertical="center"/>
    </xf>
    <xf numFmtId="44" fontId="22" fillId="0" borderId="0" xfId="0" applyNumberFormat="1" applyFont="1" applyAlignment="1">
      <alignment vertical="center"/>
    </xf>
    <xf numFmtId="0" fontId="35" fillId="0" borderId="0" xfId="0" applyFont="1" applyAlignment="1">
      <alignment horizontal="left" vertical="center"/>
    </xf>
    <xf numFmtId="0" fontId="24" fillId="0" borderId="0" xfId="0" quotePrefix="1" applyFont="1" applyAlignment="1">
      <alignment horizontal="left" vertical="center"/>
    </xf>
    <xf numFmtId="44" fontId="36" fillId="0" borderId="0" xfId="0" applyNumberFormat="1" applyFont="1" applyAlignment="1">
      <alignment vertical="center"/>
    </xf>
    <xf numFmtId="0" fontId="24" fillId="31" borderId="0" xfId="0" applyFont="1" applyFill="1" applyAlignment="1">
      <alignment vertical="center"/>
    </xf>
    <xf numFmtId="0" fontId="24" fillId="38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3" fontId="24" fillId="0" borderId="0" xfId="48" quotePrefix="1" applyNumberFormat="1" applyFont="1" applyFill="1" applyBorder="1" applyAlignment="1">
      <alignment horizontal="center" vertical="center"/>
    </xf>
    <xf numFmtId="49" fontId="29" fillId="31" borderId="0" xfId="0" applyNumberFormat="1" applyFont="1" applyFill="1" applyAlignment="1">
      <alignment vertical="center"/>
    </xf>
    <xf numFmtId="0" fontId="35" fillId="38" borderId="0" xfId="0" applyFont="1" applyFill="1" applyAlignment="1">
      <alignment horizontal="center" vertical="center"/>
    </xf>
    <xf numFmtId="43" fontId="24" fillId="0" borderId="0" xfId="48" applyFont="1" applyFill="1" applyAlignment="1">
      <alignment horizontal="center" vertical="center"/>
    </xf>
    <xf numFmtId="43" fontId="24" fillId="0" borderId="0" xfId="48" applyFont="1" applyFill="1" applyAlignment="1">
      <alignment horizontal="left" vertical="center"/>
    </xf>
    <xf numFmtId="167" fontId="24" fillId="0" borderId="0" xfId="48" applyNumberFormat="1" applyFont="1" applyFill="1" applyAlignment="1">
      <alignment horizontal="center" vertical="center"/>
    </xf>
    <xf numFmtId="0" fontId="24" fillId="32" borderId="0" xfId="0" applyFont="1" applyFill="1" applyAlignment="1">
      <alignment vertical="center"/>
    </xf>
    <xf numFmtId="167" fontId="24" fillId="0" borderId="0" xfId="48" quotePrefix="1" applyNumberFormat="1" applyFont="1" applyFill="1" applyAlignment="1">
      <alignment horizontal="center" vertical="center"/>
    </xf>
    <xf numFmtId="43" fontId="24" fillId="0" borderId="0" xfId="48" applyFont="1" applyAlignment="1">
      <alignment vertical="center"/>
    </xf>
    <xf numFmtId="43" fontId="0" fillId="0" borderId="0" xfId="0" applyNumberFormat="1" applyAlignment="1">
      <alignment vertical="center"/>
    </xf>
    <xf numFmtId="0" fontId="24" fillId="40" borderId="0" xfId="0" applyFont="1" applyFill="1" applyAlignment="1">
      <alignment vertical="center"/>
    </xf>
    <xf numFmtId="49" fontId="29" fillId="31" borderId="0" xfId="0" applyNumberFormat="1" applyFont="1" applyFill="1" applyAlignment="1">
      <alignment vertical="center" wrapText="1"/>
    </xf>
    <xf numFmtId="0" fontId="44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 shrinkToFit="1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shrinkToFit="1"/>
    </xf>
    <xf numFmtId="0" fontId="47" fillId="0" borderId="0" xfId="0" applyFont="1" applyAlignment="1">
      <alignment vertical="center"/>
    </xf>
    <xf numFmtId="43" fontId="46" fillId="0" borderId="14" xfId="52" quotePrefix="1" applyNumberFormat="1" applyFont="1" applyFill="1" applyAlignment="1">
      <alignment horizontal="left" vertical="center"/>
    </xf>
    <xf numFmtId="43" fontId="46" fillId="0" borderId="14" xfId="52" applyNumberFormat="1" applyFont="1" applyFill="1" applyAlignment="1">
      <alignment vertical="center"/>
    </xf>
    <xf numFmtId="43" fontId="46" fillId="0" borderId="14" xfId="52" applyNumberFormat="1" applyFont="1" applyFill="1" applyAlignment="1">
      <alignment horizontal="left" vertical="center"/>
    </xf>
    <xf numFmtId="167" fontId="46" fillId="0" borderId="14" xfId="52" applyNumberFormat="1" applyFont="1" applyFill="1" applyAlignment="1">
      <alignment horizontal="left" vertical="center"/>
    </xf>
    <xf numFmtId="167" fontId="46" fillId="0" borderId="14" xfId="52" quotePrefix="1" applyNumberFormat="1" applyFont="1" applyFill="1" applyAlignment="1">
      <alignment horizontal="left" vertical="center"/>
    </xf>
    <xf numFmtId="43" fontId="46" fillId="0" borderId="14" xfId="52" quotePrefix="1" applyNumberFormat="1" applyFont="1" applyFill="1" applyAlignment="1">
      <alignment horizontal="center" vertical="center"/>
    </xf>
    <xf numFmtId="43" fontId="46" fillId="0" borderId="14" xfId="52" applyNumberFormat="1" applyFont="1" applyFill="1" applyAlignment="1">
      <alignment horizontal="center" vertical="center"/>
    </xf>
    <xf numFmtId="43" fontId="47" fillId="0" borderId="0" xfId="48" applyFont="1" applyFill="1" applyAlignment="1">
      <alignment vertical="center"/>
    </xf>
    <xf numFmtId="43" fontId="48" fillId="0" borderId="14" xfId="52" applyNumberFormat="1" applyFont="1" applyFill="1" applyAlignment="1">
      <alignment horizontal="left" vertical="center"/>
    </xf>
    <xf numFmtId="43" fontId="46" fillId="0" borderId="14" xfId="52" applyNumberFormat="1" applyFont="1" applyFill="1" applyAlignment="1">
      <alignment horizontal="left" vertical="center" shrinkToFit="1"/>
    </xf>
    <xf numFmtId="43" fontId="46" fillId="0" borderId="14" xfId="52" quotePrefix="1" applyNumberFormat="1" applyFont="1" applyFill="1" applyAlignment="1">
      <alignment vertical="center"/>
    </xf>
    <xf numFmtId="43" fontId="48" fillId="0" borderId="14" xfId="52" quotePrefix="1" applyNumberFormat="1" applyFont="1" applyFill="1" applyAlignment="1">
      <alignment horizontal="center" vertical="center"/>
    </xf>
    <xf numFmtId="43" fontId="48" fillId="0" borderId="14" xfId="52" applyNumberFormat="1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169" fontId="46" fillId="0" borderId="14" xfId="52" applyNumberFormat="1" applyFont="1" applyFill="1" applyAlignment="1">
      <alignment horizontal="left" vertical="center"/>
    </xf>
    <xf numFmtId="170" fontId="46" fillId="0" borderId="14" xfId="52" applyNumberFormat="1" applyFont="1" applyFill="1" applyAlignment="1">
      <alignment horizontal="left" vertical="center"/>
    </xf>
    <xf numFmtId="171" fontId="46" fillId="0" borderId="14" xfId="52" quotePrefix="1" applyNumberFormat="1" applyFont="1" applyFill="1" applyAlignment="1">
      <alignment horizontal="left" vertical="center"/>
    </xf>
    <xf numFmtId="43" fontId="47" fillId="0" borderId="0" xfId="0" applyNumberFormat="1" applyFont="1" applyAlignment="1">
      <alignment vertical="center"/>
    </xf>
    <xf numFmtId="170" fontId="46" fillId="0" borderId="14" xfId="52" quotePrefix="1" applyNumberFormat="1" applyFont="1" applyFill="1" applyAlignment="1">
      <alignment horizontal="left" vertical="center"/>
    </xf>
    <xf numFmtId="9" fontId="47" fillId="0" borderId="0" xfId="0" applyNumberFormat="1" applyFont="1" applyAlignment="1">
      <alignment vertical="center"/>
    </xf>
    <xf numFmtId="169" fontId="46" fillId="0" borderId="14" xfId="52" quotePrefix="1" applyNumberFormat="1" applyFont="1" applyFill="1" applyAlignment="1">
      <alignment horizontal="left" vertical="center"/>
    </xf>
    <xf numFmtId="169" fontId="48" fillId="0" borderId="14" xfId="52" quotePrefix="1" applyNumberFormat="1" applyFont="1" applyFill="1" applyAlignment="1">
      <alignment horizontal="left" vertical="center"/>
    </xf>
    <xf numFmtId="0" fontId="46" fillId="0" borderId="14" xfId="52" applyFont="1" applyFill="1" applyAlignment="1">
      <alignment horizontal="left" vertical="center"/>
    </xf>
    <xf numFmtId="0" fontId="51" fillId="0" borderId="0" xfId="0" applyFont="1" applyAlignment="1">
      <alignment vertical="center"/>
    </xf>
    <xf numFmtId="0" fontId="46" fillId="0" borderId="14" xfId="52" applyFont="1" applyFill="1" applyAlignment="1">
      <alignment horizontal="left" vertical="center" shrinkToFit="1"/>
    </xf>
    <xf numFmtId="0" fontId="48" fillId="0" borderId="14" xfId="52" applyFont="1" applyFill="1" applyAlignment="1">
      <alignment horizontal="left" vertical="center"/>
    </xf>
    <xf numFmtId="0" fontId="46" fillId="0" borderId="14" xfId="52" quotePrefix="1" applyFont="1" applyFill="1" applyAlignment="1">
      <alignment horizontal="left" vertical="center"/>
    </xf>
    <xf numFmtId="43" fontId="46" fillId="0" borderId="14" xfId="48" applyFont="1" applyFill="1" applyBorder="1" applyAlignment="1">
      <alignment horizontal="center" vertical="center"/>
    </xf>
    <xf numFmtId="167" fontId="46" fillId="0" borderId="0" xfId="0" applyNumberFormat="1" applyFont="1" applyAlignment="1">
      <alignment horizontal="left" vertical="center"/>
    </xf>
    <xf numFmtId="43" fontId="46" fillId="0" borderId="0" xfId="48" applyFont="1" applyFill="1" applyAlignment="1">
      <alignment horizontal="center" vertical="center"/>
    </xf>
    <xf numFmtId="43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 shrinkToFit="1"/>
    </xf>
    <xf numFmtId="0" fontId="46" fillId="0" borderId="0" xfId="0" quotePrefix="1" applyFont="1" applyAlignment="1">
      <alignment horizontal="left" vertical="center"/>
    </xf>
    <xf numFmtId="167" fontId="46" fillId="0" borderId="14" xfId="52" applyNumberFormat="1" applyFont="1" applyFill="1" applyAlignment="1">
      <alignment horizontal="left" vertical="center" shrinkToFit="1"/>
    </xf>
    <xf numFmtId="43" fontId="46" fillId="0" borderId="14" xfId="52" quotePrefix="1" applyNumberFormat="1" applyFont="1" applyFill="1" applyAlignment="1">
      <alignment horizontal="left" vertical="center" shrinkToFit="1"/>
    </xf>
    <xf numFmtId="0" fontId="46" fillId="0" borderId="0" xfId="0" applyFont="1" applyAlignment="1">
      <alignment horizontal="left" vertical="center" wrapText="1"/>
    </xf>
    <xf numFmtId="43" fontId="46" fillId="0" borderId="0" xfId="48" quotePrefix="1" applyFont="1" applyFill="1" applyAlignment="1">
      <alignment horizontal="center" vertical="center"/>
    </xf>
    <xf numFmtId="43" fontId="46" fillId="0" borderId="14" xfId="48" quotePrefix="1" applyFont="1" applyFill="1" applyBorder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0" fontId="54" fillId="0" borderId="0" xfId="0" applyFont="1" applyAlignment="1">
      <alignment vertical="center"/>
    </xf>
    <xf numFmtId="44" fontId="54" fillId="0" borderId="0" xfId="48" applyNumberFormat="1" applyFont="1" applyAlignment="1">
      <alignment vertical="center"/>
    </xf>
    <xf numFmtId="0" fontId="54" fillId="0" borderId="15" xfId="0" applyFont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 applyAlignment="1">
      <alignment horizontal="left" vertical="center" shrinkToFit="1"/>
    </xf>
    <xf numFmtId="0" fontId="54" fillId="0" borderId="17" xfId="0" applyFont="1" applyBorder="1" applyAlignment="1">
      <alignment vertical="center"/>
    </xf>
    <xf numFmtId="0" fontId="55" fillId="0" borderId="17" xfId="0" applyFont="1" applyBorder="1" applyAlignment="1">
      <alignment horizontal="left" vertical="center"/>
    </xf>
    <xf numFmtId="0" fontId="55" fillId="0" borderId="17" xfId="0" applyFont="1" applyBorder="1" applyAlignment="1">
      <alignment horizontal="left" vertical="center" shrinkToFit="1"/>
    </xf>
    <xf numFmtId="17" fontId="55" fillId="0" borderId="0" xfId="0" quotePrefix="1" applyNumberFormat="1" applyFont="1" applyAlignment="1">
      <alignment horizontal="left" vertical="center"/>
    </xf>
    <xf numFmtId="0" fontId="56" fillId="0" borderId="0" xfId="0" applyFont="1" applyAlignment="1">
      <alignment vertical="center"/>
    </xf>
    <xf numFmtId="43" fontId="54" fillId="0" borderId="0" xfId="48" applyFont="1" applyAlignment="1">
      <alignment vertical="center"/>
    </xf>
    <xf numFmtId="0" fontId="55" fillId="0" borderId="0" xfId="0" applyFont="1" applyAlignment="1">
      <alignment horizontal="left" vertical="center"/>
    </xf>
    <xf numFmtId="43" fontId="55" fillId="0" borderId="0" xfId="48" applyFont="1" applyAlignment="1">
      <alignment vertical="center"/>
    </xf>
    <xf numFmtId="172" fontId="54" fillId="0" borderId="0" xfId="0" applyNumberFormat="1" applyFont="1" applyAlignment="1">
      <alignment vertical="center"/>
    </xf>
    <xf numFmtId="0" fontId="54" fillId="0" borderId="0" xfId="0" applyFont="1" applyAlignment="1">
      <alignment horizontal="right" vertical="center"/>
    </xf>
    <xf numFmtId="3" fontId="55" fillId="0" borderId="0" xfId="0" applyNumberFormat="1" applyFont="1" applyAlignment="1">
      <alignment vertical="center"/>
    </xf>
    <xf numFmtId="9" fontId="57" fillId="0" borderId="0" xfId="0" applyNumberFormat="1" applyFont="1" applyAlignment="1">
      <alignment vertical="center"/>
    </xf>
    <xf numFmtId="43" fontId="57" fillId="0" borderId="0" xfId="48" applyFont="1" applyAlignment="1">
      <alignment vertical="center"/>
    </xf>
    <xf numFmtId="44" fontId="55" fillId="0" borderId="0" xfId="48" applyNumberFormat="1" applyFont="1" applyFill="1" applyBorder="1" applyAlignment="1">
      <alignment horizontal="left" vertical="center"/>
    </xf>
    <xf numFmtId="9" fontId="57" fillId="0" borderId="0" xfId="0" applyNumberFormat="1" applyFont="1" applyAlignment="1">
      <alignment horizontal="right" vertical="center"/>
    </xf>
    <xf numFmtId="9" fontId="58" fillId="41" borderId="18" xfId="0" applyNumberFormat="1" applyFont="1" applyFill="1" applyBorder="1" applyAlignment="1">
      <alignment horizontal="center" vertical="center"/>
    </xf>
    <xf numFmtId="9" fontId="58" fillId="43" borderId="21" xfId="0" applyNumberFormat="1" applyFont="1" applyFill="1" applyBorder="1" applyAlignment="1">
      <alignment horizontal="center" vertical="center"/>
    </xf>
    <xf numFmtId="9" fontId="58" fillId="41" borderId="16" xfId="0" applyNumberFormat="1" applyFont="1" applyFill="1" applyBorder="1" applyAlignment="1">
      <alignment horizontal="center" vertical="center"/>
    </xf>
    <xf numFmtId="0" fontId="62" fillId="37" borderId="16" xfId="0" applyFont="1" applyFill="1" applyBorder="1" applyAlignment="1">
      <alignment horizontal="center" vertical="center"/>
    </xf>
    <xf numFmtId="0" fontId="61" fillId="41" borderId="16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9" fontId="58" fillId="43" borderId="16" xfId="0" applyNumberFormat="1" applyFont="1" applyFill="1" applyBorder="1" applyAlignment="1">
      <alignment horizontal="center" vertical="center"/>
    </xf>
    <xf numFmtId="9" fontId="58" fillId="45" borderId="16" xfId="0" applyNumberFormat="1" applyFont="1" applyFill="1" applyBorder="1" applyAlignment="1">
      <alignment horizontal="center" vertical="center"/>
    </xf>
    <xf numFmtId="9" fontId="58" fillId="35" borderId="16" xfId="0" applyNumberFormat="1" applyFont="1" applyFill="1" applyBorder="1" applyAlignment="1">
      <alignment horizontal="center" vertical="center"/>
    </xf>
    <xf numFmtId="9" fontId="59" fillId="44" borderId="16" xfId="0" applyNumberFormat="1" applyFont="1" applyFill="1" applyBorder="1" applyAlignment="1">
      <alignment horizontal="center" vertical="center"/>
    </xf>
    <xf numFmtId="9" fontId="59" fillId="45" borderId="16" xfId="0" applyNumberFormat="1" applyFont="1" applyFill="1" applyBorder="1" applyAlignment="1">
      <alignment horizontal="center" vertical="center"/>
    </xf>
    <xf numFmtId="9" fontId="58" fillId="41" borderId="25" xfId="0" applyNumberFormat="1" applyFont="1" applyFill="1" applyBorder="1" applyAlignment="1">
      <alignment horizontal="center" vertical="center"/>
    </xf>
    <xf numFmtId="10" fontId="63" fillId="37" borderId="16" xfId="0" applyNumberFormat="1" applyFont="1" applyFill="1" applyBorder="1" applyAlignment="1">
      <alignment horizontal="center" vertical="center"/>
    </xf>
    <xf numFmtId="10" fontId="63" fillId="37" borderId="16" xfId="51" applyNumberFormat="1" applyFont="1" applyFill="1" applyBorder="1" applyAlignment="1">
      <alignment horizontal="center" vertical="center"/>
    </xf>
    <xf numFmtId="10" fontId="64" fillId="41" borderId="16" xfId="51" applyNumberFormat="1" applyFont="1" applyFill="1" applyBorder="1" applyAlignment="1">
      <alignment horizontal="center" vertical="center"/>
    </xf>
    <xf numFmtId="10" fontId="64" fillId="41" borderId="24" xfId="51" applyNumberFormat="1" applyFont="1" applyFill="1" applyBorder="1" applyAlignment="1">
      <alignment horizontal="center" vertical="center"/>
    </xf>
    <xf numFmtId="0" fontId="58" fillId="46" borderId="18" xfId="0" applyFont="1" applyFill="1" applyBorder="1" applyAlignment="1">
      <alignment horizontal="center" vertical="center"/>
    </xf>
    <xf numFmtId="44" fontId="58" fillId="46" borderId="18" xfId="48" applyNumberFormat="1" applyFont="1" applyFill="1" applyBorder="1" applyAlignment="1">
      <alignment horizontal="center" vertical="center"/>
    </xf>
    <xf numFmtId="9" fontId="58" fillId="46" borderId="18" xfId="0" applyNumberFormat="1" applyFont="1" applyFill="1" applyBorder="1" applyAlignment="1">
      <alignment horizontal="center" vertical="center"/>
    </xf>
    <xf numFmtId="43" fontId="58" fillId="46" borderId="23" xfId="48" applyFont="1" applyFill="1" applyBorder="1" applyAlignment="1">
      <alignment horizontal="center" vertical="center"/>
    </xf>
    <xf numFmtId="9" fontId="58" fillId="46" borderId="23" xfId="0" applyNumberFormat="1" applyFont="1" applyFill="1" applyBorder="1" applyAlignment="1">
      <alignment horizontal="center" vertical="center"/>
    </xf>
    <xf numFmtId="0" fontId="54" fillId="46" borderId="0" xfId="0" applyFont="1" applyFill="1" applyAlignment="1">
      <alignment horizontal="center" vertical="center"/>
    </xf>
    <xf numFmtId="9" fontId="58" fillId="46" borderId="24" xfId="0" applyNumberFormat="1" applyFont="1" applyFill="1" applyBorder="1" applyAlignment="1">
      <alignment horizontal="center" vertical="center"/>
    </xf>
    <xf numFmtId="10" fontId="65" fillId="46" borderId="18" xfId="0" applyNumberFormat="1" applyFont="1" applyFill="1" applyBorder="1" applyAlignment="1">
      <alignment horizontal="center" vertical="center"/>
    </xf>
    <xf numFmtId="10" fontId="65" fillId="46" borderId="18" xfId="51" applyNumberFormat="1" applyFont="1" applyFill="1" applyBorder="1" applyAlignment="1">
      <alignment horizontal="center" vertical="center"/>
    </xf>
    <xf numFmtId="10" fontId="64" fillId="46" borderId="18" xfId="51" applyNumberFormat="1" applyFont="1" applyFill="1" applyBorder="1" applyAlignment="1">
      <alignment horizontal="center" vertical="center"/>
    </xf>
    <xf numFmtId="10" fontId="64" fillId="46" borderId="0" xfId="51" applyNumberFormat="1" applyFont="1" applyFill="1" applyBorder="1" applyAlignment="1">
      <alignment horizontal="center" vertical="center"/>
    </xf>
    <xf numFmtId="0" fontId="51" fillId="0" borderId="16" xfId="0" quotePrefix="1" applyFont="1" applyBorder="1" applyAlignment="1">
      <alignment horizontal="center" vertical="center"/>
    </xf>
    <xf numFmtId="44" fontId="51" fillId="0" borderId="16" xfId="48" applyNumberFormat="1" applyFont="1" applyFill="1" applyBorder="1" applyAlignment="1">
      <alignment horizontal="left" vertical="center" shrinkToFit="1"/>
    </xf>
    <xf numFmtId="43" fontId="51" fillId="0" borderId="16" xfId="48" applyFont="1" applyFill="1" applyBorder="1" applyAlignment="1">
      <alignment vertical="center"/>
    </xf>
    <xf numFmtId="171" fontId="51" fillId="0" borderId="16" xfId="48" applyNumberFormat="1" applyFont="1" applyFill="1" applyBorder="1" applyAlignment="1">
      <alignment vertical="center"/>
    </xf>
    <xf numFmtId="43" fontId="52" fillId="45" borderId="16" xfId="48" applyFont="1" applyFill="1" applyBorder="1" applyAlignment="1">
      <alignment vertical="center"/>
    </xf>
    <xf numFmtId="43" fontId="52" fillId="41" borderId="16" xfId="48" applyFont="1" applyFill="1" applyBorder="1" applyAlignment="1">
      <alignment horizontal="center" vertical="center"/>
    </xf>
    <xf numFmtId="43" fontId="52" fillId="41" borderId="16" xfId="48" applyFont="1" applyFill="1" applyBorder="1" applyAlignment="1">
      <alignment vertical="center"/>
    </xf>
    <xf numFmtId="173" fontId="51" fillId="0" borderId="16" xfId="51" applyNumberFormat="1" applyFont="1" applyFill="1" applyBorder="1" applyAlignment="1">
      <alignment horizontal="right" vertical="center"/>
    </xf>
    <xf numFmtId="43" fontId="66" fillId="41" borderId="16" xfId="48" applyFont="1" applyFill="1" applyBorder="1" applyAlignment="1">
      <alignment vertical="center"/>
    </xf>
    <xf numFmtId="43" fontId="67" fillId="35" borderId="16" xfId="48" applyFont="1" applyFill="1" applyBorder="1" applyAlignment="1">
      <alignment vertical="center"/>
    </xf>
    <xf numFmtId="43" fontId="51" fillId="0" borderId="0" xfId="48" applyFont="1" applyAlignment="1">
      <alignment vertical="center"/>
    </xf>
    <xf numFmtId="43" fontId="51" fillId="0" borderId="0" xfId="0" applyNumberFormat="1" applyFont="1" applyAlignment="1">
      <alignment vertical="center"/>
    </xf>
    <xf numFmtId="43" fontId="51" fillId="0" borderId="0" xfId="48" applyFont="1" applyFill="1" applyAlignment="1">
      <alignment vertical="center"/>
    </xf>
    <xf numFmtId="168" fontId="51" fillId="0" borderId="16" xfId="48" applyNumberFormat="1" applyFont="1" applyFill="1" applyBorder="1" applyAlignment="1">
      <alignment vertical="center"/>
    </xf>
    <xf numFmtId="43" fontId="51" fillId="31" borderId="16" xfId="48" applyFont="1" applyFill="1" applyBorder="1" applyAlignment="1">
      <alignment vertical="center"/>
    </xf>
    <xf numFmtId="43" fontId="51" fillId="37" borderId="16" xfId="48" applyFont="1" applyFill="1" applyBorder="1" applyAlignment="1">
      <alignment vertical="center"/>
    </xf>
    <xf numFmtId="0" fontId="51" fillId="31" borderId="16" xfId="0" quotePrefix="1" applyFont="1" applyFill="1" applyBorder="1" applyAlignment="1">
      <alignment horizontal="left" vertical="center"/>
    </xf>
    <xf numFmtId="44" fontId="51" fillId="31" borderId="16" xfId="48" applyNumberFormat="1" applyFont="1" applyFill="1" applyBorder="1" applyAlignment="1">
      <alignment horizontal="left" vertical="center" shrinkToFit="1"/>
    </xf>
    <xf numFmtId="171" fontId="51" fillId="31" borderId="16" xfId="48" applyNumberFormat="1" applyFont="1" applyFill="1" applyBorder="1" applyAlignment="1">
      <alignment vertical="center"/>
    </xf>
    <xf numFmtId="43" fontId="51" fillId="0" borderId="16" xfId="48" applyFont="1" applyFill="1" applyBorder="1" applyAlignment="1">
      <alignment horizontal="center" vertical="center"/>
    </xf>
    <xf numFmtId="43" fontId="51" fillId="0" borderId="16" xfId="48" applyFont="1" applyBorder="1" applyAlignment="1">
      <alignment horizontal="center" vertical="center"/>
    </xf>
    <xf numFmtId="9" fontId="51" fillId="0" borderId="0" xfId="0" applyNumberFormat="1" applyFont="1" applyAlignment="1">
      <alignment vertical="center"/>
    </xf>
    <xf numFmtId="10" fontId="51" fillId="0" borderId="0" xfId="51" applyNumberFormat="1" applyFont="1" applyFill="1" applyAlignment="1">
      <alignment vertical="center"/>
    </xf>
    <xf numFmtId="44" fontId="51" fillId="0" borderId="16" xfId="48" applyNumberFormat="1" applyFont="1" applyFill="1" applyBorder="1" applyAlignment="1">
      <alignment vertical="center" shrinkToFit="1"/>
    </xf>
    <xf numFmtId="0" fontId="51" fillId="31" borderId="16" xfId="0" quotePrefix="1" applyFont="1" applyFill="1" applyBorder="1" applyAlignment="1">
      <alignment horizontal="center" vertical="center"/>
    </xf>
    <xf numFmtId="43" fontId="52" fillId="0" borderId="16" xfId="48" applyFont="1" applyFill="1" applyBorder="1" applyAlignment="1">
      <alignment vertical="center"/>
    </xf>
    <xf numFmtId="43" fontId="52" fillId="0" borderId="16" xfId="48" applyFont="1" applyFill="1" applyBorder="1" applyAlignment="1">
      <alignment horizontal="center" vertical="center"/>
    </xf>
    <xf numFmtId="43" fontId="66" fillId="0" borderId="16" xfId="48" applyFont="1" applyFill="1" applyBorder="1" applyAlignment="1">
      <alignment vertical="center"/>
    </xf>
    <xf numFmtId="43" fontId="67" fillId="0" borderId="16" xfId="48" applyFont="1" applyFill="1" applyBorder="1" applyAlignment="1">
      <alignment vertical="center"/>
    </xf>
    <xf numFmtId="0" fontId="55" fillId="41" borderId="16" xfId="0" quotePrefix="1" applyFont="1" applyFill="1" applyBorder="1" applyAlignment="1">
      <alignment horizontal="center" vertical="center"/>
    </xf>
    <xf numFmtId="43" fontId="55" fillId="41" borderId="16" xfId="48" applyFont="1" applyFill="1" applyBorder="1" applyAlignment="1">
      <alignment vertical="center"/>
    </xf>
    <xf numFmtId="171" fontId="55" fillId="41" borderId="16" xfId="48" applyNumberFormat="1" applyFont="1" applyFill="1" applyBorder="1" applyAlignment="1">
      <alignment vertical="center"/>
    </xf>
    <xf numFmtId="43" fontId="55" fillId="41" borderId="16" xfId="48" applyFont="1" applyFill="1" applyBorder="1" applyAlignment="1">
      <alignment horizontal="center" vertical="center"/>
    </xf>
    <xf numFmtId="43" fontId="68" fillId="41" borderId="16" xfId="48" applyFont="1" applyFill="1" applyBorder="1" applyAlignment="1">
      <alignment vertical="center"/>
    </xf>
    <xf numFmtId="43" fontId="61" fillId="41" borderId="16" xfId="48" applyFont="1" applyFill="1" applyBorder="1" applyAlignment="1">
      <alignment vertical="center"/>
    </xf>
    <xf numFmtId="43" fontId="60" fillId="35" borderId="16" xfId="48" applyFont="1" applyFill="1" applyBorder="1" applyAlignment="1">
      <alignment vertical="center"/>
    </xf>
    <xf numFmtId="0" fontId="55" fillId="0" borderId="0" xfId="0" applyFont="1" applyAlignment="1">
      <alignment vertical="center"/>
    </xf>
    <xf numFmtId="43" fontId="55" fillId="0" borderId="0" xfId="0" applyNumberFormat="1" applyFont="1" applyAlignment="1">
      <alignment vertical="center"/>
    </xf>
    <xf numFmtId="43" fontId="54" fillId="0" borderId="0" xfId="0" applyNumberFormat="1" applyFont="1" applyAlignment="1">
      <alignment vertical="center"/>
    </xf>
    <xf numFmtId="0" fontId="68" fillId="41" borderId="15" xfId="0" applyFont="1" applyFill="1" applyBorder="1" applyAlignment="1">
      <alignment horizontal="left" vertical="center"/>
    </xf>
    <xf numFmtId="0" fontId="69" fillId="41" borderId="15" xfId="0" applyFont="1" applyFill="1" applyBorder="1" applyAlignment="1">
      <alignment horizontal="center" vertical="center"/>
    </xf>
    <xf numFmtId="0" fontId="54" fillId="0" borderId="0" xfId="1" applyFont="1" applyAlignment="1">
      <alignment horizontal="left" vertical="center" indent="3"/>
    </xf>
    <xf numFmtId="10" fontId="54" fillId="0" borderId="0" xfId="55" applyNumberFormat="1" applyFont="1" applyFill="1" applyBorder="1" applyAlignment="1" applyProtection="1">
      <alignment horizontal="center" vertical="center"/>
    </xf>
    <xf numFmtId="43" fontId="54" fillId="0" borderId="0" xfId="48" applyFont="1" applyBorder="1" applyAlignment="1">
      <alignment vertical="center"/>
    </xf>
    <xf numFmtId="43" fontId="54" fillId="0" borderId="0" xfId="1" applyNumberFormat="1" applyFont="1" applyAlignment="1">
      <alignment horizontal="left" vertical="center" indent="5"/>
    </xf>
    <xf numFmtId="0" fontId="54" fillId="31" borderId="0" xfId="1" applyFont="1" applyFill="1" applyAlignment="1">
      <alignment horizontal="left" vertical="center" indent="3"/>
    </xf>
    <xf numFmtId="0" fontId="54" fillId="31" borderId="0" xfId="0" applyFont="1" applyFill="1" applyAlignment="1">
      <alignment vertical="center"/>
    </xf>
    <xf numFmtId="43" fontId="54" fillId="31" borderId="0" xfId="48" applyFont="1" applyFill="1" applyBorder="1" applyAlignment="1">
      <alignment vertical="center"/>
    </xf>
    <xf numFmtId="43" fontId="54" fillId="31" borderId="0" xfId="1" applyNumberFormat="1" applyFont="1" applyFill="1" applyAlignment="1">
      <alignment horizontal="left" vertical="center" indent="5"/>
    </xf>
    <xf numFmtId="0" fontId="68" fillId="41" borderId="17" xfId="0" applyFont="1" applyFill="1" applyBorder="1" applyAlignment="1">
      <alignment horizontal="left" vertical="center"/>
    </xf>
    <xf numFmtId="10" fontId="68" fillId="41" borderId="17" xfId="0" applyNumberFormat="1" applyFont="1" applyFill="1" applyBorder="1" applyAlignment="1">
      <alignment horizontal="center" vertical="center"/>
    </xf>
    <xf numFmtId="43" fontId="68" fillId="41" borderId="17" xfId="48" applyFont="1" applyFill="1" applyBorder="1" applyAlignment="1">
      <alignment vertical="center"/>
    </xf>
    <xf numFmtId="43" fontId="54" fillId="0" borderId="0" xfId="0" applyNumberFormat="1" applyFont="1" applyAlignment="1">
      <alignment vertical="center" shrinkToFit="1"/>
    </xf>
    <xf numFmtId="173" fontId="51" fillId="0" borderId="16" xfId="51" applyNumberFormat="1" applyFont="1" applyFill="1" applyBorder="1" applyAlignment="1">
      <alignment vertical="center"/>
    </xf>
    <xf numFmtId="174" fontId="51" fillId="0" borderId="0" xfId="51" applyNumberFormat="1" applyFont="1" applyAlignment="1">
      <alignment vertical="center"/>
    </xf>
    <xf numFmtId="173" fontId="51" fillId="31" borderId="16" xfId="51" applyNumberFormat="1" applyFont="1" applyFill="1" applyBorder="1" applyAlignment="1">
      <alignment horizontal="right" vertical="center"/>
    </xf>
    <xf numFmtId="173" fontId="51" fillId="31" borderId="16" xfId="51" applyNumberFormat="1" applyFont="1" applyFill="1" applyBorder="1" applyAlignment="1">
      <alignment vertical="center"/>
    </xf>
    <xf numFmtId="0" fontId="70" fillId="41" borderId="15" xfId="0" applyFont="1" applyFill="1" applyBorder="1" applyAlignment="1">
      <alignment horizontal="center" vertical="center"/>
    </xf>
    <xf numFmtId="10" fontId="54" fillId="0" borderId="0" xfId="51" applyNumberFormat="1" applyFont="1" applyAlignment="1">
      <alignment vertical="center"/>
    </xf>
    <xf numFmtId="43" fontId="55" fillId="0" borderId="0" xfId="1" applyNumberFormat="1" applyFont="1" applyAlignment="1">
      <alignment horizontal="left" vertical="center" indent="5"/>
    </xf>
    <xf numFmtId="9" fontId="54" fillId="0" borderId="0" xfId="0" applyNumberFormat="1" applyFont="1" applyAlignment="1">
      <alignment vertical="center"/>
    </xf>
    <xf numFmtId="43" fontId="54" fillId="0" borderId="0" xfId="48" applyFont="1" applyFill="1" applyAlignment="1">
      <alignment vertical="center" shrinkToFit="1"/>
    </xf>
    <xf numFmtId="43" fontId="55" fillId="31" borderId="0" xfId="1" applyNumberFormat="1" applyFont="1" applyFill="1" applyAlignment="1">
      <alignment horizontal="left" vertical="center" indent="5"/>
    </xf>
    <xf numFmtId="43" fontId="54" fillId="0" borderId="0" xfId="48" applyFont="1" applyFill="1" applyAlignment="1">
      <alignment vertical="center"/>
    </xf>
    <xf numFmtId="173" fontId="51" fillId="0" borderId="16" xfId="48" applyNumberFormat="1" applyFont="1" applyFill="1" applyBorder="1" applyAlignment="1">
      <alignment vertical="center"/>
    </xf>
    <xf numFmtId="0" fontId="51" fillId="38" borderId="16" xfId="0" quotePrefix="1" applyFont="1" applyFill="1" applyBorder="1" applyAlignment="1">
      <alignment horizontal="center" vertical="center"/>
    </xf>
    <xf numFmtId="43" fontId="51" fillId="38" borderId="16" xfId="48" applyFont="1" applyFill="1" applyBorder="1" applyAlignment="1">
      <alignment vertical="center"/>
    </xf>
    <xf numFmtId="0" fontId="44" fillId="0" borderId="0" xfId="0" applyFont="1" applyAlignment="1">
      <alignment vertical="center" shrinkToFit="1"/>
    </xf>
    <xf numFmtId="43" fontId="44" fillId="0" borderId="0" xfId="48" applyFont="1" applyFill="1" applyBorder="1" applyAlignment="1">
      <alignment horizontal="center" vertical="center"/>
    </xf>
    <xf numFmtId="43" fontId="44" fillId="0" borderId="0" xfId="48" applyFont="1" applyFill="1" applyBorder="1" applyAlignment="1">
      <alignment horizontal="left" vertical="center"/>
    </xf>
    <xf numFmtId="3" fontId="44" fillId="0" borderId="0" xfId="0" quotePrefix="1" applyNumberFormat="1" applyFont="1" applyAlignment="1">
      <alignment horizontal="center" vertical="center"/>
    </xf>
    <xf numFmtId="167" fontId="44" fillId="0" borderId="0" xfId="48" applyNumberFormat="1" applyFont="1" applyFill="1" applyBorder="1" applyAlignment="1">
      <alignment horizontal="center" vertical="center"/>
    </xf>
    <xf numFmtId="167" fontId="44" fillId="0" borderId="0" xfId="0" quotePrefix="1" applyNumberFormat="1" applyFont="1" applyAlignment="1">
      <alignment horizontal="center" vertical="center"/>
    </xf>
    <xf numFmtId="43" fontId="44" fillId="0" borderId="0" xfId="48" applyFont="1" applyBorder="1" applyAlignment="1">
      <alignment horizontal="center" vertical="center"/>
    </xf>
    <xf numFmtId="43" fontId="44" fillId="0" borderId="0" xfId="48" quotePrefix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173" fontId="51" fillId="0" borderId="0" xfId="51" applyNumberFormat="1" applyFont="1" applyAlignment="1">
      <alignment vertical="center"/>
    </xf>
    <xf numFmtId="43" fontId="52" fillId="31" borderId="16" xfId="48" applyFont="1" applyFill="1" applyBorder="1" applyAlignment="1">
      <alignment vertical="center"/>
    </xf>
    <xf numFmtId="43" fontId="24" fillId="0" borderId="0" xfId="48" applyFont="1" applyFill="1" applyBorder="1" applyAlignment="1">
      <alignment horizontal="left" vertical="center" wrapText="1"/>
    </xf>
    <xf numFmtId="0" fontId="24" fillId="31" borderId="0" xfId="0" applyFont="1" applyFill="1" applyAlignment="1">
      <alignment vertical="center" shrinkToFit="1"/>
    </xf>
    <xf numFmtId="0" fontId="44" fillId="0" borderId="0" xfId="0" applyFont="1" applyAlignment="1">
      <alignment horizontal="left" vertical="center"/>
    </xf>
    <xf numFmtId="44" fontId="45" fillId="0" borderId="0" xfId="0" applyNumberFormat="1" applyFont="1" applyAlignment="1">
      <alignment horizontal="left" vertical="center"/>
    </xf>
    <xf numFmtId="43" fontId="44" fillId="0" borderId="0" xfId="48" applyFont="1" applyFill="1" applyAlignment="1">
      <alignment horizontal="center" vertical="center"/>
    </xf>
    <xf numFmtId="43" fontId="44" fillId="0" borderId="0" xfId="48" applyFont="1" applyFill="1" applyAlignment="1">
      <alignment horizontal="left" vertical="center"/>
    </xf>
    <xf numFmtId="167" fontId="44" fillId="0" borderId="0" xfId="48" quotePrefix="1" applyNumberFormat="1" applyFont="1" applyFill="1" applyAlignment="1">
      <alignment horizontal="center" vertical="center"/>
    </xf>
    <xf numFmtId="167" fontId="44" fillId="0" borderId="0" xfId="48" applyNumberFormat="1" applyFont="1" applyFill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43" fontId="44" fillId="0" borderId="0" xfId="48" applyFont="1" applyAlignment="1">
      <alignment horizontal="center" vertical="center"/>
    </xf>
    <xf numFmtId="0" fontId="75" fillId="0" borderId="0" xfId="0" applyFont="1" applyAlignment="1">
      <alignment horizontal="left" vertical="center"/>
    </xf>
    <xf numFmtId="44" fontId="76" fillId="0" borderId="0" xfId="0" applyNumberFormat="1" applyFont="1" applyAlignment="1">
      <alignment horizontal="left" vertical="center"/>
    </xf>
    <xf numFmtId="43" fontId="52" fillId="31" borderId="16" xfId="48" applyFont="1" applyFill="1" applyBorder="1" applyAlignment="1">
      <alignment horizontal="center" vertical="center"/>
    </xf>
    <xf numFmtId="173" fontId="51" fillId="31" borderId="16" xfId="48" applyNumberFormat="1" applyFont="1" applyFill="1" applyBorder="1" applyAlignment="1">
      <alignment vertical="center"/>
    </xf>
    <xf numFmtId="0" fontId="75" fillId="0" borderId="0" xfId="0" applyFont="1" applyAlignment="1">
      <alignment horizontal="center" vertical="center"/>
    </xf>
    <xf numFmtId="0" fontId="75" fillId="0" borderId="0" xfId="0" quotePrefix="1" applyFont="1" applyAlignment="1">
      <alignment horizontal="center" vertical="center"/>
    </xf>
    <xf numFmtId="0" fontId="75" fillId="0" borderId="0" xfId="0" applyFont="1" applyAlignment="1">
      <alignment vertical="center" shrinkToFit="1"/>
    </xf>
    <xf numFmtId="43" fontId="75" fillId="0" borderId="0" xfId="48" applyFont="1" applyFill="1" applyAlignment="1">
      <alignment horizontal="center" vertical="center"/>
    </xf>
    <xf numFmtId="43" fontId="75" fillId="0" borderId="0" xfId="48" applyFont="1" applyFill="1" applyAlignment="1">
      <alignment horizontal="left" vertical="center"/>
    </xf>
    <xf numFmtId="3" fontId="75" fillId="0" borderId="0" xfId="0" applyNumberFormat="1" applyFont="1" applyAlignment="1">
      <alignment horizontal="center" vertical="center"/>
    </xf>
    <xf numFmtId="167" fontId="75" fillId="0" borderId="0" xfId="48" applyNumberFormat="1" applyFont="1" applyFill="1" applyAlignment="1">
      <alignment horizontal="center" vertical="center"/>
    </xf>
    <xf numFmtId="167" fontId="75" fillId="0" borderId="0" xfId="0" applyNumberFormat="1" applyFont="1" applyAlignment="1">
      <alignment horizontal="center" vertical="center"/>
    </xf>
    <xf numFmtId="43" fontId="75" fillId="0" borderId="0" xfId="48" applyFont="1" applyAlignment="1">
      <alignment horizontal="center" vertical="center"/>
    </xf>
    <xf numFmtId="43" fontId="75" fillId="0" borderId="0" xfId="48" applyFont="1" applyFill="1" applyBorder="1" applyAlignment="1">
      <alignment horizontal="center" vertical="center"/>
    </xf>
    <xf numFmtId="43" fontId="75" fillId="0" borderId="0" xfId="48" applyFont="1" applyFill="1" applyBorder="1" applyAlignment="1">
      <alignment horizontal="left" vertical="center"/>
    </xf>
    <xf numFmtId="3" fontId="75" fillId="0" borderId="0" xfId="0" quotePrefix="1" applyNumberFormat="1" applyFont="1" applyAlignment="1">
      <alignment horizontal="center" vertical="center"/>
    </xf>
    <xf numFmtId="167" fontId="75" fillId="0" borderId="0" xfId="48" applyNumberFormat="1" applyFont="1" applyFill="1" applyBorder="1" applyAlignment="1">
      <alignment horizontal="center" vertical="center"/>
    </xf>
    <xf numFmtId="167" fontId="75" fillId="0" borderId="0" xfId="0" quotePrefix="1" applyNumberFormat="1" applyFont="1" applyAlignment="1">
      <alignment horizontal="center" vertical="center"/>
    </xf>
    <xf numFmtId="43" fontId="75" fillId="0" borderId="0" xfId="48" applyFont="1" applyBorder="1" applyAlignment="1">
      <alignment horizontal="center" vertical="center"/>
    </xf>
    <xf numFmtId="43" fontId="75" fillId="0" borderId="0" xfId="48" quotePrefix="1" applyFont="1" applyFill="1" applyBorder="1" applyAlignment="1">
      <alignment horizontal="center" vertical="center"/>
    </xf>
    <xf numFmtId="44" fontId="38" fillId="0" borderId="0" xfId="0" applyNumberFormat="1" applyFont="1" applyAlignment="1">
      <alignment horizontal="left" vertical="center"/>
    </xf>
    <xf numFmtId="167" fontId="75" fillId="0" borderId="0" xfId="48" quotePrefix="1" applyNumberFormat="1" applyFont="1" applyFill="1" applyAlignment="1">
      <alignment horizontal="center" vertical="center"/>
    </xf>
    <xf numFmtId="0" fontId="75" fillId="31" borderId="0" xfId="0" applyFont="1" applyFill="1" applyAlignment="1">
      <alignment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vertical="center" shrinkToFit="1"/>
    </xf>
    <xf numFmtId="43" fontId="79" fillId="0" borderId="0" xfId="48" applyFont="1" applyFill="1" applyAlignment="1">
      <alignment horizontal="center" vertical="center"/>
    </xf>
    <xf numFmtId="43" fontId="79" fillId="0" borderId="0" xfId="48" applyFont="1" applyFill="1" applyAlignment="1">
      <alignment horizontal="left" vertical="center"/>
    </xf>
    <xf numFmtId="3" fontId="79" fillId="0" borderId="0" xfId="0" applyNumberFormat="1" applyFont="1" applyAlignment="1">
      <alignment horizontal="center" vertical="center"/>
    </xf>
    <xf numFmtId="167" fontId="79" fillId="0" borderId="0" xfId="48" applyNumberFormat="1" applyFont="1" applyFill="1" applyAlignment="1">
      <alignment horizontal="center" vertical="center"/>
    </xf>
    <xf numFmtId="167" fontId="79" fillId="0" borderId="0" xfId="0" applyNumberFormat="1" applyFont="1" applyAlignment="1">
      <alignment horizontal="center" vertical="center"/>
    </xf>
    <xf numFmtId="43" fontId="79" fillId="0" borderId="0" xfId="48" applyFont="1" applyAlignment="1">
      <alignment horizontal="center" vertical="center"/>
    </xf>
    <xf numFmtId="0" fontId="81" fillId="0" borderId="0" xfId="0" quotePrefix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1" fillId="0" borderId="0" xfId="0" applyFont="1" applyAlignment="1">
      <alignment vertical="center" shrinkToFit="1"/>
    </xf>
    <xf numFmtId="43" fontId="81" fillId="0" borderId="0" xfId="48" applyFont="1" applyFill="1" applyAlignment="1">
      <alignment horizontal="center" vertical="center"/>
    </xf>
    <xf numFmtId="43" fontId="81" fillId="0" borderId="0" xfId="48" applyFont="1" applyFill="1" applyAlignment="1">
      <alignment horizontal="left" vertical="center"/>
    </xf>
    <xf numFmtId="3" fontId="81" fillId="0" borderId="0" xfId="0" applyNumberFormat="1" applyFont="1" applyAlignment="1">
      <alignment horizontal="center" vertical="center"/>
    </xf>
    <xf numFmtId="167" fontId="81" fillId="0" borderId="0" xfId="48" applyNumberFormat="1" applyFont="1" applyFill="1" applyAlignment="1">
      <alignment horizontal="center" vertical="center"/>
    </xf>
    <xf numFmtId="167" fontId="81" fillId="0" borderId="0" xfId="0" applyNumberFormat="1" applyFont="1" applyAlignment="1">
      <alignment horizontal="center" vertical="center"/>
    </xf>
    <xf numFmtId="43" fontId="81" fillId="0" borderId="0" xfId="48" applyFont="1" applyAlignment="1">
      <alignment horizontal="center" vertical="center"/>
    </xf>
    <xf numFmtId="43" fontId="51" fillId="31" borderId="16" xfId="48" applyFont="1" applyFill="1" applyBorder="1" applyAlignment="1">
      <alignment horizontal="center" vertical="center"/>
    </xf>
    <xf numFmtId="0" fontId="51" fillId="0" borderId="16" xfId="48" applyNumberFormat="1" applyFont="1" applyFill="1" applyBorder="1" applyAlignment="1">
      <alignment horizontal="left" vertical="center" shrinkToFit="1"/>
    </xf>
    <xf numFmtId="0" fontId="51" fillId="31" borderId="16" xfId="48" applyNumberFormat="1" applyFont="1" applyFill="1" applyBorder="1" applyAlignment="1">
      <alignment horizontal="left" vertical="center" shrinkToFit="1"/>
    </xf>
    <xf numFmtId="3" fontId="81" fillId="0" borderId="0" xfId="0" quotePrefix="1" applyNumberFormat="1" applyFont="1" applyAlignment="1">
      <alignment horizontal="center" vertical="center"/>
    </xf>
    <xf numFmtId="167" fontId="81" fillId="0" borderId="0" xfId="48" quotePrefix="1" applyNumberFormat="1" applyFont="1" applyFill="1" applyAlignment="1">
      <alignment horizontal="center" vertical="center"/>
    </xf>
    <xf numFmtId="167" fontId="81" fillId="0" borderId="0" xfId="0" quotePrefix="1" applyNumberFormat="1" applyFont="1" applyAlignment="1">
      <alignment horizontal="center" vertical="center"/>
    </xf>
    <xf numFmtId="167" fontId="81" fillId="0" borderId="0" xfId="48" applyNumberFormat="1" applyFont="1" applyFill="1" applyBorder="1" applyAlignment="1">
      <alignment horizontal="center" vertical="center"/>
    </xf>
    <xf numFmtId="43" fontId="81" fillId="0" borderId="0" xfId="48" applyFont="1" applyBorder="1" applyAlignment="1">
      <alignment horizontal="center" vertical="center"/>
    </xf>
    <xf numFmtId="43" fontId="81" fillId="0" borderId="0" xfId="48" quotePrefix="1" applyFont="1" applyFill="1" applyBorder="1" applyAlignment="1">
      <alignment horizontal="center" vertical="center"/>
    </xf>
    <xf numFmtId="173" fontId="54" fillId="0" borderId="0" xfId="51" applyNumberFormat="1" applyFont="1" applyAlignment="1">
      <alignment vertical="center"/>
    </xf>
    <xf numFmtId="174" fontId="54" fillId="0" borderId="0" xfId="51" applyNumberFormat="1" applyFont="1" applyAlignment="1">
      <alignment vertical="center"/>
    </xf>
    <xf numFmtId="43" fontId="51" fillId="40" borderId="16" xfId="48" applyFont="1" applyFill="1" applyBorder="1" applyAlignment="1">
      <alignment vertical="center"/>
    </xf>
    <xf numFmtId="171" fontId="51" fillId="40" borderId="16" xfId="48" applyNumberFormat="1" applyFont="1" applyFill="1" applyBorder="1" applyAlignment="1">
      <alignment vertical="center"/>
    </xf>
    <xf numFmtId="43" fontId="52" fillId="40" borderId="16" xfId="48" applyFont="1" applyFill="1" applyBorder="1" applyAlignment="1">
      <alignment vertical="center"/>
    </xf>
    <xf numFmtId="43" fontId="52" fillId="40" borderId="16" xfId="48" applyFont="1" applyFill="1" applyBorder="1" applyAlignment="1">
      <alignment horizontal="center" vertical="center"/>
    </xf>
    <xf numFmtId="173" fontId="51" fillId="40" borderId="16" xfId="51" applyNumberFormat="1" applyFont="1" applyFill="1" applyBorder="1" applyAlignment="1">
      <alignment horizontal="right" vertical="center"/>
    </xf>
    <xf numFmtId="43" fontId="66" fillId="40" borderId="16" xfId="48" applyFont="1" applyFill="1" applyBorder="1" applyAlignment="1">
      <alignment vertical="center"/>
    </xf>
    <xf numFmtId="9" fontId="54" fillId="0" borderId="0" xfId="51" applyFont="1" applyAlignment="1">
      <alignment vertical="center"/>
    </xf>
    <xf numFmtId="10" fontId="54" fillId="0" borderId="0" xfId="0" applyNumberFormat="1" applyFont="1" applyAlignment="1">
      <alignment vertical="center"/>
    </xf>
    <xf numFmtId="0" fontId="83" fillId="0" borderId="0" xfId="0" applyFont="1" applyAlignment="1">
      <alignment horizontal="left" vertical="center"/>
    </xf>
    <xf numFmtId="0" fontId="83" fillId="0" borderId="0" xfId="0" applyFont="1" applyAlignment="1">
      <alignment horizontal="center" vertical="center"/>
    </xf>
    <xf numFmtId="0" fontId="83" fillId="0" borderId="0" xfId="0" quotePrefix="1" applyFont="1" applyAlignment="1">
      <alignment horizontal="center" vertical="center"/>
    </xf>
    <xf numFmtId="0" fontId="83" fillId="0" borderId="0" xfId="0" applyFont="1" applyAlignment="1">
      <alignment vertical="center" shrinkToFit="1"/>
    </xf>
    <xf numFmtId="43" fontId="83" fillId="0" borderId="0" xfId="48" applyFont="1" applyFill="1" applyAlignment="1">
      <alignment horizontal="center" vertical="center"/>
    </xf>
    <xf numFmtId="43" fontId="83" fillId="0" borderId="0" xfId="48" applyFont="1" applyFill="1" applyAlignment="1">
      <alignment horizontal="left" vertical="center"/>
    </xf>
    <xf numFmtId="3" fontId="83" fillId="0" borderId="0" xfId="0" quotePrefix="1" applyNumberFormat="1" applyFont="1" applyAlignment="1">
      <alignment horizontal="center" vertical="center"/>
    </xf>
    <xf numFmtId="167" fontId="83" fillId="0" borderId="0" xfId="48" quotePrefix="1" applyNumberFormat="1" applyFont="1" applyFill="1" applyAlignment="1">
      <alignment horizontal="center" vertical="center"/>
    </xf>
    <xf numFmtId="167" fontId="83" fillId="0" borderId="0" xfId="0" quotePrefix="1" applyNumberFormat="1" applyFont="1" applyAlignment="1">
      <alignment horizontal="center" vertical="center"/>
    </xf>
    <xf numFmtId="167" fontId="83" fillId="0" borderId="0" xfId="48" applyNumberFormat="1" applyFont="1" applyFill="1" applyAlignment="1">
      <alignment horizontal="center" vertical="center"/>
    </xf>
    <xf numFmtId="43" fontId="83" fillId="0" borderId="0" xfId="48" applyFont="1" applyBorder="1" applyAlignment="1">
      <alignment horizontal="center" vertical="center"/>
    </xf>
    <xf numFmtId="43" fontId="83" fillId="0" borderId="0" xfId="48" quotePrefix="1" applyFont="1" applyFill="1" applyBorder="1" applyAlignment="1">
      <alignment horizontal="center" vertical="center"/>
    </xf>
    <xf numFmtId="43" fontId="54" fillId="31" borderId="0" xfId="0" applyNumberFormat="1" applyFont="1" applyFill="1" applyAlignment="1">
      <alignment vertical="center"/>
    </xf>
    <xf numFmtId="0" fontId="85" fillId="46" borderId="0" xfId="0" applyFont="1" applyFill="1" applyAlignment="1">
      <alignment vertical="center"/>
    </xf>
    <xf numFmtId="43" fontId="61" fillId="31" borderId="0" xfId="0" applyNumberFormat="1" applyFont="1" applyFill="1" applyAlignment="1">
      <alignment vertical="center"/>
    </xf>
    <xf numFmtId="175" fontId="55" fillId="0" borderId="0" xfId="51" applyNumberFormat="1" applyFont="1" applyAlignment="1">
      <alignment vertical="center"/>
    </xf>
    <xf numFmtId="44" fontId="55" fillId="31" borderId="0" xfId="0" applyNumberFormat="1" applyFont="1" applyFill="1" applyAlignment="1">
      <alignment vertical="center"/>
    </xf>
    <xf numFmtId="43" fontId="55" fillId="31" borderId="0" xfId="0" applyNumberFormat="1" applyFont="1" applyFill="1" applyAlignment="1">
      <alignment vertical="center"/>
    </xf>
    <xf numFmtId="0" fontId="55" fillId="31" borderId="0" xfId="0" applyFont="1" applyFill="1" applyAlignment="1">
      <alignment vertical="center"/>
    </xf>
    <xf numFmtId="0" fontId="51" fillId="40" borderId="16" xfId="48" applyNumberFormat="1" applyFont="1" applyFill="1" applyBorder="1" applyAlignment="1">
      <alignment horizontal="left" vertical="center" shrinkToFit="1"/>
    </xf>
    <xf numFmtId="10" fontId="62" fillId="37" borderId="0" xfId="55" applyNumberFormat="1" applyFont="1" applyFill="1" applyBorder="1" applyAlignment="1" applyProtection="1">
      <alignment horizontal="center" vertical="center"/>
    </xf>
    <xf numFmtId="168" fontId="51" fillId="40" borderId="16" xfId="48" applyNumberFormat="1" applyFont="1" applyFill="1" applyBorder="1" applyAlignment="1">
      <alignment vertical="center"/>
    </xf>
    <xf numFmtId="173" fontId="51" fillId="40" borderId="16" xfId="48" applyNumberFormat="1" applyFont="1" applyFill="1" applyBorder="1" applyAlignment="1">
      <alignment vertical="center"/>
    </xf>
    <xf numFmtId="0" fontId="51" fillId="0" borderId="16" xfId="48" applyNumberFormat="1" applyFont="1" applyFill="1" applyBorder="1" applyAlignment="1">
      <alignment vertical="center" shrinkToFit="1"/>
    </xf>
    <xf numFmtId="0" fontId="51" fillId="38" borderId="16" xfId="48" applyNumberFormat="1" applyFont="1" applyFill="1" applyBorder="1" applyAlignment="1">
      <alignment horizontal="left" vertical="center" shrinkToFit="1"/>
    </xf>
    <xf numFmtId="43" fontId="66" fillId="45" borderId="16" xfId="48" applyFont="1" applyFill="1" applyBorder="1" applyAlignment="1">
      <alignment vertical="center"/>
    </xf>
    <xf numFmtId="0" fontId="51" fillId="0" borderId="16" xfId="0" quotePrefix="1" applyFont="1" applyBorder="1" applyAlignment="1">
      <alignment horizontal="center" vertical="center" shrinkToFit="1"/>
    </xf>
    <xf numFmtId="0" fontId="51" fillId="37" borderId="16" xfId="0" quotePrefix="1" applyFont="1" applyFill="1" applyBorder="1" applyAlignment="1">
      <alignment horizontal="center" vertical="center" shrinkToFit="1"/>
    </xf>
    <xf numFmtId="0" fontId="51" fillId="37" borderId="16" xfId="48" applyNumberFormat="1" applyFont="1" applyFill="1" applyBorder="1" applyAlignment="1">
      <alignment horizontal="left" vertical="center" shrinkToFit="1"/>
    </xf>
    <xf numFmtId="0" fontId="51" fillId="46" borderId="16" xfId="0" quotePrefix="1" applyFont="1" applyFill="1" applyBorder="1" applyAlignment="1">
      <alignment horizontal="center" vertical="center"/>
    </xf>
    <xf numFmtId="44" fontId="51" fillId="46" borderId="16" xfId="48" applyNumberFormat="1" applyFont="1" applyFill="1" applyBorder="1" applyAlignment="1">
      <alignment horizontal="left" vertical="center" shrinkToFit="1"/>
    </xf>
    <xf numFmtId="44" fontId="88" fillId="0" borderId="0" xfId="0" applyNumberFormat="1" applyFont="1" applyAlignment="1">
      <alignment vertical="center"/>
    </xf>
    <xf numFmtId="171" fontId="46" fillId="0" borderId="14" xfId="48" quotePrefix="1" applyNumberFormat="1" applyFont="1" applyFill="1" applyBorder="1" applyAlignment="1">
      <alignment horizontal="left" vertical="center"/>
    </xf>
    <xf numFmtId="171" fontId="46" fillId="0" borderId="14" xfId="48" applyNumberFormat="1" applyFont="1" applyFill="1" applyBorder="1" applyAlignment="1">
      <alignment horizontal="left" vertical="center"/>
    </xf>
    <xf numFmtId="171" fontId="46" fillId="0" borderId="14" xfId="48" applyNumberFormat="1" applyFont="1" applyFill="1" applyBorder="1" applyAlignment="1">
      <alignment horizontal="left" vertical="center" shrinkToFit="1"/>
    </xf>
    <xf numFmtId="171" fontId="46" fillId="0" borderId="0" xfId="48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7" fontId="83" fillId="0" borderId="0" xfId="48" applyNumberFormat="1" applyFont="1" applyFill="1" applyBorder="1" applyAlignment="1">
      <alignment horizontal="center" vertical="center"/>
    </xf>
    <xf numFmtId="0" fontId="89" fillId="0" borderId="0" xfId="0" applyFont="1" applyAlignment="1">
      <alignment horizontal="left" vertical="center"/>
    </xf>
    <xf numFmtId="0" fontId="89" fillId="0" borderId="0" xfId="0" applyFont="1" applyAlignment="1">
      <alignment horizontal="center" vertical="center"/>
    </xf>
    <xf numFmtId="44" fontId="91" fillId="0" borderId="0" xfId="0" applyNumberFormat="1" applyFont="1" applyAlignment="1">
      <alignment vertical="center"/>
    </xf>
    <xf numFmtId="0" fontId="89" fillId="0" borderId="0" xfId="0" applyFont="1" applyAlignment="1">
      <alignment vertical="center" shrinkToFit="1"/>
    </xf>
    <xf numFmtId="43" fontId="89" fillId="0" borderId="0" xfId="48" applyFont="1" applyFill="1" applyAlignment="1">
      <alignment horizontal="center" vertical="center"/>
    </xf>
    <xf numFmtId="43" fontId="89" fillId="0" borderId="0" xfId="48" applyFont="1" applyFill="1" applyAlignment="1">
      <alignment horizontal="left" vertical="center"/>
    </xf>
    <xf numFmtId="3" fontId="89" fillId="0" borderId="0" xfId="0" applyNumberFormat="1" applyFont="1" applyAlignment="1">
      <alignment horizontal="center" vertical="center"/>
    </xf>
    <xf numFmtId="167" fontId="89" fillId="0" borderId="0" xfId="48" applyNumberFormat="1" applyFont="1" applyFill="1" applyAlignment="1">
      <alignment horizontal="center" vertical="center"/>
    </xf>
    <xf numFmtId="167" fontId="89" fillId="0" borderId="0" xfId="0" applyNumberFormat="1" applyFont="1" applyAlignment="1">
      <alignment horizontal="center" vertical="center"/>
    </xf>
    <xf numFmtId="43" fontId="89" fillId="0" borderId="0" xfId="48" applyFont="1" applyAlignment="1">
      <alignment horizontal="center" vertical="center"/>
    </xf>
    <xf numFmtId="44" fontId="51" fillId="46" borderId="16" xfId="48" applyNumberFormat="1" applyFont="1" applyFill="1" applyBorder="1" applyAlignment="1">
      <alignment vertical="center" shrinkToFit="1"/>
    </xf>
    <xf numFmtId="43" fontId="51" fillId="46" borderId="16" xfId="48" applyFont="1" applyFill="1" applyBorder="1" applyAlignment="1">
      <alignment vertical="center"/>
    </xf>
    <xf numFmtId="171" fontId="51" fillId="46" borderId="16" xfId="48" applyNumberFormat="1" applyFont="1" applyFill="1" applyBorder="1" applyAlignment="1">
      <alignment vertical="center"/>
    </xf>
    <xf numFmtId="43" fontId="52" fillId="46" borderId="16" xfId="48" applyFont="1" applyFill="1" applyBorder="1" applyAlignment="1">
      <alignment vertical="center"/>
    </xf>
    <xf numFmtId="43" fontId="52" fillId="46" borderId="16" xfId="48" applyFont="1" applyFill="1" applyBorder="1" applyAlignment="1">
      <alignment horizontal="center" vertical="center"/>
    </xf>
    <xf numFmtId="173" fontId="51" fillId="46" borderId="16" xfId="51" applyNumberFormat="1" applyFont="1" applyFill="1" applyBorder="1" applyAlignment="1">
      <alignment horizontal="right" vertical="center"/>
    </xf>
    <xf numFmtId="43" fontId="66" fillId="46" borderId="16" xfId="48" applyFont="1" applyFill="1" applyBorder="1" applyAlignment="1">
      <alignment vertical="center"/>
    </xf>
    <xf numFmtId="43" fontId="67" fillId="46" borderId="16" xfId="48" applyFon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43" fontId="52" fillId="0" borderId="16" xfId="48" applyFont="1" applyFill="1" applyBorder="1" applyAlignment="1">
      <alignment vertical="center" shrinkToFit="1"/>
    </xf>
    <xf numFmtId="43" fontId="52" fillId="45" borderId="16" xfId="48" applyFont="1" applyFill="1" applyBorder="1" applyAlignment="1">
      <alignment vertical="center" shrinkToFit="1"/>
    </xf>
    <xf numFmtId="43" fontId="52" fillId="0" borderId="0" xfId="48" applyFont="1" applyAlignment="1">
      <alignment vertical="center"/>
    </xf>
    <xf numFmtId="0" fontId="94" fillId="0" borderId="0" xfId="0" applyFont="1" applyAlignment="1">
      <alignment horizontal="center" vertical="center"/>
    </xf>
    <xf numFmtId="0" fontId="94" fillId="0" borderId="0" xfId="0" quotePrefix="1" applyFont="1" applyAlignment="1">
      <alignment horizontal="center" vertical="center"/>
    </xf>
    <xf numFmtId="0" fontId="94" fillId="0" borderId="0" xfId="0" applyFont="1" applyAlignment="1">
      <alignment vertical="center" shrinkToFit="1"/>
    </xf>
    <xf numFmtId="43" fontId="94" fillId="0" borderId="0" xfId="48" applyFont="1" applyFill="1" applyAlignment="1">
      <alignment horizontal="center" vertical="center"/>
    </xf>
    <xf numFmtId="43" fontId="94" fillId="0" borderId="0" xfId="48" applyFont="1" applyFill="1" applyAlignment="1">
      <alignment horizontal="left" vertical="center"/>
    </xf>
    <xf numFmtId="3" fontId="94" fillId="0" borderId="0" xfId="0" applyNumberFormat="1" applyFont="1" applyAlignment="1">
      <alignment horizontal="center" vertical="center"/>
    </xf>
    <xf numFmtId="167" fontId="94" fillId="0" borderId="0" xfId="48" applyNumberFormat="1" applyFont="1" applyFill="1" applyAlignment="1">
      <alignment horizontal="center" vertical="center"/>
    </xf>
    <xf numFmtId="167" fontId="94" fillId="0" borderId="0" xfId="0" applyNumberFormat="1" applyFont="1" applyAlignment="1">
      <alignment horizontal="center" vertical="center"/>
    </xf>
    <xf numFmtId="43" fontId="94" fillId="0" borderId="0" xfId="48" applyFont="1" applyAlignment="1">
      <alignment horizontal="center" vertical="center"/>
    </xf>
    <xf numFmtId="3" fontId="94" fillId="0" borderId="0" xfId="0" quotePrefix="1" applyNumberFormat="1" applyFont="1" applyAlignment="1">
      <alignment horizontal="center" vertical="center"/>
    </xf>
    <xf numFmtId="167" fontId="94" fillId="0" borderId="0" xfId="0" quotePrefix="1" applyNumberFormat="1" applyFont="1" applyAlignment="1">
      <alignment horizontal="center" vertical="center"/>
    </xf>
    <xf numFmtId="167" fontId="94" fillId="0" borderId="0" xfId="48" applyNumberFormat="1" applyFont="1" applyFill="1" applyBorder="1" applyAlignment="1">
      <alignment horizontal="center" vertical="center"/>
    </xf>
    <xf numFmtId="43" fontId="94" fillId="0" borderId="0" xfId="48" applyFont="1" applyBorder="1" applyAlignment="1">
      <alignment horizontal="center" vertical="center"/>
    </xf>
    <xf numFmtId="43" fontId="94" fillId="0" borderId="0" xfId="48" quotePrefix="1" applyFont="1" applyFill="1" applyBorder="1" applyAlignment="1">
      <alignment horizontal="center" vertical="center"/>
    </xf>
    <xf numFmtId="0" fontId="96" fillId="0" borderId="0" xfId="0" quotePrefix="1" applyFont="1" applyAlignment="1">
      <alignment horizontal="center" vertical="center"/>
    </xf>
    <xf numFmtId="0" fontId="96" fillId="0" borderId="0" xfId="0" applyFont="1" applyAlignment="1">
      <alignment vertical="center" shrinkToFit="1"/>
    </xf>
    <xf numFmtId="43" fontId="96" fillId="0" borderId="0" xfId="48" applyFont="1" applyFill="1" applyBorder="1" applyAlignment="1">
      <alignment horizontal="center" vertical="center"/>
    </xf>
    <xf numFmtId="43" fontId="96" fillId="0" borderId="0" xfId="48" applyFont="1" applyFill="1" applyBorder="1" applyAlignment="1">
      <alignment horizontal="left" vertical="center"/>
    </xf>
    <xf numFmtId="0" fontId="96" fillId="0" borderId="0" xfId="0" applyFont="1" applyAlignment="1">
      <alignment horizontal="center" vertical="center"/>
    </xf>
    <xf numFmtId="3" fontId="96" fillId="0" borderId="0" xfId="0" quotePrefix="1" applyNumberFormat="1" applyFont="1" applyAlignment="1">
      <alignment horizontal="center" vertical="center"/>
    </xf>
    <xf numFmtId="167" fontId="96" fillId="0" borderId="0" xfId="48" applyNumberFormat="1" applyFont="1" applyFill="1" applyBorder="1" applyAlignment="1">
      <alignment horizontal="center" vertical="center"/>
    </xf>
    <xf numFmtId="167" fontId="96" fillId="0" borderId="0" xfId="0" quotePrefix="1" applyNumberFormat="1" applyFont="1" applyAlignment="1">
      <alignment horizontal="center" vertical="center"/>
    </xf>
    <xf numFmtId="43" fontId="96" fillId="0" borderId="0" xfId="48" applyFont="1" applyBorder="1" applyAlignment="1">
      <alignment horizontal="center" vertical="center"/>
    </xf>
    <xf numFmtId="43" fontId="96" fillId="0" borderId="0" xfId="48" quotePrefix="1" applyFont="1" applyFill="1" applyBorder="1" applyAlignment="1">
      <alignment horizontal="center" vertical="center"/>
    </xf>
    <xf numFmtId="168" fontId="51" fillId="46" borderId="16" xfId="48" applyNumberFormat="1" applyFont="1" applyFill="1" applyBorder="1" applyAlignment="1">
      <alignment vertical="center"/>
    </xf>
    <xf numFmtId="173" fontId="51" fillId="46" borderId="16" xfId="48" applyNumberFormat="1" applyFont="1" applyFill="1" applyBorder="1" applyAlignment="1">
      <alignment vertical="center"/>
    </xf>
    <xf numFmtId="173" fontId="51" fillId="46" borderId="16" xfId="51" applyNumberFormat="1" applyFont="1" applyFill="1" applyBorder="1" applyAlignment="1">
      <alignment vertical="center"/>
    </xf>
    <xf numFmtId="0" fontId="98" fillId="0" borderId="0" xfId="0" quotePrefix="1" applyFont="1" applyAlignment="1">
      <alignment horizontal="center" vertical="center"/>
    </xf>
    <xf numFmtId="0" fontId="98" fillId="0" borderId="0" xfId="0" applyFont="1" applyAlignment="1">
      <alignment vertical="center" shrinkToFit="1"/>
    </xf>
    <xf numFmtId="43" fontId="98" fillId="0" borderId="0" xfId="48" applyFont="1" applyFill="1" applyBorder="1" applyAlignment="1">
      <alignment horizontal="center" vertical="center"/>
    </xf>
    <xf numFmtId="43" fontId="98" fillId="0" borderId="0" xfId="48" applyFont="1" applyFill="1" applyBorder="1" applyAlignment="1">
      <alignment horizontal="left" vertical="center"/>
    </xf>
    <xf numFmtId="0" fontId="98" fillId="0" borderId="0" xfId="0" applyFont="1" applyAlignment="1">
      <alignment horizontal="center" vertical="center"/>
    </xf>
    <xf numFmtId="3" fontId="98" fillId="0" borderId="0" xfId="0" quotePrefix="1" applyNumberFormat="1" applyFont="1" applyAlignment="1">
      <alignment horizontal="center" vertical="center"/>
    </xf>
    <xf numFmtId="167" fontId="98" fillId="0" borderId="0" xfId="48" applyNumberFormat="1" applyFont="1" applyFill="1" applyBorder="1" applyAlignment="1">
      <alignment horizontal="center" vertical="center"/>
    </xf>
    <xf numFmtId="167" fontId="98" fillId="0" borderId="0" xfId="0" quotePrefix="1" applyNumberFormat="1" applyFont="1" applyAlignment="1">
      <alignment horizontal="center" vertical="center"/>
    </xf>
    <xf numFmtId="43" fontId="98" fillId="0" borderId="0" xfId="48" applyFont="1" applyBorder="1" applyAlignment="1">
      <alignment horizontal="center" vertical="center"/>
    </xf>
    <xf numFmtId="43" fontId="98" fillId="0" borderId="0" xfId="48" quotePrefix="1" applyFont="1" applyFill="1" applyBorder="1" applyAlignment="1">
      <alignment horizontal="center" vertical="center"/>
    </xf>
    <xf numFmtId="0" fontId="101" fillId="0" borderId="0" xfId="54" applyFont="1" applyFill="1" applyAlignment="1">
      <alignment horizontal="left" vertical="center" shrinkToFit="1"/>
    </xf>
    <xf numFmtId="0" fontId="101" fillId="0" borderId="0" xfId="54" applyFont="1" applyFill="1" applyAlignment="1">
      <alignment horizontal="left" vertical="center"/>
    </xf>
    <xf numFmtId="0" fontId="101" fillId="0" borderId="0" xfId="54" applyFont="1" applyAlignment="1">
      <alignment horizontal="left" vertical="center" wrapText="1"/>
    </xf>
    <xf numFmtId="43" fontId="46" fillId="0" borderId="0" xfId="48" applyFont="1" applyAlignment="1">
      <alignment vertical="center"/>
    </xf>
    <xf numFmtId="43" fontId="47" fillId="0" borderId="0" xfId="48" applyFont="1" applyAlignment="1">
      <alignment vertical="center"/>
    </xf>
    <xf numFmtId="0" fontId="58" fillId="0" borderId="0" xfId="0" applyFont="1" applyAlignment="1">
      <alignment horizontal="left" vertical="center" shrinkToFit="1"/>
    </xf>
    <xf numFmtId="0" fontId="47" fillId="0" borderId="0" xfId="0" applyFont="1" applyAlignment="1">
      <alignment horizontal="center" vertical="center"/>
    </xf>
    <xf numFmtId="167" fontId="47" fillId="0" borderId="0" xfId="0" applyNumberFormat="1" applyFont="1" applyAlignment="1">
      <alignment horizontal="left" vertical="center" shrinkToFit="1"/>
    </xf>
    <xf numFmtId="44" fontId="47" fillId="0" borderId="0" xfId="0" applyNumberFormat="1" applyFont="1" applyAlignment="1">
      <alignment horizontal="center" vertical="center" shrinkToFit="1"/>
    </xf>
    <xf numFmtId="14" fontId="47" fillId="0" borderId="0" xfId="0" applyNumberFormat="1" applyFont="1" applyAlignment="1">
      <alignment horizontal="center" vertical="center"/>
    </xf>
    <xf numFmtId="44" fontId="47" fillId="0" borderId="0" xfId="0" applyNumberFormat="1" applyFont="1" applyAlignment="1">
      <alignment horizontal="center" vertical="center"/>
    </xf>
    <xf numFmtId="43" fontId="47" fillId="0" borderId="0" xfId="48" applyFont="1" applyAlignment="1">
      <alignment horizontal="center" vertical="center"/>
    </xf>
    <xf numFmtId="0" fontId="47" fillId="0" borderId="0" xfId="0" quotePrefix="1" applyFont="1" applyAlignment="1">
      <alignment horizontal="left" vertical="center"/>
    </xf>
    <xf numFmtId="49" fontId="102" fillId="0" borderId="0" xfId="0" applyNumberFormat="1" applyFont="1" applyAlignment="1">
      <alignment vertical="center"/>
    </xf>
    <xf numFmtId="49" fontId="102" fillId="0" borderId="0" xfId="0" applyNumberFormat="1" applyFont="1" applyAlignment="1">
      <alignment horizontal="left" vertical="center"/>
    </xf>
    <xf numFmtId="49" fontId="47" fillId="0" borderId="0" xfId="0" applyNumberFormat="1" applyFont="1" applyAlignment="1">
      <alignment horizontal="left" vertical="center"/>
    </xf>
    <xf numFmtId="0" fontId="102" fillId="0" borderId="0" xfId="0" applyFont="1" applyAlignment="1">
      <alignment horizontal="left" vertical="center"/>
    </xf>
    <xf numFmtId="49" fontId="102" fillId="0" borderId="0" xfId="0" quotePrefix="1" applyNumberFormat="1" applyFont="1" applyAlignment="1">
      <alignment horizontal="left" vertical="center"/>
    </xf>
    <xf numFmtId="167" fontId="102" fillId="0" borderId="0" xfId="0" applyNumberFormat="1" applyFont="1" applyAlignment="1">
      <alignment horizontal="left" vertical="center"/>
    </xf>
    <xf numFmtId="44" fontId="102" fillId="0" borderId="0" xfId="0" applyNumberFormat="1" applyFont="1" applyAlignment="1">
      <alignment vertical="center"/>
    </xf>
    <xf numFmtId="44" fontId="102" fillId="0" borderId="0" xfId="0" applyNumberFormat="1" applyFont="1" applyAlignment="1">
      <alignment horizontal="center" vertical="center"/>
    </xf>
    <xf numFmtId="44" fontId="63" fillId="0" borderId="0" xfId="0" applyNumberFormat="1" applyFont="1" applyAlignment="1">
      <alignment horizontal="left" vertical="center"/>
    </xf>
    <xf numFmtId="49" fontId="102" fillId="38" borderId="0" xfId="0" applyNumberFormat="1" applyFont="1" applyFill="1" applyAlignment="1">
      <alignment horizontal="left" vertical="center"/>
    </xf>
    <xf numFmtId="49" fontId="102" fillId="38" borderId="0" xfId="0" quotePrefix="1" applyNumberFormat="1" applyFont="1" applyFill="1" applyAlignment="1">
      <alignment horizontal="left" vertical="center"/>
    </xf>
    <xf numFmtId="167" fontId="102" fillId="38" borderId="0" xfId="0" applyNumberFormat="1" applyFont="1" applyFill="1" applyAlignment="1">
      <alignment horizontal="left" vertical="center"/>
    </xf>
    <xf numFmtId="49" fontId="102" fillId="38" borderId="0" xfId="0" applyNumberFormat="1" applyFont="1" applyFill="1" applyAlignment="1">
      <alignment vertical="center"/>
    </xf>
    <xf numFmtId="44" fontId="102" fillId="38" borderId="0" xfId="0" applyNumberFormat="1" applyFont="1" applyFill="1" applyAlignment="1">
      <alignment horizontal="center" vertical="center"/>
    </xf>
    <xf numFmtId="0" fontId="102" fillId="0" borderId="0" xfId="0" applyFont="1" applyAlignment="1">
      <alignment horizontal="left" vertical="center" shrinkToFit="1"/>
    </xf>
    <xf numFmtId="44" fontId="102" fillId="0" borderId="0" xfId="0" applyNumberFormat="1" applyFont="1" applyAlignment="1">
      <alignment horizontal="left" vertical="center"/>
    </xf>
    <xf numFmtId="44" fontId="102" fillId="0" borderId="0" xfId="48" applyNumberFormat="1" applyFont="1" applyFill="1" applyAlignment="1">
      <alignment horizontal="left" vertical="center"/>
    </xf>
    <xf numFmtId="14" fontId="47" fillId="0" borderId="0" xfId="0" quotePrefix="1" applyNumberFormat="1" applyFont="1" applyAlignment="1">
      <alignment horizontal="left" vertical="center"/>
    </xf>
    <xf numFmtId="0" fontId="47" fillId="0" borderId="0" xfId="0" applyFont="1" applyAlignment="1">
      <alignment vertical="center" shrinkToFit="1"/>
    </xf>
    <xf numFmtId="44" fontId="47" fillId="0" borderId="0" xfId="0" applyNumberFormat="1" applyFont="1" applyAlignment="1">
      <alignment horizontal="left" vertical="center"/>
    </xf>
    <xf numFmtId="0" fontId="47" fillId="40" borderId="0" xfId="0" applyFont="1" applyFill="1" applyAlignment="1">
      <alignment horizontal="left" vertical="center"/>
    </xf>
    <xf numFmtId="0" fontId="47" fillId="40" borderId="0" xfId="0" applyFont="1" applyFill="1" applyAlignment="1">
      <alignment vertical="center"/>
    </xf>
    <xf numFmtId="0" fontId="102" fillId="40" borderId="0" xfId="0" quotePrefix="1" applyFont="1" applyFill="1" applyAlignment="1">
      <alignment horizontal="left" vertical="center"/>
    </xf>
    <xf numFmtId="49" fontId="102" fillId="40" borderId="0" xfId="0" quotePrefix="1" applyNumberFormat="1" applyFont="1" applyFill="1" applyAlignment="1">
      <alignment horizontal="left" vertical="center"/>
    </xf>
    <xf numFmtId="167" fontId="102" fillId="40" borderId="0" xfId="0" applyNumberFormat="1" applyFont="1" applyFill="1" applyAlignment="1">
      <alignment horizontal="left" vertical="center"/>
    </xf>
    <xf numFmtId="49" fontId="102" fillId="40" borderId="0" xfId="0" applyNumberFormat="1" applyFont="1" applyFill="1" applyAlignment="1">
      <alignment horizontal="left" vertical="center"/>
    </xf>
    <xf numFmtId="44" fontId="47" fillId="40" borderId="0" xfId="48" applyNumberFormat="1" applyFont="1" applyFill="1" applyAlignment="1">
      <alignment horizontal="left" vertical="center"/>
    </xf>
    <xf numFmtId="44" fontId="102" fillId="40" borderId="0" xfId="48" applyNumberFormat="1" applyFont="1" applyFill="1" applyBorder="1" applyAlignment="1">
      <alignment horizontal="left" vertical="center"/>
    </xf>
    <xf numFmtId="49" fontId="47" fillId="0" borderId="0" xfId="0" applyNumberFormat="1" applyFont="1" applyAlignment="1">
      <alignment vertical="center"/>
    </xf>
    <xf numFmtId="0" fontId="102" fillId="0" borderId="0" xfId="0" quotePrefix="1" applyFont="1" applyAlignment="1">
      <alignment horizontal="left" vertical="center"/>
    </xf>
    <xf numFmtId="44" fontId="102" fillId="0" borderId="0" xfId="48" applyNumberFormat="1" applyFont="1" applyFill="1" applyBorder="1" applyAlignment="1">
      <alignment horizontal="left" vertical="center"/>
    </xf>
    <xf numFmtId="44" fontId="47" fillId="0" borderId="0" xfId="48" applyNumberFormat="1" applyFont="1" applyFill="1" applyAlignment="1">
      <alignment horizontal="left" vertical="center"/>
    </xf>
    <xf numFmtId="44" fontId="102" fillId="38" borderId="0" xfId="48" applyNumberFormat="1" applyFont="1" applyFill="1" applyAlignment="1">
      <alignment vertical="center"/>
    </xf>
    <xf numFmtId="49" fontId="102" fillId="40" borderId="0" xfId="0" applyNumberFormat="1" applyFont="1" applyFill="1" applyAlignment="1">
      <alignment vertical="center"/>
    </xf>
    <xf numFmtId="49" fontId="47" fillId="40" borderId="0" xfId="0" applyNumberFormat="1" applyFont="1" applyFill="1" applyAlignment="1">
      <alignment vertical="center"/>
    </xf>
    <xf numFmtId="44" fontId="102" fillId="40" borderId="0" xfId="0" applyNumberFormat="1" applyFont="1" applyFill="1" applyAlignment="1">
      <alignment horizontal="center" vertical="center"/>
    </xf>
    <xf numFmtId="44" fontId="102" fillId="40" borderId="0" xfId="0" applyNumberFormat="1" applyFont="1" applyFill="1" applyAlignment="1">
      <alignment vertical="center"/>
    </xf>
    <xf numFmtId="0" fontId="58" fillId="0" borderId="0" xfId="0" applyFont="1" applyAlignment="1">
      <alignment vertical="center"/>
    </xf>
    <xf numFmtId="167" fontId="47" fillId="0" borderId="0" xfId="0" applyNumberFormat="1" applyFont="1" applyAlignment="1">
      <alignment horizontal="left" vertical="center"/>
    </xf>
    <xf numFmtId="167" fontId="47" fillId="0" borderId="0" xfId="0" applyNumberFormat="1" applyFont="1" applyAlignment="1">
      <alignment vertical="center"/>
    </xf>
    <xf numFmtId="49" fontId="47" fillId="0" borderId="0" xfId="0" applyNumberFormat="1" applyFont="1" applyAlignment="1">
      <alignment horizontal="center" vertical="center"/>
    </xf>
    <xf numFmtId="167" fontId="47" fillId="0" borderId="0" xfId="0" applyNumberFormat="1" applyFont="1" applyAlignment="1">
      <alignment horizontal="center" vertical="center"/>
    </xf>
    <xf numFmtId="167" fontId="47" fillId="0" borderId="0" xfId="0" applyNumberFormat="1" applyFont="1" applyAlignment="1">
      <alignment horizontal="center" vertical="center" shrinkToFit="1"/>
    </xf>
    <xf numFmtId="49" fontId="47" fillId="28" borderId="0" xfId="0" applyNumberFormat="1" applyFont="1" applyFill="1" applyAlignment="1">
      <alignment horizontal="center" vertical="center"/>
    </xf>
    <xf numFmtId="49" fontId="47" fillId="30" borderId="0" xfId="0" applyNumberFormat="1" applyFont="1" applyFill="1" applyAlignment="1">
      <alignment horizontal="center" vertical="center"/>
    </xf>
    <xf numFmtId="49" fontId="47" fillId="32" borderId="0" xfId="0" applyNumberFormat="1" applyFont="1" applyFill="1" applyAlignment="1">
      <alignment horizontal="center" vertical="center"/>
    </xf>
    <xf numFmtId="49" fontId="47" fillId="34" borderId="0" xfId="0" applyNumberFormat="1" applyFont="1" applyFill="1" applyAlignment="1">
      <alignment horizontal="center" vertical="center"/>
    </xf>
    <xf numFmtId="44" fontId="47" fillId="34" borderId="0" xfId="0" applyNumberFormat="1" applyFont="1" applyFill="1" applyAlignment="1">
      <alignment horizontal="center" vertical="center"/>
    </xf>
    <xf numFmtId="0" fontId="58" fillId="0" borderId="0" xfId="0" applyFont="1" applyAlignment="1">
      <alignment horizontal="left" vertical="center"/>
    </xf>
    <xf numFmtId="43" fontId="58" fillId="0" borderId="0" xfId="0" applyNumberFormat="1" applyFont="1" applyAlignment="1">
      <alignment vertical="center"/>
    </xf>
    <xf numFmtId="44" fontId="47" fillId="0" borderId="0" xfId="0" applyNumberFormat="1" applyFont="1" applyAlignment="1">
      <alignment vertical="center"/>
    </xf>
    <xf numFmtId="49" fontId="102" fillId="0" borderId="0" xfId="0" applyNumberFormat="1" applyFont="1" applyAlignment="1">
      <alignment horizontal="left" vertical="center" shrinkToFit="1"/>
    </xf>
    <xf numFmtId="0" fontId="103" fillId="0" borderId="0" xfId="0" quotePrefix="1" applyFont="1" applyAlignment="1">
      <alignment horizontal="center" vertical="center"/>
    </xf>
    <xf numFmtId="0" fontId="103" fillId="0" borderId="0" xfId="0" applyFont="1" applyAlignment="1">
      <alignment vertical="center" shrinkToFit="1"/>
    </xf>
    <xf numFmtId="43" fontId="103" fillId="0" borderId="0" xfId="48" applyFont="1" applyFill="1" applyAlignment="1">
      <alignment horizontal="center" vertical="center"/>
    </xf>
    <xf numFmtId="43" fontId="103" fillId="0" borderId="0" xfId="48" applyFont="1" applyFill="1" applyAlignment="1">
      <alignment horizontal="left" vertical="center"/>
    </xf>
    <xf numFmtId="0" fontId="103" fillId="0" borderId="0" xfId="0" applyFont="1" applyAlignment="1">
      <alignment horizontal="center" vertical="center"/>
    </xf>
    <xf numFmtId="3" fontId="103" fillId="0" borderId="0" xfId="0" quotePrefix="1" applyNumberFormat="1" applyFont="1" applyAlignment="1">
      <alignment horizontal="center" vertical="center"/>
    </xf>
    <xf numFmtId="167" fontId="103" fillId="0" borderId="0" xfId="48" quotePrefix="1" applyNumberFormat="1" applyFont="1" applyFill="1" applyAlignment="1">
      <alignment horizontal="center" vertical="center"/>
    </xf>
    <xf numFmtId="167" fontId="103" fillId="0" borderId="0" xfId="0" quotePrefix="1" applyNumberFormat="1" applyFont="1" applyAlignment="1">
      <alignment horizontal="center" vertical="center"/>
    </xf>
    <xf numFmtId="167" fontId="103" fillId="0" borderId="0" xfId="48" applyNumberFormat="1" applyFont="1" applyFill="1" applyBorder="1" applyAlignment="1">
      <alignment horizontal="center" vertical="center"/>
    </xf>
    <xf numFmtId="43" fontId="103" fillId="0" borderId="0" xfId="48" applyFont="1" applyBorder="1" applyAlignment="1">
      <alignment horizontal="center" vertical="center"/>
    </xf>
    <xf numFmtId="43" fontId="103" fillId="0" borderId="0" xfId="48" quotePrefix="1" applyFont="1" applyFill="1" applyBorder="1" applyAlignment="1">
      <alignment horizontal="center" vertical="center"/>
    </xf>
    <xf numFmtId="3" fontId="103" fillId="0" borderId="0" xfId="0" applyNumberFormat="1" applyFont="1" applyAlignment="1">
      <alignment horizontal="center" vertical="center"/>
    </xf>
    <xf numFmtId="167" fontId="103" fillId="0" borderId="0" xfId="48" applyNumberFormat="1" applyFont="1" applyFill="1" applyAlignment="1">
      <alignment horizontal="center" vertical="center"/>
    </xf>
    <xf numFmtId="167" fontId="103" fillId="0" borderId="0" xfId="0" applyNumberFormat="1" applyFont="1" applyAlignment="1">
      <alignment horizontal="center" vertical="center"/>
    </xf>
    <xf numFmtId="43" fontId="103" fillId="0" borderId="0" xfId="48" applyFont="1" applyAlignment="1">
      <alignment horizontal="center" vertical="center"/>
    </xf>
    <xf numFmtId="44" fontId="102" fillId="0" borderId="0" xfId="48" applyNumberFormat="1" applyFont="1" applyFill="1" applyAlignment="1">
      <alignment vertical="center"/>
    </xf>
    <xf numFmtId="3" fontId="102" fillId="0" borderId="0" xfId="0" applyNumberFormat="1" applyFont="1" applyAlignment="1">
      <alignment horizontal="left" vertical="center" shrinkToFit="1"/>
    </xf>
    <xf numFmtId="43" fontId="60" fillId="0" borderId="0" xfId="0" applyNumberFormat="1" applyFont="1" applyAlignment="1">
      <alignment vertical="center"/>
    </xf>
    <xf numFmtId="43" fontId="54" fillId="0" borderId="0" xfId="48" applyFont="1" applyFill="1" applyBorder="1" applyAlignment="1">
      <alignment vertical="center"/>
    </xf>
    <xf numFmtId="43" fontId="55" fillId="0" borderId="0" xfId="48" applyFont="1" applyFill="1" applyAlignment="1">
      <alignment vertical="center"/>
    </xf>
    <xf numFmtId="0" fontId="106" fillId="0" borderId="0" xfId="0" applyFont="1" applyAlignment="1">
      <alignment horizontal="center" vertical="center"/>
    </xf>
    <xf numFmtId="0" fontId="106" fillId="0" borderId="0" xfId="0" quotePrefix="1" applyFont="1" applyAlignment="1">
      <alignment horizontal="center" vertical="center"/>
    </xf>
    <xf numFmtId="0" fontId="106" fillId="0" borderId="0" xfId="0" applyFont="1" applyAlignment="1">
      <alignment vertical="center" shrinkToFit="1"/>
    </xf>
    <xf numFmtId="43" fontId="106" fillId="0" borderId="0" xfId="48" applyFont="1" applyFill="1" applyAlignment="1">
      <alignment horizontal="center" vertical="center"/>
    </xf>
    <xf numFmtId="43" fontId="106" fillId="0" borderId="0" xfId="48" applyFont="1" applyFill="1" applyAlignment="1">
      <alignment horizontal="left" vertical="center"/>
    </xf>
    <xf numFmtId="3" fontId="106" fillId="0" borderId="0" xfId="0" quotePrefix="1" applyNumberFormat="1" applyFont="1" applyAlignment="1">
      <alignment horizontal="center" vertical="center"/>
    </xf>
    <xf numFmtId="167" fontId="106" fillId="0" borderId="0" xfId="48" quotePrefix="1" applyNumberFormat="1" applyFont="1" applyFill="1" applyAlignment="1">
      <alignment horizontal="center" vertical="center"/>
    </xf>
    <xf numFmtId="167" fontId="106" fillId="0" borderId="0" xfId="0" quotePrefix="1" applyNumberFormat="1" applyFont="1" applyAlignment="1">
      <alignment horizontal="center" vertical="center"/>
    </xf>
    <xf numFmtId="167" fontId="106" fillId="0" borderId="0" xfId="48" applyNumberFormat="1" applyFont="1" applyFill="1" applyBorder="1" applyAlignment="1">
      <alignment horizontal="center" vertical="center"/>
    </xf>
    <xf numFmtId="43" fontId="106" fillId="0" borderId="0" xfId="48" applyFont="1" applyBorder="1" applyAlignment="1">
      <alignment horizontal="center" vertical="center"/>
    </xf>
    <xf numFmtId="43" fontId="106" fillId="0" borderId="0" xfId="48" quotePrefix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49" fontId="64" fillId="0" borderId="0" xfId="0" applyNumberFormat="1" applyFont="1" applyAlignment="1">
      <alignment vertical="center"/>
    </xf>
    <xf numFmtId="0" fontId="108" fillId="0" borderId="0" xfId="0" applyFont="1" applyAlignment="1">
      <alignment vertical="center" shrinkToFit="1"/>
    </xf>
    <xf numFmtId="43" fontId="108" fillId="0" borderId="0" xfId="48" applyFont="1" applyFill="1" applyAlignment="1">
      <alignment horizontal="center" vertical="center"/>
    </xf>
    <xf numFmtId="43" fontId="108" fillId="0" borderId="0" xfId="48" applyFont="1" applyFill="1" applyAlignment="1">
      <alignment horizontal="left" vertical="center"/>
    </xf>
    <xf numFmtId="3" fontId="108" fillId="0" borderId="0" xfId="0" applyNumberFormat="1" applyFont="1" applyAlignment="1">
      <alignment horizontal="center" vertical="center"/>
    </xf>
    <xf numFmtId="167" fontId="108" fillId="0" borderId="0" xfId="48" applyNumberFormat="1" applyFont="1" applyFill="1" applyAlignment="1">
      <alignment horizontal="center" vertical="center"/>
    </xf>
    <xf numFmtId="167" fontId="108" fillId="0" borderId="0" xfId="0" applyNumberFormat="1" applyFont="1" applyAlignment="1">
      <alignment horizontal="center" vertical="center"/>
    </xf>
    <xf numFmtId="43" fontId="108" fillId="0" borderId="0" xfId="48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0" fillId="0" borderId="0" xfId="0" applyFont="1" applyAlignment="1">
      <alignment vertical="center" shrinkToFit="1"/>
    </xf>
    <xf numFmtId="43" fontId="110" fillId="0" borderId="0" xfId="48" applyFont="1" applyFill="1" applyAlignment="1">
      <alignment horizontal="center" vertical="center"/>
    </xf>
    <xf numFmtId="3" fontId="110" fillId="0" borderId="0" xfId="0" applyNumberFormat="1" applyFont="1" applyAlignment="1">
      <alignment horizontal="center" vertical="center"/>
    </xf>
    <xf numFmtId="167" fontId="110" fillId="0" borderId="0" xfId="48" applyNumberFormat="1" applyFont="1" applyFill="1" applyAlignment="1">
      <alignment horizontal="center" vertical="center"/>
    </xf>
    <xf numFmtId="167" fontId="110" fillId="0" borderId="0" xfId="0" applyNumberFormat="1" applyFont="1" applyAlignment="1">
      <alignment horizontal="center" vertical="center"/>
    </xf>
    <xf numFmtId="43" fontId="110" fillId="0" borderId="0" xfId="48" applyFont="1" applyAlignment="1">
      <alignment horizontal="center" vertical="center"/>
    </xf>
    <xf numFmtId="43" fontId="24" fillId="0" borderId="0" xfId="48" applyFont="1" applyFill="1" applyAlignment="1">
      <alignment horizontal="left" vertical="center" wrapText="1"/>
    </xf>
    <xf numFmtId="43" fontId="24" fillId="0" borderId="0" xfId="48" applyFont="1" applyFill="1" applyAlignment="1">
      <alignment horizontal="center" vertical="center" shrinkToFit="1"/>
    </xf>
    <xf numFmtId="0" fontId="112" fillId="0" borderId="0" xfId="0" applyFont="1" applyAlignment="1">
      <alignment vertical="center"/>
    </xf>
    <xf numFmtId="167" fontId="113" fillId="0" borderId="0" xfId="0" applyNumberFormat="1" applyFont="1" applyAlignment="1">
      <alignment vertical="center"/>
    </xf>
    <xf numFmtId="0" fontId="47" fillId="0" borderId="0" xfId="0" applyFont="1" applyAlignment="1">
      <alignment horizontal="left" vertical="center" shrinkToFit="1"/>
    </xf>
    <xf numFmtId="49" fontId="46" fillId="0" borderId="0" xfId="0" applyNumberFormat="1" applyFont="1" applyAlignment="1">
      <alignment horizontal="center" vertical="center"/>
    </xf>
    <xf numFmtId="167" fontId="114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center" vertical="center" shrinkToFit="1"/>
    </xf>
    <xf numFmtId="44" fontId="46" fillId="0" borderId="0" xfId="0" applyNumberFormat="1" applyFont="1" applyAlignment="1">
      <alignment horizontal="center" vertical="center" shrinkToFit="1"/>
    </xf>
    <xf numFmtId="49" fontId="54" fillId="0" borderId="0" xfId="0" applyNumberFormat="1" applyFont="1" applyAlignment="1">
      <alignment horizontal="center" vertical="center"/>
    </xf>
    <xf numFmtId="49" fontId="54" fillId="28" borderId="0" xfId="0" applyNumberFormat="1" applyFont="1" applyFill="1" applyAlignment="1">
      <alignment horizontal="center" vertical="center"/>
    </xf>
    <xf numFmtId="49" fontId="54" fillId="30" borderId="0" xfId="0" applyNumberFormat="1" applyFont="1" applyFill="1" applyAlignment="1">
      <alignment horizontal="center" vertical="center"/>
    </xf>
    <xf numFmtId="167" fontId="54" fillId="0" borderId="0" xfId="0" applyNumberFormat="1" applyFont="1" applyAlignment="1">
      <alignment horizontal="center" vertical="center"/>
    </xf>
    <xf numFmtId="49" fontId="54" fillId="32" borderId="0" xfId="0" applyNumberFormat="1" applyFont="1" applyFill="1" applyAlignment="1">
      <alignment horizontal="center" vertical="center"/>
    </xf>
    <xf numFmtId="49" fontId="54" fillId="34" borderId="0" xfId="0" applyNumberFormat="1" applyFont="1" applyFill="1" applyAlignment="1">
      <alignment horizontal="center" vertical="center"/>
    </xf>
    <xf numFmtId="44" fontId="54" fillId="34" borderId="0" xfId="0" applyNumberFormat="1" applyFont="1" applyFill="1" applyAlignment="1">
      <alignment horizontal="center" vertical="center"/>
    </xf>
    <xf numFmtId="0" fontId="47" fillId="36" borderId="0" xfId="0" quotePrefix="1" applyFont="1" applyFill="1" applyAlignment="1">
      <alignment horizontal="left" vertical="center"/>
    </xf>
    <xf numFmtId="44" fontId="63" fillId="0" borderId="0" xfId="0" applyNumberFormat="1" applyFont="1" applyAlignment="1">
      <alignment vertical="center"/>
    </xf>
    <xf numFmtId="49" fontId="102" fillId="0" borderId="0" xfId="0" quotePrefix="1" applyNumberFormat="1" applyFont="1" applyAlignment="1">
      <alignment vertical="center"/>
    </xf>
    <xf numFmtId="0" fontId="112" fillId="0" borderId="0" xfId="0" applyFont="1" applyAlignment="1">
      <alignment horizontal="center" vertical="center"/>
    </xf>
    <xf numFmtId="167" fontId="112" fillId="0" borderId="0" xfId="0" applyNumberFormat="1" applyFont="1" applyAlignment="1">
      <alignment vertical="center"/>
    </xf>
    <xf numFmtId="0" fontId="112" fillId="0" borderId="0" xfId="0" applyFont="1" applyAlignment="1">
      <alignment horizontal="left" vertical="center"/>
    </xf>
    <xf numFmtId="44" fontId="115" fillId="0" borderId="0" xfId="0" applyNumberFormat="1" applyFont="1" applyAlignment="1">
      <alignment vertical="center"/>
    </xf>
    <xf numFmtId="44" fontId="46" fillId="0" borderId="0" xfId="51" applyNumberFormat="1" applyFont="1" applyAlignment="1">
      <alignment vertical="center"/>
    </xf>
    <xf numFmtId="44" fontId="46" fillId="0" borderId="0" xfId="0" applyNumberFormat="1" applyFont="1" applyAlignment="1">
      <alignment vertical="center"/>
    </xf>
    <xf numFmtId="43" fontId="46" fillId="0" borderId="0" xfId="48" applyFont="1" applyAlignment="1">
      <alignment horizontal="center" vertical="center"/>
    </xf>
    <xf numFmtId="49" fontId="102" fillId="31" borderId="0" xfId="0" applyNumberFormat="1" applyFont="1" applyFill="1" applyAlignment="1">
      <alignment horizontal="left" vertical="center"/>
    </xf>
    <xf numFmtId="0" fontId="116" fillId="0" borderId="0" xfId="0" applyFont="1" applyAlignment="1">
      <alignment vertical="center"/>
    </xf>
    <xf numFmtId="49" fontId="54" fillId="38" borderId="0" xfId="0" applyNumberFormat="1" applyFont="1" applyFill="1" applyAlignment="1">
      <alignment horizontal="center" vertical="center"/>
    </xf>
    <xf numFmtId="0" fontId="54" fillId="38" borderId="0" xfId="0" applyFont="1" applyFill="1" applyAlignment="1">
      <alignment horizontal="center" vertical="center"/>
    </xf>
    <xf numFmtId="167" fontId="54" fillId="38" borderId="0" xfId="0" applyNumberFormat="1" applyFont="1" applyFill="1" applyAlignment="1">
      <alignment horizontal="center" vertical="center"/>
    </xf>
    <xf numFmtId="44" fontId="54" fillId="38" borderId="0" xfId="0" applyNumberFormat="1" applyFont="1" applyFill="1" applyAlignment="1">
      <alignment horizontal="center" vertical="center"/>
    </xf>
    <xf numFmtId="49" fontId="62" fillId="38" borderId="0" xfId="0" applyNumberFormat="1" applyFont="1" applyFill="1" applyAlignment="1">
      <alignment horizontal="center" vertical="center"/>
    </xf>
    <xf numFmtId="0" fontId="47" fillId="39" borderId="0" xfId="0" quotePrefix="1" applyFont="1" applyFill="1" applyAlignment="1">
      <alignment horizontal="left" vertical="center"/>
    </xf>
    <xf numFmtId="43" fontId="46" fillId="0" borderId="0" xfId="48" applyFont="1" applyFill="1" applyAlignment="1">
      <alignment vertical="center"/>
    </xf>
    <xf numFmtId="43" fontId="46" fillId="0" borderId="0" xfId="0" applyNumberFormat="1" applyFont="1" applyAlignment="1">
      <alignment vertical="center"/>
    </xf>
    <xf numFmtId="44" fontId="58" fillId="0" borderId="0" xfId="0" applyNumberFormat="1" applyFont="1" applyAlignment="1">
      <alignment horizontal="left" vertical="center"/>
    </xf>
    <xf numFmtId="44" fontId="59" fillId="0" borderId="0" xfId="0" applyNumberFormat="1" applyFont="1" applyAlignment="1">
      <alignment horizontal="left" vertical="center"/>
    </xf>
    <xf numFmtId="43" fontId="46" fillId="0" borderId="0" xfId="48" applyFont="1"/>
    <xf numFmtId="43" fontId="46" fillId="0" borderId="14" xfId="52" quotePrefix="1" applyNumberFormat="1" applyFont="1" applyFill="1" applyAlignment="1">
      <alignment vertical="center" shrinkToFit="1"/>
    </xf>
    <xf numFmtId="171" fontId="46" fillId="0" borderId="0" xfId="48" applyNumberFormat="1" applyFont="1" applyFill="1" applyAlignment="1">
      <alignment horizontal="left" vertical="center"/>
    </xf>
    <xf numFmtId="43" fontId="46" fillId="0" borderId="26" xfId="48" applyFont="1" applyFill="1" applyBorder="1" applyAlignment="1">
      <alignment horizontal="center" vertical="center"/>
    </xf>
    <xf numFmtId="43" fontId="54" fillId="0" borderId="0" xfId="1" applyNumberFormat="1" applyFont="1" applyAlignment="1">
      <alignment horizontal="left" vertical="center" shrinkToFit="1"/>
    </xf>
    <xf numFmtId="43" fontId="54" fillId="31" borderId="0" xfId="1" applyNumberFormat="1" applyFont="1" applyFill="1" applyAlignment="1">
      <alignment horizontal="left" vertical="center" shrinkToFit="1"/>
    </xf>
    <xf numFmtId="43" fontId="68" fillId="41" borderId="17" xfId="48" applyFont="1" applyFill="1" applyBorder="1" applyAlignment="1">
      <alignment vertical="center" shrinkToFit="1"/>
    </xf>
    <xf numFmtId="0" fontId="117" fillId="0" borderId="0" xfId="0" quotePrefix="1" applyFont="1" applyAlignment="1">
      <alignment horizontal="center" vertical="center"/>
    </xf>
    <xf numFmtId="0" fontId="117" fillId="0" borderId="0" xfId="0" applyFont="1" applyAlignment="1">
      <alignment vertical="center" shrinkToFit="1"/>
    </xf>
    <xf numFmtId="43" fontId="117" fillId="0" borderId="0" xfId="48" applyFont="1" applyFill="1" applyAlignment="1">
      <alignment horizontal="center" vertical="center"/>
    </xf>
    <xf numFmtId="43" fontId="117" fillId="0" borderId="0" xfId="48" applyFont="1" applyFill="1" applyAlignment="1">
      <alignment horizontal="left" vertical="center"/>
    </xf>
    <xf numFmtId="0" fontId="117" fillId="0" borderId="0" xfId="0" applyFont="1" applyAlignment="1">
      <alignment horizontal="center" vertical="center"/>
    </xf>
    <xf numFmtId="3" fontId="117" fillId="0" borderId="0" xfId="0" quotePrefix="1" applyNumberFormat="1" applyFont="1" applyAlignment="1">
      <alignment horizontal="center" vertical="center"/>
    </xf>
    <xf numFmtId="167" fontId="117" fillId="0" borderId="0" xfId="48" quotePrefix="1" applyNumberFormat="1" applyFont="1" applyFill="1" applyAlignment="1">
      <alignment horizontal="center" vertical="center"/>
    </xf>
    <xf numFmtId="167" fontId="117" fillId="0" borderId="0" xfId="0" quotePrefix="1" applyNumberFormat="1" applyFont="1" applyAlignment="1">
      <alignment horizontal="center" vertical="center"/>
    </xf>
    <xf numFmtId="167" fontId="117" fillId="0" borderId="0" xfId="48" applyNumberFormat="1" applyFont="1" applyFill="1" applyBorder="1" applyAlignment="1">
      <alignment horizontal="center" vertical="center"/>
    </xf>
    <xf numFmtId="43" fontId="117" fillId="0" borderId="0" xfId="48" applyFont="1" applyBorder="1" applyAlignment="1">
      <alignment horizontal="center" vertical="center"/>
    </xf>
    <xf numFmtId="43" fontId="117" fillId="0" borderId="0" xfId="48" quotePrefix="1" applyFont="1" applyFill="1" applyBorder="1" applyAlignment="1">
      <alignment horizontal="center" vertical="center"/>
    </xf>
    <xf numFmtId="3" fontId="117" fillId="0" borderId="0" xfId="0" applyNumberFormat="1" applyFont="1" applyAlignment="1">
      <alignment horizontal="center" vertical="center"/>
    </xf>
    <xf numFmtId="167" fontId="117" fillId="0" borderId="0" xfId="48" applyNumberFormat="1" applyFont="1" applyFill="1" applyAlignment="1">
      <alignment horizontal="center" vertical="center"/>
    </xf>
    <xf numFmtId="167" fontId="117" fillId="0" borderId="0" xfId="0" applyNumberFormat="1" applyFont="1" applyAlignment="1">
      <alignment horizontal="center" vertical="center"/>
    </xf>
    <xf numFmtId="43" fontId="117" fillId="0" borderId="0" xfId="48" applyFont="1" applyAlignment="1">
      <alignment horizontal="center" vertical="center"/>
    </xf>
    <xf numFmtId="44" fontId="112" fillId="0" borderId="0" xfId="0" applyNumberFormat="1" applyFont="1" applyAlignment="1">
      <alignment vertical="center" shrinkToFit="1"/>
    </xf>
    <xf numFmtId="0" fontId="46" fillId="0" borderId="0" xfId="0" applyFont="1"/>
    <xf numFmtId="0" fontId="46" fillId="33" borderId="13" xfId="0" applyFont="1" applyFill="1" applyBorder="1" applyAlignment="1">
      <alignment vertical="center"/>
    </xf>
    <xf numFmtId="0" fontId="46" fillId="0" borderId="13" xfId="0" applyFont="1" applyBorder="1" applyAlignment="1">
      <alignment vertical="center"/>
    </xf>
    <xf numFmtId="3" fontId="102" fillId="0" borderId="0" xfId="0" applyNumberFormat="1" applyFont="1" applyAlignment="1">
      <alignment horizontal="left" vertical="center"/>
    </xf>
    <xf numFmtId="43" fontId="52" fillId="0" borderId="14" xfId="0" applyNumberFormat="1" applyFont="1" applyBorder="1" applyAlignment="1">
      <alignment horizontal="center" vertical="center" shrinkToFit="1"/>
    </xf>
    <xf numFmtId="0" fontId="52" fillId="0" borderId="14" xfId="0" applyFont="1" applyBorder="1" applyAlignment="1">
      <alignment horizontal="center" vertical="center"/>
    </xf>
    <xf numFmtId="43" fontId="46" fillId="31" borderId="14" xfId="52" applyNumberFormat="1" applyFont="1" applyFill="1" applyAlignment="1">
      <alignment horizontal="left" vertical="center"/>
    </xf>
    <xf numFmtId="43" fontId="46" fillId="0" borderId="14" xfId="48" quotePrefix="1" applyFont="1" applyFill="1" applyBorder="1" applyAlignment="1">
      <alignment horizontal="center" vertical="center" shrinkToFit="1"/>
    </xf>
    <xf numFmtId="43" fontId="46" fillId="0" borderId="0" xfId="29" applyNumberFormat="1" applyFont="1" applyFill="1" applyAlignment="1">
      <alignment horizontal="left" vertical="center"/>
    </xf>
    <xf numFmtId="17" fontId="102" fillId="0" borderId="0" xfId="0" applyNumberFormat="1" applyFont="1" applyAlignment="1">
      <alignment horizontal="left" vertical="center"/>
    </xf>
    <xf numFmtId="44" fontId="64" fillId="0" borderId="0" xfId="0" applyNumberFormat="1" applyFont="1" applyAlignment="1">
      <alignment vertical="center"/>
    </xf>
    <xf numFmtId="44" fontId="58" fillId="0" borderId="0" xfId="0" applyNumberFormat="1" applyFont="1" applyAlignment="1">
      <alignment vertical="center"/>
    </xf>
    <xf numFmtId="43" fontId="51" fillId="0" borderId="0" xfId="51" applyNumberFormat="1" applyFont="1" applyFill="1" applyAlignment="1">
      <alignment vertical="center"/>
    </xf>
    <xf numFmtId="43" fontId="55" fillId="41" borderId="16" xfId="48" applyFont="1" applyFill="1" applyBorder="1" applyAlignment="1">
      <alignment vertical="center" shrinkToFit="1"/>
    </xf>
    <xf numFmtId="0" fontId="55" fillId="41" borderId="16" xfId="0" quotePrefix="1" applyFont="1" applyFill="1" applyBorder="1" applyAlignment="1">
      <alignment horizontal="center" vertical="center" shrinkToFit="1"/>
    </xf>
    <xf numFmtId="171" fontId="55" fillId="41" borderId="16" xfId="48" applyNumberFormat="1" applyFont="1" applyFill="1" applyBorder="1" applyAlignment="1">
      <alignment vertical="center" shrinkToFit="1"/>
    </xf>
    <xf numFmtId="43" fontId="55" fillId="41" borderId="16" xfId="48" applyFont="1" applyFill="1" applyBorder="1" applyAlignment="1">
      <alignment horizontal="center" vertical="center" shrinkToFit="1"/>
    </xf>
    <xf numFmtId="43" fontId="68" fillId="41" borderId="16" xfId="48" applyFont="1" applyFill="1" applyBorder="1" applyAlignment="1">
      <alignment vertical="center" shrinkToFit="1"/>
    </xf>
    <xf numFmtId="173" fontId="55" fillId="41" borderId="16" xfId="48" applyNumberFormat="1" applyFont="1" applyFill="1" applyBorder="1" applyAlignment="1">
      <alignment vertical="center" shrinkToFit="1"/>
    </xf>
    <xf numFmtId="43" fontId="61" fillId="41" borderId="16" xfId="48" applyFont="1" applyFill="1" applyBorder="1" applyAlignment="1">
      <alignment vertical="center" shrinkToFit="1"/>
    </xf>
    <xf numFmtId="43" fontId="60" fillId="35" borderId="16" xfId="48" applyFont="1" applyFill="1" applyBorder="1" applyAlignment="1">
      <alignment vertical="center" shrinkToFit="1"/>
    </xf>
    <xf numFmtId="0" fontId="55" fillId="0" borderId="0" xfId="0" applyFont="1" applyAlignment="1">
      <alignment vertical="center" shrinkToFit="1"/>
    </xf>
    <xf numFmtId="43" fontId="55" fillId="0" borderId="0" xfId="0" applyNumberFormat="1" applyFont="1" applyAlignment="1">
      <alignment horizontal="center" vertical="center" shrinkToFit="1"/>
    </xf>
    <xf numFmtId="43" fontId="55" fillId="0" borderId="0" xfId="0" applyNumberFormat="1" applyFont="1" applyAlignment="1">
      <alignment vertical="center" shrinkToFit="1"/>
    </xf>
    <xf numFmtId="0" fontId="54" fillId="0" borderId="0" xfId="0" applyFont="1" applyAlignment="1">
      <alignment vertical="center" shrinkToFit="1"/>
    </xf>
    <xf numFmtId="0" fontId="120" fillId="0" borderId="0" xfId="0" applyFont="1" applyAlignment="1">
      <alignment horizontal="center" vertical="center"/>
    </xf>
    <xf numFmtId="0" fontId="120" fillId="0" borderId="0" xfId="0" applyFont="1" applyAlignment="1">
      <alignment vertical="center" shrinkToFit="1"/>
    </xf>
    <xf numFmtId="43" fontId="120" fillId="0" borderId="0" xfId="48" applyFont="1" applyFill="1" applyAlignment="1">
      <alignment horizontal="center" vertical="center"/>
    </xf>
    <xf numFmtId="43" fontId="120" fillId="0" borderId="0" xfId="48" applyFont="1" applyFill="1" applyAlignment="1">
      <alignment horizontal="left" vertical="center"/>
    </xf>
    <xf numFmtId="3" fontId="120" fillId="0" borderId="0" xfId="0" applyNumberFormat="1" applyFont="1" applyAlignment="1">
      <alignment horizontal="center" vertical="center"/>
    </xf>
    <xf numFmtId="167" fontId="120" fillId="0" borderId="0" xfId="48" applyNumberFormat="1" applyFont="1" applyFill="1" applyAlignment="1">
      <alignment horizontal="center" vertical="center"/>
    </xf>
    <xf numFmtId="167" fontId="120" fillId="0" borderId="0" xfId="0" applyNumberFormat="1" applyFont="1" applyAlignment="1">
      <alignment horizontal="center" vertical="center"/>
    </xf>
    <xf numFmtId="43" fontId="120" fillId="0" borderId="0" xfId="48" applyFont="1" applyAlignment="1">
      <alignment horizontal="center" vertical="center"/>
    </xf>
    <xf numFmtId="173" fontId="54" fillId="0" borderId="0" xfId="55" applyNumberFormat="1" applyFont="1" applyFill="1" applyBorder="1" applyAlignment="1" applyProtection="1">
      <alignment horizontal="center" vertical="center"/>
    </xf>
    <xf numFmtId="173" fontId="54" fillId="31" borderId="0" xfId="55" applyNumberFormat="1" applyFont="1" applyFill="1" applyBorder="1" applyAlignment="1" applyProtection="1">
      <alignment horizontal="center" vertical="center"/>
    </xf>
    <xf numFmtId="173" fontId="54" fillId="38" borderId="0" xfId="55" applyNumberFormat="1" applyFont="1" applyFill="1" applyBorder="1" applyAlignment="1" applyProtection="1">
      <alignment horizontal="center" vertical="center"/>
    </xf>
    <xf numFmtId="173" fontId="68" fillId="41" borderId="17" xfId="0" applyNumberFormat="1" applyFont="1" applyFill="1" applyBorder="1" applyAlignment="1">
      <alignment horizontal="center" vertical="center"/>
    </xf>
    <xf numFmtId="0" fontId="53" fillId="0" borderId="14" xfId="54" applyFill="1" applyBorder="1" applyAlignment="1">
      <alignment horizontal="left" vertical="center"/>
    </xf>
    <xf numFmtId="10" fontId="46" fillId="0" borderId="14" xfId="51" applyNumberFormat="1" applyFont="1" applyFill="1" applyBorder="1" applyAlignment="1">
      <alignment horizontal="center" vertical="center"/>
    </xf>
    <xf numFmtId="10" fontId="48" fillId="0" borderId="14" xfId="51" applyNumberFormat="1" applyFont="1" applyFill="1" applyBorder="1" applyAlignment="1">
      <alignment horizontal="center" vertical="center"/>
    </xf>
    <xf numFmtId="43" fontId="46" fillId="46" borderId="14" xfId="52" applyNumberFormat="1" applyFont="1" applyFill="1" applyAlignment="1">
      <alignment horizontal="left" vertical="center"/>
    </xf>
    <xf numFmtId="43" fontId="48" fillId="46" borderId="14" xfId="52" applyNumberFormat="1" applyFont="1" applyFill="1" applyAlignment="1">
      <alignment horizontal="left" vertical="center"/>
    </xf>
    <xf numFmtId="0" fontId="48" fillId="0" borderId="0" xfId="0" applyFont="1" applyAlignment="1">
      <alignment vertical="center"/>
    </xf>
    <xf numFmtId="43" fontId="52" fillId="31" borderId="14" xfId="0" applyNumberFormat="1" applyFont="1" applyFill="1" applyBorder="1" applyAlignment="1">
      <alignment horizontal="center" vertical="center" shrinkToFit="1"/>
    </xf>
    <xf numFmtId="43" fontId="48" fillId="0" borderId="14" xfId="0" applyNumberFormat="1" applyFont="1" applyBorder="1" applyAlignment="1">
      <alignment horizontal="center" vertical="center" wrapText="1"/>
    </xf>
    <xf numFmtId="43" fontId="48" fillId="0" borderId="14" xfId="0" applyNumberFormat="1" applyFont="1" applyBorder="1" applyAlignment="1">
      <alignment horizontal="left" vertical="center" wrapText="1"/>
    </xf>
    <xf numFmtId="43" fontId="49" fillId="0" borderId="14" xfId="0" applyNumberFormat="1" applyFont="1" applyBorder="1" applyAlignment="1">
      <alignment horizontal="center" vertical="center" wrapText="1"/>
    </xf>
    <xf numFmtId="43" fontId="50" fillId="0" borderId="14" xfId="0" applyNumberFormat="1" applyFont="1" applyBorder="1" applyAlignment="1">
      <alignment horizontal="center" vertical="center" wrapText="1"/>
    </xf>
    <xf numFmtId="43" fontId="50" fillId="46" borderId="14" xfId="0" applyNumberFormat="1" applyFont="1" applyFill="1" applyBorder="1" applyAlignment="1">
      <alignment horizontal="center" vertical="center" wrapText="1"/>
    </xf>
    <xf numFmtId="43" fontId="105" fillId="40" borderId="14" xfId="0" applyNumberFormat="1" applyFont="1" applyFill="1" applyBorder="1" applyAlignment="1">
      <alignment horizontal="center" vertical="center" wrapText="1"/>
    </xf>
    <xf numFmtId="17" fontId="105" fillId="40" borderId="14" xfId="0" applyNumberFormat="1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shrinkToFit="1"/>
    </xf>
    <xf numFmtId="0" fontId="52" fillId="46" borderId="14" xfId="0" applyFont="1" applyFill="1" applyBorder="1" applyAlignment="1">
      <alignment horizontal="center" vertical="center" shrinkToFit="1"/>
    </xf>
    <xf numFmtId="0" fontId="52" fillId="0" borderId="14" xfId="0" applyFont="1" applyBorder="1" applyAlignment="1">
      <alignment horizontal="left" vertical="center"/>
    </xf>
    <xf numFmtId="43" fontId="48" fillId="0" borderId="0" xfId="0" applyNumberFormat="1" applyFont="1" applyAlignment="1">
      <alignment horizontal="center" vertical="center"/>
    </xf>
    <xf numFmtId="43" fontId="48" fillId="31" borderId="0" xfId="0" applyNumberFormat="1" applyFont="1" applyFill="1" applyAlignment="1">
      <alignment horizontal="center" vertical="center"/>
    </xf>
    <xf numFmtId="43" fontId="52" fillId="38" borderId="14" xfId="0" applyNumberFormat="1" applyFont="1" applyFill="1" applyBorder="1" applyAlignment="1">
      <alignment horizontal="center" vertical="center" shrinkToFit="1"/>
    </xf>
    <xf numFmtId="43" fontId="46" fillId="0" borderId="14" xfId="48" applyFont="1" applyFill="1" applyBorder="1" applyAlignment="1">
      <alignment horizontal="left" vertical="center"/>
    </xf>
    <xf numFmtId="43" fontId="48" fillId="0" borderId="14" xfId="48" applyFont="1" applyFill="1" applyBorder="1" applyAlignment="1">
      <alignment horizontal="left" vertical="center"/>
    </xf>
    <xf numFmtId="0" fontId="46" fillId="0" borderId="0" xfId="0" applyFont="1" applyAlignment="1">
      <alignment vertical="center" shrinkToFit="1"/>
    </xf>
    <xf numFmtId="14" fontId="46" fillId="0" borderId="0" xfId="0" applyNumberFormat="1" applyFont="1" applyAlignment="1">
      <alignment vertical="center" shrinkToFit="1"/>
    </xf>
    <xf numFmtId="43" fontId="48" fillId="0" borderId="14" xfId="0" applyNumberFormat="1" applyFont="1" applyBorder="1" applyAlignment="1">
      <alignment vertical="center" wrapText="1"/>
    </xf>
    <xf numFmtId="176" fontId="46" fillId="0" borderId="14" xfId="52" quotePrefix="1" applyNumberFormat="1" applyFont="1" applyFill="1" applyAlignment="1">
      <alignment vertical="center"/>
    </xf>
    <xf numFmtId="167" fontId="46" fillId="0" borderId="14" xfId="52" quotePrefix="1" applyNumberFormat="1" applyFont="1" applyFill="1" applyAlignment="1">
      <alignment vertical="center"/>
    </xf>
    <xf numFmtId="0" fontId="46" fillId="0" borderId="14" xfId="52" applyFont="1" applyFill="1" applyAlignment="1">
      <alignment vertical="center"/>
    </xf>
    <xf numFmtId="171" fontId="46" fillId="0" borderId="14" xfId="48" quotePrefix="1" applyNumberFormat="1" applyFont="1" applyFill="1" applyBorder="1" applyAlignment="1">
      <alignment vertical="center"/>
    </xf>
    <xf numFmtId="171" fontId="46" fillId="0" borderId="14" xfId="48" applyNumberFormat="1" applyFont="1" applyFill="1" applyBorder="1" applyAlignment="1">
      <alignment vertical="center"/>
    </xf>
    <xf numFmtId="171" fontId="46" fillId="0" borderId="14" xfId="48" quotePrefix="1" applyNumberFormat="1" applyFont="1" applyFill="1" applyBorder="1" applyAlignment="1">
      <alignment vertical="center" shrinkToFit="1"/>
    </xf>
    <xf numFmtId="171" fontId="46" fillId="0" borderId="0" xfId="48" applyNumberFormat="1" applyFont="1" applyAlignment="1">
      <alignment vertical="center"/>
    </xf>
    <xf numFmtId="171" fontId="52" fillId="0" borderId="14" xfId="0" applyNumberFormat="1" applyFont="1" applyBorder="1" applyAlignment="1">
      <alignment vertical="center"/>
    </xf>
    <xf numFmtId="0" fontId="46" fillId="0" borderId="14" xfId="52" applyNumberFormat="1" applyFont="1" applyFill="1" applyAlignment="1">
      <alignment vertical="center"/>
    </xf>
    <xf numFmtId="0" fontId="122" fillId="0" borderId="0" xfId="0" quotePrefix="1" applyFont="1" applyAlignment="1">
      <alignment horizontal="center" vertical="center"/>
    </xf>
    <xf numFmtId="0" fontId="122" fillId="0" borderId="0" xfId="0" applyFont="1" applyAlignment="1">
      <alignment vertical="center" shrinkToFit="1"/>
    </xf>
    <xf numFmtId="43" fontId="122" fillId="0" borderId="0" xfId="48" applyFont="1" applyFill="1" applyAlignment="1">
      <alignment horizontal="center" vertical="center"/>
    </xf>
    <xf numFmtId="43" fontId="122" fillId="0" borderId="0" xfId="48" applyFont="1" applyFill="1" applyAlignment="1">
      <alignment horizontal="left" vertical="center"/>
    </xf>
    <xf numFmtId="0" fontId="122" fillId="0" borderId="0" xfId="0" applyFont="1" applyAlignment="1">
      <alignment horizontal="center" vertical="center"/>
    </xf>
    <xf numFmtId="3" fontId="122" fillId="0" borderId="0" xfId="0" quotePrefix="1" applyNumberFormat="1" applyFont="1" applyAlignment="1">
      <alignment horizontal="center" vertical="center"/>
    </xf>
    <xf numFmtId="167" fontId="122" fillId="0" borderId="0" xfId="48" quotePrefix="1" applyNumberFormat="1" applyFont="1" applyFill="1" applyAlignment="1">
      <alignment horizontal="center" vertical="center"/>
    </xf>
    <xf numFmtId="167" fontId="122" fillId="0" borderId="0" xfId="0" quotePrefix="1" applyNumberFormat="1" applyFont="1" applyAlignment="1">
      <alignment horizontal="center" vertical="center"/>
    </xf>
    <xf numFmtId="167" fontId="122" fillId="0" borderId="0" xfId="48" applyNumberFormat="1" applyFont="1" applyFill="1" applyBorder="1" applyAlignment="1">
      <alignment horizontal="center" vertical="center"/>
    </xf>
    <xf numFmtId="43" fontId="122" fillId="0" borderId="0" xfId="48" applyFont="1" applyBorder="1" applyAlignment="1">
      <alignment horizontal="center" vertical="center"/>
    </xf>
    <xf numFmtId="43" fontId="122" fillId="0" borderId="0" xfId="48" quotePrefix="1" applyFont="1" applyFill="1" applyBorder="1" applyAlignment="1">
      <alignment horizontal="center" vertical="center"/>
    </xf>
    <xf numFmtId="0" fontId="123" fillId="0" borderId="0" xfId="0" quotePrefix="1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3" fillId="0" borderId="0" xfId="0" applyFont="1" applyAlignment="1">
      <alignment vertical="center" shrinkToFit="1"/>
    </xf>
    <xf numFmtId="43" fontId="123" fillId="0" borderId="0" xfId="48" applyFont="1" applyFill="1" applyAlignment="1">
      <alignment horizontal="center" vertical="center"/>
    </xf>
    <xf numFmtId="43" fontId="123" fillId="0" borderId="0" xfId="48" applyFont="1" applyFill="1" applyAlignment="1">
      <alignment horizontal="left" vertical="center"/>
    </xf>
    <xf numFmtId="3" fontId="123" fillId="0" borderId="0" xfId="0" applyNumberFormat="1" applyFont="1" applyAlignment="1">
      <alignment horizontal="center" vertical="center"/>
    </xf>
    <xf numFmtId="167" fontId="123" fillId="0" borderId="0" xfId="48" applyNumberFormat="1" applyFont="1" applyFill="1" applyAlignment="1">
      <alignment horizontal="center" vertical="center"/>
    </xf>
    <xf numFmtId="167" fontId="123" fillId="0" borderId="0" xfId="0" applyNumberFormat="1" applyFont="1" applyAlignment="1">
      <alignment horizontal="center" vertical="center"/>
    </xf>
    <xf numFmtId="43" fontId="123" fillId="0" borderId="0" xfId="48" applyFont="1" applyAlignment="1">
      <alignment horizontal="center" vertical="center"/>
    </xf>
    <xf numFmtId="3" fontId="123" fillId="0" borderId="0" xfId="0" quotePrefix="1" applyNumberFormat="1" applyFont="1" applyAlignment="1">
      <alignment horizontal="center" vertical="center"/>
    </xf>
    <xf numFmtId="167" fontId="123" fillId="0" borderId="0" xfId="48" quotePrefix="1" applyNumberFormat="1" applyFont="1" applyFill="1" applyAlignment="1">
      <alignment horizontal="center" vertical="center"/>
    </xf>
    <xf numFmtId="167" fontId="123" fillId="0" borderId="0" xfId="0" quotePrefix="1" applyNumberFormat="1" applyFont="1" applyAlignment="1">
      <alignment horizontal="center" vertical="center"/>
    </xf>
    <xf numFmtId="167" fontId="123" fillId="0" borderId="0" xfId="48" applyNumberFormat="1" applyFont="1" applyFill="1" applyBorder="1" applyAlignment="1">
      <alignment horizontal="center" vertical="center"/>
    </xf>
    <xf numFmtId="43" fontId="123" fillId="0" borderId="0" xfId="48" applyFont="1" applyBorder="1" applyAlignment="1">
      <alignment horizontal="center" vertical="center"/>
    </xf>
    <xf numFmtId="43" fontId="123" fillId="0" borderId="0" xfId="48" quotePrefix="1" applyFont="1" applyFill="1" applyBorder="1" applyAlignment="1">
      <alignment horizontal="center" vertical="center"/>
    </xf>
    <xf numFmtId="43" fontId="47" fillId="0" borderId="0" xfId="48" quotePrefix="1" applyFont="1" applyAlignment="1">
      <alignment horizontal="center" vertical="center"/>
    </xf>
    <xf numFmtId="49" fontId="102" fillId="47" borderId="0" xfId="0" applyNumberFormat="1" applyFont="1" applyFill="1" applyAlignment="1">
      <alignment horizontal="left" vertical="center"/>
    </xf>
    <xf numFmtId="49" fontId="102" fillId="47" borderId="0" xfId="0" applyNumberFormat="1" applyFont="1" applyFill="1" applyAlignment="1">
      <alignment vertical="center"/>
    </xf>
    <xf numFmtId="0" fontId="47" fillId="47" borderId="0" xfId="0" applyFont="1" applyFill="1" applyAlignment="1">
      <alignment vertical="center"/>
    </xf>
    <xf numFmtId="49" fontId="102" fillId="47" borderId="0" xfId="0" quotePrefix="1" applyNumberFormat="1" applyFont="1" applyFill="1" applyAlignment="1">
      <alignment horizontal="left" vertical="center"/>
    </xf>
    <xf numFmtId="167" fontId="102" fillId="47" borderId="0" xfId="0" applyNumberFormat="1" applyFont="1" applyFill="1" applyAlignment="1">
      <alignment horizontal="left" vertical="center"/>
    </xf>
    <xf numFmtId="0" fontId="102" fillId="47" borderId="0" xfId="0" quotePrefix="1" applyFont="1" applyFill="1" applyAlignment="1">
      <alignment horizontal="left" vertical="center"/>
    </xf>
    <xf numFmtId="44" fontId="102" fillId="47" borderId="0" xfId="48" applyNumberFormat="1" applyFont="1" applyFill="1" applyAlignment="1">
      <alignment horizontal="left" vertical="center"/>
    </xf>
    <xf numFmtId="49" fontId="47" fillId="47" borderId="0" xfId="0" applyNumberFormat="1" applyFont="1" applyFill="1" applyAlignment="1">
      <alignment horizontal="left" vertical="center"/>
    </xf>
    <xf numFmtId="0" fontId="125" fillId="0" borderId="0" xfId="0" quotePrefix="1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5" fillId="0" borderId="0" xfId="0" applyFont="1" applyAlignment="1">
      <alignment vertical="center" shrinkToFit="1"/>
    </xf>
    <xf numFmtId="43" fontId="125" fillId="0" borderId="0" xfId="48" applyFont="1" applyFill="1" applyAlignment="1">
      <alignment horizontal="center" vertical="center"/>
    </xf>
    <xf numFmtId="43" fontId="125" fillId="0" borderId="0" xfId="48" applyFont="1" applyFill="1" applyAlignment="1">
      <alignment horizontal="left" vertical="center"/>
    </xf>
    <xf numFmtId="3" fontId="125" fillId="0" borderId="0" xfId="0" applyNumberFormat="1" applyFont="1" applyAlignment="1">
      <alignment horizontal="center" vertical="center"/>
    </xf>
    <xf numFmtId="167" fontId="125" fillId="0" borderId="0" xfId="48" applyNumberFormat="1" applyFont="1" applyFill="1" applyAlignment="1">
      <alignment horizontal="center" vertical="center"/>
    </xf>
    <xf numFmtId="167" fontId="125" fillId="0" borderId="0" xfId="0" applyNumberFormat="1" applyFont="1" applyAlignment="1">
      <alignment horizontal="center" vertical="center"/>
    </xf>
    <xf numFmtId="43" fontId="125" fillId="0" borderId="0" xfId="48" applyFont="1" applyAlignment="1">
      <alignment horizontal="center" vertical="center"/>
    </xf>
    <xf numFmtId="0" fontId="102" fillId="47" borderId="0" xfId="0" applyFont="1" applyFill="1" applyAlignment="1">
      <alignment horizontal="left" vertical="center"/>
    </xf>
    <xf numFmtId="0" fontId="47" fillId="47" borderId="0" xfId="0" quotePrefix="1" applyFont="1" applyFill="1" applyAlignment="1">
      <alignment horizontal="left" vertical="center"/>
    </xf>
    <xf numFmtId="44" fontId="102" fillId="47" borderId="0" xfId="0" applyNumberFormat="1" applyFont="1" applyFill="1" applyAlignment="1">
      <alignment horizontal="left" vertical="center"/>
    </xf>
    <xf numFmtId="0" fontId="47" fillId="47" borderId="0" xfId="0" applyFont="1" applyFill="1" applyAlignment="1">
      <alignment horizontal="left" vertical="center"/>
    </xf>
    <xf numFmtId="44" fontId="47" fillId="47" borderId="0" xfId="0" applyNumberFormat="1" applyFont="1" applyFill="1" applyAlignment="1">
      <alignment horizontal="left" vertical="center"/>
    </xf>
    <xf numFmtId="49" fontId="47" fillId="47" borderId="0" xfId="0" applyNumberFormat="1" applyFont="1" applyFill="1" applyAlignment="1">
      <alignment vertical="center"/>
    </xf>
    <xf numFmtId="44" fontId="102" fillId="47" borderId="0" xfId="0" applyNumberFormat="1" applyFont="1" applyFill="1" applyAlignment="1">
      <alignment vertical="center"/>
    </xf>
    <xf numFmtId="44" fontId="102" fillId="47" borderId="0" xfId="0" applyNumberFormat="1" applyFont="1" applyFill="1" applyAlignment="1">
      <alignment horizontal="center" vertical="center"/>
    </xf>
    <xf numFmtId="17" fontId="102" fillId="47" borderId="0" xfId="0" quotePrefix="1" applyNumberFormat="1" applyFont="1" applyFill="1" applyAlignment="1">
      <alignment horizontal="left" vertical="center"/>
    </xf>
    <xf numFmtId="44" fontId="102" fillId="47" borderId="0" xfId="48" applyNumberFormat="1" applyFont="1" applyFill="1" applyAlignment="1">
      <alignment vertical="center"/>
    </xf>
    <xf numFmtId="44" fontId="102" fillId="40" borderId="0" xfId="48" applyNumberFormat="1" applyFont="1" applyFill="1" applyBorder="1" applyAlignment="1">
      <alignment vertical="center"/>
    </xf>
    <xf numFmtId="0" fontId="126" fillId="46" borderId="0" xfId="0" applyFont="1" applyFill="1" applyAlignment="1">
      <alignment horizontal="left" vertical="center" shrinkToFit="1"/>
    </xf>
    <xf numFmtId="0" fontId="113" fillId="0" borderId="0" xfId="0" applyFont="1" applyAlignment="1">
      <alignment vertical="center"/>
    </xf>
    <xf numFmtId="49" fontId="64" fillId="38" borderId="0" xfId="0" applyNumberFormat="1" applyFont="1" applyFill="1" applyAlignment="1">
      <alignment horizontal="left" vertical="center"/>
    </xf>
    <xf numFmtId="167" fontId="113" fillId="0" borderId="0" xfId="0" applyNumberFormat="1" applyFont="1" applyAlignment="1">
      <alignment horizontal="center" vertical="center"/>
    </xf>
    <xf numFmtId="43" fontId="58" fillId="0" borderId="0" xfId="48" applyFont="1" applyAlignment="1">
      <alignment vertical="center"/>
    </xf>
    <xf numFmtId="0" fontId="58" fillId="0" borderId="0" xfId="0" applyFont="1" applyAlignment="1">
      <alignment horizontal="center" vertical="center"/>
    </xf>
    <xf numFmtId="167" fontId="58" fillId="0" borderId="0" xfId="0" applyNumberFormat="1" applyFont="1" applyAlignment="1">
      <alignment vertical="center"/>
    </xf>
    <xf numFmtId="3" fontId="125" fillId="0" borderId="0" xfId="0" quotePrefix="1" applyNumberFormat="1" applyFont="1" applyAlignment="1">
      <alignment horizontal="center" vertical="center"/>
    </xf>
    <xf numFmtId="167" fontId="125" fillId="0" borderId="0" xfId="48" quotePrefix="1" applyNumberFormat="1" applyFont="1" applyFill="1" applyAlignment="1">
      <alignment horizontal="center" vertical="center"/>
    </xf>
    <xf numFmtId="167" fontId="125" fillId="0" borderId="0" xfId="0" quotePrefix="1" applyNumberFormat="1" applyFont="1" applyAlignment="1">
      <alignment horizontal="center" vertical="center"/>
    </xf>
    <xf numFmtId="167" fontId="125" fillId="0" borderId="0" xfId="48" applyNumberFormat="1" applyFont="1" applyFill="1" applyBorder="1" applyAlignment="1">
      <alignment horizontal="center" vertical="center"/>
    </xf>
    <xf numFmtId="43" fontId="125" fillId="0" borderId="0" xfId="48" applyFont="1" applyBorder="1" applyAlignment="1">
      <alignment horizontal="center" vertical="center"/>
    </xf>
    <xf numFmtId="43" fontId="125" fillId="0" borderId="0" xfId="48" quotePrefix="1" applyFont="1" applyFill="1" applyBorder="1" applyAlignment="1">
      <alignment horizontal="center" vertical="center"/>
    </xf>
    <xf numFmtId="49" fontId="102" fillId="37" borderId="0" xfId="0" applyNumberFormat="1" applyFont="1" applyFill="1" applyAlignment="1">
      <alignment horizontal="left" vertical="center"/>
    </xf>
    <xf numFmtId="49" fontId="102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horizontal="left" vertical="center"/>
    </xf>
    <xf numFmtId="43" fontId="54" fillId="0" borderId="0" xfId="48" applyFont="1" applyAlignment="1">
      <alignment vertical="center" shrinkToFit="1"/>
    </xf>
    <xf numFmtId="0" fontId="47" fillId="0" borderId="27" xfId="0" applyFont="1" applyBorder="1" applyAlignment="1">
      <alignment horizontal="right" vertical="center"/>
    </xf>
    <xf numFmtId="14" fontId="47" fillId="0" borderId="28" xfId="0" applyNumberFormat="1" applyFont="1" applyBorder="1" applyAlignment="1">
      <alignment horizontal="center" vertical="center"/>
    </xf>
    <xf numFmtId="0" fontId="54" fillId="38" borderId="29" xfId="0" applyFont="1" applyFill="1" applyBorder="1" applyAlignment="1">
      <alignment horizontal="right" vertical="center" shrinkToFit="1"/>
    </xf>
    <xf numFmtId="43" fontId="54" fillId="38" borderId="30" xfId="48" applyFont="1" applyFill="1" applyBorder="1" applyAlignment="1">
      <alignment vertical="center"/>
    </xf>
    <xf numFmtId="0" fontId="54" fillId="47" borderId="29" xfId="0" applyFont="1" applyFill="1" applyBorder="1" applyAlignment="1">
      <alignment horizontal="right" vertical="center" shrinkToFit="1"/>
    </xf>
    <xf numFmtId="43" fontId="54" fillId="47" borderId="30" xfId="48" applyFont="1" applyFill="1" applyBorder="1" applyAlignment="1">
      <alignment vertical="center"/>
    </xf>
    <xf numFmtId="0" fontId="60" fillId="37" borderId="31" xfId="0" applyFont="1" applyFill="1" applyBorder="1" applyAlignment="1">
      <alignment horizontal="right" vertical="center" shrinkToFit="1"/>
    </xf>
    <xf numFmtId="43" fontId="60" fillId="37" borderId="32" xfId="0" applyNumberFormat="1" applyFont="1" applyFill="1" applyBorder="1" applyAlignment="1">
      <alignment vertical="center"/>
    </xf>
    <xf numFmtId="0" fontId="46" fillId="0" borderId="0" xfId="0" applyFont="1" applyAlignment="1">
      <alignment horizontal="right" vertical="center"/>
    </xf>
    <xf numFmtId="0" fontId="60" fillId="0" borderId="0" xfId="0" applyFont="1" applyAlignment="1">
      <alignment horizontal="right" vertical="center" shrinkToFit="1"/>
    </xf>
    <xf numFmtId="43" fontId="46" fillId="0" borderId="0" xfId="48" applyFont="1" applyFill="1" applyBorder="1" applyAlignment="1">
      <alignment vertical="center"/>
    </xf>
    <xf numFmtId="0" fontId="60" fillId="34" borderId="33" xfId="0" applyFont="1" applyFill="1" applyBorder="1" applyAlignment="1">
      <alignment horizontal="right" vertical="center" shrinkToFit="1"/>
    </xf>
    <xf numFmtId="43" fontId="60" fillId="34" borderId="34" xfId="0" applyNumberFormat="1" applyFont="1" applyFill="1" applyBorder="1" applyAlignment="1">
      <alignment vertical="center"/>
    </xf>
    <xf numFmtId="0" fontId="128" fillId="46" borderId="16" xfId="0" quotePrefix="1" applyFont="1" applyFill="1" applyBorder="1" applyAlignment="1">
      <alignment horizontal="center" vertical="center"/>
    </xf>
    <xf numFmtId="0" fontId="129" fillId="0" borderId="0" xfId="0" quotePrefix="1" applyFont="1" applyAlignment="1">
      <alignment horizontal="center" vertical="center"/>
    </xf>
    <xf numFmtId="0" fontId="129" fillId="0" borderId="0" xfId="0" applyFont="1" applyAlignment="1">
      <alignment vertical="center" shrinkToFit="1"/>
    </xf>
    <xf numFmtId="43" fontId="129" fillId="0" borderId="0" xfId="48" applyFont="1" applyFill="1" applyAlignment="1">
      <alignment horizontal="center" vertical="center"/>
    </xf>
    <xf numFmtId="43" fontId="129" fillId="0" borderId="0" xfId="48" applyFont="1" applyFill="1" applyAlignment="1">
      <alignment horizontal="left" vertical="center"/>
    </xf>
    <xf numFmtId="0" fontId="129" fillId="0" borderId="0" xfId="0" applyFont="1" applyAlignment="1">
      <alignment horizontal="center" vertical="center"/>
    </xf>
    <xf numFmtId="3" fontId="129" fillId="0" borderId="0" xfId="0" quotePrefix="1" applyNumberFormat="1" applyFont="1" applyAlignment="1">
      <alignment horizontal="center" vertical="center"/>
    </xf>
    <xf numFmtId="167" fontId="129" fillId="0" borderId="0" xfId="48" quotePrefix="1" applyNumberFormat="1" applyFont="1" applyFill="1" applyAlignment="1">
      <alignment horizontal="center" vertical="center"/>
    </xf>
    <xf numFmtId="167" fontId="129" fillId="0" borderId="0" xfId="0" quotePrefix="1" applyNumberFormat="1" applyFont="1" applyAlignment="1">
      <alignment horizontal="center" vertical="center"/>
    </xf>
    <xf numFmtId="167" fontId="129" fillId="0" borderId="0" xfId="48" applyNumberFormat="1" applyFont="1" applyFill="1" applyBorder="1" applyAlignment="1">
      <alignment horizontal="center" vertical="center"/>
    </xf>
    <xf numFmtId="43" fontId="129" fillId="0" borderId="0" xfId="48" applyFont="1" applyBorder="1" applyAlignment="1">
      <alignment horizontal="center" vertical="center"/>
    </xf>
    <xf numFmtId="43" fontId="129" fillId="0" borderId="0" xfId="48" quotePrefix="1" applyFont="1" applyFill="1" applyBorder="1" applyAlignment="1">
      <alignment horizontal="center" vertical="center"/>
    </xf>
    <xf numFmtId="3" fontId="46" fillId="0" borderId="14" xfId="52" applyNumberFormat="1" applyFont="1" applyFill="1" applyAlignment="1">
      <alignment horizontal="left" vertical="center"/>
    </xf>
    <xf numFmtId="43" fontId="46" fillId="31" borderId="14" xfId="48" applyFont="1" applyFill="1" applyBorder="1" applyAlignment="1">
      <alignment horizontal="center" vertical="center"/>
    </xf>
    <xf numFmtId="43" fontId="46" fillId="31" borderId="0" xfId="48" applyFont="1" applyFill="1" applyAlignment="1">
      <alignment horizontal="center" vertical="center"/>
    </xf>
    <xf numFmtId="43" fontId="48" fillId="31" borderId="14" xfId="48" applyFont="1" applyFill="1" applyBorder="1" applyAlignment="1">
      <alignment horizontal="left" vertical="center"/>
    </xf>
    <xf numFmtId="10" fontId="46" fillId="31" borderId="14" xfId="51" applyNumberFormat="1" applyFont="1" applyFill="1" applyBorder="1" applyAlignment="1">
      <alignment horizontal="center" vertical="center"/>
    </xf>
    <xf numFmtId="43" fontId="129" fillId="0" borderId="0" xfId="48" applyFont="1" applyFill="1" applyBorder="1" applyAlignment="1">
      <alignment horizontal="center" vertical="center"/>
    </xf>
    <xf numFmtId="43" fontId="129" fillId="0" borderId="0" xfId="48" applyFont="1" applyFill="1" applyBorder="1" applyAlignment="1">
      <alignment horizontal="left" vertical="center"/>
    </xf>
    <xf numFmtId="171" fontId="130" fillId="0" borderId="0" xfId="48" applyNumberFormat="1" applyFont="1" applyFill="1" applyBorder="1" applyAlignment="1">
      <alignment horizontal="left" vertical="center"/>
    </xf>
    <xf numFmtId="43" fontId="31" fillId="0" borderId="0" xfId="48" applyFont="1" applyFill="1" applyAlignment="1">
      <alignment horizontal="left" vertical="center"/>
    </xf>
    <xf numFmtId="43" fontId="104" fillId="0" borderId="0" xfId="48" applyFont="1" applyFill="1" applyAlignment="1">
      <alignment horizontal="left" vertical="center"/>
    </xf>
    <xf numFmtId="43" fontId="118" fillId="0" borderId="0" xfId="48" applyFont="1" applyFill="1" applyAlignment="1">
      <alignment horizontal="left" vertical="center"/>
    </xf>
    <xf numFmtId="43" fontId="127" fillId="0" borderId="0" xfId="48" applyFont="1" applyFill="1" applyAlignment="1">
      <alignment horizontal="left" vertical="center"/>
    </xf>
    <xf numFmtId="43" fontId="109" fillId="0" borderId="0" xfId="48" applyFont="1" applyFill="1" applyAlignment="1">
      <alignment horizontal="left" vertical="center"/>
    </xf>
    <xf numFmtId="43" fontId="82" fillId="0" borderId="0" xfId="48" applyFont="1" applyFill="1" applyAlignment="1">
      <alignment horizontal="left" vertical="center"/>
    </xf>
    <xf numFmtId="43" fontId="92" fillId="0" borderId="0" xfId="48" applyFont="1" applyFill="1" applyAlignment="1">
      <alignment horizontal="left" vertical="center"/>
    </xf>
    <xf numFmtId="43" fontId="107" fillId="0" borderId="0" xfId="48" applyFont="1" applyFill="1" applyAlignment="1">
      <alignment horizontal="left" vertical="center"/>
    </xf>
    <xf numFmtId="43" fontId="78" fillId="0" borderId="0" xfId="48" applyFont="1" applyFill="1" applyAlignment="1">
      <alignment horizontal="left" vertical="center"/>
    </xf>
    <xf numFmtId="43" fontId="31" fillId="0" borderId="0" xfId="48" quotePrefix="1" applyFont="1" applyFill="1" applyBorder="1" applyAlignment="1">
      <alignment horizontal="left" vertical="center"/>
    </xf>
    <xf numFmtId="43" fontId="72" fillId="0" borderId="0" xfId="48" applyFont="1" applyFill="1" applyBorder="1" applyAlignment="1">
      <alignment horizontal="left" vertical="center"/>
    </xf>
    <xf numFmtId="43" fontId="124" fillId="0" borderId="0" xfId="48" applyFont="1" applyFill="1" applyAlignment="1">
      <alignment horizontal="left" vertical="center"/>
    </xf>
    <xf numFmtId="43" fontId="72" fillId="0" borderId="0" xfId="48" applyFont="1" applyFill="1" applyAlignment="1">
      <alignment horizontal="left" vertical="center"/>
    </xf>
    <xf numFmtId="43" fontId="95" fillId="0" borderId="0" xfId="48" applyFont="1" applyFill="1" applyAlignment="1">
      <alignment horizontal="left" vertical="center"/>
    </xf>
    <xf numFmtId="43" fontId="111" fillId="0" borderId="0" xfId="48" applyFont="1" applyFill="1" applyAlignment="1">
      <alignment horizontal="left" vertical="center"/>
    </xf>
    <xf numFmtId="43" fontId="78" fillId="0" borderId="0" xfId="48" applyFont="1" applyFill="1" applyBorder="1" applyAlignment="1">
      <alignment horizontal="left" vertical="center"/>
    </xf>
    <xf numFmtId="43" fontId="121" fillId="0" borderId="0" xfId="48" applyFont="1" applyFill="1" applyAlignment="1">
      <alignment horizontal="left" vertical="center"/>
    </xf>
    <xf numFmtId="43" fontId="80" fillId="0" borderId="0" xfId="48" applyFont="1" applyFill="1" applyAlignment="1">
      <alignment horizontal="left" vertical="center"/>
    </xf>
    <xf numFmtId="43" fontId="99" fillId="0" borderId="0" xfId="48" applyFont="1" applyFill="1" applyBorder="1" applyAlignment="1">
      <alignment horizontal="left" vertical="center"/>
    </xf>
    <xf numFmtId="43" fontId="31" fillId="0" borderId="0" xfId="48" quotePrefix="1" applyFont="1" applyFill="1" applyAlignment="1">
      <alignment horizontal="left" vertical="center"/>
    </xf>
    <xf numFmtId="43" fontId="97" fillId="0" borderId="0" xfId="48" applyFont="1" applyFill="1" applyBorder="1" applyAlignment="1">
      <alignment horizontal="left" vertical="center"/>
    </xf>
    <xf numFmtId="43" fontId="84" fillId="0" borderId="0" xfId="48" applyFont="1" applyFill="1" applyAlignment="1">
      <alignment horizontal="left" vertical="center"/>
    </xf>
    <xf numFmtId="43" fontId="46" fillId="38" borderId="14" xfId="52" quotePrefix="1" applyNumberFormat="1" applyFont="1" applyFill="1" applyAlignment="1">
      <alignment horizontal="left" vertical="center"/>
    </xf>
    <xf numFmtId="43" fontId="46" fillId="38" borderId="14" xfId="52" quotePrefix="1" applyNumberFormat="1" applyFont="1" applyFill="1" applyAlignment="1">
      <alignment vertical="center"/>
    </xf>
    <xf numFmtId="167" fontId="46" fillId="38" borderId="14" xfId="52" quotePrefix="1" applyNumberFormat="1" applyFont="1" applyFill="1" applyAlignment="1">
      <alignment vertical="center"/>
    </xf>
    <xf numFmtId="0" fontId="46" fillId="38" borderId="14" xfId="52" applyFont="1" applyFill="1" applyAlignment="1">
      <alignment vertical="center"/>
    </xf>
    <xf numFmtId="0" fontId="46" fillId="38" borderId="14" xfId="52" applyNumberFormat="1" applyFont="1" applyFill="1" applyAlignment="1">
      <alignment vertical="center"/>
    </xf>
    <xf numFmtId="0" fontId="46" fillId="38" borderId="14" xfId="52" applyFont="1" applyFill="1" applyAlignment="1">
      <alignment horizontal="left" vertical="center"/>
    </xf>
    <xf numFmtId="43" fontId="46" fillId="38" borderId="14" xfId="52" applyNumberFormat="1" applyFont="1" applyFill="1" applyAlignment="1">
      <alignment horizontal="left" vertical="center"/>
    </xf>
    <xf numFmtId="0" fontId="53" fillId="38" borderId="14" xfId="54" applyFill="1" applyBorder="1" applyAlignment="1">
      <alignment horizontal="left" vertical="center"/>
    </xf>
    <xf numFmtId="167" fontId="46" fillId="38" borderId="14" xfId="52" applyNumberFormat="1" applyFont="1" applyFill="1" applyAlignment="1">
      <alignment horizontal="left" vertical="center"/>
    </xf>
    <xf numFmtId="167" fontId="46" fillId="38" borderId="14" xfId="52" quotePrefix="1" applyNumberFormat="1" applyFont="1" applyFill="1" applyAlignment="1">
      <alignment horizontal="left" vertical="center"/>
    </xf>
    <xf numFmtId="43" fontId="46" fillId="38" borderId="14" xfId="52" applyNumberFormat="1" applyFont="1" applyFill="1" applyAlignment="1">
      <alignment horizontal="left" vertical="center" shrinkToFit="1"/>
    </xf>
    <xf numFmtId="171" fontId="46" fillId="38" borderId="14" xfId="48" applyNumberFormat="1" applyFont="1" applyFill="1" applyBorder="1" applyAlignment="1">
      <alignment vertical="center"/>
    </xf>
    <xf numFmtId="43" fontId="46" fillId="38" borderId="14" xfId="52" applyNumberFormat="1" applyFont="1" applyFill="1" applyAlignment="1">
      <alignment horizontal="center" vertical="center"/>
    </xf>
    <xf numFmtId="43" fontId="46" fillId="38" borderId="14" xfId="48" quotePrefix="1" applyFont="1" applyFill="1" applyBorder="1" applyAlignment="1">
      <alignment horizontal="center" vertical="center"/>
    </xf>
    <xf numFmtId="43" fontId="46" fillId="38" borderId="14" xfId="48" quotePrefix="1" applyFont="1" applyFill="1" applyBorder="1" applyAlignment="1">
      <alignment horizontal="center" vertical="center" shrinkToFit="1"/>
    </xf>
    <xf numFmtId="43" fontId="46" fillId="38" borderId="14" xfId="48" applyFont="1" applyFill="1" applyBorder="1" applyAlignment="1">
      <alignment horizontal="center" vertical="center"/>
    </xf>
    <xf numFmtId="43" fontId="48" fillId="38" borderId="14" xfId="48" applyFont="1" applyFill="1" applyBorder="1" applyAlignment="1">
      <alignment horizontal="left" vertical="center"/>
    </xf>
    <xf numFmtId="10" fontId="46" fillId="38" borderId="14" xfId="51" applyNumberFormat="1" applyFont="1" applyFill="1" applyBorder="1" applyAlignment="1">
      <alignment horizontal="center" vertical="center"/>
    </xf>
    <xf numFmtId="177" fontId="51" fillId="0" borderId="0" xfId="48" applyNumberFormat="1" applyFont="1" applyFill="1" applyAlignment="1">
      <alignment vertical="center"/>
    </xf>
    <xf numFmtId="173" fontId="51" fillId="0" borderId="0" xfId="51" applyNumberFormat="1" applyFont="1" applyFill="1" applyAlignment="1">
      <alignment vertical="center"/>
    </xf>
    <xf numFmtId="49" fontId="46" fillId="0" borderId="0" xfId="0" applyNumberFormat="1" applyFont="1" applyAlignment="1">
      <alignment horizontal="left" vertical="center"/>
    </xf>
    <xf numFmtId="49" fontId="54" fillId="0" borderId="0" xfId="0" applyNumberFormat="1" applyFont="1" applyAlignment="1">
      <alignment horizontal="left" vertical="center"/>
    </xf>
    <xf numFmtId="0" fontId="131" fillId="0" borderId="0" xfId="0" applyFont="1" applyAlignment="1">
      <alignment horizontal="center" vertical="center"/>
    </xf>
    <xf numFmtId="43" fontId="131" fillId="0" borderId="0" xfId="48" applyFont="1" applyFill="1" applyAlignment="1">
      <alignment horizontal="center" vertical="center"/>
    </xf>
    <xf numFmtId="43" fontId="131" fillId="0" borderId="0" xfId="48" applyFont="1" applyFill="1" applyAlignment="1">
      <alignment horizontal="left" vertical="center"/>
    </xf>
    <xf numFmtId="3" fontId="131" fillId="0" borderId="0" xfId="0" applyNumberFormat="1" applyFont="1" applyAlignment="1">
      <alignment horizontal="center" vertical="center"/>
    </xf>
    <xf numFmtId="167" fontId="131" fillId="0" borderId="0" xfId="48" applyNumberFormat="1" applyFont="1" applyFill="1" applyAlignment="1">
      <alignment horizontal="center" vertical="center"/>
    </xf>
    <xf numFmtId="167" fontId="131" fillId="0" borderId="0" xfId="0" applyNumberFormat="1" applyFont="1" applyAlignment="1">
      <alignment horizontal="center" vertical="center"/>
    </xf>
    <xf numFmtId="43" fontId="131" fillId="0" borderId="0" xfId="48" applyFont="1" applyAlignment="1">
      <alignment horizontal="center" vertical="center"/>
    </xf>
    <xf numFmtId="3" fontId="46" fillId="38" borderId="14" xfId="52" applyNumberFormat="1" applyFont="1" applyFill="1" applyAlignment="1">
      <alignment horizontal="left" vertical="center"/>
    </xf>
    <xf numFmtId="0" fontId="132" fillId="0" borderId="0" xfId="0" quotePrefix="1" applyFont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32" fillId="0" borderId="0" xfId="0" applyFont="1" applyAlignment="1">
      <alignment vertical="center"/>
    </xf>
    <xf numFmtId="0" fontId="132" fillId="0" borderId="0" xfId="0" applyFont="1" applyAlignment="1">
      <alignment vertical="center" shrinkToFit="1"/>
    </xf>
    <xf numFmtId="43" fontId="133" fillId="0" borderId="0" xfId="48" applyFont="1" applyFill="1" applyAlignment="1">
      <alignment horizontal="left" vertical="center"/>
    </xf>
    <xf numFmtId="43" fontId="132" fillId="0" borderId="0" xfId="48" applyFont="1" applyFill="1" applyAlignment="1">
      <alignment horizontal="center" vertical="center"/>
    </xf>
    <xf numFmtId="43" fontId="132" fillId="0" borderId="0" xfId="48" applyFont="1" applyFill="1" applyAlignment="1">
      <alignment horizontal="left" vertical="center"/>
    </xf>
    <xf numFmtId="3" fontId="132" fillId="0" borderId="0" xfId="0" applyNumberFormat="1" applyFont="1" applyAlignment="1">
      <alignment horizontal="center" vertical="center"/>
    </xf>
    <xf numFmtId="167" fontId="132" fillId="0" borderId="0" xfId="48" applyNumberFormat="1" applyFont="1" applyFill="1" applyAlignment="1">
      <alignment horizontal="center" vertical="center"/>
    </xf>
    <xf numFmtId="167" fontId="132" fillId="0" borderId="0" xfId="0" applyNumberFormat="1" applyFont="1" applyAlignment="1">
      <alignment horizontal="center" vertical="center"/>
    </xf>
    <xf numFmtId="43" fontId="132" fillId="0" borderId="0" xfId="48" applyFont="1" applyAlignment="1">
      <alignment horizontal="center" vertical="center"/>
    </xf>
    <xf numFmtId="0" fontId="46" fillId="0" borderId="14" xfId="52" applyNumberFormat="1" applyFont="1" applyFill="1" applyAlignment="1">
      <alignment horizontal="left" vertical="center"/>
    </xf>
    <xf numFmtId="0" fontId="46" fillId="0" borderId="14" xfId="52" quotePrefix="1" applyNumberFormat="1" applyFont="1" applyFill="1" applyAlignment="1">
      <alignment horizontal="left" vertical="center"/>
    </xf>
    <xf numFmtId="3" fontId="132" fillId="0" borderId="0" xfId="0" quotePrefix="1" applyNumberFormat="1" applyFont="1" applyAlignment="1">
      <alignment horizontal="center" vertical="center"/>
    </xf>
    <xf numFmtId="167" fontId="132" fillId="0" borderId="0" xfId="48" quotePrefix="1" applyNumberFormat="1" applyFont="1" applyFill="1" applyAlignment="1">
      <alignment horizontal="center" vertical="center"/>
    </xf>
    <xf numFmtId="167" fontId="132" fillId="0" borderId="0" xfId="0" quotePrefix="1" applyNumberFormat="1" applyFont="1" applyAlignment="1">
      <alignment horizontal="center" vertical="center"/>
    </xf>
    <xf numFmtId="167" fontId="132" fillId="0" borderId="0" xfId="48" applyNumberFormat="1" applyFont="1" applyFill="1" applyBorder="1" applyAlignment="1">
      <alignment horizontal="center" vertical="center"/>
    </xf>
    <xf numFmtId="43" fontId="132" fillId="0" borderId="0" xfId="48" applyFont="1" applyBorder="1" applyAlignment="1">
      <alignment horizontal="center" vertical="center"/>
    </xf>
    <xf numFmtId="43" fontId="132" fillId="0" borderId="0" xfId="48" quotePrefix="1" applyFont="1" applyFill="1" applyBorder="1" applyAlignment="1">
      <alignment horizontal="center" vertical="center"/>
    </xf>
    <xf numFmtId="44" fontId="54" fillId="0" borderId="0" xfId="0" applyNumberFormat="1" applyFont="1" applyAlignment="1">
      <alignment horizontal="center" vertical="center"/>
    </xf>
    <xf numFmtId="44" fontId="47" fillId="47" borderId="0" xfId="48" applyNumberFormat="1" applyFont="1" applyFill="1" applyAlignment="1">
      <alignment horizontal="left" vertical="center"/>
    </xf>
    <xf numFmtId="44" fontId="102" fillId="47" borderId="0" xfId="48" applyNumberFormat="1" applyFont="1" applyFill="1" applyBorder="1" applyAlignment="1">
      <alignment horizontal="left" vertical="center"/>
    </xf>
    <xf numFmtId="44" fontId="102" fillId="47" borderId="0" xfId="48" applyNumberFormat="1" applyFont="1" applyFill="1" applyBorder="1" applyAlignment="1">
      <alignment horizontal="center" vertical="center"/>
    </xf>
    <xf numFmtId="44" fontId="112" fillId="0" borderId="0" xfId="0" applyNumberFormat="1" applyFont="1" applyAlignment="1">
      <alignment vertical="center"/>
    </xf>
    <xf numFmtId="0" fontId="53" fillId="0" borderId="14" xfId="54" applyFill="1" applyBorder="1" applyAlignment="1">
      <alignment horizontal="left" vertical="center" wrapText="1"/>
    </xf>
    <xf numFmtId="0" fontId="47" fillId="0" borderId="0" xfId="0" quotePrefix="1" applyFont="1" applyAlignment="1">
      <alignment horizontal="center" vertical="center"/>
    </xf>
    <xf numFmtId="49" fontId="64" fillId="40" borderId="0" xfId="0" applyNumberFormat="1" applyFont="1" applyFill="1" applyAlignment="1">
      <alignment vertical="center"/>
    </xf>
    <xf numFmtId="0" fontId="135" fillId="0" borderId="0" xfId="0" quotePrefix="1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43" fontId="135" fillId="0" borderId="0" xfId="48" applyFont="1" applyFill="1" applyAlignment="1">
      <alignment horizontal="center" vertical="center"/>
    </xf>
    <xf numFmtId="43" fontId="135" fillId="0" borderId="0" xfId="48" applyFont="1" applyFill="1" applyAlignment="1">
      <alignment horizontal="left" vertical="center"/>
    </xf>
    <xf numFmtId="3" fontId="135" fillId="0" borderId="0" xfId="0" applyNumberFormat="1" applyFont="1" applyAlignment="1">
      <alignment horizontal="center" vertical="center"/>
    </xf>
    <xf numFmtId="167" fontId="135" fillId="0" borderId="0" xfId="48" applyNumberFormat="1" applyFont="1" applyFill="1" applyAlignment="1">
      <alignment horizontal="center" vertical="center"/>
    </xf>
    <xf numFmtId="167" fontId="135" fillId="0" borderId="0" xfId="0" applyNumberFormat="1" applyFont="1" applyAlignment="1">
      <alignment horizontal="center" vertical="center"/>
    </xf>
    <xf numFmtId="43" fontId="135" fillId="0" borderId="0" xfId="48" applyFont="1" applyAlignment="1">
      <alignment horizontal="center" vertical="center"/>
    </xf>
    <xf numFmtId="43" fontId="47" fillId="0" borderId="0" xfId="48" applyFont="1" applyAlignment="1">
      <alignment horizontal="center" vertical="center" shrinkToFit="1"/>
    </xf>
    <xf numFmtId="0" fontId="46" fillId="0" borderId="27" xfId="0" applyFont="1" applyBorder="1" applyAlignment="1">
      <alignment horizontal="right" vertical="center"/>
    </xf>
    <xf numFmtId="0" fontId="46" fillId="0" borderId="29" xfId="0" applyFont="1" applyBorder="1" applyAlignment="1">
      <alignment horizontal="right" vertical="center"/>
    </xf>
    <xf numFmtId="0" fontId="46" fillId="0" borderId="31" xfId="0" applyFont="1" applyBorder="1" applyAlignment="1">
      <alignment horizontal="right" vertical="center"/>
    </xf>
    <xf numFmtId="43" fontId="46" fillId="0" borderId="0" xfId="48" applyFont="1" applyBorder="1" applyAlignment="1">
      <alignment horizontal="center" vertical="center"/>
    </xf>
    <xf numFmtId="17" fontId="46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43" fontId="46" fillId="0" borderId="30" xfId="0" applyNumberFormat="1" applyFont="1" applyBorder="1" applyAlignment="1">
      <alignment horizontal="center" vertical="center"/>
    </xf>
    <xf numFmtId="43" fontId="48" fillId="37" borderId="36" xfId="0" applyNumberFormat="1" applyFont="1" applyFill="1" applyBorder="1" applyAlignment="1">
      <alignment horizontal="center" vertical="center"/>
    </xf>
    <xf numFmtId="43" fontId="48" fillId="47" borderId="36" xfId="0" applyNumberFormat="1" applyFont="1" applyFill="1" applyBorder="1" applyAlignment="1">
      <alignment horizontal="center" vertical="center"/>
    </xf>
    <xf numFmtId="43" fontId="48" fillId="47" borderId="32" xfId="0" applyNumberFormat="1" applyFont="1" applyFill="1" applyBorder="1" applyAlignment="1">
      <alignment horizontal="center" vertical="center"/>
    </xf>
    <xf numFmtId="17" fontId="48" fillId="48" borderId="0" xfId="0" applyNumberFormat="1" applyFont="1" applyFill="1" applyAlignment="1">
      <alignment horizontal="right" vertical="center"/>
    </xf>
    <xf numFmtId="0" fontId="48" fillId="48" borderId="0" xfId="0" applyFont="1" applyFill="1" applyAlignment="1">
      <alignment horizontal="right" vertical="center"/>
    </xf>
    <xf numFmtId="0" fontId="48" fillId="48" borderId="30" xfId="0" applyFont="1" applyFill="1" applyBorder="1" applyAlignment="1">
      <alignment horizontal="right" vertical="center"/>
    </xf>
    <xf numFmtId="0" fontId="48" fillId="48" borderId="29" xfId="0" applyFont="1" applyFill="1" applyBorder="1" applyAlignment="1">
      <alignment horizontal="right" vertical="center"/>
    </xf>
    <xf numFmtId="0" fontId="135" fillId="0" borderId="0" xfId="0" applyFont="1" applyAlignment="1">
      <alignment vertical="center" shrinkToFit="1"/>
    </xf>
    <xf numFmtId="43" fontId="136" fillId="0" borderId="0" xfId="48" applyFont="1" applyFill="1" applyAlignment="1">
      <alignment horizontal="left" vertical="center"/>
    </xf>
    <xf numFmtId="3" fontId="135" fillId="0" borderId="0" xfId="0" quotePrefix="1" applyNumberFormat="1" applyFont="1" applyAlignment="1">
      <alignment horizontal="center" vertical="center"/>
    </xf>
    <xf numFmtId="167" fontId="135" fillId="0" borderId="0" xfId="48" quotePrefix="1" applyNumberFormat="1" applyFont="1" applyFill="1" applyAlignment="1">
      <alignment horizontal="center" vertical="center"/>
    </xf>
    <xf numFmtId="167" fontId="135" fillId="0" borderId="0" xfId="0" quotePrefix="1" applyNumberFormat="1" applyFont="1" applyAlignment="1">
      <alignment horizontal="center" vertical="center"/>
    </xf>
    <xf numFmtId="167" fontId="135" fillId="0" borderId="0" xfId="48" applyNumberFormat="1" applyFont="1" applyFill="1" applyBorder="1" applyAlignment="1">
      <alignment horizontal="center" vertical="center"/>
    </xf>
    <xf numFmtId="43" fontId="135" fillId="0" borderId="0" xfId="48" applyFont="1" applyBorder="1" applyAlignment="1">
      <alignment horizontal="center" vertical="center"/>
    </xf>
    <xf numFmtId="43" fontId="135" fillId="0" borderId="0" xfId="48" quotePrefix="1" applyFont="1" applyFill="1" applyBorder="1" applyAlignment="1">
      <alignment horizontal="center" vertical="center"/>
    </xf>
    <xf numFmtId="4" fontId="0" fillId="0" borderId="0" xfId="48" applyNumberFormat="1" applyFont="1"/>
    <xf numFmtId="43" fontId="46" fillId="0" borderId="0" xfId="48" quotePrefix="1" applyFont="1" applyAlignment="1">
      <alignment horizontal="left" vertical="center"/>
    </xf>
    <xf numFmtId="43" fontId="68" fillId="0" borderId="0" xfId="48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0" fontId="137" fillId="0" borderId="0" xfId="0" applyFont="1" applyAlignment="1">
      <alignment vertical="center" shrinkToFit="1"/>
    </xf>
    <xf numFmtId="43" fontId="138" fillId="0" borderId="0" xfId="48" applyFont="1" applyFill="1" applyAlignment="1">
      <alignment horizontal="left" vertical="center"/>
    </xf>
    <xf numFmtId="43" fontId="137" fillId="0" borderId="0" xfId="48" applyFont="1" applyFill="1" applyAlignment="1">
      <alignment horizontal="center" vertical="center"/>
    </xf>
    <xf numFmtId="43" fontId="137" fillId="0" borderId="0" xfId="48" applyFont="1" applyFill="1" applyAlignment="1">
      <alignment horizontal="left" vertical="center"/>
    </xf>
    <xf numFmtId="3" fontId="137" fillId="0" borderId="0" xfId="0" applyNumberFormat="1" applyFont="1" applyAlignment="1">
      <alignment horizontal="center" vertical="center"/>
    </xf>
    <xf numFmtId="167" fontId="137" fillId="0" borderId="0" xfId="48" applyNumberFormat="1" applyFont="1" applyFill="1" applyAlignment="1">
      <alignment horizontal="center" vertical="center"/>
    </xf>
    <xf numFmtId="167" fontId="137" fillId="0" borderId="0" xfId="0" applyNumberFormat="1" applyFont="1" applyAlignment="1">
      <alignment horizontal="center" vertical="center"/>
    </xf>
    <xf numFmtId="43" fontId="137" fillId="0" borderId="0" xfId="48" applyFont="1" applyAlignment="1">
      <alignment horizontal="center" vertical="center"/>
    </xf>
    <xf numFmtId="9" fontId="46" fillId="0" borderId="0" xfId="0" applyNumberFormat="1" applyFont="1" applyAlignment="1">
      <alignment horizontal="center" vertical="center" shrinkToFit="1"/>
    </xf>
    <xf numFmtId="167" fontId="46" fillId="0" borderId="0" xfId="0" applyNumberFormat="1" applyFont="1" applyAlignment="1">
      <alignment horizontal="left" vertical="center" shrinkToFit="1"/>
    </xf>
    <xf numFmtId="0" fontId="139" fillId="0" borderId="0" xfId="0" quotePrefix="1" applyFont="1" applyAlignment="1">
      <alignment horizontal="center" vertical="center"/>
    </xf>
    <xf numFmtId="0" fontId="139" fillId="0" borderId="0" xfId="0" applyFont="1" applyAlignment="1">
      <alignment horizontal="center" vertical="center"/>
    </xf>
    <xf numFmtId="43" fontId="139" fillId="0" borderId="0" xfId="48" applyFont="1" applyFill="1" applyAlignment="1">
      <alignment horizontal="center" vertical="center"/>
    </xf>
    <xf numFmtId="43" fontId="139" fillId="0" borderId="0" xfId="48" applyFont="1" applyFill="1" applyAlignment="1">
      <alignment horizontal="left" vertical="center"/>
    </xf>
    <xf numFmtId="3" fontId="139" fillId="0" borderId="0" xfId="0" applyNumberFormat="1" applyFont="1" applyAlignment="1">
      <alignment horizontal="center" vertical="center"/>
    </xf>
    <xf numFmtId="167" fontId="139" fillId="0" borderId="0" xfId="48" applyNumberFormat="1" applyFont="1" applyFill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43" fontId="139" fillId="0" borderId="0" xfId="48" applyFont="1" applyAlignment="1">
      <alignment horizontal="center" vertical="center"/>
    </xf>
    <xf numFmtId="49" fontId="102" fillId="47" borderId="0" xfId="0" applyNumberFormat="1" applyFont="1" applyFill="1" applyAlignment="1">
      <alignment horizontal="left" vertical="center" shrinkToFit="1"/>
    </xf>
    <xf numFmtId="0" fontId="126" fillId="46" borderId="0" xfId="0" applyFont="1" applyFill="1" applyAlignment="1">
      <alignment horizontal="left" vertical="center"/>
    </xf>
    <xf numFmtId="43" fontId="140" fillId="0" borderId="0" xfId="48" applyFont="1" applyFill="1" applyAlignment="1">
      <alignment horizontal="left" vertical="center"/>
    </xf>
    <xf numFmtId="0" fontId="139" fillId="0" borderId="0" xfId="0" applyFont="1" applyAlignment="1">
      <alignment vertical="center" shrinkToFit="1"/>
    </xf>
    <xf numFmtId="3" fontId="139" fillId="0" borderId="0" xfId="0" quotePrefix="1" applyNumberFormat="1" applyFont="1" applyAlignment="1">
      <alignment horizontal="center" vertical="center"/>
    </xf>
    <xf numFmtId="167" fontId="139" fillId="0" borderId="0" xfId="48" quotePrefix="1" applyNumberFormat="1" applyFont="1" applyFill="1" applyAlignment="1">
      <alignment horizontal="center" vertical="center"/>
    </xf>
    <xf numFmtId="167" fontId="139" fillId="0" borderId="0" xfId="0" quotePrefix="1" applyNumberFormat="1" applyFont="1" applyAlignment="1">
      <alignment horizontal="center" vertical="center"/>
    </xf>
    <xf numFmtId="167" fontId="139" fillId="0" borderId="0" xfId="48" applyNumberFormat="1" applyFont="1" applyFill="1" applyBorder="1" applyAlignment="1">
      <alignment horizontal="center" vertical="center"/>
    </xf>
    <xf numFmtId="43" fontId="139" fillId="0" borderId="0" xfId="48" applyFont="1" applyBorder="1" applyAlignment="1">
      <alignment horizontal="center" vertical="center"/>
    </xf>
    <xf numFmtId="43" fontId="139" fillId="0" borderId="0" xfId="48" quotePrefix="1" applyFont="1" applyFill="1" applyBorder="1" applyAlignment="1">
      <alignment horizontal="center" vertical="center"/>
    </xf>
    <xf numFmtId="0" fontId="48" fillId="31" borderId="0" xfId="0" applyFont="1" applyFill="1" applyAlignment="1">
      <alignment horizontal="center" vertical="center"/>
    </xf>
    <xf numFmtId="0" fontId="141" fillId="0" borderId="0" xfId="0" applyFont="1" applyAlignment="1">
      <alignment horizontal="center" vertical="center"/>
    </xf>
    <xf numFmtId="43" fontId="102" fillId="0" borderId="0" xfId="48" applyFont="1" applyFill="1" applyAlignment="1">
      <alignment vertical="center"/>
    </xf>
    <xf numFmtId="0" fontId="141" fillId="0" borderId="0" xfId="0" applyFont="1" applyAlignment="1">
      <alignment vertical="center" shrinkToFit="1"/>
    </xf>
    <xf numFmtId="43" fontId="142" fillId="0" borderId="0" xfId="48" applyFont="1" applyFill="1" applyAlignment="1">
      <alignment horizontal="left" vertical="center"/>
    </xf>
    <xf numFmtId="43" fontId="141" fillId="0" borderId="0" xfId="48" applyFont="1" applyFill="1" applyAlignment="1">
      <alignment horizontal="center" vertical="center"/>
    </xf>
    <xf numFmtId="43" fontId="141" fillId="0" borderId="0" xfId="48" applyFont="1" applyFill="1" applyAlignment="1">
      <alignment horizontal="left" vertical="center"/>
    </xf>
    <xf numFmtId="3" fontId="141" fillId="0" borderId="0" xfId="0" applyNumberFormat="1" applyFont="1" applyAlignment="1">
      <alignment horizontal="center" vertical="center"/>
    </xf>
    <xf numFmtId="167" fontId="141" fillId="0" borderId="0" xfId="48" applyNumberFormat="1" applyFont="1" applyFill="1" applyAlignment="1">
      <alignment horizontal="center" vertical="center"/>
    </xf>
    <xf numFmtId="167" fontId="141" fillId="0" borderId="0" xfId="0" applyNumberFormat="1" applyFont="1" applyAlignment="1">
      <alignment horizontal="center" vertical="center"/>
    </xf>
    <xf numFmtId="43" fontId="141" fillId="0" borderId="0" xfId="48" applyFont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43" fillId="0" borderId="0" xfId="0" applyFont="1" applyAlignment="1">
      <alignment horizontal="center" vertical="center"/>
    </xf>
    <xf numFmtId="44" fontId="144" fillId="0" borderId="0" xfId="0" applyNumberFormat="1" applyFont="1" applyAlignment="1">
      <alignment vertical="center"/>
    </xf>
    <xf numFmtId="0" fontId="24" fillId="35" borderId="0" xfId="0" quotePrefix="1" applyFont="1" applyFill="1" applyAlignment="1">
      <alignment horizontal="left" vertical="center"/>
    </xf>
    <xf numFmtId="0" fontId="143" fillId="0" borderId="0" xfId="0" quotePrefix="1" applyFont="1" applyAlignment="1">
      <alignment horizontal="left" vertical="center"/>
    </xf>
    <xf numFmtId="167" fontId="54" fillId="0" borderId="0" xfId="0" applyNumberFormat="1" applyFont="1" applyAlignment="1">
      <alignment horizontal="left" vertical="center"/>
    </xf>
    <xf numFmtId="49" fontId="54" fillId="32" borderId="0" xfId="0" applyNumberFormat="1" applyFont="1" applyFill="1" applyAlignment="1">
      <alignment vertical="center"/>
    </xf>
    <xf numFmtId="167" fontId="112" fillId="0" borderId="0" xfId="0" applyNumberFormat="1" applyFont="1" applyAlignment="1">
      <alignment horizontal="left" vertical="center"/>
    </xf>
    <xf numFmtId="4" fontId="134" fillId="0" borderId="0" xfId="0" applyNumberFormat="1" applyFont="1"/>
    <xf numFmtId="44" fontId="134" fillId="0" borderId="0" xfId="0" applyNumberFormat="1" applyFont="1"/>
    <xf numFmtId="0" fontId="60" fillId="38" borderId="31" xfId="0" applyFont="1" applyFill="1" applyBorder="1" applyAlignment="1">
      <alignment horizontal="right" vertical="center" shrinkToFit="1"/>
    </xf>
    <xf numFmtId="43" fontId="60" fillId="38" borderId="32" xfId="0" applyNumberFormat="1" applyFont="1" applyFill="1" applyBorder="1" applyAlignment="1">
      <alignment vertical="center"/>
    </xf>
    <xf numFmtId="0" fontId="145" fillId="0" borderId="0" xfId="0" applyFont="1" applyAlignment="1">
      <alignment horizontal="center" vertical="center"/>
    </xf>
    <xf numFmtId="0" fontId="51" fillId="31" borderId="16" xfId="48" applyNumberFormat="1" applyFont="1" applyFill="1" applyBorder="1" applyAlignment="1">
      <alignment vertical="center" shrinkToFit="1"/>
    </xf>
    <xf numFmtId="0" fontId="146" fillId="0" borderId="0" xfId="0" applyFont="1"/>
    <xf numFmtId="10" fontId="54" fillId="0" borderId="0" xfId="51" applyNumberFormat="1" applyFont="1" applyFill="1" applyBorder="1" applyAlignment="1">
      <alignment vertical="center"/>
    </xf>
    <xf numFmtId="4" fontId="55" fillId="0" borderId="0" xfId="0" applyNumberFormat="1" applyFont="1" applyAlignment="1">
      <alignment vertical="center"/>
    </xf>
    <xf numFmtId="49" fontId="64" fillId="47" borderId="0" xfId="0" applyNumberFormat="1" applyFont="1" applyFill="1" applyAlignment="1">
      <alignment horizontal="left" vertical="center"/>
    </xf>
    <xf numFmtId="0" fontId="145" fillId="0" borderId="0" xfId="0" quotePrefix="1" applyFont="1" applyAlignment="1">
      <alignment horizontal="center" vertical="center"/>
    </xf>
    <xf numFmtId="0" fontId="145" fillId="0" borderId="0" xfId="0" applyFont="1" applyAlignment="1">
      <alignment vertical="center" shrinkToFit="1"/>
    </xf>
    <xf numFmtId="43" fontId="147" fillId="0" borderId="0" xfId="48" applyFont="1" applyFill="1" applyAlignment="1">
      <alignment horizontal="left" vertical="center"/>
    </xf>
    <xf numFmtId="43" fontId="145" fillId="0" borderId="0" xfId="48" applyFont="1" applyFill="1" applyAlignment="1">
      <alignment horizontal="center" vertical="center"/>
    </xf>
    <xf numFmtId="43" fontId="145" fillId="0" borderId="0" xfId="48" applyFont="1" applyFill="1" applyAlignment="1">
      <alignment horizontal="left" vertical="center"/>
    </xf>
    <xf numFmtId="3" fontId="145" fillId="0" borderId="0" xfId="0" quotePrefix="1" applyNumberFormat="1" applyFont="1" applyAlignment="1">
      <alignment horizontal="center" vertical="center"/>
    </xf>
    <xf numFmtId="167" fontId="145" fillId="0" borderId="0" xfId="48" quotePrefix="1" applyNumberFormat="1" applyFont="1" applyFill="1" applyAlignment="1">
      <alignment horizontal="center" vertical="center"/>
    </xf>
    <xf numFmtId="167" fontId="145" fillId="0" borderId="0" xfId="0" quotePrefix="1" applyNumberFormat="1" applyFont="1" applyAlignment="1">
      <alignment horizontal="center" vertical="center"/>
    </xf>
    <xf numFmtId="167" fontId="145" fillId="0" borderId="0" xfId="48" applyNumberFormat="1" applyFont="1" applyFill="1" applyBorder="1" applyAlignment="1">
      <alignment horizontal="center" vertical="center"/>
    </xf>
    <xf numFmtId="43" fontId="145" fillId="0" borderId="0" xfId="48" applyFont="1" applyBorder="1" applyAlignment="1">
      <alignment horizontal="center" vertical="center"/>
    </xf>
    <xf numFmtId="43" fontId="145" fillId="0" borderId="0" xfId="48" quotePrefix="1" applyFont="1" applyFill="1" applyBorder="1" applyAlignment="1">
      <alignment horizontal="center" vertical="center"/>
    </xf>
    <xf numFmtId="3" fontId="145" fillId="0" borderId="0" xfId="0" applyNumberFormat="1" applyFont="1" applyAlignment="1">
      <alignment horizontal="center" vertical="center"/>
    </xf>
    <xf numFmtId="167" fontId="145" fillId="0" borderId="0" xfId="48" applyNumberFormat="1" applyFont="1" applyFill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43" fontId="145" fillId="0" borderId="0" xfId="48" applyFont="1" applyAlignment="1">
      <alignment horizontal="center" vertical="center"/>
    </xf>
    <xf numFmtId="0" fontId="24" fillId="0" borderId="0" xfId="0" applyFont="1" applyAlignment="1">
      <alignment vertical="center" wrapText="1" shrinkToFit="1"/>
    </xf>
    <xf numFmtId="0" fontId="23" fillId="0" borderId="0" xfId="0" applyFont="1" applyAlignment="1">
      <alignment horizontal="center" vertical="center"/>
    </xf>
    <xf numFmtId="10" fontId="46" fillId="0" borderId="0" xfId="51" applyNumberFormat="1" applyFont="1" applyAlignment="1">
      <alignment horizontal="center" vertical="center" shrinkToFit="1"/>
    </xf>
    <xf numFmtId="43" fontId="46" fillId="37" borderId="0" xfId="48" applyFont="1" applyFill="1" applyAlignment="1">
      <alignment horizontal="center" vertical="center"/>
    </xf>
    <xf numFmtId="0" fontId="126" fillId="0" borderId="0" xfId="0" applyFont="1" applyAlignment="1">
      <alignment horizontal="left" vertical="center" shrinkToFit="1"/>
    </xf>
    <xf numFmtId="0" fontId="148" fillId="0" borderId="0" xfId="0" applyFont="1" applyAlignment="1">
      <alignment horizontal="left" vertical="center"/>
    </xf>
    <xf numFmtId="44" fontId="149" fillId="0" borderId="0" xfId="0" applyNumberFormat="1" applyFont="1" applyAlignment="1">
      <alignment horizontal="left" vertical="center"/>
    </xf>
    <xf numFmtId="0" fontId="47" fillId="38" borderId="0" xfId="0" applyFont="1" applyFill="1" applyAlignment="1">
      <alignment vertical="center"/>
    </xf>
    <xf numFmtId="0" fontId="102" fillId="38" borderId="0" xfId="0" quotePrefix="1" applyFont="1" applyFill="1" applyAlignment="1">
      <alignment horizontal="left" vertical="center"/>
    </xf>
    <xf numFmtId="44" fontId="47" fillId="38" borderId="0" xfId="48" applyNumberFormat="1" applyFont="1" applyFill="1" applyAlignment="1">
      <alignment horizontal="left" vertical="center"/>
    </xf>
    <xf numFmtId="49" fontId="47" fillId="38" borderId="0" xfId="0" applyNumberFormat="1" applyFont="1" applyFill="1" applyAlignment="1">
      <alignment vertical="center"/>
    </xf>
    <xf numFmtId="44" fontId="102" fillId="38" borderId="0" xfId="48" applyNumberFormat="1" applyFont="1" applyFill="1" applyBorder="1" applyAlignment="1">
      <alignment horizontal="left" vertical="center"/>
    </xf>
    <xf numFmtId="44" fontId="45" fillId="38" borderId="0" xfId="0" applyNumberFormat="1" applyFont="1" applyFill="1" applyAlignment="1">
      <alignment horizontal="left" vertical="center"/>
    </xf>
    <xf numFmtId="167" fontId="102" fillId="49" borderId="0" xfId="0" applyNumberFormat="1" applyFont="1" applyFill="1" applyAlignment="1">
      <alignment horizontal="left" vertical="center"/>
    </xf>
    <xf numFmtId="0" fontId="150" fillId="0" borderId="0" xfId="0" applyFont="1" applyAlignment="1">
      <alignment horizontal="left" vertical="center"/>
    </xf>
    <xf numFmtId="44" fontId="151" fillId="0" borderId="0" xfId="0" applyNumberFormat="1" applyFont="1" applyAlignment="1">
      <alignment horizontal="left" vertical="center"/>
    </xf>
    <xf numFmtId="0" fontId="47" fillId="38" borderId="0" xfId="0" applyFont="1" applyFill="1" applyAlignment="1">
      <alignment horizontal="left" vertical="center"/>
    </xf>
    <xf numFmtId="44" fontId="102" fillId="38" borderId="0" xfId="0" applyNumberFormat="1" applyFont="1" applyFill="1" applyAlignment="1">
      <alignment vertical="center"/>
    </xf>
    <xf numFmtId="0" fontId="39" fillId="0" borderId="0" xfId="0" applyFont="1" applyAlignment="1">
      <alignment horizontal="left" vertical="center"/>
    </xf>
    <xf numFmtId="44" fontId="40" fillId="0" borderId="0" xfId="0" applyNumberFormat="1" applyFont="1" applyAlignment="1">
      <alignment horizontal="left" vertical="center"/>
    </xf>
    <xf numFmtId="49" fontId="47" fillId="38" borderId="0" xfId="0" applyNumberFormat="1" applyFont="1" applyFill="1" applyAlignment="1">
      <alignment horizontal="left" vertical="center"/>
    </xf>
    <xf numFmtId="43" fontId="54" fillId="0" borderId="0" xfId="51" applyNumberFormat="1" applyFont="1" applyAlignment="1">
      <alignment vertical="center"/>
    </xf>
    <xf numFmtId="44" fontId="102" fillId="38" borderId="0" xfId="48" applyNumberFormat="1" applyFont="1" applyFill="1" applyBorder="1" applyAlignment="1">
      <alignment horizontal="center" vertical="center"/>
    </xf>
    <xf numFmtId="0" fontId="152" fillId="0" borderId="0" xfId="0" applyFont="1" applyAlignment="1">
      <alignment horizontal="left" vertical="center"/>
    </xf>
    <xf numFmtId="44" fontId="153" fillId="0" borderId="0" xfId="0" applyNumberFormat="1" applyFont="1" applyAlignment="1">
      <alignment horizontal="left" vertical="center"/>
    </xf>
    <xf numFmtId="49" fontId="47" fillId="40" borderId="0" xfId="0" applyNumberFormat="1" applyFont="1" applyFill="1" applyAlignment="1">
      <alignment horizontal="left" vertical="center"/>
    </xf>
    <xf numFmtId="167" fontId="47" fillId="40" borderId="0" xfId="0" applyNumberFormat="1" applyFont="1" applyFill="1" applyAlignment="1">
      <alignment horizontal="left" vertical="center"/>
    </xf>
    <xf numFmtId="44" fontId="47" fillId="40" borderId="0" xfId="0" applyNumberFormat="1" applyFont="1" applyFill="1" applyAlignment="1">
      <alignment horizontal="left" vertical="center"/>
    </xf>
    <xf numFmtId="44" fontId="30" fillId="0" borderId="0" xfId="0" applyNumberFormat="1" applyFont="1" applyAlignment="1">
      <alignment horizontal="left" vertical="center"/>
    </xf>
    <xf numFmtId="0" fontId="101" fillId="0" borderId="14" xfId="54" applyFont="1" applyFill="1" applyBorder="1" applyAlignment="1">
      <alignment horizontal="left" vertical="center" wrapText="1"/>
    </xf>
    <xf numFmtId="44" fontId="102" fillId="0" borderId="0" xfId="48" applyNumberFormat="1" applyFont="1" applyFill="1" applyBorder="1" applyAlignment="1">
      <alignment vertical="center"/>
    </xf>
    <xf numFmtId="44" fontId="47" fillId="37" borderId="0" xfId="0" applyNumberFormat="1" applyFont="1" applyFill="1" applyAlignment="1">
      <alignment vertical="center"/>
    </xf>
    <xf numFmtId="43" fontId="51" fillId="0" borderId="0" xfId="48" applyFont="1" applyFill="1" applyBorder="1" applyAlignment="1">
      <alignment horizontal="center" vertical="center"/>
    </xf>
    <xf numFmtId="0" fontId="154" fillId="0" borderId="0" xfId="0" applyFont="1" applyAlignment="1">
      <alignment horizontal="left" vertical="center"/>
    </xf>
    <xf numFmtId="44" fontId="155" fillId="0" borderId="0" xfId="0" applyNumberFormat="1" applyFont="1" applyAlignment="1">
      <alignment horizontal="left" vertical="center"/>
    </xf>
    <xf numFmtId="10" fontId="51" fillId="0" borderId="0" xfId="51" applyNumberFormat="1" applyFont="1" applyAlignment="1">
      <alignment vertical="center"/>
    </xf>
    <xf numFmtId="43" fontId="52" fillId="38" borderId="16" xfId="48" applyFont="1" applyFill="1" applyBorder="1" applyAlignment="1">
      <alignment vertical="center"/>
    </xf>
    <xf numFmtId="49" fontId="102" fillId="0" borderId="0" xfId="0" applyNumberFormat="1" applyFont="1" applyAlignment="1">
      <alignment horizontal="left" vertical="center" wrapText="1"/>
    </xf>
    <xf numFmtId="0" fontId="154" fillId="0" borderId="0" xfId="0" quotePrefix="1" applyFont="1" applyAlignment="1">
      <alignment horizontal="center" vertical="center"/>
    </xf>
    <xf numFmtId="0" fontId="154" fillId="0" borderId="0" xfId="0" applyFont="1" applyAlignment="1">
      <alignment horizontal="center" vertical="center"/>
    </xf>
    <xf numFmtId="43" fontId="156" fillId="0" borderId="0" xfId="48" applyFont="1" applyFill="1" applyAlignment="1">
      <alignment horizontal="left" vertical="center"/>
    </xf>
    <xf numFmtId="43" fontId="154" fillId="0" borderId="0" xfId="48" applyFont="1" applyFill="1" applyAlignment="1">
      <alignment horizontal="center" vertical="center"/>
    </xf>
    <xf numFmtId="43" fontId="154" fillId="0" borderId="0" xfId="48" applyFont="1" applyFill="1" applyAlignment="1">
      <alignment horizontal="left" vertical="center"/>
    </xf>
    <xf numFmtId="3" fontId="154" fillId="0" borderId="0" xfId="0" applyNumberFormat="1" applyFont="1" applyAlignment="1">
      <alignment horizontal="center" vertical="center"/>
    </xf>
    <xf numFmtId="167" fontId="154" fillId="0" borderId="0" xfId="48" applyNumberFormat="1" applyFont="1" applyFill="1" applyAlignment="1">
      <alignment horizontal="center" vertical="center"/>
    </xf>
    <xf numFmtId="167" fontId="154" fillId="0" borderId="0" xfId="0" applyNumberFormat="1" applyFont="1" applyAlignment="1">
      <alignment horizontal="center" vertical="center"/>
    </xf>
    <xf numFmtId="43" fontId="154" fillId="0" borderId="0" xfId="48" applyFont="1" applyAlignment="1">
      <alignment horizontal="center" vertical="center"/>
    </xf>
    <xf numFmtId="0" fontId="154" fillId="0" borderId="0" xfId="0" applyFont="1" applyAlignment="1">
      <alignment vertical="center" shrinkToFit="1"/>
    </xf>
    <xf numFmtId="3" fontId="154" fillId="0" borderId="0" xfId="0" quotePrefix="1" applyNumberFormat="1" applyFont="1" applyAlignment="1">
      <alignment horizontal="center" vertical="center"/>
    </xf>
    <xf numFmtId="167" fontId="154" fillId="0" borderId="0" xfId="48" quotePrefix="1" applyNumberFormat="1" applyFont="1" applyFill="1" applyAlignment="1">
      <alignment horizontal="center" vertical="center"/>
    </xf>
    <xf numFmtId="167" fontId="154" fillId="0" borderId="0" xfId="0" quotePrefix="1" applyNumberFormat="1" applyFont="1" applyAlignment="1">
      <alignment horizontal="center" vertical="center"/>
    </xf>
    <xf numFmtId="167" fontId="154" fillId="0" borderId="0" xfId="48" applyNumberFormat="1" applyFont="1" applyFill="1" applyBorder="1" applyAlignment="1">
      <alignment horizontal="center" vertical="center"/>
    </xf>
    <xf numFmtId="43" fontId="154" fillId="0" borderId="0" xfId="48" applyFont="1" applyBorder="1" applyAlignment="1">
      <alignment horizontal="center" vertical="center"/>
    </xf>
    <xf numFmtId="43" fontId="154" fillId="0" borderId="0" xfId="48" quotePrefix="1" applyFont="1" applyFill="1" applyBorder="1" applyAlignment="1">
      <alignment horizontal="center" vertical="center"/>
    </xf>
    <xf numFmtId="0" fontId="24" fillId="0" borderId="0" xfId="0" applyFont="1" applyAlignment="1">
      <alignment horizontal="left"/>
    </xf>
    <xf numFmtId="44" fontId="22" fillId="0" borderId="0" xfId="0" applyNumberFormat="1" applyFont="1" applyAlignment="1">
      <alignment horizontal="left" vertical="center"/>
    </xf>
    <xf numFmtId="0" fontId="157" fillId="0" borderId="0" xfId="0" applyFont="1" applyAlignment="1">
      <alignment horizontal="left" vertical="center"/>
    </xf>
    <xf numFmtId="44" fontId="158" fillId="0" borderId="0" xfId="0" applyNumberFormat="1" applyFont="1" applyAlignment="1">
      <alignment horizontal="left" vertical="center"/>
    </xf>
    <xf numFmtId="0" fontId="157" fillId="0" borderId="0" xfId="0" quotePrefix="1" applyFont="1" applyAlignment="1">
      <alignment horizontal="center" vertical="center"/>
    </xf>
    <xf numFmtId="0" fontId="157" fillId="0" borderId="0" xfId="0" applyFont="1" applyAlignment="1">
      <alignment vertical="center" shrinkToFit="1"/>
    </xf>
    <xf numFmtId="43" fontId="159" fillId="0" borderId="0" xfId="48" applyFont="1" applyFill="1" applyAlignment="1">
      <alignment horizontal="left" vertical="center"/>
    </xf>
    <xf numFmtId="43" fontId="157" fillId="0" borderId="0" xfId="48" applyFont="1" applyFill="1" applyAlignment="1">
      <alignment horizontal="center" vertical="center"/>
    </xf>
    <xf numFmtId="43" fontId="157" fillId="0" borderId="0" xfId="48" applyFont="1" applyFill="1" applyAlignment="1">
      <alignment horizontal="left" vertical="center"/>
    </xf>
    <xf numFmtId="0" fontId="157" fillId="0" borderId="0" xfId="0" applyFont="1" applyAlignment="1">
      <alignment horizontal="center" vertical="center"/>
    </xf>
    <xf numFmtId="3" fontId="157" fillId="0" borderId="0" xfId="0" quotePrefix="1" applyNumberFormat="1" applyFont="1" applyAlignment="1">
      <alignment horizontal="center" vertical="center"/>
    </xf>
    <xf numFmtId="167" fontId="157" fillId="0" borderId="0" xfId="48" quotePrefix="1" applyNumberFormat="1" applyFont="1" applyFill="1" applyAlignment="1">
      <alignment horizontal="center" vertical="center"/>
    </xf>
    <xf numFmtId="167" fontId="157" fillId="0" borderId="0" xfId="0" quotePrefix="1" applyNumberFormat="1" applyFont="1" applyAlignment="1">
      <alignment horizontal="center" vertical="center"/>
    </xf>
    <xf numFmtId="167" fontId="157" fillId="0" borderId="0" xfId="48" applyNumberFormat="1" applyFont="1" applyFill="1" applyBorder="1" applyAlignment="1">
      <alignment horizontal="center" vertical="center"/>
    </xf>
    <xf numFmtId="43" fontId="157" fillId="0" borderId="0" xfId="48" applyFont="1" applyBorder="1" applyAlignment="1">
      <alignment horizontal="center" vertical="center"/>
    </xf>
    <xf numFmtId="43" fontId="157" fillId="0" borderId="0" xfId="48" quotePrefix="1" applyFont="1" applyFill="1" applyBorder="1" applyAlignment="1">
      <alignment horizontal="center" vertical="center"/>
    </xf>
    <xf numFmtId="3" fontId="157" fillId="0" borderId="0" xfId="0" applyNumberFormat="1" applyFont="1" applyAlignment="1">
      <alignment horizontal="center" vertical="center"/>
    </xf>
    <xf numFmtId="167" fontId="157" fillId="0" borderId="0" xfId="48" applyNumberFormat="1" applyFont="1" applyFill="1" applyAlignment="1">
      <alignment horizontal="center" vertical="center"/>
    </xf>
    <xf numFmtId="167" fontId="157" fillId="0" borderId="0" xfId="0" applyNumberFormat="1" applyFont="1" applyAlignment="1">
      <alignment horizontal="center" vertical="center"/>
    </xf>
    <xf numFmtId="43" fontId="157" fillId="0" borderId="0" xfId="48" applyFont="1" applyAlignment="1">
      <alignment horizontal="center" vertical="center"/>
    </xf>
    <xf numFmtId="43" fontId="54" fillId="0" borderId="0" xfId="0" applyNumberFormat="1" applyFont="1" applyAlignment="1">
      <alignment horizontal="right" vertical="center"/>
    </xf>
    <xf numFmtId="10" fontId="54" fillId="0" borderId="0" xfId="51" applyNumberFormat="1" applyFont="1" applyFill="1" applyAlignment="1">
      <alignment vertical="center"/>
    </xf>
    <xf numFmtId="174" fontId="54" fillId="0" borderId="0" xfId="51" applyNumberFormat="1" applyFont="1" applyFill="1" applyAlignment="1">
      <alignment vertical="center"/>
    </xf>
    <xf numFmtId="9" fontId="51" fillId="0" borderId="0" xfId="51" applyFont="1" applyFill="1" applyAlignment="1">
      <alignment vertical="center"/>
    </xf>
    <xf numFmtId="43" fontId="51" fillId="37" borderId="16" xfId="48" applyFont="1" applyFill="1" applyBorder="1" applyAlignment="1">
      <alignment horizontal="center" vertical="center"/>
    </xf>
    <xf numFmtId="43" fontId="48" fillId="35" borderId="14" xfId="0" applyNumberFormat="1" applyFont="1" applyFill="1" applyBorder="1" applyAlignment="1">
      <alignment horizontal="center" vertical="center" wrapText="1"/>
    </xf>
    <xf numFmtId="17" fontId="60" fillId="47" borderId="16" xfId="0" applyNumberFormat="1" applyFont="1" applyFill="1" applyBorder="1" applyAlignment="1">
      <alignment vertical="center"/>
    </xf>
    <xf numFmtId="0" fontId="60" fillId="47" borderId="16" xfId="0" applyFont="1" applyFill="1" applyBorder="1" applyAlignment="1">
      <alignment horizontal="center" vertical="center"/>
    </xf>
    <xf numFmtId="0" fontId="54" fillId="0" borderId="16" xfId="0" applyFont="1" applyBorder="1" applyAlignment="1">
      <alignment horizontal="right" vertical="center"/>
    </xf>
    <xf numFmtId="43" fontId="54" fillId="0" borderId="16" xfId="48" applyFont="1" applyBorder="1" applyAlignment="1">
      <alignment vertical="center"/>
    </xf>
    <xf numFmtId="174" fontId="54" fillId="0" borderId="16" xfId="51" applyNumberFormat="1" applyFont="1" applyBorder="1" applyAlignment="1">
      <alignment vertical="center" shrinkToFit="1"/>
    </xf>
    <xf numFmtId="43" fontId="54" fillId="31" borderId="16" xfId="48" applyFont="1" applyFill="1" applyBorder="1" applyAlignment="1">
      <alignment vertical="center"/>
    </xf>
    <xf numFmtId="173" fontId="54" fillId="31" borderId="16" xfId="51" applyNumberFormat="1" applyFont="1" applyFill="1" applyBorder="1" applyAlignment="1">
      <alignment vertical="center"/>
    </xf>
    <xf numFmtId="43" fontId="60" fillId="47" borderId="16" xfId="48" applyFont="1" applyFill="1" applyBorder="1" applyAlignment="1">
      <alignment vertical="center"/>
    </xf>
    <xf numFmtId="174" fontId="60" fillId="47" borderId="16" xfId="51" applyNumberFormat="1" applyFont="1" applyFill="1" applyBorder="1" applyAlignment="1">
      <alignment vertical="center" shrinkToFit="1"/>
    </xf>
    <xf numFmtId="0" fontId="54" fillId="31" borderId="16" xfId="0" applyFont="1" applyFill="1" applyBorder="1" applyAlignment="1">
      <alignment horizontal="right" vertical="center"/>
    </xf>
    <xf numFmtId="17" fontId="60" fillId="47" borderId="16" xfId="0" applyNumberFormat="1" applyFont="1" applyFill="1" applyBorder="1" applyAlignment="1">
      <alignment horizontal="center" vertical="center"/>
    </xf>
    <xf numFmtId="0" fontId="62" fillId="40" borderId="16" xfId="0" applyFont="1" applyFill="1" applyBorder="1" applyAlignment="1">
      <alignment vertical="center"/>
    </xf>
    <xf numFmtId="43" fontId="60" fillId="40" borderId="16" xfId="48" applyFont="1" applyFill="1" applyBorder="1" applyAlignment="1">
      <alignment vertical="center" shrinkToFit="1"/>
    </xf>
    <xf numFmtId="174" fontId="62" fillId="40" borderId="16" xfId="51" applyNumberFormat="1" applyFont="1" applyFill="1" applyBorder="1" applyAlignment="1">
      <alignment vertical="center"/>
    </xf>
    <xf numFmtId="0" fontId="60" fillId="40" borderId="16" xfId="0" applyFont="1" applyFill="1" applyBorder="1" applyAlignment="1">
      <alignment vertical="center"/>
    </xf>
    <xf numFmtId="43" fontId="60" fillId="40" borderId="16" xfId="48" applyFont="1" applyFill="1" applyBorder="1" applyAlignment="1">
      <alignment vertical="center"/>
    </xf>
    <xf numFmtId="43" fontId="60" fillId="47" borderId="16" xfId="48" applyFont="1" applyFill="1" applyBorder="1" applyAlignment="1">
      <alignment horizontal="right" vertical="center"/>
    </xf>
    <xf numFmtId="0" fontId="60" fillId="40" borderId="16" xfId="0" applyFont="1" applyFill="1" applyBorder="1" applyAlignment="1">
      <alignment horizontal="right" vertical="center"/>
    </xf>
    <xf numFmtId="17" fontId="60" fillId="47" borderId="16" xfId="0" applyNumberFormat="1" applyFont="1" applyFill="1" applyBorder="1" applyAlignment="1">
      <alignment horizontal="right" vertical="center"/>
    </xf>
    <xf numFmtId="43" fontId="62" fillId="40" borderId="16" xfId="48" applyFont="1" applyFill="1" applyBorder="1" applyAlignment="1">
      <alignment vertical="center"/>
    </xf>
    <xf numFmtId="43" fontId="54" fillId="0" borderId="16" xfId="48" applyFont="1" applyBorder="1" applyAlignment="1">
      <alignment vertical="center" shrinkToFit="1"/>
    </xf>
    <xf numFmtId="43" fontId="54" fillId="31" borderId="16" xfId="48" applyFont="1" applyFill="1" applyBorder="1" applyAlignment="1">
      <alignment vertical="center" shrinkToFit="1"/>
    </xf>
    <xf numFmtId="174" fontId="54" fillId="31" borderId="16" xfId="51" applyNumberFormat="1" applyFont="1" applyFill="1" applyBorder="1" applyAlignment="1">
      <alignment vertical="center" shrinkToFit="1"/>
    </xf>
    <xf numFmtId="43" fontId="60" fillId="47" borderId="16" xfId="48" applyFont="1" applyFill="1" applyBorder="1" applyAlignment="1">
      <alignment vertical="center" shrinkToFit="1"/>
    </xf>
    <xf numFmtId="17" fontId="47" fillId="0" borderId="0" xfId="0" quotePrefix="1" applyNumberFormat="1" applyFont="1" applyAlignment="1">
      <alignment horizontal="left" vertical="center"/>
    </xf>
    <xf numFmtId="49" fontId="47" fillId="40" borderId="0" xfId="0" quotePrefix="1" applyNumberFormat="1" applyFont="1" applyFill="1" applyAlignment="1">
      <alignment horizontal="left" vertical="center"/>
    </xf>
    <xf numFmtId="49" fontId="102" fillId="37" borderId="0" xfId="0" quotePrefix="1" applyNumberFormat="1" applyFont="1" applyFill="1" applyAlignment="1">
      <alignment horizontal="left" vertical="center"/>
    </xf>
    <xf numFmtId="44" fontId="102" fillId="37" borderId="0" xfId="0" applyNumberFormat="1" applyFont="1" applyFill="1" applyAlignment="1">
      <alignment horizontal="left" vertical="center"/>
    </xf>
    <xf numFmtId="44" fontId="102" fillId="37" borderId="0" xfId="48" applyNumberFormat="1" applyFont="1" applyFill="1" applyAlignment="1">
      <alignment vertical="center"/>
    </xf>
    <xf numFmtId="10" fontId="55" fillId="0" borderId="0" xfId="51" applyNumberFormat="1" applyFont="1" applyAlignment="1">
      <alignment vertical="center" shrinkToFit="1"/>
    </xf>
    <xf numFmtId="0" fontId="160" fillId="0" borderId="0" xfId="0" applyFont="1" applyAlignment="1">
      <alignment horizontal="center" vertical="center"/>
    </xf>
    <xf numFmtId="0" fontId="160" fillId="0" borderId="0" xfId="0" applyFont="1" applyAlignment="1">
      <alignment vertical="center" shrinkToFit="1"/>
    </xf>
    <xf numFmtId="43" fontId="161" fillId="0" borderId="0" xfId="48" applyFont="1" applyFill="1" applyAlignment="1">
      <alignment horizontal="left" vertical="center"/>
    </xf>
    <xf numFmtId="43" fontId="160" fillId="0" borderId="0" xfId="48" applyFont="1" applyFill="1" applyAlignment="1">
      <alignment horizontal="center" vertical="center"/>
    </xf>
    <xf numFmtId="43" fontId="160" fillId="0" borderId="0" xfId="48" applyFont="1" applyFill="1" applyAlignment="1">
      <alignment horizontal="left" vertical="center"/>
    </xf>
    <xf numFmtId="3" fontId="160" fillId="0" borderId="0" xfId="0" applyNumberFormat="1" applyFont="1" applyAlignment="1">
      <alignment horizontal="center" vertical="center"/>
    </xf>
    <xf numFmtId="167" fontId="160" fillId="0" borderId="0" xfId="48" applyNumberFormat="1" applyFont="1" applyFill="1" applyAlignment="1">
      <alignment horizontal="center" vertical="center"/>
    </xf>
    <xf numFmtId="167" fontId="160" fillId="0" borderId="0" xfId="0" applyNumberFormat="1" applyFont="1" applyAlignment="1">
      <alignment horizontal="center" vertical="center"/>
    </xf>
    <xf numFmtId="43" fontId="160" fillId="0" borderId="0" xfId="48" applyFont="1" applyAlignment="1">
      <alignment horizontal="center" vertical="center"/>
    </xf>
    <xf numFmtId="49" fontId="29" fillId="37" borderId="0" xfId="0" applyNumberFormat="1" applyFont="1" applyFill="1" applyAlignment="1">
      <alignment horizontal="left" vertical="center"/>
    </xf>
    <xf numFmtId="0" fontId="29" fillId="37" borderId="0" xfId="0" applyFont="1" applyFill="1" applyAlignment="1">
      <alignment horizontal="left" vertical="center"/>
    </xf>
    <xf numFmtId="17" fontId="29" fillId="37" borderId="0" xfId="0" quotePrefix="1" applyNumberFormat="1" applyFont="1" applyFill="1" applyAlignment="1">
      <alignment horizontal="left" vertical="center"/>
    </xf>
    <xf numFmtId="167" fontId="29" fillId="37" borderId="0" xfId="0" applyNumberFormat="1" applyFont="1" applyFill="1" applyAlignment="1">
      <alignment horizontal="left" vertical="center"/>
    </xf>
    <xf numFmtId="49" fontId="73" fillId="37" borderId="0" xfId="0" applyNumberFormat="1" applyFont="1" applyFill="1" applyAlignment="1">
      <alignment horizontal="left" vertical="center"/>
    </xf>
    <xf numFmtId="44" fontId="29" fillId="37" borderId="0" xfId="48" applyNumberFormat="1" applyFont="1" applyFill="1" applyAlignment="1">
      <alignment horizontal="left" vertical="center"/>
    </xf>
    <xf numFmtId="44" fontId="29" fillId="37" borderId="0" xfId="0" applyNumberFormat="1" applyFont="1" applyFill="1" applyAlignment="1">
      <alignment horizontal="left" vertical="center"/>
    </xf>
    <xf numFmtId="49" fontId="29" fillId="37" borderId="0" xfId="0" applyNumberFormat="1" applyFont="1" applyFill="1" applyAlignment="1">
      <alignment vertical="center"/>
    </xf>
    <xf numFmtId="49" fontId="24" fillId="37" borderId="0" xfId="0" applyNumberFormat="1" applyFont="1" applyFill="1" applyAlignment="1">
      <alignment horizontal="left" vertical="center"/>
    </xf>
    <xf numFmtId="0" fontId="87" fillId="37" borderId="0" xfId="0" applyFont="1" applyFill="1" applyAlignment="1">
      <alignment horizontal="left" vertical="center"/>
    </xf>
    <xf numFmtId="49" fontId="29" fillId="37" borderId="0" xfId="0" quotePrefix="1" applyNumberFormat="1" applyFont="1" applyFill="1" applyAlignment="1">
      <alignment horizontal="left" vertical="center"/>
    </xf>
    <xf numFmtId="167" fontId="77" fillId="37" borderId="0" xfId="0" applyNumberFormat="1" applyFont="1" applyFill="1" applyAlignment="1">
      <alignment horizontal="left" vertical="center"/>
    </xf>
    <xf numFmtId="44" fontId="77" fillId="37" borderId="0" xfId="0" applyNumberFormat="1" applyFont="1" applyFill="1" applyAlignment="1">
      <alignment horizontal="left" vertical="center"/>
    </xf>
    <xf numFmtId="0" fontId="90" fillId="37" borderId="0" xfId="0" applyFont="1" applyFill="1" applyAlignment="1">
      <alignment horizontal="left" vertical="center"/>
    </xf>
    <xf numFmtId="49" fontId="87" fillId="37" borderId="0" xfId="0" applyNumberFormat="1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62" fillId="0" borderId="0" xfId="0" applyFont="1" applyAlignment="1">
      <alignment horizontal="left" vertical="center"/>
    </xf>
    <xf numFmtId="44" fontId="163" fillId="0" borderId="0" xfId="0" applyNumberFormat="1" applyFont="1" applyAlignment="1">
      <alignment horizontal="left" vertical="center"/>
    </xf>
    <xf numFmtId="17" fontId="102" fillId="0" borderId="0" xfId="0" quotePrefix="1" applyNumberFormat="1" applyFont="1" applyAlignment="1">
      <alignment horizontal="left" vertical="center"/>
    </xf>
    <xf numFmtId="0" fontId="164" fillId="0" borderId="0" xfId="0" applyFont="1" applyAlignment="1">
      <alignment horizontal="left" vertical="center"/>
    </xf>
    <xf numFmtId="44" fontId="165" fillId="0" borderId="0" xfId="0" applyNumberFormat="1" applyFont="1" applyAlignment="1">
      <alignment horizontal="left" vertical="center"/>
    </xf>
    <xf numFmtId="0" fontId="164" fillId="0" borderId="0" xfId="0" applyFont="1" applyAlignment="1">
      <alignment horizontal="center" vertical="center"/>
    </xf>
    <xf numFmtId="0" fontId="164" fillId="0" borderId="0" xfId="0" applyFont="1" applyAlignment="1">
      <alignment vertical="center" shrinkToFit="1"/>
    </xf>
    <xf numFmtId="43" fontId="164" fillId="0" borderId="0" xfId="48" applyFont="1" applyFill="1" applyAlignment="1">
      <alignment horizontal="center" vertical="center"/>
    </xf>
    <xf numFmtId="3" fontId="164" fillId="0" borderId="0" xfId="0" applyNumberFormat="1" applyFont="1" applyAlignment="1">
      <alignment horizontal="center" vertical="center"/>
    </xf>
    <xf numFmtId="167" fontId="164" fillId="0" borderId="0" xfId="48" applyNumberFormat="1" applyFont="1" applyFill="1" applyAlignment="1">
      <alignment horizontal="center" vertical="center"/>
    </xf>
    <xf numFmtId="167" fontId="164" fillId="0" borderId="0" xfId="0" applyNumberFormat="1" applyFont="1" applyAlignment="1">
      <alignment horizontal="center" vertical="center"/>
    </xf>
    <xf numFmtId="43" fontId="164" fillId="0" borderId="0" xfId="48" applyFont="1" applyAlignment="1">
      <alignment horizontal="center" vertical="center"/>
    </xf>
    <xf numFmtId="0" fontId="24" fillId="50" borderId="0" xfId="0" applyFont="1" applyFill="1" applyAlignment="1">
      <alignment vertical="center"/>
    </xf>
    <xf numFmtId="178" fontId="54" fillId="0" borderId="0" xfId="0" applyNumberFormat="1" applyFont="1" applyAlignment="1">
      <alignment vertical="center"/>
    </xf>
    <xf numFmtId="167" fontId="54" fillId="0" borderId="0" xfId="0" applyNumberFormat="1" applyFont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54" fillId="0" borderId="0" xfId="0" applyFont="1" applyAlignment="1">
      <alignment horizontal="center" vertical="center" shrinkToFit="1"/>
    </xf>
    <xf numFmtId="44" fontId="54" fillId="0" borderId="0" xfId="0" applyNumberFormat="1" applyFont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167" fontId="55" fillId="0" borderId="0" xfId="0" applyNumberFormat="1" applyFont="1" applyAlignment="1">
      <alignment vertical="center"/>
    </xf>
    <xf numFmtId="0" fontId="55" fillId="0" borderId="0" xfId="0" applyFont="1" applyAlignment="1">
      <alignment horizontal="center" vertical="center"/>
    </xf>
    <xf numFmtId="44" fontId="61" fillId="0" borderId="0" xfId="0" applyNumberFormat="1" applyFont="1" applyAlignment="1">
      <alignment vertical="center"/>
    </xf>
    <xf numFmtId="44" fontId="54" fillId="0" borderId="0" xfId="0" applyNumberFormat="1" applyFont="1" applyAlignment="1">
      <alignment vertical="center"/>
    </xf>
    <xf numFmtId="0" fontId="55" fillId="52" borderId="16" xfId="0" applyFont="1" applyFill="1" applyBorder="1" applyAlignment="1">
      <alignment horizontal="center" vertical="center"/>
    </xf>
    <xf numFmtId="17" fontId="55" fillId="52" borderId="16" xfId="0" applyNumberFormat="1" applyFont="1" applyFill="1" applyBorder="1" applyAlignment="1">
      <alignment horizontal="center" vertical="center"/>
    </xf>
    <xf numFmtId="43" fontId="60" fillId="53" borderId="16" xfId="0" applyNumberFormat="1" applyFont="1" applyFill="1" applyBorder="1" applyAlignment="1">
      <alignment horizontal="center" vertical="center"/>
    </xf>
    <xf numFmtId="43" fontId="166" fillId="0" borderId="16" xfId="48" applyFont="1" applyFill="1" applyBorder="1" applyAlignment="1">
      <alignment horizontal="center" vertical="center"/>
    </xf>
    <xf numFmtId="43" fontId="61" fillId="0" borderId="16" xfId="0" applyNumberFormat="1" applyFont="1" applyBorder="1" applyAlignment="1">
      <alignment horizontal="center" vertical="center"/>
    </xf>
    <xf numFmtId="43" fontId="68" fillId="53" borderId="16" xfId="0" applyNumberFormat="1" applyFont="1" applyFill="1" applyBorder="1" applyAlignment="1">
      <alignment horizontal="center" vertical="center"/>
    </xf>
    <xf numFmtId="0" fontId="167" fillId="46" borderId="38" xfId="0" applyFont="1" applyFill="1" applyBorder="1" applyAlignment="1">
      <alignment horizontal="right" vertical="center"/>
    </xf>
    <xf numFmtId="44" fontId="167" fillId="46" borderId="39" xfId="0" applyNumberFormat="1" applyFont="1" applyFill="1" applyBorder="1" applyAlignment="1">
      <alignment vertical="center"/>
    </xf>
    <xf numFmtId="44" fontId="68" fillId="46" borderId="42" xfId="0" applyNumberFormat="1" applyFont="1" applyFill="1" applyBorder="1" applyAlignment="1">
      <alignment vertical="center"/>
    </xf>
    <xf numFmtId="44" fontId="168" fillId="46" borderId="42" xfId="0" applyNumberFormat="1" applyFont="1" applyFill="1" applyBorder="1" applyAlignment="1">
      <alignment vertical="center"/>
    </xf>
    <xf numFmtId="44" fontId="169" fillId="46" borderId="42" xfId="0" applyNumberFormat="1" applyFont="1" applyFill="1" applyBorder="1" applyAlignment="1">
      <alignment vertical="center"/>
    </xf>
    <xf numFmtId="44" fontId="169" fillId="46" borderId="43" xfId="0" applyNumberFormat="1" applyFont="1" applyFill="1" applyBorder="1" applyAlignment="1">
      <alignment vertical="center"/>
    </xf>
    <xf numFmtId="0" fontId="167" fillId="46" borderId="37" xfId="0" applyFont="1" applyFill="1" applyBorder="1" applyAlignment="1">
      <alignment horizontal="center" vertical="center" shrinkToFit="1"/>
    </xf>
    <xf numFmtId="14" fontId="54" fillId="0" borderId="0" xfId="0" applyNumberFormat="1" applyFont="1" applyAlignment="1">
      <alignment vertical="center"/>
    </xf>
    <xf numFmtId="0" fontId="164" fillId="0" borderId="0" xfId="0" quotePrefix="1" applyFont="1" applyAlignment="1">
      <alignment horizontal="center" vertical="center"/>
    </xf>
    <xf numFmtId="43" fontId="170" fillId="0" borderId="0" xfId="48" applyFont="1" applyFill="1" applyAlignment="1">
      <alignment horizontal="left" vertical="center"/>
    </xf>
    <xf numFmtId="3" fontId="164" fillId="0" borderId="0" xfId="0" quotePrefix="1" applyNumberFormat="1" applyFont="1" applyAlignment="1">
      <alignment horizontal="center" vertical="center"/>
    </xf>
    <xf numFmtId="167" fontId="164" fillId="0" borderId="0" xfId="48" quotePrefix="1" applyNumberFormat="1" applyFont="1" applyFill="1" applyAlignment="1">
      <alignment horizontal="center" vertical="center"/>
    </xf>
    <xf numFmtId="167" fontId="164" fillId="0" borderId="0" xfId="0" quotePrefix="1" applyNumberFormat="1" applyFont="1" applyAlignment="1">
      <alignment horizontal="center" vertical="center"/>
    </xf>
    <xf numFmtId="167" fontId="164" fillId="0" borderId="0" xfId="48" applyNumberFormat="1" applyFont="1" applyFill="1" applyBorder="1" applyAlignment="1">
      <alignment horizontal="center" vertical="center"/>
    </xf>
    <xf numFmtId="43" fontId="164" fillId="0" borderId="0" xfId="48" applyFont="1" applyBorder="1" applyAlignment="1">
      <alignment horizontal="center" vertical="center"/>
    </xf>
    <xf numFmtId="43" fontId="164" fillId="0" borderId="0" xfId="48" quotePrefix="1" applyFont="1" applyFill="1" applyBorder="1" applyAlignment="1">
      <alignment horizontal="center" vertical="center"/>
    </xf>
    <xf numFmtId="49" fontId="171" fillId="0" borderId="0" xfId="0" applyNumberFormat="1" applyFont="1" applyAlignment="1">
      <alignment vertical="center"/>
    </xf>
    <xf numFmtId="49" fontId="171" fillId="0" borderId="0" xfId="0" applyNumberFormat="1" applyFont="1" applyAlignment="1">
      <alignment horizontal="left" vertical="center"/>
    </xf>
    <xf numFmtId="0" fontId="171" fillId="0" borderId="0" xfId="0" applyFont="1" applyAlignment="1">
      <alignment horizontal="left" vertical="center"/>
    </xf>
    <xf numFmtId="44" fontId="165" fillId="0" borderId="0" xfId="0" applyNumberFormat="1" applyFont="1" applyAlignment="1">
      <alignment vertical="center"/>
    </xf>
    <xf numFmtId="49" fontId="64" fillId="0" borderId="0" xfId="0" applyNumberFormat="1" applyFont="1" applyAlignment="1">
      <alignment horizontal="left" vertical="center"/>
    </xf>
    <xf numFmtId="43" fontId="59" fillId="0" borderId="0" xfId="0" applyNumberFormat="1" applyFont="1" applyAlignment="1">
      <alignment vertical="center"/>
    </xf>
    <xf numFmtId="49" fontId="24" fillId="0" borderId="0" xfId="0" applyNumberFormat="1" applyFont="1" applyAlignment="1">
      <alignment horizontal="left" vertical="center"/>
    </xf>
    <xf numFmtId="43" fontId="47" fillId="31" borderId="0" xfId="48" applyFont="1" applyFill="1" applyAlignment="1">
      <alignment vertical="center"/>
    </xf>
    <xf numFmtId="43" fontId="47" fillId="47" borderId="0" xfId="48" applyFont="1" applyFill="1" applyAlignment="1">
      <alignment vertical="center"/>
    </xf>
    <xf numFmtId="0" fontId="47" fillId="47" borderId="0" xfId="0" applyFont="1" applyFill="1" applyAlignment="1">
      <alignment horizontal="center" vertical="center"/>
    </xf>
    <xf numFmtId="0" fontId="47" fillId="46" borderId="0" xfId="0" applyFont="1" applyFill="1" applyAlignment="1">
      <alignment horizontal="center" vertical="center"/>
    </xf>
    <xf numFmtId="0" fontId="47" fillId="47" borderId="0" xfId="0" quotePrefix="1" applyFont="1" applyFill="1" applyAlignment="1">
      <alignment horizontal="left" vertical="center" shrinkToFit="1"/>
    </xf>
    <xf numFmtId="0" fontId="47" fillId="40" borderId="0" xfId="0" quotePrefix="1" applyFont="1" applyFill="1" applyAlignment="1">
      <alignment horizontal="left" vertical="center" shrinkToFit="1"/>
    </xf>
    <xf numFmtId="43" fontId="47" fillId="40" borderId="0" xfId="48" applyFont="1" applyFill="1" applyAlignment="1">
      <alignment vertical="center"/>
    </xf>
    <xf numFmtId="44" fontId="51" fillId="40" borderId="0" xfId="48" applyNumberFormat="1" applyFont="1" applyFill="1" applyBorder="1" applyAlignment="1">
      <alignment horizontal="center" vertical="center"/>
    </xf>
    <xf numFmtId="43" fontId="47" fillId="46" borderId="0" xfId="48" applyFont="1" applyFill="1" applyAlignment="1">
      <alignment vertical="center"/>
    </xf>
    <xf numFmtId="43" fontId="126" fillId="46" borderId="0" xfId="48" applyFont="1" applyFill="1" applyAlignment="1">
      <alignment vertical="center"/>
    </xf>
    <xf numFmtId="43" fontId="47" fillId="46" borderId="0" xfId="48" applyFont="1" applyFill="1" applyAlignment="1">
      <alignment horizontal="center" vertical="center"/>
    </xf>
    <xf numFmtId="0" fontId="47" fillId="46" borderId="0" xfId="0" quotePrefix="1" applyFont="1" applyFill="1" applyAlignment="1">
      <alignment horizontal="left" vertical="center" shrinkToFit="1"/>
    </xf>
    <xf numFmtId="0" fontId="126" fillId="46" borderId="0" xfId="0" quotePrefix="1" applyFont="1" applyFill="1" applyAlignment="1">
      <alignment horizontal="left" vertical="center" shrinkToFit="1"/>
    </xf>
    <xf numFmtId="0" fontId="126" fillId="46" borderId="0" xfId="0" applyFont="1" applyFill="1" applyAlignment="1">
      <alignment horizontal="center" vertical="center"/>
    </xf>
    <xf numFmtId="44" fontId="102" fillId="37" borderId="0" xfId="0" applyNumberFormat="1" applyFont="1" applyFill="1" applyAlignment="1">
      <alignment horizontal="center" vertical="center"/>
    </xf>
    <xf numFmtId="0" fontId="102" fillId="37" borderId="0" xfId="0" quotePrefix="1" applyFont="1" applyFill="1" applyAlignment="1">
      <alignment horizontal="left" vertical="center"/>
    </xf>
    <xf numFmtId="0" fontId="102" fillId="47" borderId="0" xfId="0" applyFont="1" applyFill="1" applyAlignment="1">
      <alignment horizontal="left" vertical="center" shrinkToFit="1"/>
    </xf>
    <xf numFmtId="49" fontId="29" fillId="47" borderId="0" xfId="0" applyNumberFormat="1" applyFont="1" applyFill="1" applyAlignment="1">
      <alignment horizontal="left" vertical="center"/>
    </xf>
    <xf numFmtId="0" fontId="29" fillId="47" borderId="0" xfId="0" applyFont="1" applyFill="1" applyAlignment="1">
      <alignment horizontal="left" vertical="center"/>
    </xf>
    <xf numFmtId="49" fontId="102" fillId="47" borderId="0" xfId="0" applyNumberFormat="1" applyFont="1" applyFill="1" applyAlignment="1">
      <alignment horizontal="left" vertical="center" wrapText="1"/>
    </xf>
    <xf numFmtId="0" fontId="47" fillId="35" borderId="0" xfId="0" applyFont="1" applyFill="1" applyAlignment="1">
      <alignment horizontal="left" vertical="center"/>
    </xf>
    <xf numFmtId="0" fontId="47" fillId="35" borderId="0" xfId="0" applyFont="1" applyFill="1" applyAlignment="1">
      <alignment horizontal="center" vertical="center"/>
    </xf>
    <xf numFmtId="49" fontId="102" fillId="35" borderId="0" xfId="0" applyNumberFormat="1" applyFont="1" applyFill="1" applyAlignment="1">
      <alignment vertical="center"/>
    </xf>
    <xf numFmtId="49" fontId="102" fillId="35" borderId="0" xfId="0" applyNumberFormat="1" applyFont="1" applyFill="1" applyAlignment="1">
      <alignment horizontal="left" vertical="center"/>
    </xf>
    <xf numFmtId="49" fontId="47" fillId="35" borderId="0" xfId="0" applyNumberFormat="1" applyFont="1" applyFill="1" applyAlignment="1">
      <alignment horizontal="left" vertical="center"/>
    </xf>
    <xf numFmtId="49" fontId="102" fillId="35" borderId="0" xfId="0" quotePrefix="1" applyNumberFormat="1" applyFont="1" applyFill="1" applyAlignment="1">
      <alignment horizontal="left" vertical="center"/>
    </xf>
    <xf numFmtId="167" fontId="102" fillId="35" borderId="0" xfId="0" applyNumberFormat="1" applyFont="1" applyFill="1" applyAlignment="1">
      <alignment horizontal="left" vertical="center"/>
    </xf>
    <xf numFmtId="44" fontId="102" fillId="35" borderId="0" xfId="0" applyNumberFormat="1" applyFont="1" applyFill="1" applyAlignment="1">
      <alignment horizontal="left" vertical="center"/>
    </xf>
    <xf numFmtId="0" fontId="51" fillId="37" borderId="16" xfId="0" quotePrefix="1" applyFont="1" applyFill="1" applyBorder="1" applyAlignment="1">
      <alignment horizontal="center" vertical="center"/>
    </xf>
    <xf numFmtId="44" fontId="47" fillId="37" borderId="0" xfId="48" applyNumberFormat="1" applyFont="1" applyFill="1" applyAlignment="1">
      <alignment horizontal="left" vertical="center"/>
    </xf>
    <xf numFmtId="43" fontId="52" fillId="0" borderId="14" xfId="0" applyNumberFormat="1" applyFont="1" applyBorder="1" applyAlignment="1">
      <alignment horizontal="center" vertical="center"/>
    </xf>
    <xf numFmtId="43" fontId="46" fillId="0" borderId="14" xfId="48" quotePrefix="1" applyFont="1" applyFill="1" applyBorder="1" applyAlignment="1">
      <alignment vertical="center"/>
    </xf>
    <xf numFmtId="43" fontId="46" fillId="0" borderId="14" xfId="48" quotePrefix="1" applyFont="1" applyFill="1" applyBorder="1" applyAlignment="1">
      <alignment vertical="center" shrinkToFit="1"/>
    </xf>
    <xf numFmtId="49" fontId="164" fillId="0" borderId="0" xfId="0" applyNumberFormat="1" applyFont="1" applyAlignment="1">
      <alignment horizontal="left" vertical="center"/>
    </xf>
    <xf numFmtId="44" fontId="171" fillId="0" borderId="0" xfId="0" applyNumberFormat="1" applyFont="1" applyAlignment="1">
      <alignment vertical="center"/>
    </xf>
    <xf numFmtId="44" fontId="171" fillId="0" borderId="0" xfId="0" applyNumberFormat="1" applyFont="1" applyAlignment="1">
      <alignment horizontal="center" vertical="center"/>
    </xf>
    <xf numFmtId="0" fontId="102" fillId="38" borderId="0" xfId="0" applyFont="1" applyFill="1" applyAlignment="1">
      <alignment horizontal="left" vertical="center"/>
    </xf>
    <xf numFmtId="44" fontId="102" fillId="38" borderId="0" xfId="0" applyNumberFormat="1" applyFont="1" applyFill="1" applyAlignment="1">
      <alignment horizontal="left" vertical="center"/>
    </xf>
    <xf numFmtId="0" fontId="47" fillId="55" borderId="0" xfId="0" applyFont="1" applyFill="1" applyAlignment="1">
      <alignment vertical="center"/>
    </xf>
    <xf numFmtId="49" fontId="102" fillId="55" borderId="0" xfId="0" applyNumberFormat="1" applyFont="1" applyFill="1" applyAlignment="1">
      <alignment vertical="center"/>
    </xf>
    <xf numFmtId="49" fontId="102" fillId="55" borderId="0" xfId="0" applyNumberFormat="1" applyFont="1" applyFill="1" applyAlignment="1">
      <alignment horizontal="left" vertical="center"/>
    </xf>
    <xf numFmtId="49" fontId="47" fillId="55" borderId="0" xfId="0" applyNumberFormat="1" applyFont="1" applyFill="1" applyAlignment="1">
      <alignment horizontal="left" vertical="center"/>
    </xf>
    <xf numFmtId="0" fontId="102" fillId="55" borderId="0" xfId="0" quotePrefix="1" applyFont="1" applyFill="1" applyAlignment="1">
      <alignment horizontal="left" vertical="center"/>
    </xf>
    <xf numFmtId="49" fontId="102" fillId="55" borderId="0" xfId="0" quotePrefix="1" applyNumberFormat="1" applyFont="1" applyFill="1" applyAlignment="1">
      <alignment horizontal="left" vertical="center"/>
    </xf>
    <xf numFmtId="167" fontId="102" fillId="55" borderId="0" xfId="0" applyNumberFormat="1" applyFont="1" applyFill="1" applyAlignment="1">
      <alignment horizontal="left" vertical="center"/>
    </xf>
    <xf numFmtId="44" fontId="102" fillId="55" borderId="0" xfId="0" applyNumberFormat="1" applyFont="1" applyFill="1" applyAlignment="1">
      <alignment vertical="center"/>
    </xf>
    <xf numFmtId="44" fontId="102" fillId="55" borderId="0" xfId="0" applyNumberFormat="1" applyFont="1" applyFill="1" applyAlignment="1">
      <alignment horizontal="center" vertical="center"/>
    </xf>
    <xf numFmtId="0" fontId="47" fillId="55" borderId="0" xfId="0" quotePrefix="1" applyFont="1" applyFill="1" applyAlignment="1">
      <alignment horizontal="left" vertical="center" shrinkToFit="1"/>
    </xf>
    <xf numFmtId="0" fontId="47" fillId="55" borderId="0" xfId="0" applyFont="1" applyFill="1" applyAlignment="1">
      <alignment horizontal="left" vertical="center"/>
    </xf>
    <xf numFmtId="0" fontId="47" fillId="55" borderId="0" xfId="0" applyFont="1" applyFill="1" applyAlignment="1">
      <alignment horizontal="center" vertical="center"/>
    </xf>
    <xf numFmtId="0" fontId="102" fillId="55" borderId="0" xfId="0" applyFont="1" applyFill="1" applyAlignment="1">
      <alignment horizontal="left" vertical="center"/>
    </xf>
    <xf numFmtId="44" fontId="102" fillId="55" borderId="0" xfId="48" applyNumberFormat="1" applyFont="1" applyFill="1" applyAlignment="1">
      <alignment horizontal="left" vertical="center"/>
    </xf>
    <xf numFmtId="44" fontId="102" fillId="55" borderId="0" xfId="0" applyNumberFormat="1" applyFont="1" applyFill="1" applyAlignment="1">
      <alignment horizontal="left" vertical="center"/>
    </xf>
    <xf numFmtId="43" fontId="47" fillId="55" borderId="0" xfId="48" applyFont="1" applyFill="1" applyAlignment="1">
      <alignment vertical="center"/>
    </xf>
    <xf numFmtId="44" fontId="102" fillId="55" borderId="0" xfId="48" applyNumberFormat="1" applyFont="1" applyFill="1" applyAlignment="1">
      <alignment vertical="center"/>
    </xf>
    <xf numFmtId="0" fontId="47" fillId="55" borderId="0" xfId="0" quotePrefix="1" applyFont="1" applyFill="1" applyAlignment="1">
      <alignment horizontal="left" vertical="center"/>
    </xf>
    <xf numFmtId="0" fontId="47" fillId="35" borderId="0" xfId="0" quotePrefix="1" applyFont="1" applyFill="1" applyAlignment="1">
      <alignment horizontal="left" vertical="center" shrinkToFit="1"/>
    </xf>
    <xf numFmtId="43" fontId="47" fillId="35" borderId="0" xfId="48" applyFont="1" applyFill="1" applyAlignment="1">
      <alignment vertical="center"/>
    </xf>
    <xf numFmtId="0" fontId="102" fillId="35" borderId="0" xfId="0" quotePrefix="1" applyFont="1" applyFill="1" applyAlignment="1">
      <alignment horizontal="left" vertical="center"/>
    </xf>
    <xf numFmtId="44" fontId="102" fillId="35" borderId="0" xfId="0" applyNumberFormat="1" applyFont="1" applyFill="1" applyAlignment="1">
      <alignment vertical="center"/>
    </xf>
    <xf numFmtId="44" fontId="102" fillId="35" borderId="0" xfId="0" applyNumberFormat="1" applyFont="1" applyFill="1" applyAlignment="1">
      <alignment horizontal="center" vertical="center"/>
    </xf>
    <xf numFmtId="0" fontId="126" fillId="51" borderId="0" xfId="0" quotePrefix="1" applyFont="1" applyFill="1" applyAlignment="1">
      <alignment horizontal="left" vertical="center" shrinkToFit="1"/>
    </xf>
    <xf numFmtId="0" fontId="126" fillId="51" borderId="0" xfId="0" applyFont="1" applyFill="1" applyAlignment="1">
      <alignment horizontal="left" vertical="center"/>
    </xf>
    <xf numFmtId="0" fontId="126" fillId="51" borderId="0" xfId="0" applyFont="1" applyFill="1" applyAlignment="1">
      <alignment horizontal="center" vertical="center"/>
    </xf>
    <xf numFmtId="49" fontId="126" fillId="51" borderId="0" xfId="0" applyNumberFormat="1" applyFont="1" applyFill="1" applyAlignment="1">
      <alignment vertical="center"/>
    </xf>
    <xf numFmtId="49" fontId="126" fillId="51" borderId="0" xfId="0" applyNumberFormat="1" applyFont="1" applyFill="1" applyAlignment="1">
      <alignment horizontal="left" vertical="center"/>
    </xf>
    <xf numFmtId="0" fontId="126" fillId="51" borderId="0" xfId="0" quotePrefix="1" applyFont="1" applyFill="1" applyAlignment="1">
      <alignment horizontal="left" vertical="center"/>
    </xf>
    <xf numFmtId="49" fontId="126" fillId="51" borderId="0" xfId="0" quotePrefix="1" applyNumberFormat="1" applyFont="1" applyFill="1" applyAlignment="1">
      <alignment horizontal="left" vertical="center"/>
    </xf>
    <xf numFmtId="167" fontId="126" fillId="51" borderId="0" xfId="0" applyNumberFormat="1" applyFont="1" applyFill="1" applyAlignment="1">
      <alignment horizontal="left" vertical="center"/>
    </xf>
    <xf numFmtId="44" fontId="126" fillId="51" borderId="0" xfId="0" applyNumberFormat="1" applyFont="1" applyFill="1" applyAlignment="1">
      <alignment vertical="center"/>
    </xf>
    <xf numFmtId="44" fontId="126" fillId="51" borderId="0" xfId="0" applyNumberFormat="1" applyFont="1" applyFill="1" applyAlignment="1">
      <alignment horizontal="center" vertical="center"/>
    </xf>
    <xf numFmtId="43" fontId="126" fillId="51" borderId="0" xfId="48" applyFont="1" applyFill="1" applyAlignment="1">
      <alignment vertical="center"/>
    </xf>
    <xf numFmtId="0" fontId="55" fillId="38" borderId="16" xfId="0" applyFont="1" applyFill="1" applyBorder="1" applyAlignment="1">
      <alignment horizontal="left" vertical="center" indent="2" shrinkToFit="1"/>
    </xf>
    <xf numFmtId="0" fontId="60" fillId="37" borderId="16" xfId="0" applyFont="1" applyFill="1" applyBorder="1" applyAlignment="1">
      <alignment horizontal="left" vertical="center" indent="4" shrinkToFit="1"/>
    </xf>
    <xf numFmtId="0" fontId="60" fillId="44" borderId="16" xfId="0" applyFont="1" applyFill="1" applyBorder="1" applyAlignment="1">
      <alignment horizontal="left" vertical="center" indent="4" shrinkToFit="1"/>
    </xf>
    <xf numFmtId="43" fontId="54" fillId="38" borderId="16" xfId="48" applyFont="1" applyFill="1" applyBorder="1" applyAlignment="1">
      <alignment vertical="center"/>
    </xf>
    <xf numFmtId="43" fontId="54" fillId="38" borderId="16" xfId="48" applyFont="1" applyFill="1" applyBorder="1" applyAlignment="1">
      <alignment horizontal="center" vertical="center"/>
    </xf>
    <xf numFmtId="43" fontId="55" fillId="38" borderId="16" xfId="48" applyFont="1" applyFill="1" applyBorder="1" applyAlignment="1">
      <alignment horizontal="left" vertical="center"/>
    </xf>
    <xf numFmtId="0" fontId="85" fillId="51" borderId="16" xfId="0" applyFont="1" applyFill="1" applyBorder="1" applyAlignment="1">
      <alignment horizontal="left" vertical="center" indent="4" shrinkToFit="1"/>
    </xf>
    <xf numFmtId="43" fontId="172" fillId="51" borderId="16" xfId="48" applyFont="1" applyFill="1" applyBorder="1" applyAlignment="1">
      <alignment vertical="center"/>
    </xf>
    <xf numFmtId="43" fontId="85" fillId="51" borderId="16" xfId="48" applyFont="1" applyFill="1" applyBorder="1" applyAlignment="1">
      <alignment horizontal="left" vertical="center"/>
    </xf>
    <xf numFmtId="43" fontId="62" fillId="37" borderId="16" xfId="48" applyFont="1" applyFill="1" applyBorder="1" applyAlignment="1">
      <alignment vertical="center"/>
    </xf>
    <xf numFmtId="43" fontId="62" fillId="37" borderId="16" xfId="48" applyFont="1" applyFill="1" applyBorder="1" applyAlignment="1">
      <alignment horizontal="center" vertical="center"/>
    </xf>
    <xf numFmtId="43" fontId="60" fillId="37" borderId="16" xfId="48" applyFont="1" applyFill="1" applyBorder="1" applyAlignment="1">
      <alignment horizontal="left" vertical="center"/>
    </xf>
    <xf numFmtId="43" fontId="60" fillId="44" borderId="16" xfId="48" applyFont="1" applyFill="1" applyBorder="1" applyAlignment="1">
      <alignment horizontal="left" vertical="center"/>
    </xf>
    <xf numFmtId="43" fontId="60" fillId="44" borderId="16" xfId="48" applyFont="1" applyFill="1" applyBorder="1" applyAlignment="1">
      <alignment vertical="center"/>
    </xf>
    <xf numFmtId="0" fontId="60" fillId="29" borderId="33" xfId="0" applyFont="1" applyFill="1" applyBorder="1" applyAlignment="1">
      <alignment horizontal="right" vertical="center" shrinkToFit="1"/>
    </xf>
    <xf numFmtId="43" fontId="60" fillId="29" borderId="45" xfId="0" applyNumberFormat="1" applyFont="1" applyFill="1" applyBorder="1" applyAlignment="1">
      <alignment vertical="center"/>
    </xf>
    <xf numFmtId="43" fontId="60" fillId="29" borderId="34" xfId="0" applyNumberFormat="1" applyFont="1" applyFill="1" applyBorder="1" applyAlignment="1">
      <alignment horizontal="center" vertical="center"/>
    </xf>
    <xf numFmtId="0" fontId="60" fillId="56" borderId="27" xfId="0" applyFont="1" applyFill="1" applyBorder="1" applyAlignment="1">
      <alignment horizontal="right" vertical="center" shrinkToFit="1"/>
    </xf>
    <xf numFmtId="43" fontId="60" fillId="56" borderId="35" xfId="0" applyNumberFormat="1" applyFont="1" applyFill="1" applyBorder="1" applyAlignment="1">
      <alignment vertical="center"/>
    </xf>
    <xf numFmtId="0" fontId="60" fillId="56" borderId="31" xfId="0" applyFont="1" applyFill="1" applyBorder="1" applyAlignment="1">
      <alignment horizontal="right" vertical="center"/>
    </xf>
    <xf numFmtId="0" fontId="47" fillId="54" borderId="35" xfId="0" applyFont="1" applyFill="1" applyBorder="1" applyAlignment="1">
      <alignment horizontal="center" vertical="center"/>
    </xf>
    <xf numFmtId="0" fontId="47" fillId="54" borderId="28" xfId="0" applyFont="1" applyFill="1" applyBorder="1" applyAlignment="1">
      <alignment horizontal="center" vertical="center"/>
    </xf>
    <xf numFmtId="0" fontId="47" fillId="54" borderId="0" xfId="0" applyFont="1" applyFill="1" applyAlignment="1">
      <alignment horizontal="center" vertical="center"/>
    </xf>
    <xf numFmtId="0" fontId="47" fillId="54" borderId="30" xfId="0" applyFont="1" applyFill="1" applyBorder="1" applyAlignment="1">
      <alignment horizontal="center" vertical="center"/>
    </xf>
    <xf numFmtId="9" fontId="47" fillId="54" borderId="0" xfId="51" applyFont="1" applyFill="1" applyBorder="1" applyAlignment="1">
      <alignment horizontal="center" vertical="center"/>
    </xf>
    <xf numFmtId="0" fontId="47" fillId="54" borderId="36" xfId="0" applyFont="1" applyFill="1" applyBorder="1" applyAlignment="1">
      <alignment horizontal="center" vertical="center"/>
    </xf>
    <xf numFmtId="0" fontId="47" fillId="54" borderId="32" xfId="0" applyFont="1" applyFill="1" applyBorder="1" applyAlignment="1">
      <alignment horizontal="center" vertical="center"/>
    </xf>
    <xf numFmtId="0" fontId="172" fillId="54" borderId="31" xfId="0" applyFont="1" applyFill="1" applyBorder="1" applyAlignment="1">
      <alignment horizontal="left" vertical="center" indent="7"/>
    </xf>
    <xf numFmtId="43" fontId="85" fillId="56" borderId="28" xfId="0" applyNumberFormat="1" applyFont="1" applyFill="1" applyBorder="1" applyAlignment="1">
      <alignment horizontal="center" vertical="center"/>
    </xf>
    <xf numFmtId="10" fontId="60" fillId="56" borderId="36" xfId="51" applyNumberFormat="1" applyFont="1" applyFill="1" applyBorder="1" applyAlignment="1">
      <alignment horizontal="right" vertical="center"/>
    </xf>
    <xf numFmtId="0" fontId="173" fillId="54" borderId="27" xfId="0" applyFont="1" applyFill="1" applyBorder="1" applyAlignment="1">
      <alignment horizontal="left" vertical="center"/>
    </xf>
    <xf numFmtId="0" fontId="172" fillId="54" borderId="29" xfId="0" applyFont="1" applyFill="1" applyBorder="1" applyAlignment="1">
      <alignment horizontal="left" vertical="center" indent="20"/>
    </xf>
    <xf numFmtId="10" fontId="174" fillId="56" borderId="32" xfId="51" applyNumberFormat="1" applyFont="1" applyFill="1" applyBorder="1" applyAlignment="1">
      <alignment horizontal="right" vertical="center"/>
    </xf>
    <xf numFmtId="44" fontId="175" fillId="47" borderId="0" xfId="48" applyNumberFormat="1" applyFont="1" applyFill="1" applyAlignment="1">
      <alignment vertical="center"/>
    </xf>
    <xf numFmtId="43" fontId="68" fillId="44" borderId="16" xfId="48" applyFont="1" applyFill="1" applyBorder="1" applyAlignment="1">
      <alignment vertical="center"/>
    </xf>
    <xf numFmtId="167" fontId="102" fillId="40" borderId="0" xfId="48" applyNumberFormat="1" applyFont="1" applyFill="1" applyAlignment="1">
      <alignment horizontal="left" vertical="center"/>
    </xf>
    <xf numFmtId="167" fontId="102" fillId="47" borderId="0" xfId="48" applyNumberFormat="1" applyFont="1" applyFill="1" applyAlignment="1">
      <alignment horizontal="left" vertical="center"/>
    </xf>
    <xf numFmtId="43" fontId="176" fillId="0" borderId="0" xfId="48" applyFont="1"/>
    <xf numFmtId="43" fontId="54" fillId="0" borderId="0" xfId="48" applyFont="1" applyAlignment="1">
      <alignment horizontal="left" vertical="center" shrinkToFit="1"/>
    </xf>
    <xf numFmtId="171" fontId="46" fillId="0" borderId="0" xfId="0" applyNumberFormat="1" applyFont="1" applyAlignment="1">
      <alignment horizontal="center" vertical="center"/>
    </xf>
    <xf numFmtId="9" fontId="46" fillId="0" borderId="0" xfId="48" applyNumberFormat="1" applyFont="1" applyFill="1" applyAlignment="1">
      <alignment horizontal="center" vertical="center"/>
    </xf>
    <xf numFmtId="9" fontId="46" fillId="0" borderId="0" xfId="0" applyNumberFormat="1" applyFont="1" applyAlignment="1">
      <alignment horizontal="center" vertical="center"/>
    </xf>
    <xf numFmtId="167" fontId="116" fillId="56" borderId="14" xfId="52" quotePrefix="1" applyNumberFormat="1" applyFont="1" applyFill="1" applyAlignment="1">
      <alignment horizontal="left" vertical="center"/>
    </xf>
    <xf numFmtId="167" fontId="116" fillId="51" borderId="14" xfId="52" quotePrefix="1" applyNumberFormat="1" applyFont="1" applyFill="1" applyAlignment="1">
      <alignment horizontal="left" vertical="center"/>
    </xf>
    <xf numFmtId="14" fontId="46" fillId="0" borderId="0" xfId="0" applyNumberFormat="1" applyFont="1" applyAlignment="1">
      <alignment horizontal="left" vertical="center"/>
    </xf>
    <xf numFmtId="44" fontId="47" fillId="35" borderId="0" xfId="48" applyNumberFormat="1" applyFont="1" applyFill="1" applyAlignment="1">
      <alignment horizontal="left" vertical="center"/>
    </xf>
    <xf numFmtId="44" fontId="102" fillId="35" borderId="0" xfId="48" applyNumberFormat="1" applyFont="1" applyFill="1" applyAlignment="1">
      <alignment vertical="center"/>
    </xf>
    <xf numFmtId="167" fontId="47" fillId="0" borderId="0" xfId="48" applyNumberFormat="1" applyFont="1" applyAlignment="1">
      <alignment vertical="center"/>
    </xf>
    <xf numFmtId="167" fontId="47" fillId="0" borderId="0" xfId="48" applyNumberFormat="1" applyFont="1" applyAlignment="1">
      <alignment horizontal="center" vertical="center"/>
    </xf>
    <xf numFmtId="167" fontId="126" fillId="46" borderId="0" xfId="48" applyNumberFormat="1" applyFont="1" applyFill="1" applyAlignment="1">
      <alignment horizontal="left" vertical="center" shrinkToFit="1"/>
    </xf>
    <xf numFmtId="167" fontId="102" fillId="55" borderId="0" xfId="48" applyNumberFormat="1" applyFont="1" applyFill="1" applyAlignment="1">
      <alignment horizontal="left" vertical="center"/>
    </xf>
    <xf numFmtId="167" fontId="102" fillId="35" borderId="0" xfId="48" applyNumberFormat="1" applyFont="1" applyFill="1" applyAlignment="1">
      <alignment horizontal="left" vertical="center"/>
    </xf>
    <xf numFmtId="167" fontId="126" fillId="51" borderId="0" xfId="48" applyNumberFormat="1" applyFont="1" applyFill="1" applyAlignment="1">
      <alignment horizontal="left" vertical="center"/>
    </xf>
    <xf numFmtId="167" fontId="54" fillId="0" borderId="0" xfId="48" applyNumberFormat="1" applyFont="1" applyAlignment="1">
      <alignment horizontal="center" vertical="center"/>
    </xf>
    <xf numFmtId="167" fontId="55" fillId="0" borderId="0" xfId="48" applyNumberFormat="1" applyFont="1" applyAlignment="1">
      <alignment vertical="center"/>
    </xf>
    <xf numFmtId="0" fontId="60" fillId="53" borderId="16" xfId="0" applyFont="1" applyFill="1" applyBorder="1" applyAlignment="1">
      <alignment horizontal="left" vertical="center" indent="1"/>
    </xf>
    <xf numFmtId="10" fontId="177" fillId="46" borderId="42" xfId="51" applyNumberFormat="1" applyFont="1" applyFill="1" applyBorder="1" applyAlignment="1">
      <alignment vertical="center"/>
    </xf>
    <xf numFmtId="10" fontId="54" fillId="0" borderId="0" xfId="51" applyNumberFormat="1" applyFont="1" applyAlignment="1">
      <alignment horizontal="left" vertical="center"/>
    </xf>
    <xf numFmtId="43" fontId="46" fillId="0" borderId="14" xfId="48" quotePrefix="1" applyFont="1" applyFill="1" applyBorder="1" applyAlignment="1">
      <alignment horizontal="left" vertical="center" shrinkToFit="1"/>
    </xf>
    <xf numFmtId="0" fontId="47" fillId="39" borderId="0" xfId="0" quotePrefix="1" applyFont="1" applyFill="1" applyAlignment="1">
      <alignment horizontal="left" vertical="center" shrinkToFit="1"/>
    </xf>
    <xf numFmtId="0" fontId="47" fillId="39" borderId="0" xfId="0" applyFont="1" applyFill="1" applyAlignment="1">
      <alignment horizontal="left" vertical="center"/>
    </xf>
    <xf numFmtId="0" fontId="47" fillId="39" borderId="0" xfId="0" applyFont="1" applyFill="1" applyAlignment="1">
      <alignment horizontal="center" vertical="center"/>
    </xf>
    <xf numFmtId="49" fontId="102" fillId="39" borderId="0" xfId="0" applyNumberFormat="1" applyFont="1" applyFill="1" applyAlignment="1">
      <alignment vertical="center"/>
    </xf>
    <xf numFmtId="49" fontId="102" fillId="39" borderId="0" xfId="0" applyNumberFormat="1" applyFont="1" applyFill="1" applyAlignment="1">
      <alignment horizontal="left" vertical="center"/>
    </xf>
    <xf numFmtId="49" fontId="102" fillId="39" borderId="0" xfId="0" quotePrefix="1" applyNumberFormat="1" applyFont="1" applyFill="1" applyAlignment="1">
      <alignment horizontal="left" vertical="center"/>
    </xf>
    <xf numFmtId="0" fontId="102" fillId="39" borderId="0" xfId="0" quotePrefix="1" applyFont="1" applyFill="1" applyAlignment="1">
      <alignment horizontal="left" vertical="center"/>
    </xf>
    <xf numFmtId="167" fontId="102" fillId="39" borderId="0" xfId="48" applyNumberFormat="1" applyFont="1" applyFill="1" applyAlignment="1" applyProtection="1">
      <alignment horizontal="left" vertical="center"/>
    </xf>
    <xf numFmtId="167" fontId="102" fillId="39" borderId="0" xfId="0" applyNumberFormat="1" applyFont="1" applyFill="1" applyAlignment="1">
      <alignment horizontal="left" vertical="center"/>
    </xf>
    <xf numFmtId="49" fontId="126" fillId="39" borderId="0" xfId="0" applyNumberFormat="1" applyFont="1" applyFill="1" applyAlignment="1">
      <alignment horizontal="left" vertical="center"/>
    </xf>
    <xf numFmtId="44" fontId="102" fillId="39" borderId="0" xfId="0" applyNumberFormat="1" applyFont="1" applyFill="1" applyAlignment="1">
      <alignment vertical="center"/>
    </xf>
    <xf numFmtId="44" fontId="102" fillId="39" borderId="0" xfId="0" applyNumberFormat="1" applyFont="1" applyFill="1" applyAlignment="1">
      <alignment horizontal="center" vertical="center"/>
    </xf>
    <xf numFmtId="43" fontId="126" fillId="39" borderId="0" xfId="48" applyFont="1" applyFill="1" applyAlignment="1">
      <alignment vertical="center"/>
    </xf>
    <xf numFmtId="0" fontId="178" fillId="0" borderId="0" xfId="0" applyFont="1" applyAlignment="1">
      <alignment horizontal="left" vertical="center"/>
    </xf>
    <xf numFmtId="0" fontId="178" fillId="0" borderId="0" xfId="0" applyFont="1" applyAlignment="1">
      <alignment horizontal="center" vertical="center"/>
    </xf>
    <xf numFmtId="44" fontId="179" fillId="0" borderId="0" xfId="0" applyNumberFormat="1" applyFont="1" applyAlignment="1">
      <alignment vertical="center"/>
    </xf>
    <xf numFmtId="43" fontId="0" fillId="0" borderId="0" xfId="48" applyFont="1" applyFill="1" applyAlignment="1">
      <alignment vertical="center"/>
    </xf>
    <xf numFmtId="0" fontId="48" fillId="0" borderId="0" xfId="0" applyFont="1" applyAlignment="1">
      <alignment horizontal="right" vertical="center"/>
    </xf>
    <xf numFmtId="167" fontId="46" fillId="0" borderId="0" xfId="0" applyNumberFormat="1" applyFont="1" applyAlignment="1">
      <alignment vertical="center"/>
    </xf>
    <xf numFmtId="0" fontId="105" fillId="25" borderId="11" xfId="0" applyFont="1" applyFill="1" applyBorder="1" applyAlignment="1">
      <alignment vertical="center"/>
    </xf>
    <xf numFmtId="0" fontId="105" fillId="25" borderId="10" xfId="0" applyFont="1" applyFill="1" applyBorder="1" applyAlignment="1">
      <alignment vertical="center"/>
    </xf>
    <xf numFmtId="0" fontId="105" fillId="25" borderId="12" xfId="0" applyFont="1" applyFill="1" applyBorder="1" applyAlignment="1">
      <alignment vertical="center"/>
    </xf>
    <xf numFmtId="0" fontId="105" fillId="26" borderId="0" xfId="0" applyFont="1" applyFill="1" applyAlignment="1">
      <alignment vertical="center"/>
    </xf>
    <xf numFmtId="0" fontId="105" fillId="29" borderId="0" xfId="0" applyFont="1" applyFill="1" applyAlignment="1">
      <alignment vertical="center"/>
    </xf>
    <xf numFmtId="0" fontId="105" fillId="27" borderId="0" xfId="0" applyFont="1" applyFill="1" applyAlignment="1">
      <alignment vertical="center"/>
    </xf>
    <xf numFmtId="0" fontId="105" fillId="28" borderId="0" xfId="0" applyFont="1" applyFill="1" applyAlignment="1">
      <alignment vertical="center"/>
    </xf>
    <xf numFmtId="0" fontId="46" fillId="31" borderId="0" xfId="0" applyFont="1" applyFill="1" applyAlignment="1">
      <alignment vertical="center"/>
    </xf>
    <xf numFmtId="0" fontId="105" fillId="0" borderId="0" xfId="0" applyFont="1" applyAlignment="1">
      <alignment vertical="center"/>
    </xf>
    <xf numFmtId="0" fontId="46" fillId="31" borderId="13" xfId="0" applyFont="1" applyFill="1" applyBorder="1" applyAlignment="1">
      <alignment vertical="center"/>
    </xf>
    <xf numFmtId="0" fontId="180" fillId="51" borderId="0" xfId="0" applyFont="1" applyFill="1" applyAlignment="1">
      <alignment horizontal="left" vertical="center"/>
    </xf>
    <xf numFmtId="49" fontId="102" fillId="51" borderId="0" xfId="0" applyNumberFormat="1" applyFont="1" applyFill="1" applyAlignment="1">
      <alignment vertical="center"/>
    </xf>
    <xf numFmtId="0" fontId="55" fillId="52" borderId="16" xfId="0" applyFont="1" applyFill="1" applyBorder="1" applyAlignment="1">
      <alignment horizontal="left" vertical="center" shrinkToFit="1"/>
    </xf>
    <xf numFmtId="0" fontId="166" fillId="0" borderId="16" xfId="0" applyFont="1" applyBorder="1" applyAlignment="1">
      <alignment horizontal="left" vertical="center" indent="2" shrinkToFit="1"/>
    </xf>
    <xf numFmtId="167" fontId="171" fillId="0" borderId="0" xfId="0" applyNumberFormat="1" applyFont="1" applyAlignment="1">
      <alignment horizontal="left" vertical="center"/>
    </xf>
    <xf numFmtId="0" fontId="24" fillId="39" borderId="0" xfId="0" applyFont="1" applyFill="1" applyAlignment="1">
      <alignment horizontal="left" vertical="center"/>
    </xf>
    <xf numFmtId="0" fontId="24" fillId="39" borderId="0" xfId="0" applyFont="1" applyFill="1" applyAlignment="1">
      <alignment horizontal="center" vertical="center"/>
    </xf>
    <xf numFmtId="167" fontId="102" fillId="0" borderId="0" xfId="48" applyNumberFormat="1" applyFont="1" applyFill="1" applyAlignment="1">
      <alignment horizontal="left" vertical="center"/>
    </xf>
    <xf numFmtId="0" fontId="167" fillId="46" borderId="37" xfId="0" applyFont="1" applyFill="1" applyBorder="1" applyAlignment="1">
      <alignment horizontal="left" vertical="center" shrinkToFit="1"/>
    </xf>
    <xf numFmtId="43" fontId="58" fillId="0" borderId="0" xfId="51" applyNumberFormat="1" applyFont="1" applyAlignment="1">
      <alignment vertical="center"/>
    </xf>
    <xf numFmtId="0" fontId="85" fillId="37" borderId="37" xfId="0" applyFont="1" applyFill="1" applyBorder="1" applyAlignment="1">
      <alignment horizontal="left" vertical="center" shrinkToFit="1"/>
    </xf>
    <xf numFmtId="44" fontId="102" fillId="37" borderId="0" xfId="48" applyNumberFormat="1" applyFont="1" applyFill="1" applyBorder="1" applyAlignment="1">
      <alignment vertical="center"/>
    </xf>
    <xf numFmtId="10" fontId="181" fillId="46" borderId="42" xfId="51" applyNumberFormat="1" applyFont="1" applyFill="1" applyBorder="1" applyAlignment="1">
      <alignment vertical="center"/>
    </xf>
    <xf numFmtId="43" fontId="54" fillId="26" borderId="0" xfId="48" applyFont="1" applyFill="1" applyAlignment="1">
      <alignment vertical="center"/>
    </xf>
    <xf numFmtId="0" fontId="54" fillId="26" borderId="0" xfId="0" applyFont="1" applyFill="1" applyAlignment="1">
      <alignment vertical="center"/>
    </xf>
    <xf numFmtId="0" fontId="54" fillId="26" borderId="0" xfId="0" applyFont="1" applyFill="1" applyAlignment="1">
      <alignment horizontal="center" vertical="center"/>
    </xf>
    <xf numFmtId="0" fontId="0" fillId="26" borderId="0" xfId="0" applyFill="1" applyAlignment="1">
      <alignment vertical="center"/>
    </xf>
    <xf numFmtId="0" fontId="47" fillId="26" borderId="0" xfId="0" applyFont="1" applyFill="1" applyAlignment="1">
      <alignment vertical="center"/>
    </xf>
    <xf numFmtId="0" fontId="0" fillId="26" borderId="0" xfId="0" applyFill="1" applyAlignment="1">
      <alignment horizontal="center" vertical="center" shrinkToFit="1"/>
    </xf>
    <xf numFmtId="44" fontId="0" fillId="26" borderId="0" xfId="0" applyNumberFormat="1" applyFill="1" applyAlignment="1">
      <alignment horizontal="center" vertical="center" shrinkToFit="1"/>
    </xf>
    <xf numFmtId="0" fontId="54" fillId="26" borderId="0" xfId="0" applyFont="1" applyFill="1" applyAlignment="1">
      <alignment horizontal="center" vertical="center" shrinkToFit="1"/>
    </xf>
    <xf numFmtId="44" fontId="54" fillId="26" borderId="0" xfId="0" applyNumberFormat="1" applyFont="1" applyFill="1" applyAlignment="1">
      <alignment horizontal="center" vertical="center" shrinkToFit="1"/>
    </xf>
    <xf numFmtId="43" fontId="47" fillId="26" borderId="0" xfId="48" applyFont="1" applyFill="1" applyAlignment="1">
      <alignment vertical="center"/>
    </xf>
    <xf numFmtId="0" fontId="47" fillId="26" borderId="0" xfId="0" applyFont="1" applyFill="1" applyAlignment="1">
      <alignment horizontal="center" vertical="center" shrinkToFit="1"/>
    </xf>
    <xf numFmtId="44" fontId="47" fillId="26" borderId="0" xfId="0" applyNumberFormat="1" applyFont="1" applyFill="1" applyAlignment="1">
      <alignment horizontal="center" vertical="center" shrinkToFit="1"/>
    </xf>
    <xf numFmtId="10" fontId="54" fillId="26" borderId="0" xfId="51" applyNumberFormat="1" applyFont="1" applyFill="1" applyAlignment="1">
      <alignment vertical="center"/>
    </xf>
    <xf numFmtId="43" fontId="176" fillId="0" borderId="0" xfId="48" applyFont="1" applyFill="1"/>
    <xf numFmtId="9" fontId="58" fillId="42" borderId="18" xfId="0" applyNumberFormat="1" applyFont="1" applyFill="1" applyBorder="1" applyAlignment="1">
      <alignment horizontal="center" vertical="center"/>
    </xf>
    <xf numFmtId="9" fontId="58" fillId="42" borderId="23" xfId="0" applyNumberFormat="1" applyFont="1" applyFill="1" applyBorder="1" applyAlignment="1">
      <alignment horizontal="center" vertical="center"/>
    </xf>
    <xf numFmtId="9" fontId="58" fillId="43" borderId="19" xfId="0" applyNumberFormat="1" applyFont="1" applyFill="1" applyBorder="1" applyAlignment="1">
      <alignment horizontal="center" vertical="center" shrinkToFit="1"/>
    </xf>
    <xf numFmtId="9" fontId="58" fillId="43" borderId="20" xfId="0" applyNumberFormat="1" applyFont="1" applyFill="1" applyBorder="1" applyAlignment="1">
      <alignment horizontal="center" vertical="center" shrinkToFit="1"/>
    </xf>
    <xf numFmtId="9" fontId="58" fillId="43" borderId="21" xfId="0" applyNumberFormat="1" applyFont="1" applyFill="1" applyBorder="1" applyAlignment="1">
      <alignment horizontal="center" vertical="center" shrinkToFit="1"/>
    </xf>
    <xf numFmtId="9" fontId="58" fillId="35" borderId="19" xfId="0" applyNumberFormat="1" applyFont="1" applyFill="1" applyBorder="1" applyAlignment="1">
      <alignment horizontal="center" vertical="center" shrinkToFit="1"/>
    </xf>
    <xf numFmtId="9" fontId="58" fillId="35" borderId="20" xfId="0" applyNumberFormat="1" applyFont="1" applyFill="1" applyBorder="1" applyAlignment="1">
      <alignment horizontal="center" vertical="center" shrinkToFit="1"/>
    </xf>
    <xf numFmtId="9" fontId="58" fillId="35" borderId="21" xfId="0" applyNumberFormat="1" applyFont="1" applyFill="1" applyBorder="1" applyAlignment="1">
      <alignment horizontal="center" vertical="center" shrinkToFit="1"/>
    </xf>
    <xf numFmtId="9" fontId="59" fillId="44" borderId="19" xfId="0" applyNumberFormat="1" applyFont="1" applyFill="1" applyBorder="1" applyAlignment="1">
      <alignment horizontal="center" vertical="center"/>
    </xf>
    <xf numFmtId="9" fontId="59" fillId="44" borderId="20" xfId="0" applyNumberFormat="1" applyFont="1" applyFill="1" applyBorder="1" applyAlignment="1">
      <alignment horizontal="center" vertical="center"/>
    </xf>
    <xf numFmtId="9" fontId="59" fillId="44" borderId="21" xfId="0" applyNumberFormat="1" applyFont="1" applyFill="1" applyBorder="1" applyAlignment="1">
      <alignment horizontal="center" vertical="center"/>
    </xf>
    <xf numFmtId="9" fontId="58" fillId="41" borderId="18" xfId="0" applyNumberFormat="1" applyFont="1" applyFill="1" applyBorder="1" applyAlignment="1">
      <alignment horizontal="center" vertical="center" wrapText="1"/>
    </xf>
    <xf numFmtId="9" fontId="58" fillId="41" borderId="23" xfId="0" applyNumberFormat="1" applyFont="1" applyFill="1" applyBorder="1" applyAlignment="1">
      <alignment horizontal="center" vertical="center" wrapText="1"/>
    </xf>
    <xf numFmtId="0" fontId="60" fillId="37" borderId="19" xfId="0" applyFont="1" applyFill="1" applyBorder="1" applyAlignment="1">
      <alignment horizontal="center" vertical="center"/>
    </xf>
    <xf numFmtId="0" fontId="60" fillId="37" borderId="20" xfId="0" applyFont="1" applyFill="1" applyBorder="1" applyAlignment="1">
      <alignment horizontal="center" vertical="center"/>
    </xf>
    <xf numFmtId="0" fontId="60" fillId="37" borderId="21" xfId="0" applyFont="1" applyFill="1" applyBorder="1" applyAlignment="1">
      <alignment horizontal="center" vertical="center"/>
    </xf>
    <xf numFmtId="0" fontId="61" fillId="41" borderId="18" xfId="0" applyFont="1" applyFill="1" applyBorder="1" applyAlignment="1">
      <alignment horizontal="center" vertical="center" wrapText="1"/>
    </xf>
    <xf numFmtId="0" fontId="61" fillId="41" borderId="23" xfId="0" applyFont="1" applyFill="1" applyBorder="1" applyAlignment="1">
      <alignment horizontal="center" vertical="center" wrapText="1"/>
    </xf>
    <xf numFmtId="0" fontId="60" fillId="35" borderId="22" xfId="0" applyFont="1" applyFill="1" applyBorder="1" applyAlignment="1">
      <alignment horizontal="center" vertical="center" wrapText="1"/>
    </xf>
    <xf numFmtId="0" fontId="60" fillId="35" borderId="24" xfId="0" applyFont="1" applyFill="1" applyBorder="1" applyAlignment="1">
      <alignment horizontal="center" vertical="center" wrapText="1"/>
    </xf>
    <xf numFmtId="9" fontId="58" fillId="43" borderId="19" xfId="0" applyNumberFormat="1" applyFont="1" applyFill="1" applyBorder="1" applyAlignment="1">
      <alignment horizontal="center" vertical="center"/>
    </xf>
    <xf numFmtId="9" fontId="58" fillId="43" borderId="20" xfId="0" applyNumberFormat="1" applyFont="1" applyFill="1" applyBorder="1" applyAlignment="1">
      <alignment horizontal="center" vertical="center"/>
    </xf>
    <xf numFmtId="9" fontId="58" fillId="43" borderId="21" xfId="0" applyNumberFormat="1" applyFont="1" applyFill="1" applyBorder="1" applyAlignment="1">
      <alignment horizontal="center" vertical="center"/>
    </xf>
    <xf numFmtId="9" fontId="58" fillId="35" borderId="19" xfId="0" applyNumberFormat="1" applyFont="1" applyFill="1" applyBorder="1" applyAlignment="1">
      <alignment horizontal="center" vertical="center"/>
    </xf>
    <xf numFmtId="9" fontId="58" fillId="35" borderId="20" xfId="0" applyNumberFormat="1" applyFont="1" applyFill="1" applyBorder="1" applyAlignment="1">
      <alignment horizontal="center" vertical="center"/>
    </xf>
    <xf numFmtId="9" fontId="58" fillId="35" borderId="21" xfId="0" applyNumberFormat="1" applyFont="1" applyFill="1" applyBorder="1" applyAlignment="1">
      <alignment horizontal="center" vertical="center"/>
    </xf>
    <xf numFmtId="43" fontId="58" fillId="42" borderId="18" xfId="48" applyFont="1" applyFill="1" applyBorder="1" applyAlignment="1">
      <alignment horizontal="center" vertical="center"/>
    </xf>
    <xf numFmtId="43" fontId="58" fillId="42" borderId="23" xfId="48" applyFont="1" applyFill="1" applyBorder="1" applyAlignment="1">
      <alignment horizontal="center" vertical="center"/>
    </xf>
    <xf numFmtId="44" fontId="55" fillId="40" borderId="0" xfId="48" applyNumberFormat="1" applyFont="1" applyFill="1" applyBorder="1" applyAlignment="1">
      <alignment horizontal="center" vertical="center"/>
    </xf>
    <xf numFmtId="0" fontId="58" fillId="42" borderId="18" xfId="0" applyFont="1" applyFill="1" applyBorder="1" applyAlignment="1">
      <alignment horizontal="center" vertical="center"/>
    </xf>
    <xf numFmtId="0" fontId="58" fillId="42" borderId="23" xfId="0" applyFont="1" applyFill="1" applyBorder="1" applyAlignment="1">
      <alignment horizontal="center" vertical="center"/>
    </xf>
    <xf numFmtId="0" fontId="58" fillId="42" borderId="25" xfId="0" applyFont="1" applyFill="1" applyBorder="1" applyAlignment="1">
      <alignment horizontal="center" vertical="center"/>
    </xf>
    <xf numFmtId="44" fontId="58" fillId="42" borderId="18" xfId="48" applyNumberFormat="1" applyFont="1" applyFill="1" applyBorder="1" applyAlignment="1">
      <alignment horizontal="center" vertical="center"/>
    </xf>
    <xf numFmtId="44" fontId="58" fillId="42" borderId="23" xfId="48" applyNumberFormat="1" applyFont="1" applyFill="1" applyBorder="1" applyAlignment="1">
      <alignment horizontal="center" vertical="center"/>
    </xf>
    <xf numFmtId="44" fontId="58" fillId="42" borderId="25" xfId="48" applyNumberFormat="1" applyFont="1" applyFill="1" applyBorder="1" applyAlignment="1">
      <alignment horizontal="center" vertical="center"/>
    </xf>
    <xf numFmtId="9" fontId="58" fillId="42" borderId="18" xfId="0" applyNumberFormat="1" applyFont="1" applyFill="1" applyBorder="1" applyAlignment="1">
      <alignment horizontal="center" vertical="center" wrapText="1"/>
    </xf>
    <xf numFmtId="9" fontId="58" fillId="42" borderId="23" xfId="0" applyNumberFormat="1" applyFont="1" applyFill="1" applyBorder="1" applyAlignment="1">
      <alignment horizontal="center" vertical="center" wrapText="1"/>
    </xf>
    <xf numFmtId="9" fontId="58" fillId="42" borderId="25" xfId="0" applyNumberFormat="1" applyFont="1" applyFill="1" applyBorder="1" applyAlignment="1">
      <alignment horizontal="center" vertical="center" wrapText="1"/>
    </xf>
    <xf numFmtId="0" fontId="62" fillId="37" borderId="19" xfId="0" applyFont="1" applyFill="1" applyBorder="1" applyAlignment="1">
      <alignment horizontal="center" vertical="center"/>
    </xf>
    <xf numFmtId="0" fontId="62" fillId="37" borderId="21" xfId="0" applyFont="1" applyFill="1" applyBorder="1" applyAlignment="1">
      <alignment horizontal="center" vertical="center"/>
    </xf>
    <xf numFmtId="9" fontId="59" fillId="44" borderId="19" xfId="0" applyNumberFormat="1" applyFont="1" applyFill="1" applyBorder="1" applyAlignment="1">
      <alignment horizontal="center" vertical="center" shrinkToFit="1"/>
    </xf>
    <xf numFmtId="9" fontId="59" fillId="44" borderId="20" xfId="0" applyNumberFormat="1" applyFont="1" applyFill="1" applyBorder="1" applyAlignment="1">
      <alignment horizontal="center" vertical="center" shrinkToFit="1"/>
    </xf>
    <xf numFmtId="9" fontId="59" fillId="44" borderId="21" xfId="0" applyNumberFormat="1" applyFont="1" applyFill="1" applyBorder="1" applyAlignment="1">
      <alignment horizontal="center" vertical="center" shrinkToFit="1"/>
    </xf>
    <xf numFmtId="0" fontId="168" fillId="46" borderId="44" xfId="0" applyFont="1" applyFill="1" applyBorder="1" applyAlignment="1">
      <alignment horizontal="left" vertical="center"/>
    </xf>
    <xf numFmtId="0" fontId="168" fillId="46" borderId="40" xfId="0" applyFont="1" applyFill="1" applyBorder="1" applyAlignment="1">
      <alignment horizontal="left" vertical="center"/>
    </xf>
    <xf numFmtId="0" fontId="68" fillId="46" borderId="44" xfId="0" applyFont="1" applyFill="1" applyBorder="1" applyAlignment="1">
      <alignment horizontal="left" vertical="center"/>
    </xf>
    <xf numFmtId="0" fontId="68" fillId="46" borderId="40" xfId="0" applyFont="1" applyFill="1" applyBorder="1" applyAlignment="1">
      <alignment horizontal="left" vertical="center"/>
    </xf>
    <xf numFmtId="44" fontId="169" fillId="46" borderId="40" xfId="0" applyNumberFormat="1" applyFont="1" applyFill="1" applyBorder="1" applyAlignment="1">
      <alignment horizontal="left" vertical="center" indent="1" shrinkToFit="1"/>
    </xf>
    <xf numFmtId="44" fontId="169" fillId="46" borderId="41" xfId="0" applyNumberFormat="1" applyFont="1" applyFill="1" applyBorder="1" applyAlignment="1">
      <alignment horizontal="left" vertical="center" indent="1" shrinkToFit="1"/>
    </xf>
    <xf numFmtId="44" fontId="169" fillId="46" borderId="44" xfId="0" applyNumberFormat="1" applyFont="1" applyFill="1" applyBorder="1" applyAlignment="1">
      <alignment horizontal="left" vertical="center" indent="1" shrinkToFit="1"/>
    </xf>
  </cellXfs>
  <cellStyles count="58">
    <cellStyle name="20% - Ênfase1 2" xfId="2" xr:uid="{00000000-0005-0000-0000-000000000000}"/>
    <cellStyle name="20% - Ênfase2 2" xfId="3" xr:uid="{00000000-0005-0000-0000-000001000000}"/>
    <cellStyle name="20% - Ênfase3 2" xfId="4" xr:uid="{00000000-0005-0000-0000-000002000000}"/>
    <cellStyle name="20% - Ênfase4 2" xfId="5" xr:uid="{00000000-0005-0000-0000-000003000000}"/>
    <cellStyle name="20% - Ênfase5 2" xfId="6" xr:uid="{00000000-0005-0000-0000-000004000000}"/>
    <cellStyle name="20% - Ênfase6 2" xfId="7" xr:uid="{00000000-0005-0000-0000-000005000000}"/>
    <cellStyle name="40% - Ênfase1 2" xfId="8" xr:uid="{00000000-0005-0000-0000-000006000000}"/>
    <cellStyle name="40% - Ênfase2 2" xfId="9" xr:uid="{00000000-0005-0000-0000-000007000000}"/>
    <cellStyle name="40% - Ênfase3 2" xfId="10" xr:uid="{00000000-0005-0000-0000-000008000000}"/>
    <cellStyle name="40% - Ênfase4 2" xfId="11" xr:uid="{00000000-0005-0000-0000-000009000000}"/>
    <cellStyle name="40% - Ênfase5 2" xfId="12" xr:uid="{00000000-0005-0000-0000-00000A000000}"/>
    <cellStyle name="40% - Ênfase6 2" xfId="13" xr:uid="{00000000-0005-0000-0000-00000B000000}"/>
    <cellStyle name="60% - Ênfase1 2" xfId="14" xr:uid="{00000000-0005-0000-0000-00000C000000}"/>
    <cellStyle name="60% - Ênfase2 2" xfId="15" xr:uid="{00000000-0005-0000-0000-00000D000000}"/>
    <cellStyle name="60% - Ênfase3 2" xfId="16" xr:uid="{00000000-0005-0000-0000-00000E000000}"/>
    <cellStyle name="60% - Ênfase4 2" xfId="17" xr:uid="{00000000-0005-0000-0000-00000F000000}"/>
    <cellStyle name="60% - Ênfase5 2" xfId="18" xr:uid="{00000000-0005-0000-0000-000010000000}"/>
    <cellStyle name="60% - Ênfase6 2" xfId="19" xr:uid="{00000000-0005-0000-0000-000011000000}"/>
    <cellStyle name="Bom 2" xfId="20" xr:uid="{00000000-0005-0000-0000-000012000000}"/>
    <cellStyle name="Cálculo 2" xfId="21" xr:uid="{00000000-0005-0000-0000-000013000000}"/>
    <cellStyle name="Célula de Verificação 2" xfId="22" xr:uid="{00000000-0005-0000-0000-000014000000}"/>
    <cellStyle name="Célula Vinculada 2" xfId="23" xr:uid="{00000000-0005-0000-0000-000015000000}"/>
    <cellStyle name="Comma" xfId="48" builtinId="3"/>
    <cellStyle name="Ênfase1 2" xfId="24" xr:uid="{00000000-0005-0000-0000-000016000000}"/>
    <cellStyle name="Ênfase2 2" xfId="25" xr:uid="{00000000-0005-0000-0000-000017000000}"/>
    <cellStyle name="Ênfase3 2" xfId="26" xr:uid="{00000000-0005-0000-0000-000018000000}"/>
    <cellStyle name="Ênfase4 2" xfId="27" xr:uid="{00000000-0005-0000-0000-000019000000}"/>
    <cellStyle name="Ênfase5 2" xfId="28" xr:uid="{00000000-0005-0000-0000-00001A000000}"/>
    <cellStyle name="Ênfase6 2" xfId="29" xr:uid="{00000000-0005-0000-0000-00001B000000}"/>
    <cellStyle name="Entrada 2" xfId="30" xr:uid="{00000000-0005-0000-0000-00001C000000}"/>
    <cellStyle name="Hyperlink" xfId="54" builtinId="8"/>
    <cellStyle name="Incorreto 2" xfId="31" xr:uid="{00000000-0005-0000-0000-00001D000000}"/>
    <cellStyle name="Moeda 2" xfId="44" xr:uid="{00000000-0005-0000-0000-00001E000000}"/>
    <cellStyle name="Moeda 3" xfId="45" xr:uid="{00000000-0005-0000-0000-00001F000000}"/>
    <cellStyle name="Neutra 2" xfId="32" xr:uid="{00000000-0005-0000-0000-000020000000}"/>
    <cellStyle name="Normal" xfId="0" builtinId="0"/>
    <cellStyle name="Normal 2" xfId="1" xr:uid="{00000000-0005-0000-0000-000022000000}"/>
    <cellStyle name="Normal 2 2" xfId="46" xr:uid="{00000000-0005-0000-0000-000023000000}"/>
    <cellStyle name="Normal 3" xfId="49" xr:uid="{00000000-0005-0000-0000-000024000000}"/>
    <cellStyle name="Normal 5" xfId="53" xr:uid="{2D36B0B3-7BB0-465F-A4E5-C667B290DF3A}"/>
    <cellStyle name="Nota 2" xfId="33" xr:uid="{00000000-0005-0000-0000-000025000000}"/>
    <cellStyle name="Percent" xfId="51" builtinId="5"/>
    <cellStyle name="Porcentagem 10 2" xfId="55" xr:uid="{BEE9C0D5-25DF-43DB-8A91-185707ADA3FB}"/>
    <cellStyle name="Porcentagem 14" xfId="57" xr:uid="{2E547DD5-03E1-41DB-AFFE-BD41BBB70369}"/>
    <cellStyle name="Saída 2" xfId="34" xr:uid="{00000000-0005-0000-0000-000027000000}"/>
    <cellStyle name="Texto de Aviso 2" xfId="35" xr:uid="{00000000-0005-0000-0000-000028000000}"/>
    <cellStyle name="Texto Explicativo 2" xfId="36" xr:uid="{00000000-0005-0000-0000-000029000000}"/>
    <cellStyle name="Título 1 2" xfId="38" xr:uid="{00000000-0005-0000-0000-00002A000000}"/>
    <cellStyle name="Título 2 2" xfId="39" xr:uid="{00000000-0005-0000-0000-00002B000000}"/>
    <cellStyle name="Título 3 2" xfId="40" xr:uid="{00000000-0005-0000-0000-00002C000000}"/>
    <cellStyle name="Título 4 2" xfId="41" xr:uid="{00000000-0005-0000-0000-00002D000000}"/>
    <cellStyle name="Título 5" xfId="37" xr:uid="{00000000-0005-0000-0000-00002E000000}"/>
    <cellStyle name="Total" xfId="52" builtinId="25"/>
    <cellStyle name="Total 2" xfId="42" xr:uid="{00000000-0005-0000-0000-000030000000}"/>
    <cellStyle name="Vírgula 2" xfId="43" xr:uid="{00000000-0005-0000-0000-000032000000}"/>
    <cellStyle name="Vírgula 3" xfId="50" xr:uid="{00000000-0005-0000-0000-000033000000}"/>
    <cellStyle name="Vírgula 6" xfId="56" xr:uid="{A5F9E298-957D-40EE-BB0A-3D92F35297FC}"/>
    <cellStyle name="WinCalendar_BlankCells_38" xfId="47" xr:uid="{00000000-0005-0000-0000-000034000000}"/>
  </cellStyles>
  <dxfs count="96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/mm/yy;@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/mm/yy;@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/mm/yy;@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theme="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rgb="FF000000"/>
        <name val="Calibri"/>
        <scheme val="minor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rgb="FF000000"/>
        <name val="Aptos"/>
        <family val="2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rgb="FF000000"/>
        <name val="Aptos"/>
        <family val="2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22" formatCode="mmm/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rgb="FF000000"/>
        <name val="Aptos"/>
        <family val="2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rgb="FF000000"/>
        <name val="Aptos"/>
        <family val="2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22" formatCode="mmm/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rgb="FF000000"/>
        <name val="Aptos"/>
        <family val="2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5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5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5" formatCode="_-* #,##0.00_-;\-* #,##0.0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vertical="center" textRotation="0" wrapTex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0" formatCode="General"/>
      <alignment vertical="center" textRotation="0" wrapTex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0" formatCode="General"/>
      <alignment vertical="center" textRotation="0" wrapText="0" justifyLastLine="0" readingOrder="0"/>
    </dxf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5" formatCode="_-* #,##0.00_-;\-* #,##0.0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Calibri"/>
        <scheme val="none"/>
      </font>
      <numFmt numFmtId="30" formatCode="@"/>
      <alignment horizontal="left" vertical="center" textRotation="0" wrapText="0" inden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numFmt numFmtId="35" formatCode="_-* #,##0.00_-;\-* #,##0.0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</dxf>
    <dxf>
      <font>
        <b/>
        <strike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wrapTex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wrapTex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wrapTex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wrapTex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wrapText="0" justifyLastLine="0" shrinkToFit="0" readingOrder="0"/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wrapTex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theme="4"/>
          <bgColor theme="4"/>
        </patternFill>
      </fill>
      <alignment vertical="center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dd/mm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dd/mm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dd/mm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00FF00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00FF00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00FF00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1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strike val="0"/>
        <outline val="0"/>
        <shadow val="0"/>
        <vertAlign val="baseline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numFmt numFmtId="171" formatCode="_-* #,##0_-;\-* #,##0_-;_-* &quot;-&quot;??_-;_-@_-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1" formatCode="_-* #,##0_-;\-* #,##0_-;_-* &quot;-&quot;??_-;_-@_-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strike val="0"/>
        <outline val="0"/>
        <shadow val="0"/>
        <vertAlign val="baseline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7" formatCode="dd/mm/yy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Aptos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rgb="FF000000"/>
        <name val="Calibri"/>
        <scheme val="none"/>
      </font>
      <numFmt numFmtId="30" formatCode="@"/>
      <alignment vertical="center" textRotation="0" wrapText="0" justifyLastLine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Estilo de Tabela 1" pivot="0" count="1" xr9:uid="{00000000-0011-0000-FFFF-FFFF00000000}">
      <tableStyleElement type="lastColumn" dxfId="961"/>
    </tableStyle>
  </tableStyles>
  <colors>
    <mruColors>
      <color rgb="FF00FF00"/>
      <color rgb="FFFF0000"/>
      <color rgb="FFF00000"/>
      <color rgb="FFFF00FF"/>
      <color rgb="FFFF5050"/>
      <color rgb="FFFF7C80"/>
      <color rgb="FFFF66CC"/>
      <color rgb="FFCCFF33"/>
      <color rgb="FF00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625929</xdr:colOff>
      <xdr:row>320</xdr:row>
      <xdr:rowOff>163286</xdr:rowOff>
    </xdr:from>
    <xdr:to>
      <xdr:col>9</xdr:col>
      <xdr:colOff>217714</xdr:colOff>
      <xdr:row>323</xdr:row>
      <xdr:rowOff>122465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36A30FD9-4F32-8B1A-A1F3-592A184BFE8C}"/>
            </a:ext>
          </a:extLst>
        </xdr:cNvPr>
        <xdr:cNvSpPr/>
      </xdr:nvSpPr>
      <xdr:spPr>
        <a:xfrm>
          <a:off x="12831536" y="26479500"/>
          <a:ext cx="1360714" cy="816429"/>
        </a:xfrm>
        <a:prstGeom prst="ellipse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1380565</xdr:colOff>
      <xdr:row>1</xdr:row>
      <xdr:rowOff>233082</xdr:rowOff>
    </xdr:from>
    <xdr:to>
      <xdr:col>8</xdr:col>
      <xdr:colOff>1084381</xdr:colOff>
      <xdr:row>4</xdr:row>
      <xdr:rowOff>34842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79E9EC-22A7-DF9D-4249-D77F147E8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9883" y="412376"/>
          <a:ext cx="1514686" cy="74305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ilson Barbosa" id="{8AEDB883-8F92-4E60-99AE-A62C212B9CEE}" userId="e4139a4bd40fd97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0000000}" name="Empresa721" displayName="Empresa721" ref="B7:F11" totalsRowShown="0" headerRowDxfId="937" dataDxfId="936">
  <autoFilter ref="B7:F11" xr:uid="{00000000-0009-0000-0100-000014000000}"/>
  <tableColumns count="5">
    <tableColumn id="1" xr3:uid="{00000000-0010-0000-0000-000001000000}" name="EMPRESA" dataDxfId="935"/>
    <tableColumn id="2" xr3:uid="{41E238A9-8927-4A36-B325-659D134A45A1}" name="CNPJ" dataDxfId="934"/>
    <tableColumn id="3" xr3:uid="{A00EAE8D-EA8D-4EF7-94AE-6D89E1EDA3DE}" name="INSCRIÇÃO" dataDxfId="933"/>
    <tableColumn id="4" xr3:uid="{BE09B7F2-CF9A-457E-931E-F30BBCA580DA}" name="ENDEREÇO" dataDxfId="932"/>
    <tableColumn id="5" xr3:uid="{09493269-377E-42BE-AD4D-933D673F7D9E}" name="CEP" dataDxfId="9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4E581C-038B-49BE-920A-2889276E7ACC}" name="Cliente1916" displayName="Cliente1916" ref="B3:AV74" totalsRowCount="1" headerRowDxfId="930" dataDxfId="929" totalsRowDxfId="928" headerRowCellStyle="Ênfase6 2" dataCellStyle="Ênfase6 2" totalsRowCellStyle="Ênfase6 2">
  <autoFilter ref="B3:AV73" xr:uid="{814E581C-038B-49BE-920A-2889276E7ACC}">
    <filterColumn colId="2">
      <filters>
        <filter val="ATIVO"/>
      </filters>
    </filterColumn>
  </autoFilter>
  <tableColumns count="47">
    <tableColumn id="1" xr3:uid="{4162A48F-D2CE-414F-A2A4-D320589E7092}" name="ITEM" totalsRowLabel="Total" dataDxfId="927" totalsRowDxfId="926" dataCellStyle="Total"/>
    <tableColumn id="14" xr3:uid="{37B81634-2270-4A12-9BD1-5B754469E792}" name="UF" totalsRowFunction="count" dataDxfId="925" totalsRowDxfId="924" dataCellStyle="Total"/>
    <tableColumn id="35" xr3:uid="{9E47C82D-E8DA-43C2-9F9A-41349375DFA7}" name="STATUS" totalsRowFunction="count" dataDxfId="923" totalsRowDxfId="922" dataCellStyle="Total"/>
    <tableColumn id="16" xr3:uid="{83A0FC2C-668F-47F3-B93A-A11DF9870EFF}" name="EMPRESA" totalsRowFunction="count" dataDxfId="921" totalsRowDxfId="920" dataCellStyle="Total"/>
    <tableColumn id="50" xr3:uid="{C2171894-0671-4120-A6D2-FAAC151615FE}" name="ANO" totalsRowFunction="count" dataDxfId="919" totalsRowDxfId="918" dataCellStyle="Total"/>
    <tableColumn id="47" xr3:uid="{D1897969-CC47-4175-8B08-EEC3D5C4EA74}" name="SEGMENTO" totalsRowFunction="count" dataDxfId="917" totalsRowDxfId="916" dataCellStyle="Total"/>
    <tableColumn id="3" xr3:uid="{D2202712-309A-4A55-8C32-A8C391DCDFC2}" name="CLIENTE" totalsRowFunction="count" dataDxfId="915" totalsRowDxfId="914" dataCellStyle="Total"/>
    <tableColumn id="12" xr3:uid="{FF32557A-8C50-45AF-9EA9-87FDDE0E1A4B}" name="RAZÃO SOCIAL" totalsRowFunction="count" dataDxfId="913" totalsRowDxfId="912" dataCellStyle="Total"/>
    <tableColumn id="4" xr3:uid="{DA96B464-E17A-4657-B807-66F86B68EBCE}" name="CNPJ" totalsRowFunction="count" dataDxfId="911" totalsRowDxfId="910" dataCellStyle="Total"/>
    <tableColumn id="17" xr3:uid="{AFD499FA-907C-4C32-8866-4AE438BCD1A5}" name="INSCRIÇÃO" totalsRowFunction="count" dataDxfId="909" totalsRowDxfId="908" dataCellStyle="Total"/>
    <tableColumn id="7" xr3:uid="{66AC0191-D2BB-4713-86D6-935F34395681}" name="CIDADE" totalsRowFunction="count" dataDxfId="907" totalsRowDxfId="906" dataCellStyle="Total"/>
    <tableColumn id="5" xr3:uid="{A4512C6E-6708-4567-8093-BB4793B28751}" name="ENDEREÇO" totalsRowFunction="count" dataDxfId="905" totalsRowDxfId="904" dataCellStyle="Total"/>
    <tableColumn id="6" xr3:uid="{4038DE68-3341-4F30-8B8A-78C2B5CB58C8}" name="CEP" totalsRowFunction="count" dataDxfId="903" totalsRowDxfId="902" dataCellStyle="Total"/>
    <tableColumn id="11" xr3:uid="{48004ECC-B122-4F2A-B16C-6AA38C87E26D}" name="TEL" totalsRowFunction="count" dataDxfId="901" totalsRowDxfId="900" dataCellStyle="Total"/>
    <tableColumn id="27" xr3:uid="{626A291A-179F-44EB-9E40-D2910D467987}" name="RESPONSÁVEL" totalsRowFunction="count" dataDxfId="899" totalsRowDxfId="898"/>
    <tableColumn id="28" xr3:uid="{63A32B5F-1811-4116-8F97-7829282989E7}" name="E-MAIL" totalsRowFunction="count" dataDxfId="897" totalsRowDxfId="896"/>
    <tableColumn id="9" xr3:uid="{240BD8C3-A565-4A90-92C1-A83EE6F331E5}" name="CT Nº" totalsRowFunction="count" dataDxfId="895" totalsRowDxfId="894" dataCellStyle="Total"/>
    <tableColumn id="13" xr3:uid="{9F70567D-DA65-45AA-8347-DB60F8DF542C}" name="INICIO " totalsRowFunction="count" dataDxfId="893" totalsRowDxfId="892" dataCellStyle="Total"/>
    <tableColumn id="8" xr3:uid="{9CF72922-6344-4277-8455-C6F2CA15C486}" name="TÉRMINO" totalsRowFunction="count" dataDxfId="891" totalsRowDxfId="890" dataCellStyle="Total"/>
    <tableColumn id="15" xr3:uid="{57ADD6B4-6088-482B-BAAC-9FE4D434B920}" name="OBJETO" totalsRowFunction="count" dataDxfId="889" totalsRowDxfId="888" dataCellStyle="Total"/>
    <tableColumn id="21" xr3:uid="{A7135023-12D7-491D-84F4-768C5FFD8560}" name="QTDE COLABORADOR" totalsRowFunction="sum" dataDxfId="887" totalsRowDxfId="886"/>
    <tableColumn id="20" xr3:uid="{60D54EF5-A6F9-4FE2-8302-1F60197342FA}" name="VALOR CONTRATUAL" totalsRowFunction="sum" dataDxfId="885" totalsRowDxfId="884" dataCellStyle="Total"/>
    <tableColumn id="31" xr3:uid="{92C6DA4E-DFDE-47BF-A0E2-1A9F98204C5F}" name="DATA PAGAMENTO" totalsRowFunction="count" dataDxfId="883" totalsRowDxfId="882"/>
    <tableColumn id="18" xr3:uid="{19402A06-CBE4-4536-9BE0-D129A779B107}" name="FORMA DE PAGAMENTO" totalsRowFunction="count" dataDxfId="881" totalsRowDxfId="880" dataCellStyle="Total"/>
    <tableColumn id="19" xr3:uid="{B49A4F80-169F-4510-9121-6E65C81C3CE1}" name="SALÁRIO BASE" totalsRowFunction="sum" dataDxfId="879" totalsRowDxfId="878"/>
    <tableColumn id="44" xr3:uid="{A917944F-C185-47C0-A56C-3C15946BBB9E}" name="II         REMUNERAÇÃO" totalsRowFunction="sum" dataDxfId="877" totalsRowDxfId="876"/>
    <tableColumn id="36" xr3:uid="{EEBE53FD-2593-4609-932B-BB2536458563}" name="III                ENCARGOS 77,26%" totalsRowFunction="sum" dataDxfId="875" totalsRowDxfId="874"/>
    <tableColumn id="26" xr3:uid="{DF60A636-9E91-4D99-A91E-A89FFF05E091}" name="IV                 BENEFICIOS" totalsRowFunction="sum" dataDxfId="873" totalsRowDxfId="872"/>
    <tableColumn id="25" xr3:uid="{B9D68DE6-0106-4398-BEC5-C9177548D56B}" name="V             INSUMOS M.O.D." totalsRowFunction="sum" dataDxfId="871" totalsRowDxfId="870"/>
    <tableColumn id="24" xr3:uid="{FE392082-96D6-4C53-8ED6-69C5FC14B4BB}" name="VI          INSUMOS        M.O.I." totalsRowFunction="sum" dataDxfId="869" totalsRowDxfId="868"/>
    <tableColumn id="2" xr3:uid="{3E89B9CA-51E5-4515-BD59-2704E01EDFBD}" name="VII              DEMAIS COMPONENTES" totalsRowFunction="sum" dataDxfId="867" totalsRowDxfId="866"/>
    <tableColumn id="23" xr3:uid="{9838EF74-18D4-44F1-BD6B-4F31EF784591}" name="VIII             TRIBUTOS" totalsRowFunction="sum" dataDxfId="865" totalsRowDxfId="864"/>
    <tableColumn id="22" xr3:uid="{9A72426F-7821-4D72-8E48-1312AC5B60AB}" name="TOTAL DESPESAS" totalsRowFunction="custom" dataDxfId="863" totalsRowDxfId="862">
      <calculatedColumnFormula>SUBTOTAL(9,Cliente1916[[#This Row],[II         REMUNERAÇÃO]:[VIII             TRIBUTOS]])</calculatedColumnFormula>
      <totalsRowFormula>SUM(AH9:AH70)</totalsRowFormula>
    </tableColumn>
    <tableColumn id="29" xr3:uid="{78D3D709-5CFC-43AF-A7C8-66E740F5143E}" name="LUCRO LIQUIDO" totalsRowFunction="sum" dataDxfId="861" totalsRowDxfId="860">
      <calculatedColumnFormula>Cliente1916[[#This Row],[VALOR CONTRATUAL]]-Cliente1916[[#This Row],[TOTAL DESPESAS]]</calculatedColumnFormula>
    </tableColumn>
    <tableColumn id="37" xr3:uid="{377300A1-F9C8-4C4C-A7F3-74B1870DBA4B}" name="LUCRO %" totalsRowFunction="sum" dataDxfId="859" totalsRowDxfId="858" dataCellStyle="Total">
      <calculatedColumnFormula>Cliente1916[[#This Row],[LUCRO LIQUIDO]]/Cliente1916[[#This Row],[VALOR CONTRATUAL]]</calculatedColumnFormula>
    </tableColumn>
    <tableColumn id="34" xr3:uid="{965C7351-4839-41A6-9CD5-1BE6C6A44771}" name="Coluna2" dataDxfId="857" totalsRowDxfId="856" dataCellStyle="Total"/>
    <tableColumn id="33" xr3:uid="{199A6267-09C8-4676-8775-4676E89A37B6}" name="INSS=&gt;" dataDxfId="855" totalsRowDxfId="854" dataCellStyle="Total"/>
    <tableColumn id="32" xr3:uid="{EDF7DA7D-3C37-425B-B68C-5D58C0AA326B}" name="abr/25" totalsRowFunction="sum" dataDxfId="853" totalsRowDxfId="852" dataCellStyle="Total"/>
    <tableColumn id="38" xr3:uid="{F0B1B7C6-47F3-4613-AB8A-81D726CB882C}" name="mai/25" totalsRowFunction="sum" dataDxfId="851" totalsRowDxfId="850" dataCellStyle="Total"/>
    <tableColumn id="39" xr3:uid="{21117530-CF45-447C-BBC4-E292286518E9}" name="jun/25" totalsRowFunction="sum" dataDxfId="849" totalsRowDxfId="848" dataCellStyle="Total"/>
    <tableColumn id="40" xr3:uid="{040E01D3-9483-40E5-B48B-B88F2AC40513}" name="jul/25" totalsRowFunction="sum" dataDxfId="847" totalsRowDxfId="846" dataCellStyle="Ênfase6 2"/>
    <tableColumn id="41" xr3:uid="{EC4BCA60-E7B0-4498-8B5D-1F2E14978D18}" name="ago/25" totalsRowFunction="sum" dataDxfId="845" totalsRowDxfId="844" dataCellStyle="Ênfase6 2"/>
    <tableColumn id="42" xr3:uid="{40B0B8CF-57D4-4A15-905A-522FCA865836}" name="set/25" totalsRowFunction="sum" dataDxfId="843" totalsRowDxfId="842" dataCellStyle="Ênfase6 2"/>
    <tableColumn id="43" xr3:uid="{F90DB70B-2C7C-4657-91C2-B08D0420881D}" name="out/25" totalsRowFunction="sum" dataDxfId="841" totalsRowDxfId="840" dataCellStyle="Ênfase6 2"/>
    <tableColumn id="45" xr3:uid="{E42742BD-D849-4C7F-90AC-F7BE46DA66C7}" name="nov/25" totalsRowFunction="sum" dataDxfId="839" totalsRowDxfId="838" dataCellStyle="Ênfase6 2"/>
    <tableColumn id="46" xr3:uid="{05D2E880-5378-42D6-B8E4-C9B47256DD2D}" name="dez/25" totalsRowFunction="sum" dataDxfId="837" totalsRowDxfId="836" dataCellStyle="Ênfase6 2"/>
    <tableColumn id="48" xr3:uid="{B15FC7C2-E83B-40CE-AAFD-173D64DAF6A3}" name="TOTAL" totalsRowFunction="custom" dataDxfId="835" totalsRowDxfId="834" dataCellStyle="Ênfase6 2">
      <calculatedColumnFormula>SUBTOTAL(9,Cliente1916[[#This Row],[abr/25]:[dez/25]])</calculatedColumnFormula>
      <totalsRowFormula>SUM(Cliente1916[[#Totals],[abr/25]:[dez/25]])</totalsRow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Fornecedor" displayName="Fornecedor" ref="B7:Q541" totalsRowShown="0" headerRowDxfId="833">
  <autoFilter ref="B7:Q541" xr:uid="{00000000-0009-0000-0100-000001000000}">
    <filterColumn colId="2">
      <filters>
        <filter val="AUTO POSTO NM 16"/>
        <filter val="AUTO POSTO SÃO MATEUS QNM 34"/>
        <filter val="SOUSA E ALVES COM DERIVADOS DE PETRÓLEO QNM 15 CEILANDIA"/>
      </filters>
    </filterColumn>
  </autoFilter>
  <sortState xmlns:xlrd2="http://schemas.microsoft.com/office/spreadsheetml/2017/richdata2" ref="B8:Q541">
    <sortCondition ref="D7:D541"/>
  </sortState>
  <tableColumns count="16">
    <tableColumn id="1" xr3:uid="{00000000-0010-0000-0200-000001000000}" name="ITEM" dataDxfId="832"/>
    <tableColumn id="16" xr3:uid="{00000000-0010-0000-0200-000010000000}" name="EMPRESA" dataDxfId="831"/>
    <tableColumn id="3" xr3:uid="{00000000-0010-0000-0200-000003000000}" name="FORNECEDOR" dataDxfId="830"/>
    <tableColumn id="12" xr3:uid="{00000000-0010-0000-0200-00000C000000}" name="RAZÃO SOCIAL" dataDxfId="829"/>
    <tableColumn id="4" xr3:uid="{00000000-0010-0000-0200-000004000000}" name="CNPJ" dataDxfId="828"/>
    <tableColumn id="7" xr3:uid="{00000000-0010-0000-0200-000007000000}" name="CIDADE" dataDxfId="827"/>
    <tableColumn id="5" xr3:uid="{00000000-0010-0000-0200-000005000000}" name="ENDEREÇO" dataDxfId="826"/>
    <tableColumn id="6" xr3:uid="{00000000-0010-0000-0200-000006000000}" name="CEP" dataDxfId="825"/>
    <tableColumn id="11" xr3:uid="{00000000-0010-0000-0200-00000B000000}" name="TEL" dataDxfId="824"/>
    <tableColumn id="9" xr3:uid="{00000000-0010-0000-0200-000009000000}" name="CT Nº" dataDxfId="823"/>
    <tableColumn id="13" xr3:uid="{00000000-0010-0000-0200-00000D000000}" name="INICIO CONTRATO" dataDxfId="822"/>
    <tableColumn id="8" xr3:uid="{00000000-0010-0000-0200-000008000000}" name="FIM CONTRATO" dataDxfId="821"/>
    <tableColumn id="2" xr3:uid="{00000000-0010-0000-0200-000002000000}" name="STATUS" dataDxfId="820"/>
    <tableColumn id="14" xr3:uid="{00000000-0010-0000-0200-00000E000000}" name="VALOR" dataDxfId="819"/>
    <tableColumn id="15" xr3:uid="{00000000-0010-0000-0200-00000F000000}" name="OBJETO" dataDxfId="818"/>
    <tableColumn id="10" xr3:uid="{00000000-0010-0000-0200-00000A000000}" name="VENCIMENTO" dataDxfId="8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as_Gerencial" displayName="Contas_Gerencial" ref="B5:F171" totalsRowShown="0" headerRowDxfId="816" dataDxfId="814" headerRowBorderDxfId="815" tableBorderDxfId="813">
  <autoFilter ref="B5:F171" xr:uid="{00000000-0009-0000-0100-000003000000}">
    <filterColumn colId="3">
      <filters>
        <filter val="CÓD 1732 ISS_RETENÇÃO_NF"/>
      </filters>
    </filterColumn>
  </autoFilter>
  <tableColumns count="5">
    <tableColumn id="1" xr3:uid="{00000000-0010-0000-0300-000001000000}" name="Código" dataDxfId="812"/>
    <tableColumn id="5" xr3:uid="{00000000-0010-0000-0300-000005000000}" name="CONTA" dataDxfId="811"/>
    <tableColumn id="4" xr3:uid="{00000000-0010-0000-0300-000004000000}" name="SUBCONTA" dataDxfId="810"/>
    <tableColumn id="2" xr3:uid="{00000000-0010-0000-0300-000002000000}" name="DESCRIÇÃO DA CONTA - NÃO UTILIZAR" dataDxfId="809"/>
    <tableColumn id="3" xr3:uid="{00000000-0010-0000-0300-000003000000}" name="Código2" dataDxfId="8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4000000}" name="Empresa24" displayName="Empresa24" ref="B7:B11" totalsRowShown="0">
  <autoFilter ref="B7:B11" xr:uid="{00000000-0009-0000-0100-000017000000}"/>
  <tableColumns count="1">
    <tableColumn id="1" xr3:uid="{00000000-0010-0000-04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1490D37-C060-47CB-8276-84339D6FE15C}" name="mFEV17" displayName="mFEV17" ref="B6:T305" totalsRowCount="1" headerRowDxfId="807" dataDxfId="806" totalsRowDxfId="804" tableBorderDxfId="805">
  <autoFilter ref="B6:T304" xr:uid="{00000000-000C-0000-FFFF-FFFF06000000}"/>
  <tableColumns count="19">
    <tableColumn id="1" xr3:uid="{13B10B19-4491-4A70-B7E8-FC7807D7467A}" name="COMPETÊNCIA" totalsRowLabel="Total" dataDxfId="803" totalsRowDxfId="802">
      <calculatedColumnFormula>CONCATENATE('TA Gerencial'!I2,'TA Gerencial'!H4,'TA Gerencial'!H3)</calculatedColumnFormula>
    </tableColumn>
    <tableColumn id="2" xr3:uid="{4D3FA599-CF3B-4116-960B-4BAC176F45D8}" name="CONTA" dataDxfId="801" totalsRowDxfId="800">
      <calculatedColumnFormula>VLOOKUP(mFEV17[[#This Row],[CÓDIGO CONTABIL]],Contas_Gerencial[#All],3,FALSE)</calculatedColumnFormula>
    </tableColumn>
    <tableColumn id="3" xr3:uid="{51877815-15F3-4FC2-B079-F25661319DAB}" name="CÓDIGO CONTABIL" dataDxfId="799" totalsRowDxfId="798">
      <calculatedColumnFormula>VLOOKUP(mFEV17[[#This Row],[DESCRIÇÃO CONTABIL]],Contas_Gerencial[[#All],[DESCRIÇÃO DA CONTA - NÃO UTILIZAR]:[Código2]],2,FALSE)</calculatedColumnFormula>
    </tableColumn>
    <tableColumn id="4" xr3:uid="{09730A44-4ADC-4418-9479-1D72EE6DA326}" name="DESCRIÇÃO CONTABIL" dataDxfId="797" totalsRowDxfId="796"/>
    <tableColumn id="18" xr3:uid="{AA340A2E-48E8-47EB-B8C7-CC8EBC57ACC6}" name="EMPRESA" dataDxfId="795" totalsRowDxfId="794"/>
    <tableColumn id="19" xr3:uid="{662B491B-8AB5-4200-B06D-6688567863F6}" name="CLIENTE" dataDxfId="793" totalsRowDxfId="792"/>
    <tableColumn id="7" xr3:uid="{43A07916-0674-4609-9999-D95D1014DE34}" name="TIPO DE DOCUMENTO" dataDxfId="791" totalsRowDxfId="790"/>
    <tableColumn id="8" xr3:uid="{BC549B98-260A-4617-9318-BD10140C1FAA}" name="Nº" dataDxfId="789" totalsRowDxfId="788"/>
    <tableColumn id="9" xr3:uid="{3803BAD8-6656-4567-BE10-11796F544100}" name="FORNECEDOR" dataDxfId="787" totalsRowDxfId="786"/>
    <tableColumn id="10" xr3:uid="{EC9B80A3-D1EA-4C4B-8358-0206ECFF54CA}" name="DESCRIÇÃO" dataDxfId="785" totalsRowDxfId="784"/>
    <tableColumn id="11" xr3:uid="{0A9C965A-3256-403A-BEEC-4A1C9C0EF4F6}" name="PARC" dataDxfId="783" totalsRowDxfId="782"/>
    <tableColumn id="12" xr3:uid="{9E631B9F-B95F-48EA-BEF6-F091CBA80C81}" name="EMISSÃO" dataDxfId="781" totalsRowDxfId="780"/>
    <tableColumn id="13" xr3:uid="{16BE3F6E-035C-4B59-B390-22A921829499}" name="VENC." dataDxfId="779" totalsRowDxfId="778"/>
    <tableColumn id="14" xr3:uid="{8C459FC7-D152-4ECC-AEFF-CBD9547DF108}" name="PAGAMENTO" dataDxfId="777" totalsRowDxfId="776"/>
    <tableColumn id="23" xr3:uid="{7CC4D194-1AB4-43DD-B1F2-B83B313019AE}" name="STATUS" dataDxfId="775" totalsRowDxfId="774"/>
    <tableColumn id="15" xr3:uid="{BAD674AA-EB42-4306-9E48-D77E57D19478}" name="PRINCIPAL" totalsRowFunction="sum" dataDxfId="773" totalsRowDxfId="772"/>
    <tableColumn id="20" xr3:uid="{D2900C0C-2A8D-4736-BBD8-57CA5D829846}" name="MULTA" totalsRowFunction="sum" dataDxfId="771" totalsRowDxfId="770"/>
    <tableColumn id="17" xr3:uid="{93A6185F-6A59-42DC-91D8-86B2FB265396}" name="JUROS" totalsRowFunction="sum" dataDxfId="769" totalsRowDxfId="768"/>
    <tableColumn id="16" xr3:uid="{BE01FC48-F631-4799-A88E-A5B27CFB9B55}" name="TOTAL" totalsRowFunction="sum" dataDxfId="767" totalsRowDxfId="766">
      <calculatedColumnFormula>SUM(mFEV17[[#This Row],[PRINCIPAL]:[JUROS]])</calculatedColumnFormula>
    </tableColumn>
  </tableColumns>
  <tableStyleInfo name="TableStyleMedium20" showFirstColumn="0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mJAN" displayName="mJAN" ref="B6:T383" totalsRowCount="1" headerRowDxfId="765" dataDxfId="764" totalsRowDxfId="762" tableBorderDxfId="763">
  <autoFilter ref="B6:T382" xr:uid="{00000000-0009-0000-0100-000002000000}"/>
  <tableColumns count="19">
    <tableColumn id="1" xr3:uid="{00000000-0010-0000-0500-000001000000}" name="COMPETÊNCIA" totalsRowLabel="Total" dataDxfId="761" totalsRowDxfId="760">
      <calculatedColumnFormula>CONCATENATE('TA Gerencial'!H2,'TA Gerencial'!H4,'TA Gerencial'!H3)</calculatedColumnFormula>
    </tableColumn>
    <tableColumn id="2" xr3:uid="{00000000-0010-0000-0500-000002000000}" name="CONTA" dataDxfId="759" totalsRowDxfId="758">
      <calculatedColumnFormula>VLOOKUP(mJAN[[#This Row],[CÓDIGO CONTABIL]],Contas_Gerencial[#All],3,FALSE)</calculatedColumnFormula>
    </tableColumn>
    <tableColumn id="3" xr3:uid="{00000000-0010-0000-0500-000003000000}" name="CÓDIGO CONTABIL" dataDxfId="757" totalsRowDxfId="756">
      <calculatedColumnFormula>VLOOKUP(mJAN[[#This Row],[DESCRIÇÃO CONTABIL]],Contas_Gerencial[[#All],[DESCRIÇÃO DA CONTA - NÃO UTILIZAR]:[Código2]],2,FALSE)</calculatedColumnFormula>
    </tableColumn>
    <tableColumn id="4" xr3:uid="{00000000-0010-0000-0500-000004000000}" name="DESCRIÇÃO CONTABIL" dataDxfId="755" totalsRowDxfId="754"/>
    <tableColumn id="18" xr3:uid="{00000000-0010-0000-0500-000012000000}" name="EMPRESA" dataDxfId="753" totalsRowDxfId="752"/>
    <tableColumn id="19" xr3:uid="{00000000-0010-0000-0500-000013000000}" name="CLIENTE" dataDxfId="751" totalsRowDxfId="750"/>
    <tableColumn id="7" xr3:uid="{00000000-0010-0000-0500-000007000000}" name="TIPO DE DOCUMENTO" dataDxfId="749" totalsRowDxfId="748"/>
    <tableColumn id="8" xr3:uid="{00000000-0010-0000-0500-000008000000}" name="Nº" dataDxfId="747" totalsRowDxfId="746"/>
    <tableColumn id="9" xr3:uid="{00000000-0010-0000-0500-000009000000}" name="FORNECEDOR" dataDxfId="745" totalsRowDxfId="744"/>
    <tableColumn id="10" xr3:uid="{00000000-0010-0000-0500-00000A000000}" name="DESCRIÇÃO" dataDxfId="743" totalsRowDxfId="742"/>
    <tableColumn id="11" xr3:uid="{00000000-0010-0000-0500-00000B000000}" name="PARC" dataDxfId="741" totalsRowDxfId="740"/>
    <tableColumn id="12" xr3:uid="{00000000-0010-0000-0500-00000C000000}" name="EMISSÃO" dataDxfId="739" totalsRowDxfId="738"/>
    <tableColumn id="13" xr3:uid="{00000000-0010-0000-0500-00000D000000}" name="VENC." dataDxfId="737" totalsRowDxfId="736"/>
    <tableColumn id="14" xr3:uid="{00000000-0010-0000-0500-00000E000000}" name="PAGAMENTO" dataDxfId="735" totalsRowDxfId="734"/>
    <tableColumn id="23" xr3:uid="{00000000-0010-0000-0500-000017000000}" name="STATUS" totalsRowLabel=" " dataDxfId="733" totalsRowDxfId="732"/>
    <tableColumn id="15" xr3:uid="{00000000-0010-0000-0500-00000F000000}" name="PRINCIPAL" totalsRowFunction="sum" dataDxfId="731" totalsRowDxfId="730"/>
    <tableColumn id="20" xr3:uid="{00000000-0010-0000-0500-000014000000}" name="MULTA" totalsRowFunction="sum" dataDxfId="729" totalsRowDxfId="728"/>
    <tableColumn id="17" xr3:uid="{00000000-0010-0000-0500-000011000000}" name="JUROS" totalsRowFunction="sum" dataDxfId="727" totalsRowDxfId="726"/>
    <tableColumn id="16" xr3:uid="{00000000-0010-0000-0500-000010000000}" name="TOTAL" totalsRowFunction="sum" dataDxfId="725" totalsRowDxfId="724">
      <calculatedColumnFormula>SUM(mJAN[[#This Row],[PRINCIPAL]:[JUROS]])</calculatedColumnFormula>
    </tableColumn>
  </tableColumns>
  <tableStyleInfo name="TableStyleMedium20" showFirstColumn="0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mFEV" displayName="mFEV" ref="B6:T362" totalsRowCount="1" headerRowDxfId="723" dataDxfId="722" totalsRowDxfId="720" tableBorderDxfId="721">
  <autoFilter ref="B6:T361" xr:uid="{00000000-000C-0000-FFFF-FFFF06000000}"/>
  <tableColumns count="19">
    <tableColumn id="1" xr3:uid="{00000000-0010-0000-0600-000001000000}" name="COMPETÊNCIA" totalsRowLabel="Total" dataDxfId="719" totalsRowDxfId="718">
      <calculatedColumnFormula>CONCATENATE('TA Gerencial'!I2,'TA Gerencial'!H4,'TA Gerencial'!H3)</calculatedColumnFormula>
    </tableColumn>
    <tableColumn id="2" xr3:uid="{00000000-0010-0000-0600-000002000000}" name="CONTA" dataDxfId="717" totalsRowDxfId="716">
      <calculatedColumnFormula>VLOOKUP(mFEV[[#This Row],[CÓDIGO CONTABIL]],Contas_Gerencial[#All],3,FALSE)</calculatedColumnFormula>
    </tableColumn>
    <tableColumn id="3" xr3:uid="{00000000-0010-0000-0600-000003000000}" name="CÓDIGO CONTABIL" dataDxfId="715" totalsRowDxfId="714">
      <calculatedColumnFormula>VLOOKUP(mFEV[[#This Row],[DESCRIÇÃO CONTABIL]],Contas_Gerencial[[#All],[DESCRIÇÃO DA CONTA - NÃO UTILIZAR]:[Código2]],2,FALSE)</calculatedColumnFormula>
    </tableColumn>
    <tableColumn id="4" xr3:uid="{00000000-0010-0000-0600-000004000000}" name="DESCRIÇÃO CONTABIL" dataDxfId="713" totalsRowDxfId="712"/>
    <tableColumn id="18" xr3:uid="{00000000-0010-0000-0600-000012000000}" name="EMPRESA" dataDxfId="711" totalsRowDxfId="710"/>
    <tableColumn id="19" xr3:uid="{00000000-0010-0000-0600-000013000000}" name="CLIENTE" dataDxfId="709" totalsRowDxfId="708"/>
    <tableColumn id="7" xr3:uid="{00000000-0010-0000-0600-000007000000}" name="TIPO DE DOCUMENTO" dataDxfId="707" totalsRowDxfId="706"/>
    <tableColumn id="8" xr3:uid="{00000000-0010-0000-0600-000008000000}" name="Nº" dataDxfId="705" totalsRowDxfId="704"/>
    <tableColumn id="9" xr3:uid="{00000000-0010-0000-0600-000009000000}" name="FORNECEDOR" dataDxfId="703" totalsRowDxfId="702"/>
    <tableColumn id="10" xr3:uid="{00000000-0010-0000-0600-00000A000000}" name="DESCRIÇÃO" dataDxfId="701" totalsRowDxfId="700"/>
    <tableColumn id="11" xr3:uid="{00000000-0010-0000-0600-00000B000000}" name="PARC" dataDxfId="699" totalsRowDxfId="698"/>
    <tableColumn id="12" xr3:uid="{00000000-0010-0000-0600-00000C000000}" name="EMISSÃO" dataDxfId="697" totalsRowDxfId="696"/>
    <tableColumn id="13" xr3:uid="{00000000-0010-0000-0600-00000D000000}" name="VENC." dataDxfId="695" totalsRowDxfId="694"/>
    <tableColumn id="14" xr3:uid="{00000000-0010-0000-0600-00000E000000}" name="PAGAMENTO" dataDxfId="693" totalsRowDxfId="692"/>
    <tableColumn id="23" xr3:uid="{00000000-0010-0000-0600-000017000000}" name="STATUS" dataDxfId="691" totalsRowDxfId="690"/>
    <tableColumn id="15" xr3:uid="{00000000-0010-0000-0600-00000F000000}" name="PRINCIPAL" totalsRowFunction="sum" dataDxfId="689" totalsRowDxfId="688"/>
    <tableColumn id="20" xr3:uid="{00000000-0010-0000-0600-000014000000}" name="MULTA" totalsRowFunction="sum" dataDxfId="687" totalsRowDxfId="686"/>
    <tableColumn id="17" xr3:uid="{00000000-0010-0000-0600-000011000000}" name="JUROS" totalsRowFunction="sum" dataDxfId="685" totalsRowDxfId="684"/>
    <tableColumn id="16" xr3:uid="{00000000-0010-0000-0600-000010000000}" name="TOTAL" totalsRowFunction="sum" dataDxfId="683" totalsRowDxfId="682">
      <calculatedColumnFormula>SUM(mFEV[[#This Row],[PRINCIPAL]:[JUROS]])</calculatedColumnFormula>
    </tableColumn>
  </tableColumns>
  <tableStyleInfo name="TableStyleMedium20" showFirstColumn="0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mMAR" displayName="mMAR" ref="B6:T295" totalsRowCount="1" headerRowDxfId="960" dataDxfId="959" totalsRowDxfId="957" tableBorderDxfId="958">
  <autoFilter ref="B6:T294" xr:uid="{00000000-0009-0000-0100-000007000000}"/>
  <tableColumns count="19">
    <tableColumn id="1" xr3:uid="{00000000-0010-0000-0700-000001000000}" name="COMPETÊNCIA" totalsRowLabel="Total" dataDxfId="956" totalsRowDxfId="18">
      <calculatedColumnFormula>CONCATENATE('TA Gerencial'!J2,'TA Gerencial'!H4,'TA Gerencial'!H3)</calculatedColumnFormula>
    </tableColumn>
    <tableColumn id="2" xr3:uid="{00000000-0010-0000-0700-000002000000}" name="CONTA" totalsRowFunction="count" dataDxfId="955" totalsRowDxfId="17">
      <calculatedColumnFormula>VLOOKUP(mMAR[[#This Row],[CÓDIGO CONTABIL]],Contas_Gerencial[#All],3,FALSE)</calculatedColumnFormula>
    </tableColumn>
    <tableColumn id="3" xr3:uid="{00000000-0010-0000-0700-000003000000}" name="CÓDIGO CONTABIL" dataDxfId="954" totalsRowDxfId="16">
      <calculatedColumnFormula>VLOOKUP(mMAR[[#This Row],[DESCRIÇÃO CONTABIL]],Contas_Gerencial[[#All],[DESCRIÇÃO DA CONTA - NÃO UTILIZAR]:[Código2]],2,FALSE)</calculatedColumnFormula>
    </tableColumn>
    <tableColumn id="4" xr3:uid="{00000000-0010-0000-0700-000004000000}" name="DESCRIÇÃO CONTABIL" totalsRowFunction="count" dataDxfId="953" totalsRowDxfId="15"/>
    <tableColumn id="18" xr3:uid="{00000000-0010-0000-0700-000012000000}" name="EMPRESA" totalsRowFunction="count" dataDxfId="952" totalsRowDxfId="14"/>
    <tableColumn id="19" xr3:uid="{00000000-0010-0000-0700-000013000000}" name="CLIENTE" totalsRowFunction="count" dataDxfId="951" totalsRowDxfId="13"/>
    <tableColumn id="7" xr3:uid="{00000000-0010-0000-0700-000007000000}" name="TIPO DE DOCUMENTO" dataDxfId="950" totalsRowDxfId="12"/>
    <tableColumn id="8" xr3:uid="{00000000-0010-0000-0700-000008000000}" name="Nº" dataDxfId="949" totalsRowDxfId="11"/>
    <tableColumn id="9" xr3:uid="{00000000-0010-0000-0700-000009000000}" name="FORNECEDOR" dataDxfId="948" totalsRowDxfId="10"/>
    <tableColumn id="10" xr3:uid="{00000000-0010-0000-0700-00000A000000}" name="DESCRIÇÃO" dataDxfId="947" totalsRowDxfId="9"/>
    <tableColumn id="11" xr3:uid="{00000000-0010-0000-0700-00000B000000}" name="PARC" dataDxfId="946" totalsRowDxfId="8"/>
    <tableColumn id="12" xr3:uid="{00000000-0010-0000-0700-00000C000000}" name="EMISSÃO" dataDxfId="945" totalsRowDxfId="7"/>
    <tableColumn id="13" xr3:uid="{00000000-0010-0000-0700-00000D000000}" name="VENC." dataDxfId="944" totalsRowDxfId="6"/>
    <tableColumn id="14" xr3:uid="{00000000-0010-0000-0700-00000E000000}" name="PAGAMENTO" dataDxfId="943" totalsRowDxfId="5"/>
    <tableColumn id="23" xr3:uid="{00000000-0010-0000-0700-000017000000}" name="STATUS" dataDxfId="942" totalsRowDxfId="4"/>
    <tableColumn id="15" xr3:uid="{00000000-0010-0000-0700-00000F000000}" name="PRINCIPAL" totalsRowFunction="sum" dataDxfId="941" totalsRowDxfId="3"/>
    <tableColumn id="20" xr3:uid="{00000000-0010-0000-0700-000014000000}" name="MULTA" totalsRowFunction="sum" dataDxfId="940" totalsRowDxfId="2"/>
    <tableColumn id="17" xr3:uid="{00000000-0010-0000-0700-000011000000}" name="JUROS" totalsRowFunction="sum" dataDxfId="939" totalsRowDxfId="1"/>
    <tableColumn id="16" xr3:uid="{00000000-0010-0000-0700-000010000000}" name="TOTAL" totalsRowFunction="sum" dataDxfId="938" totalsRowDxfId="0">
      <calculatedColumnFormula>SUM(mMAR[[#This Row],[PRINCIPAL]:[JUROS]])</calculatedColumnFormula>
    </tableColumn>
  </tableColumns>
  <tableStyleInfo name="TableStyleMedium20" showFirstColumn="0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mABR" displayName="mABR" ref="B6:T21" totalsRowCount="1" headerRowDxfId="681" dataDxfId="680" totalsRowDxfId="678" tableBorderDxfId="679">
  <autoFilter ref="B6:T20" xr:uid="{00000000-0009-0000-0100-000008000000}"/>
  <tableColumns count="19">
    <tableColumn id="1" xr3:uid="{00000000-0010-0000-0800-000001000000}" name="COMPETÊNCIA" totalsRowLabel="Total" dataDxfId="677" totalsRowDxfId="676">
      <calculatedColumnFormula>CONCATENATE('TA Gerencial'!K2,'TA Gerencial'!H4,'TA Gerencial'!H3)</calculatedColumnFormula>
    </tableColumn>
    <tableColumn id="2" xr3:uid="{00000000-0010-0000-0800-000002000000}" name="CONTA" dataDxfId="675" totalsRowDxfId="674">
      <calculatedColumnFormula>VLOOKUP(mABR[[#This Row],[CÓDIGO CONTABIL]],Contas_Gerencial[#All],3,FALSE)</calculatedColumnFormula>
    </tableColumn>
    <tableColumn id="3" xr3:uid="{00000000-0010-0000-0800-000003000000}" name="CÓDIGO CONTABIL" dataDxfId="673" totalsRowDxfId="672">
      <calculatedColumnFormula>VLOOKUP(mABR[[#This Row],[DESCRIÇÃO CONTABIL]],Contas_Gerencial[[#All],[DESCRIÇÃO DA CONTA - NÃO UTILIZAR]:[Código2]],2,FALSE)</calculatedColumnFormula>
    </tableColumn>
    <tableColumn id="4" xr3:uid="{00000000-0010-0000-0800-000004000000}" name="DESCRIÇÃO CONTABIL" dataDxfId="671" totalsRowDxfId="670"/>
    <tableColumn id="18" xr3:uid="{00000000-0010-0000-0800-000012000000}" name="EMPRESA" dataDxfId="669" totalsRowDxfId="668"/>
    <tableColumn id="19" xr3:uid="{00000000-0010-0000-0800-000013000000}" name="CLIENTE" dataDxfId="667" totalsRowDxfId="666"/>
    <tableColumn id="7" xr3:uid="{00000000-0010-0000-0800-000007000000}" name="TIPO DE DOCUMENTO" dataDxfId="665" totalsRowDxfId="664"/>
    <tableColumn id="8" xr3:uid="{00000000-0010-0000-0800-000008000000}" name="Nº" dataDxfId="663" totalsRowDxfId="662"/>
    <tableColumn id="9" xr3:uid="{00000000-0010-0000-0800-000009000000}" name="FORNECEDOR" dataDxfId="661" totalsRowDxfId="660"/>
    <tableColumn id="10" xr3:uid="{00000000-0010-0000-0800-00000A000000}" name="DESCRIÇÃO" dataDxfId="659" totalsRowDxfId="658"/>
    <tableColumn id="11" xr3:uid="{00000000-0010-0000-0800-00000B000000}" name="PARC" dataDxfId="657" totalsRowDxfId="656"/>
    <tableColumn id="12" xr3:uid="{00000000-0010-0000-0800-00000C000000}" name="EMISSÃO" dataDxfId="655" totalsRowDxfId="654"/>
    <tableColumn id="13" xr3:uid="{00000000-0010-0000-0800-00000D000000}" name="VENC." dataDxfId="653" totalsRowDxfId="652"/>
    <tableColumn id="14" xr3:uid="{00000000-0010-0000-0800-00000E000000}" name="PAGAMENTO" dataDxfId="651" totalsRowDxfId="650"/>
    <tableColumn id="23" xr3:uid="{00000000-0010-0000-0800-000017000000}" name="STATUS" dataDxfId="649" totalsRowDxfId="648"/>
    <tableColumn id="15" xr3:uid="{00000000-0010-0000-0800-00000F000000}" name="PRINCIPAL" totalsRowFunction="sum" dataDxfId="647" totalsRowDxfId="646"/>
    <tableColumn id="20" xr3:uid="{00000000-0010-0000-0800-000014000000}" name="MULTA" totalsRowFunction="sum" dataDxfId="645" totalsRowDxfId="644"/>
    <tableColumn id="17" xr3:uid="{00000000-0010-0000-0800-000011000000}" name="JUROS" totalsRowFunction="sum" dataDxfId="643" totalsRowDxfId="642"/>
    <tableColumn id="16" xr3:uid="{00000000-0010-0000-0800-000010000000}" name="TOTAL" totalsRowFunction="sum" dataDxfId="641" totalsRowDxfId="640">
      <calculatedColumnFormula>SUM(mABR[[#This Row],[PRINCIPAL]:[JUROS]])</calculatedColumnFormula>
    </tableColumn>
  </tableColumns>
  <tableStyleInfo name="TableStyleMedium20" showFirstColumn="0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mMAI" displayName="mMAI" ref="B6:T21" totalsRowCount="1" headerRowDxfId="639" dataDxfId="638" totalsRowDxfId="636" tableBorderDxfId="637">
  <autoFilter ref="B6:T20" xr:uid="{00000000-0009-0000-0100-000009000000}"/>
  <tableColumns count="19">
    <tableColumn id="1" xr3:uid="{00000000-0010-0000-0900-000001000000}" name="COMPETÊNCIA" totalsRowLabel="Total" dataDxfId="635" totalsRowDxfId="634">
      <calculatedColumnFormula>CONCATENATE('TA Gerencial'!L2,'TA Gerencial'!H4,'TA Gerencial'!H3)</calculatedColumnFormula>
    </tableColumn>
    <tableColumn id="2" xr3:uid="{00000000-0010-0000-0900-000002000000}" name="CONTA" dataDxfId="633" totalsRowDxfId="632">
      <calculatedColumnFormula>VLOOKUP(mMAI[[#This Row],[CÓDIGO CONTABIL]],Contas_Gerencial[#All],3,FALSE)</calculatedColumnFormula>
    </tableColumn>
    <tableColumn id="3" xr3:uid="{00000000-0010-0000-0900-000003000000}" name="CÓDIGO CONTABIL" dataDxfId="631" totalsRowDxfId="630">
      <calculatedColumnFormula>VLOOKUP(mMAI[[#This Row],[DESCRIÇÃO CONTABIL]],Contas_Gerencial[[#All],[DESCRIÇÃO DA CONTA - NÃO UTILIZAR]:[Código2]],2,FALSE)</calculatedColumnFormula>
    </tableColumn>
    <tableColumn id="4" xr3:uid="{00000000-0010-0000-0900-000004000000}" name="DESCRIÇÃO CONTABIL" totalsRowFunction="count" dataDxfId="629" totalsRowDxfId="628"/>
    <tableColumn id="18" xr3:uid="{00000000-0010-0000-0900-000012000000}" name="EMPRESA" dataDxfId="627" totalsRowDxfId="626"/>
    <tableColumn id="19" xr3:uid="{00000000-0010-0000-0900-000013000000}" name="CLIENTE" dataDxfId="625" totalsRowDxfId="624"/>
    <tableColumn id="7" xr3:uid="{00000000-0010-0000-0900-000007000000}" name="TIPO DE DOCUMENTO" dataDxfId="623" totalsRowDxfId="622"/>
    <tableColumn id="8" xr3:uid="{00000000-0010-0000-0900-000008000000}" name="Nº" dataDxfId="621" totalsRowDxfId="620"/>
    <tableColumn id="9" xr3:uid="{00000000-0010-0000-0900-000009000000}" name="FORNECEDOR" dataDxfId="619" totalsRowDxfId="618"/>
    <tableColumn id="10" xr3:uid="{00000000-0010-0000-0900-00000A000000}" name="DESCRIÇÃO" dataDxfId="617" totalsRowDxfId="616"/>
    <tableColumn id="11" xr3:uid="{00000000-0010-0000-0900-00000B000000}" name="PARC" dataDxfId="615" totalsRowDxfId="614"/>
    <tableColumn id="12" xr3:uid="{00000000-0010-0000-0900-00000C000000}" name="EMISSÃO" dataDxfId="613" totalsRowDxfId="612"/>
    <tableColumn id="13" xr3:uid="{00000000-0010-0000-0900-00000D000000}" name="VENC." dataDxfId="611" totalsRowDxfId="610"/>
    <tableColumn id="14" xr3:uid="{00000000-0010-0000-0900-00000E000000}" name="PAGAMENTO" dataDxfId="609" totalsRowDxfId="608"/>
    <tableColumn id="23" xr3:uid="{00000000-0010-0000-0900-000017000000}" name="STATUS" dataDxfId="607" totalsRowDxfId="606"/>
    <tableColumn id="15" xr3:uid="{00000000-0010-0000-0900-00000F000000}" name="PRINCIPAL" totalsRowFunction="sum" dataDxfId="605" totalsRowDxfId="604"/>
    <tableColumn id="20" xr3:uid="{00000000-0010-0000-0900-000014000000}" name="MULTA" totalsRowFunction="sum" dataDxfId="603" totalsRowDxfId="602"/>
    <tableColumn id="17" xr3:uid="{00000000-0010-0000-0900-000011000000}" name="JUROS" totalsRowFunction="sum" dataDxfId="601" totalsRowDxfId="600"/>
    <tableColumn id="16" xr3:uid="{00000000-0010-0000-0900-000010000000}" name="TOTAL" totalsRowFunction="sum" dataDxfId="599" totalsRowDxfId="598">
      <calculatedColumnFormula>SUM(mMAI[[#This Row],[PRINCIPAL]:[JUROS]])</calculatedColumnFormula>
    </tableColumn>
  </tableColumns>
  <tableStyleInfo name="TableStyleMedium20" showFirstColumn="0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A000000}" name="mJUN" displayName="mJUN" ref="B6:T21" totalsRowCount="1" headerRowDxfId="597" dataDxfId="596" totalsRowDxfId="594" tableBorderDxfId="595">
  <autoFilter ref="B6:T20" xr:uid="{00000000-0009-0000-0100-00001D000000}"/>
  <tableColumns count="19">
    <tableColumn id="1" xr3:uid="{00000000-0010-0000-0A00-000001000000}" name="COMPETÊNCIA" totalsRowLabel="Total" dataDxfId="593" totalsRowDxfId="592">
      <calculatedColumnFormula>CONCATENATE('TA Gerencial'!M2,'TA Gerencial'!H4,'TA Gerencial'!H3)</calculatedColumnFormula>
    </tableColumn>
    <tableColumn id="2" xr3:uid="{00000000-0010-0000-0A00-000002000000}" name="CONTA" dataDxfId="591" totalsRowDxfId="590">
      <calculatedColumnFormula>VLOOKUP(mJUN[[#This Row],[CÓDIGO CONTABIL]],Contas_Gerencial[#All],3,FALSE)</calculatedColumnFormula>
    </tableColumn>
    <tableColumn id="3" xr3:uid="{00000000-0010-0000-0A00-000003000000}" name="CÓDIGO CONTABIL" dataDxfId="589" totalsRowDxfId="588">
      <calculatedColumnFormula>VLOOKUP(mJUN[[#This Row],[DESCRIÇÃO CONTABIL]],Contas_Gerencial[[#All],[DESCRIÇÃO DA CONTA - NÃO UTILIZAR]:[Código2]],2,FALSE)</calculatedColumnFormula>
    </tableColumn>
    <tableColumn id="4" xr3:uid="{00000000-0010-0000-0A00-000004000000}" name="DESCRIÇÃO CONTABIL" dataDxfId="587" totalsRowDxfId="586"/>
    <tableColumn id="18" xr3:uid="{00000000-0010-0000-0A00-000012000000}" name="EMPRESA" dataDxfId="585" totalsRowDxfId="584"/>
    <tableColumn id="19" xr3:uid="{00000000-0010-0000-0A00-000013000000}" name="CLIENTE" dataDxfId="583" totalsRowDxfId="582"/>
    <tableColumn id="7" xr3:uid="{00000000-0010-0000-0A00-000007000000}" name="TIPO DE DOCUMENTO" dataDxfId="581" totalsRowDxfId="580"/>
    <tableColumn id="8" xr3:uid="{00000000-0010-0000-0A00-000008000000}" name="Nº" dataDxfId="579" totalsRowDxfId="578"/>
    <tableColumn id="9" xr3:uid="{00000000-0010-0000-0A00-000009000000}" name="FORNECEDOR" dataDxfId="577" totalsRowDxfId="576"/>
    <tableColumn id="10" xr3:uid="{00000000-0010-0000-0A00-00000A000000}" name="DESCRIÇÃO" dataDxfId="575" totalsRowDxfId="574"/>
    <tableColumn id="11" xr3:uid="{00000000-0010-0000-0A00-00000B000000}" name="PARC" dataDxfId="573" totalsRowDxfId="572"/>
    <tableColumn id="12" xr3:uid="{00000000-0010-0000-0A00-00000C000000}" name="EMISSÃO" dataDxfId="571" totalsRowDxfId="570"/>
    <tableColumn id="13" xr3:uid="{00000000-0010-0000-0A00-00000D000000}" name="VENC." dataDxfId="569" totalsRowDxfId="568"/>
    <tableColumn id="14" xr3:uid="{00000000-0010-0000-0A00-00000E000000}" name="PAGAMENTO" dataDxfId="567" totalsRowDxfId="566"/>
    <tableColumn id="23" xr3:uid="{00000000-0010-0000-0A00-000017000000}" name="STATUS" dataDxfId="565" totalsRowDxfId="564"/>
    <tableColumn id="15" xr3:uid="{00000000-0010-0000-0A00-00000F000000}" name="PRINCIPAL" totalsRowFunction="sum" dataDxfId="563" totalsRowDxfId="562"/>
    <tableColumn id="20" xr3:uid="{00000000-0010-0000-0A00-000014000000}" name="MULTA" totalsRowFunction="sum" dataDxfId="561" totalsRowDxfId="560"/>
    <tableColumn id="17" xr3:uid="{00000000-0010-0000-0A00-000011000000}" name="JUROS" totalsRowFunction="sum" dataDxfId="559" totalsRowDxfId="558"/>
    <tableColumn id="16" xr3:uid="{00000000-0010-0000-0A00-000010000000}" name="TOTAL" totalsRowFunction="sum" dataDxfId="557" totalsRowDxfId="556">
      <calculatedColumnFormula>SUM(mJUN[[#This Row],[PRINCIPAL]:[JUROS]])</calculatedColumnFormula>
    </tableColumn>
  </tableColumns>
  <tableStyleInfo name="TableStyleMedium20" showFirstColumn="0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mJUL" displayName="mJUL" ref="B6:T21" totalsRowCount="1" headerRowDxfId="555" dataDxfId="554" totalsRowDxfId="552" tableBorderDxfId="553">
  <autoFilter ref="B6:T20" xr:uid="{00000000-0009-0000-0100-00000A000000}"/>
  <tableColumns count="19">
    <tableColumn id="1" xr3:uid="{00000000-0010-0000-0B00-000001000000}" name="COMPETÊNCIA" totalsRowLabel="Total" dataDxfId="551" totalsRowDxfId="550">
      <calculatedColumnFormula>CONCATENATE('TA Gerencial'!N2,'TA Gerencial'!H4,'TA Gerencial'!H3)</calculatedColumnFormula>
    </tableColumn>
    <tableColumn id="2" xr3:uid="{00000000-0010-0000-0B00-000002000000}" name="CONTA" totalsRowFunction="count" dataDxfId="549" totalsRowDxfId="548">
      <calculatedColumnFormula>VLOOKUP(mJUL[[#This Row],[CÓDIGO CONTABIL]],Contas_Gerencial[#All],3,FALSE)</calculatedColumnFormula>
    </tableColumn>
    <tableColumn id="3" xr3:uid="{00000000-0010-0000-0B00-000003000000}" name="CÓDIGO CONTABIL" totalsRowFunction="count" dataDxfId="547" totalsRowDxfId="546">
      <calculatedColumnFormula>VLOOKUP(mJUL[[#This Row],[DESCRIÇÃO CONTABIL]],Contas_Gerencial[[#All],[DESCRIÇÃO DA CONTA - NÃO UTILIZAR]:[Código2]],2,FALSE)</calculatedColumnFormula>
    </tableColumn>
    <tableColumn id="4" xr3:uid="{00000000-0010-0000-0B00-000004000000}" name="DESCRIÇÃO CONTABIL" totalsRowFunction="count" dataDxfId="545" totalsRowDxfId="544"/>
    <tableColumn id="18" xr3:uid="{00000000-0010-0000-0B00-000012000000}" name="EMPRESA" totalsRowFunction="count" dataDxfId="543" totalsRowDxfId="542"/>
    <tableColumn id="19" xr3:uid="{00000000-0010-0000-0B00-000013000000}" name="CLIENTE" totalsRowFunction="count" dataDxfId="541" totalsRowDxfId="540"/>
    <tableColumn id="7" xr3:uid="{00000000-0010-0000-0B00-000007000000}" name="TIPO DE DOCUMENTO" totalsRowFunction="count" dataDxfId="539" totalsRowDxfId="538"/>
    <tableColumn id="8" xr3:uid="{00000000-0010-0000-0B00-000008000000}" name="Nº" totalsRowFunction="count" dataDxfId="537" totalsRowDxfId="536"/>
    <tableColumn id="9" xr3:uid="{00000000-0010-0000-0B00-000009000000}" name="FORNECEDOR" totalsRowFunction="count" dataDxfId="535" totalsRowDxfId="534"/>
    <tableColumn id="10" xr3:uid="{00000000-0010-0000-0B00-00000A000000}" name="DESCRIÇÃO" totalsRowFunction="count" dataDxfId="533" totalsRowDxfId="532"/>
    <tableColumn id="11" xr3:uid="{00000000-0010-0000-0B00-00000B000000}" name="PARC" totalsRowFunction="count" dataDxfId="531" totalsRowDxfId="530"/>
    <tableColumn id="12" xr3:uid="{00000000-0010-0000-0B00-00000C000000}" name="EMISSÃO" totalsRowFunction="count" dataDxfId="529" totalsRowDxfId="528"/>
    <tableColumn id="13" xr3:uid="{00000000-0010-0000-0B00-00000D000000}" name="VENC." totalsRowFunction="count" dataDxfId="527" totalsRowDxfId="526"/>
    <tableColumn id="14" xr3:uid="{00000000-0010-0000-0B00-00000E000000}" name="PAGAMENTO" totalsRowFunction="count" dataDxfId="525" totalsRowDxfId="524"/>
    <tableColumn id="23" xr3:uid="{00000000-0010-0000-0B00-000017000000}" name="STATUS" totalsRowFunction="count" dataDxfId="523" totalsRowDxfId="522"/>
    <tableColumn id="15" xr3:uid="{00000000-0010-0000-0B00-00000F000000}" name="PRINCIPAL" totalsRowFunction="sum" dataDxfId="521" totalsRowDxfId="520"/>
    <tableColumn id="20" xr3:uid="{00000000-0010-0000-0B00-000014000000}" name="MULTA" totalsRowFunction="sum" dataDxfId="519" totalsRowDxfId="518"/>
    <tableColumn id="17" xr3:uid="{00000000-0010-0000-0B00-000011000000}" name="JUROS" totalsRowFunction="sum" dataDxfId="517" totalsRowDxfId="516"/>
    <tableColumn id="16" xr3:uid="{00000000-0010-0000-0B00-000010000000}" name="TOTAL" totalsRowFunction="sum" dataDxfId="515" totalsRowDxfId="514">
      <calculatedColumnFormula>SUM(mJUL[[#This Row],[PRINCIPAL]:[JUROS]])</calculatedColumnFormula>
    </tableColumn>
  </tableColumns>
  <tableStyleInfo name="TableStyleMedium20" showFirstColumn="0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C000000}" name="mAGO" displayName="mAGO" ref="B6:T21" totalsRowCount="1" headerRowDxfId="513" dataDxfId="512" totalsRowDxfId="510" tableBorderDxfId="511">
  <autoFilter ref="B6:T20" xr:uid="{00000000-0009-0000-0100-00000B000000}"/>
  <tableColumns count="19">
    <tableColumn id="1" xr3:uid="{00000000-0010-0000-0C00-000001000000}" name="COMPETÊNCIA" totalsRowLabel="Total" dataDxfId="509" totalsRowDxfId="508">
      <calculatedColumnFormula>CONCATENATE('TA Gerencial'!O2,'TA Gerencial'!H4,'TA Gerencial'!H3)</calculatedColumnFormula>
    </tableColumn>
    <tableColumn id="2" xr3:uid="{00000000-0010-0000-0C00-000002000000}" name="CONTA" dataDxfId="507" totalsRowDxfId="506">
      <calculatedColumnFormula>VLOOKUP(mAGO[[#This Row],[CÓDIGO CONTABIL]],Contas_Gerencial[#All],3,FALSE)</calculatedColumnFormula>
    </tableColumn>
    <tableColumn id="3" xr3:uid="{00000000-0010-0000-0C00-000003000000}" name="CÓDIGO CONTABIL" dataDxfId="505" totalsRowDxfId="504">
      <calculatedColumnFormula>VLOOKUP(mAGO[[#This Row],[DESCRIÇÃO CONTABIL]],Contas_Gerencial[[#All],[DESCRIÇÃO DA CONTA - NÃO UTILIZAR]:[Código2]],2,FALSE)</calculatedColumnFormula>
    </tableColumn>
    <tableColumn id="4" xr3:uid="{00000000-0010-0000-0C00-000004000000}" name="DESCRIÇÃO CONTABIL" dataDxfId="503" totalsRowDxfId="502"/>
    <tableColumn id="18" xr3:uid="{00000000-0010-0000-0C00-000012000000}" name="EMPRESA" dataDxfId="501" totalsRowDxfId="500"/>
    <tableColumn id="19" xr3:uid="{00000000-0010-0000-0C00-000013000000}" name="CLIENTE" dataDxfId="499" totalsRowDxfId="498"/>
    <tableColumn id="7" xr3:uid="{00000000-0010-0000-0C00-000007000000}" name="TIPO DE DOCUMENTO" dataDxfId="497" totalsRowDxfId="496"/>
    <tableColumn id="8" xr3:uid="{00000000-0010-0000-0C00-000008000000}" name="Nº" dataDxfId="495" totalsRowDxfId="494"/>
    <tableColumn id="9" xr3:uid="{00000000-0010-0000-0C00-000009000000}" name="FORNECEDOR" dataDxfId="493" totalsRowDxfId="492"/>
    <tableColumn id="10" xr3:uid="{00000000-0010-0000-0C00-00000A000000}" name="DESCRIÇÃO" dataDxfId="491" totalsRowDxfId="490"/>
    <tableColumn id="11" xr3:uid="{00000000-0010-0000-0C00-00000B000000}" name="PARC" dataDxfId="489" totalsRowDxfId="488"/>
    <tableColumn id="12" xr3:uid="{00000000-0010-0000-0C00-00000C000000}" name="EMISSÃO" dataDxfId="487" totalsRowDxfId="486"/>
    <tableColumn id="13" xr3:uid="{00000000-0010-0000-0C00-00000D000000}" name="VENC." dataDxfId="485" totalsRowDxfId="484"/>
    <tableColumn id="14" xr3:uid="{00000000-0010-0000-0C00-00000E000000}" name="PAGAMENTO" dataDxfId="483" totalsRowDxfId="482"/>
    <tableColumn id="23" xr3:uid="{00000000-0010-0000-0C00-000017000000}" name="STATUS" dataDxfId="481" totalsRowDxfId="480"/>
    <tableColumn id="15" xr3:uid="{00000000-0010-0000-0C00-00000F000000}" name="PRINCIPAL" totalsRowFunction="sum" dataDxfId="479" totalsRowDxfId="478"/>
    <tableColumn id="20" xr3:uid="{00000000-0010-0000-0C00-000014000000}" name="MULTA" totalsRowFunction="sum" dataDxfId="477" totalsRowDxfId="476"/>
    <tableColumn id="17" xr3:uid="{00000000-0010-0000-0C00-000011000000}" name="JUROS" totalsRowFunction="sum" dataDxfId="475" totalsRowDxfId="474"/>
    <tableColumn id="16" xr3:uid="{00000000-0010-0000-0C00-000010000000}" name="TOTAL" totalsRowFunction="sum" dataDxfId="473" totalsRowDxfId="472">
      <calculatedColumnFormula>SUM(mAGO[[#This Row],[PRINCIPAL]:[JUROS]])</calculatedColumnFormula>
    </tableColumn>
  </tableColumns>
  <tableStyleInfo name="TableStyleMedium20" showFirstColumn="0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mSET" displayName="mSET" ref="B6:T21" totalsRowCount="1" headerRowDxfId="471" dataDxfId="470" totalsRowDxfId="468" tableBorderDxfId="469">
  <autoFilter ref="B6:T20" xr:uid="{00000000-0009-0000-0100-00000C000000}"/>
  <tableColumns count="19">
    <tableColumn id="1" xr3:uid="{00000000-0010-0000-0D00-000001000000}" name="COMPETÊNCIA" totalsRowLabel="Total" dataDxfId="467" totalsRowDxfId="466">
      <calculatedColumnFormula>CONCATENATE('TA Gerencial'!P2,'TA Gerencial'!H4,'TA Gerencial'!H3)</calculatedColumnFormula>
    </tableColumn>
    <tableColumn id="2" xr3:uid="{00000000-0010-0000-0D00-000002000000}" name="CONTA" dataDxfId="465" totalsRowDxfId="464">
      <calculatedColumnFormula>VLOOKUP(mSET[[#This Row],[CÓDIGO CONTABIL]],Contas_Gerencial[#All],3,FALSE)</calculatedColumnFormula>
    </tableColumn>
    <tableColumn id="3" xr3:uid="{00000000-0010-0000-0D00-000003000000}" name="CÓDIGO CONTABIL" dataDxfId="463" totalsRowDxfId="462">
      <calculatedColumnFormula>VLOOKUP(mSET[[#This Row],[DESCRIÇÃO CONTABIL]],Contas_Gerencial[[#All],[DESCRIÇÃO DA CONTA - NÃO UTILIZAR]:[Código2]],2,FALSE)</calculatedColumnFormula>
    </tableColumn>
    <tableColumn id="4" xr3:uid="{00000000-0010-0000-0D00-000004000000}" name="DESCRIÇÃO CONTABIL" dataDxfId="461" totalsRowDxfId="460"/>
    <tableColumn id="18" xr3:uid="{00000000-0010-0000-0D00-000012000000}" name="EMPRESA" dataDxfId="459" totalsRowDxfId="458"/>
    <tableColumn id="19" xr3:uid="{00000000-0010-0000-0D00-000013000000}" name="CLIENTE" dataDxfId="457" totalsRowDxfId="456"/>
    <tableColumn id="7" xr3:uid="{00000000-0010-0000-0D00-000007000000}" name="TIPO DE DOCUMENTO" dataDxfId="455" totalsRowDxfId="454"/>
    <tableColumn id="8" xr3:uid="{00000000-0010-0000-0D00-000008000000}" name="Nº" dataDxfId="453" totalsRowDxfId="452"/>
    <tableColumn id="9" xr3:uid="{00000000-0010-0000-0D00-000009000000}" name="FORNECEDOR" dataDxfId="451" totalsRowDxfId="450"/>
    <tableColumn id="10" xr3:uid="{00000000-0010-0000-0D00-00000A000000}" name="DESCRIÇÃO" dataDxfId="449" totalsRowDxfId="448"/>
    <tableColumn id="11" xr3:uid="{00000000-0010-0000-0D00-00000B000000}" name="PARC" dataDxfId="447" totalsRowDxfId="446"/>
    <tableColumn id="12" xr3:uid="{00000000-0010-0000-0D00-00000C000000}" name="EMISSÃO" dataDxfId="445" totalsRowDxfId="444"/>
    <tableColumn id="13" xr3:uid="{00000000-0010-0000-0D00-00000D000000}" name="VENC." dataDxfId="443" totalsRowDxfId="442"/>
    <tableColumn id="14" xr3:uid="{00000000-0010-0000-0D00-00000E000000}" name="PAGAMENTO" dataDxfId="441" totalsRowDxfId="440"/>
    <tableColumn id="23" xr3:uid="{00000000-0010-0000-0D00-000017000000}" name="STATUS" dataDxfId="439" totalsRowDxfId="438"/>
    <tableColumn id="15" xr3:uid="{00000000-0010-0000-0D00-00000F000000}" name="PRINCIPAL" totalsRowFunction="sum" dataDxfId="437" totalsRowDxfId="436"/>
    <tableColumn id="20" xr3:uid="{00000000-0010-0000-0D00-000014000000}" name="MULTA" totalsRowFunction="sum" dataDxfId="435" totalsRowDxfId="434"/>
    <tableColumn id="17" xr3:uid="{00000000-0010-0000-0D00-000011000000}" name="JUROS" totalsRowFunction="sum" dataDxfId="433" totalsRowDxfId="432"/>
    <tableColumn id="16" xr3:uid="{00000000-0010-0000-0D00-000010000000}" name="TOTAL" totalsRowFunction="sum" dataDxfId="431" totalsRowDxfId="430">
      <calculatedColumnFormula>SUM(mSET[[#This Row],[PRINCIPAL]:[JUROS]])</calculatedColumnFormula>
    </tableColumn>
  </tableColumns>
  <tableStyleInfo name="TableStyleMedium20" showFirstColumn="0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E000000}" name="mOUT" displayName="mOUT" ref="B6:T21" totalsRowCount="1" headerRowDxfId="429" dataDxfId="428" totalsRowDxfId="426" tableBorderDxfId="427">
  <autoFilter ref="B6:T20" xr:uid="{00000000-0009-0000-0100-00000D000000}"/>
  <tableColumns count="19">
    <tableColumn id="1" xr3:uid="{00000000-0010-0000-0E00-000001000000}" name="COMPETÊNCIA" totalsRowLabel="Total" dataDxfId="425" totalsRowDxfId="424">
      <calculatedColumnFormula>CONCATENATE('TA Gerencial'!Q2,'TA Gerencial'!H4,'TA Gerencial'!H3)</calculatedColumnFormula>
    </tableColumn>
    <tableColumn id="2" xr3:uid="{00000000-0010-0000-0E00-000002000000}" name="CONTA" dataDxfId="423" totalsRowDxfId="422">
      <calculatedColumnFormula>VLOOKUP(mOUT[[#This Row],[CÓDIGO CONTABIL]],Contas_Gerencial[#All],3,FALSE)</calculatedColumnFormula>
    </tableColumn>
    <tableColumn id="3" xr3:uid="{00000000-0010-0000-0E00-000003000000}" name="CÓDIGO CONTABIL" dataDxfId="421" totalsRowDxfId="420">
      <calculatedColumnFormula>VLOOKUP(mOUT[[#This Row],[DESCRIÇÃO CONTABIL]],Contas_Gerencial[[#All],[DESCRIÇÃO DA CONTA - NÃO UTILIZAR]:[Código2]],2,FALSE)</calculatedColumnFormula>
    </tableColumn>
    <tableColumn id="4" xr3:uid="{00000000-0010-0000-0E00-000004000000}" name="DESCRIÇÃO CONTABIL" dataDxfId="419" totalsRowDxfId="418"/>
    <tableColumn id="18" xr3:uid="{00000000-0010-0000-0E00-000012000000}" name="EMPRESA" dataDxfId="417" totalsRowDxfId="416"/>
    <tableColumn id="19" xr3:uid="{00000000-0010-0000-0E00-000013000000}" name="CLIENTE" dataDxfId="415" totalsRowDxfId="414"/>
    <tableColumn id="7" xr3:uid="{00000000-0010-0000-0E00-000007000000}" name="TIPO DE DOCUMENTO" dataDxfId="413" totalsRowDxfId="412"/>
    <tableColumn id="8" xr3:uid="{00000000-0010-0000-0E00-000008000000}" name="Nº" dataDxfId="411" totalsRowDxfId="410"/>
    <tableColumn id="9" xr3:uid="{00000000-0010-0000-0E00-000009000000}" name="FORNECEDOR" dataDxfId="409" totalsRowDxfId="408"/>
    <tableColumn id="10" xr3:uid="{00000000-0010-0000-0E00-00000A000000}" name="DESCRIÇÃO" dataDxfId="407" totalsRowDxfId="406"/>
    <tableColumn id="11" xr3:uid="{00000000-0010-0000-0E00-00000B000000}" name="PARC" dataDxfId="405" totalsRowDxfId="404"/>
    <tableColumn id="12" xr3:uid="{00000000-0010-0000-0E00-00000C000000}" name="EMISSÃO" dataDxfId="403" totalsRowDxfId="402"/>
    <tableColumn id="13" xr3:uid="{00000000-0010-0000-0E00-00000D000000}" name="VENC." dataDxfId="401" totalsRowDxfId="400"/>
    <tableColumn id="14" xr3:uid="{00000000-0010-0000-0E00-00000E000000}" name="PAGAMENTO" dataDxfId="399" totalsRowDxfId="398"/>
    <tableColumn id="23" xr3:uid="{00000000-0010-0000-0E00-000017000000}" name="STATUS" dataDxfId="397" totalsRowDxfId="396"/>
    <tableColumn id="15" xr3:uid="{00000000-0010-0000-0E00-00000F000000}" name="PRINCIPAL" totalsRowFunction="sum" totalsRowDxfId="395"/>
    <tableColumn id="20" xr3:uid="{00000000-0010-0000-0E00-000014000000}" name="MULTA" totalsRowFunction="sum" totalsRowDxfId="394"/>
    <tableColumn id="17" xr3:uid="{00000000-0010-0000-0E00-000011000000}" name="JUROS" totalsRowFunction="sum" totalsRowDxfId="393"/>
    <tableColumn id="16" xr3:uid="{00000000-0010-0000-0E00-000010000000}" name="TOTAL" totalsRowFunction="sum" totalsRowDxfId="392">
      <calculatedColumnFormula>SUM(mOUT[[#This Row],[PRINCIPAL]:[JUROS]])</calculatedColumnFormula>
    </tableColumn>
  </tableColumns>
  <tableStyleInfo name="TableStyleMedium20" showFirstColumn="0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F000000}" name="mNOV" displayName="mNOV" ref="B6:T21" totalsRowCount="1" headerRowDxfId="391" dataDxfId="390" totalsRowDxfId="388" tableBorderDxfId="389">
  <autoFilter ref="B6:T20" xr:uid="{00000000-0009-0000-0100-000004000000}"/>
  <tableColumns count="19">
    <tableColumn id="1" xr3:uid="{00000000-0010-0000-0F00-000001000000}" name="COMPETÊNCIA" totalsRowLabel="Total" dataDxfId="387" totalsRowDxfId="386">
      <calculatedColumnFormula>CONCATENATE('TA Gerencial'!R2,'TA Gerencial'!H4,'TA Gerencial'!H3)</calculatedColumnFormula>
    </tableColumn>
    <tableColumn id="2" xr3:uid="{00000000-0010-0000-0F00-000002000000}" name="CONTA" dataDxfId="385" totalsRowDxfId="384">
      <calculatedColumnFormula>VLOOKUP(mNOV[[#This Row],[CÓDIGO CONTABIL]],Contas_Gerencial[#All],3,FALSE)</calculatedColumnFormula>
    </tableColumn>
    <tableColumn id="3" xr3:uid="{00000000-0010-0000-0F00-000003000000}" name="CÓDIGO CONTABIL" dataDxfId="383" totalsRowDxfId="382">
      <calculatedColumnFormula>VLOOKUP(mNOV[[#This Row],[DESCRIÇÃO CONTABIL]],Contas_Gerencial[[#All],[DESCRIÇÃO DA CONTA - NÃO UTILIZAR]:[Código2]],2,FALSE)</calculatedColumnFormula>
    </tableColumn>
    <tableColumn id="4" xr3:uid="{00000000-0010-0000-0F00-000004000000}" name="DESCRIÇÃO CONTABIL" dataDxfId="381" totalsRowDxfId="380"/>
    <tableColumn id="18" xr3:uid="{00000000-0010-0000-0F00-000012000000}" name="EMPRESA" dataDxfId="379" totalsRowDxfId="378"/>
    <tableColumn id="19" xr3:uid="{00000000-0010-0000-0F00-000013000000}" name="CLIENTE" dataDxfId="377" totalsRowDxfId="376"/>
    <tableColumn id="7" xr3:uid="{00000000-0010-0000-0F00-000007000000}" name="TIPO DE DOCUMENTO" dataDxfId="375" totalsRowDxfId="374"/>
    <tableColumn id="8" xr3:uid="{00000000-0010-0000-0F00-000008000000}" name="Nº" dataDxfId="373" totalsRowDxfId="372"/>
    <tableColumn id="9" xr3:uid="{00000000-0010-0000-0F00-000009000000}" name="FORNECEDOR" dataDxfId="371" totalsRowDxfId="370"/>
    <tableColumn id="10" xr3:uid="{00000000-0010-0000-0F00-00000A000000}" name="DESCRIÇÃO" dataDxfId="369" totalsRowDxfId="368"/>
    <tableColumn id="11" xr3:uid="{00000000-0010-0000-0F00-00000B000000}" name="PARC" dataDxfId="367" totalsRowDxfId="366"/>
    <tableColumn id="12" xr3:uid="{00000000-0010-0000-0F00-00000C000000}" name="EMISSÃO" dataDxfId="365" totalsRowDxfId="364"/>
    <tableColumn id="13" xr3:uid="{00000000-0010-0000-0F00-00000D000000}" name="VENC." dataDxfId="363" totalsRowDxfId="362"/>
    <tableColumn id="14" xr3:uid="{00000000-0010-0000-0F00-00000E000000}" name="PAGAMENTO" dataDxfId="361" totalsRowDxfId="360"/>
    <tableColumn id="23" xr3:uid="{00000000-0010-0000-0F00-000017000000}" name="STATUS" dataDxfId="359" totalsRowDxfId="358"/>
    <tableColumn id="15" xr3:uid="{00000000-0010-0000-0F00-00000F000000}" name="PRINCIPAL" totalsRowFunction="sum" dataDxfId="357" totalsRowDxfId="356"/>
    <tableColumn id="20" xr3:uid="{00000000-0010-0000-0F00-000014000000}" name="MULTA" totalsRowFunction="sum" dataDxfId="355" totalsRowDxfId="354"/>
    <tableColumn id="17" xr3:uid="{00000000-0010-0000-0F00-000011000000}" name="JUROS" totalsRowFunction="sum" dataDxfId="353" totalsRowDxfId="352"/>
    <tableColumn id="16" xr3:uid="{00000000-0010-0000-0F00-000010000000}" name="TOTAL" totalsRowFunction="sum" dataDxfId="351" totalsRowDxfId="350">
      <calculatedColumnFormula>SUM(mNOV[[#This Row],[PRINCIPAL]:[JUROS]])</calculatedColumnFormula>
    </tableColumn>
  </tableColumns>
  <tableStyleInfo name="TableStyleMedium20" showFirstColumn="0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mDEZ" displayName="mDEZ" ref="B6:T21" totalsRowCount="1" headerRowDxfId="349" dataDxfId="348" totalsRowDxfId="346" tableBorderDxfId="347">
  <autoFilter ref="B6:T20" xr:uid="{00000000-0009-0000-0100-000005000000}"/>
  <tableColumns count="19">
    <tableColumn id="1" xr3:uid="{00000000-0010-0000-1000-000001000000}" name="COMPETÊNCIA" totalsRowLabel="Total" dataDxfId="345" totalsRowDxfId="344">
      <calculatedColumnFormula>CONCATENATE('TA Gerencial'!S2,'TA Gerencial'!H4,'TA Gerencial'!H3)</calculatedColumnFormula>
    </tableColumn>
    <tableColumn id="2" xr3:uid="{00000000-0010-0000-1000-000002000000}" name="CONTA" dataDxfId="343" totalsRowDxfId="342">
      <calculatedColumnFormula>VLOOKUP(mDEZ[[#This Row],[CÓDIGO CONTABIL]],Contas_Gerencial[#All],3,FALSE)</calculatedColumnFormula>
    </tableColumn>
    <tableColumn id="3" xr3:uid="{00000000-0010-0000-1000-000003000000}" name="CÓDIGO CONTABIL" dataDxfId="341" totalsRowDxfId="340">
      <calculatedColumnFormula>VLOOKUP(mDEZ[[#This Row],[DESCRIÇÃO CONTABIL]],Contas_Gerencial[[#All],[DESCRIÇÃO DA CONTA - NÃO UTILIZAR]:[Código2]],2,FALSE)</calculatedColumnFormula>
    </tableColumn>
    <tableColumn id="4" xr3:uid="{00000000-0010-0000-1000-000004000000}" name="DESCRIÇÃO CONTABIL" dataDxfId="339" totalsRowDxfId="338"/>
    <tableColumn id="18" xr3:uid="{00000000-0010-0000-1000-000012000000}" name="EMPRESA" dataDxfId="337" totalsRowDxfId="336"/>
    <tableColumn id="19" xr3:uid="{00000000-0010-0000-1000-000013000000}" name="CLIENTE" dataDxfId="335" totalsRowDxfId="334"/>
    <tableColumn id="7" xr3:uid="{00000000-0010-0000-1000-000007000000}" name="TIPO DE DOCUMENTO" dataDxfId="333" totalsRowDxfId="332"/>
    <tableColumn id="8" xr3:uid="{00000000-0010-0000-1000-000008000000}" name="Nº" dataDxfId="331" totalsRowDxfId="330"/>
    <tableColumn id="9" xr3:uid="{00000000-0010-0000-1000-000009000000}" name="FORNECEDOR" dataDxfId="329" totalsRowDxfId="328"/>
    <tableColumn id="10" xr3:uid="{00000000-0010-0000-1000-00000A000000}" name="DESCRIÇÃO" dataDxfId="327" totalsRowDxfId="326"/>
    <tableColumn id="11" xr3:uid="{00000000-0010-0000-1000-00000B000000}" name="PARC" dataDxfId="325" totalsRowDxfId="324"/>
    <tableColumn id="12" xr3:uid="{00000000-0010-0000-1000-00000C000000}" name="EMISSÃO" dataDxfId="323" totalsRowDxfId="322"/>
    <tableColumn id="13" xr3:uid="{00000000-0010-0000-1000-00000D000000}" name="VENC." dataDxfId="321" totalsRowDxfId="320"/>
    <tableColumn id="14" xr3:uid="{00000000-0010-0000-1000-00000E000000}" name="PAGAMENTO" dataDxfId="319" totalsRowDxfId="318"/>
    <tableColumn id="23" xr3:uid="{00000000-0010-0000-1000-000017000000}" name="STATUS" dataDxfId="317" totalsRowDxfId="316"/>
    <tableColumn id="15" xr3:uid="{00000000-0010-0000-1000-00000F000000}" name="PRINCIPAL" totalsRowFunction="sum" dataDxfId="315" totalsRowDxfId="314"/>
    <tableColumn id="20" xr3:uid="{00000000-0010-0000-1000-000014000000}" name="MULTA" totalsRowFunction="sum" dataDxfId="313" totalsRowDxfId="312"/>
    <tableColumn id="17" xr3:uid="{00000000-0010-0000-1000-000011000000}" name="JUROS" totalsRowFunction="sum" dataDxfId="311" totalsRowDxfId="310"/>
    <tableColumn id="16" xr3:uid="{00000000-0010-0000-1000-000010000000}" name="TOTAL" totalsRowFunction="sum" dataDxfId="309" totalsRowDxfId="308">
      <calculatedColumnFormula>SUM(mDEZ[[#This Row],[PRINCIPAL]:[JUROS]])</calculatedColumnFormula>
    </tableColumn>
  </tableColumns>
  <tableStyleInfo name="TableStyleMedium20" showFirstColumn="0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58" dT="2022-05-24T22:43:16.63" personId="{8AEDB883-8F92-4E60-99AE-A62C212B9CEE}" id="{3676E215-D18A-4BED-9F7F-D403A330784B}">
    <text>4,84% IRPJ</text>
  </threadedComment>
  <threadedComment ref="D259" dT="2022-05-24T22:43:16.63" personId="{8AEDB883-8F92-4E60-99AE-A62C212B9CEE}" id="{11281199-090B-4D7F-9160-CDDC11AD8B52}">
    <text>2,88% CSLL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7" dT="2024-12-16T16:44:16.70" personId="{8AEDB883-8F92-4E60-99AE-A62C212B9CEE}" id="{9B86FB34-1081-40D4-8807-1767A6F93B85}">
    <text>530,00 _ CONTRATO INICO 28/11/24_ 3 dias
5.300,00 _ CONTRATO</text>
  </threadedComment>
  <threadedComment ref="E60" dT="2024-12-16T16:44:16.70" personId="{8AEDB883-8F92-4E60-99AE-A62C212B9CEE}" id="{F2E86A18-D9EA-44F3-AEDF-52A1223872D0}">
    <text>5.300,00 _ CONTRATO
530,00 _3 DIAS_FOLGA_JULIO 7_DIAS 
4 DIAS_FOLGA_JULIO_ FALTA FATURAR E RAJUSTAR</text>
  </threadedComment>
  <threadedComment ref="E68" dT="2024-12-16T16:44:16.70" personId="{8AEDB883-8F92-4E60-99AE-A62C212B9CEE}" id="{1AAD4982-D8F9-400F-9FC3-0BC061D7DA4D}">
    <text>5.300,00 _ CONTRATO
530,00 _3 DIAS_FOLGA_JULIO 7_DIAS 
4 DIAS_FOLGA_JULIO_ FALTA FATURAR E RAJUSTAR</text>
  </threadedComment>
  <threadedComment ref="D183" dT="2022-05-24T22:43:16.63" personId="{8AEDB883-8F92-4E60-99AE-A62C212B9CEE}" id="{17436198-C87F-4062-8BFF-36E37864D349}">
    <text>4,84% IRPJ</text>
  </threadedComment>
  <threadedComment ref="D184" dT="2022-05-24T22:43:16.63" personId="{8AEDB883-8F92-4E60-99AE-A62C212B9CEE}" id="{A1B0E509-1AF7-432E-A9A2-8AE2BD4D9168}">
    <text>2,88% CSLL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31" dT="2022-05-24T22:43:16.63" personId="{8AEDB883-8F92-4E60-99AE-A62C212B9CEE}" id="{DAACE07F-538E-4E6F-B7FD-B23117A30D25}">
    <text>4,84% IRPJ</text>
  </threadedComment>
  <threadedComment ref="D132" dT="2022-05-24T22:43:16.63" personId="{8AEDB883-8F92-4E60-99AE-A62C212B9CEE}" id="{04CD0699-A05C-4AF3-A49F-C417C21B4EC8}">
    <text>2,88% CSLL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mailto:contato@predialbr.com.br" TargetMode="External"/><Relationship Id="rId7" Type="http://schemas.openxmlformats.org/officeDocument/2006/relationships/hyperlink" Target="mailto:sementesampessan@uol.com.br" TargetMode="External"/><Relationship Id="rId2" Type="http://schemas.openxmlformats.org/officeDocument/2006/relationships/hyperlink" Target="mailto:residencialtajmahalformosa@gmail.com" TargetMode="External"/><Relationship Id="rId1" Type="http://schemas.openxmlformats.org/officeDocument/2006/relationships/hyperlink" Target="mailto:contabiltajmahal.walmir@gmail.com" TargetMode="External"/><Relationship Id="rId6" Type="http://schemas.openxmlformats.org/officeDocument/2006/relationships/hyperlink" Target="mailto:david.bezerra@ablprime.com.br" TargetMode="External"/><Relationship Id="rId11" Type="http://schemas.openxmlformats.org/officeDocument/2006/relationships/comments" Target="../comments4.xml"/><Relationship Id="rId5" Type="http://schemas.openxmlformats.org/officeDocument/2006/relationships/hyperlink" Target="mailto:condominiosformosa@gmail.com" TargetMode="External"/><Relationship Id="rId10" Type="http://schemas.openxmlformats.org/officeDocument/2006/relationships/table" Target="../tables/table2.xml"/><Relationship Id="rId4" Type="http://schemas.openxmlformats.org/officeDocument/2006/relationships/hyperlink" Target="mailto:condominioresidencialsafira@hotmail.com" TargetMode="External"/><Relationship Id="rId9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6" Type="http://schemas.openxmlformats.org/officeDocument/2006/relationships/comments" Target="../comments5.xml"/><Relationship Id="rId5" Type="http://schemas.openxmlformats.org/officeDocument/2006/relationships/table" Target="../tables/table6.xml"/><Relationship Id="rId4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6.xml"/><Relationship Id="rId4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7.xml"/><Relationship Id="rId4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6" Type="http://schemas.openxmlformats.org/officeDocument/2006/relationships/comments" Target="../comments8.xml"/><Relationship Id="rId5" Type="http://schemas.openxmlformats.org/officeDocument/2006/relationships/table" Target="../tables/table9.xml"/><Relationship Id="rId4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9.xml"/><Relationship Id="rId4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.bin"/><Relationship Id="rId3" Type="http://schemas.openxmlformats.org/officeDocument/2006/relationships/hyperlink" Target="https://internet4.itau.com.br/banklinepj/GRIPNET/bklcom.dll" TargetMode="External"/><Relationship Id="rId7" Type="http://schemas.openxmlformats.org/officeDocument/2006/relationships/hyperlink" Target="https://internet4.itau.com.br/banklinepj/GRIPNET/bklcom.dll" TargetMode="External"/><Relationship Id="rId2" Type="http://schemas.openxmlformats.org/officeDocument/2006/relationships/hyperlink" Target="https://internet4.itau.com.br/banklinepj/GRIPNET/bklcom.dll" TargetMode="External"/><Relationship Id="rId1" Type="http://schemas.openxmlformats.org/officeDocument/2006/relationships/hyperlink" Target="https://internet4.itau.com.br/banklinepj/GRIPNET/bklcom.dll" TargetMode="External"/><Relationship Id="rId6" Type="http://schemas.openxmlformats.org/officeDocument/2006/relationships/hyperlink" Target="https://internet4.itau.com.br/banklinepj/GRIPNET/bklcom.dll" TargetMode="External"/><Relationship Id="rId5" Type="http://schemas.openxmlformats.org/officeDocument/2006/relationships/hyperlink" Target="https://internet4.itau.com.br/banklinepj/GRIPNET/bklcom.dll" TargetMode="External"/><Relationship Id="rId10" Type="http://schemas.openxmlformats.org/officeDocument/2006/relationships/table" Target="../tables/table18.xml"/><Relationship Id="rId4" Type="http://schemas.openxmlformats.org/officeDocument/2006/relationships/hyperlink" Target="https://internet4.itau.com.br/banklinepj/GRIPNET/bklcom.dll" TargetMode="External"/><Relationship Id="rId9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3FBF-6D79-4C58-92F5-A2E3DA5DFE86}">
  <sheetPr filterMode="1"/>
  <dimension ref="B1:AX291"/>
  <sheetViews>
    <sheetView showGridLines="0" zoomScale="90" zoomScaleNormal="90" zoomScaleSheetLayoutView="50" workbookViewId="0">
      <pane xSplit="6" ySplit="16" topLeftCell="G256" activePane="bottomRight" state="frozen"/>
      <selection pane="topRight" activeCell="G1" sqref="G1"/>
      <selection pane="bottomLeft" activeCell="A17" sqref="A17"/>
      <selection pane="bottomRight" activeCell="P261" sqref="P261"/>
    </sheetView>
  </sheetViews>
  <sheetFormatPr defaultColWidth="8.6640625" defaultRowHeight="18"/>
  <cols>
    <col min="1" max="1" width="1.109375" style="147" customWidth="1"/>
    <col min="2" max="2" width="18.33203125" style="147" customWidth="1"/>
    <col min="3" max="3" width="19.33203125" style="147" customWidth="1"/>
    <col min="4" max="4" width="32.33203125" style="147" customWidth="1"/>
    <col min="5" max="6" width="18.44140625" style="147" customWidth="1"/>
    <col min="7" max="7" width="21.33203125" style="147" customWidth="1"/>
    <col min="8" max="8" width="10.6640625" style="147" hidden="1" customWidth="1"/>
    <col min="9" max="9" width="13.88671875" style="147" hidden="1" customWidth="1"/>
    <col min="10" max="10" width="10.6640625" style="147" hidden="1" customWidth="1"/>
    <col min="11" max="11" width="16.109375" style="147" hidden="1" customWidth="1"/>
    <col min="12" max="14" width="10.6640625" style="147" hidden="1" customWidth="1"/>
    <col min="15" max="15" width="15.33203125" style="147" hidden="1" customWidth="1"/>
    <col min="16" max="16" width="18.44140625" style="147" customWidth="1"/>
    <col min="17" max="19" width="10.6640625" style="147" hidden="1" customWidth="1"/>
    <col min="20" max="20" width="16.88671875" style="147" hidden="1" customWidth="1"/>
    <col min="21" max="23" width="10.6640625" style="147" hidden="1" customWidth="1"/>
    <col min="24" max="24" width="14.6640625" style="147" hidden="1" customWidth="1"/>
    <col min="25" max="25" width="18.44140625" style="147" customWidth="1"/>
    <col min="26" max="28" width="10.6640625" style="147" hidden="1" customWidth="1"/>
    <col min="29" max="29" width="14.5546875" style="147" hidden="1" customWidth="1"/>
    <col min="30" max="32" width="10.6640625" style="147" hidden="1" customWidth="1"/>
    <col min="33" max="33" width="15.33203125" style="147" hidden="1" customWidth="1"/>
    <col min="34" max="35" width="18.44140625" style="147" customWidth="1"/>
    <col min="36" max="36" width="16.6640625" style="161" hidden="1" customWidth="1"/>
    <col min="37" max="38" width="16.33203125" style="147" customWidth="1"/>
    <col min="39" max="39" width="14.6640625" style="147" customWidth="1"/>
    <col min="40" max="40" width="17.6640625" style="147" customWidth="1"/>
    <col min="41" max="41" width="15.5546875" style="147" customWidth="1"/>
    <col min="42" max="42" width="18.33203125" style="147" customWidth="1"/>
    <col min="43" max="44" width="18.6640625" style="147" customWidth="1"/>
    <col min="45" max="45" width="19.5546875" style="147" customWidth="1"/>
    <col min="46" max="46" width="12.109375" style="147" customWidth="1"/>
    <col min="47" max="47" width="13.6640625" style="147" bestFit="1" customWidth="1"/>
    <col min="48" max="48" width="13" style="147" bestFit="1" customWidth="1"/>
    <col min="49" max="49" width="12.44140625" style="147" bestFit="1" customWidth="1"/>
    <col min="50" max="50" width="13.6640625" style="147" bestFit="1" customWidth="1"/>
    <col min="51" max="16384" width="8.6640625" style="147"/>
  </cols>
  <sheetData>
    <row r="1" spans="2:45" hidden="1">
      <c r="B1" s="147" t="s">
        <v>8</v>
      </c>
      <c r="AJ1" s="147"/>
    </row>
    <row r="2" spans="2:45" hidden="1">
      <c r="B2" s="147" t="s">
        <v>90</v>
      </c>
      <c r="AJ2" s="147"/>
    </row>
    <row r="3" spans="2:45" ht="5.0999999999999996" hidden="1" customHeight="1">
      <c r="C3" s="148"/>
      <c r="AJ3" s="147"/>
    </row>
    <row r="4" spans="2:45" hidden="1">
      <c r="B4" s="149" t="s">
        <v>1665</v>
      </c>
      <c r="C4" s="149"/>
      <c r="D4" s="150" t="s">
        <v>1666</v>
      </c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</row>
    <row r="5" spans="2:45" hidden="1">
      <c r="B5" s="152" t="s">
        <v>1667</v>
      </c>
      <c r="C5" s="152"/>
      <c r="D5" s="153" t="s">
        <v>1668</v>
      </c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</row>
    <row r="6" spans="2:45" ht="5.0999999999999996" customHeight="1">
      <c r="C6" s="148"/>
      <c r="AJ6" s="147"/>
    </row>
    <row r="7" spans="2:45">
      <c r="B7" s="147" t="s">
        <v>17</v>
      </c>
      <c r="C7" s="155" t="s">
        <v>2133</v>
      </c>
      <c r="D7" s="156"/>
      <c r="AJ7" s="147"/>
      <c r="AK7" s="157"/>
    </row>
    <row r="8" spans="2:45">
      <c r="B8" s="147" t="s">
        <v>1669</v>
      </c>
      <c r="C8" s="158" t="s">
        <v>41</v>
      </c>
      <c r="E8" s="161" t="s">
        <v>1750</v>
      </c>
      <c r="F8" s="230" t="s">
        <v>1749</v>
      </c>
      <c r="AJ8" s="147"/>
      <c r="AK8" s="157"/>
    </row>
    <row r="9" spans="2:45">
      <c r="B9" s="147" t="s">
        <v>1670</v>
      </c>
      <c r="C9" s="159" t="s">
        <v>217</v>
      </c>
      <c r="AJ9" s="147"/>
    </row>
    <row r="10" spans="2:45">
      <c r="B10" s="147" t="s">
        <v>1671</v>
      </c>
      <c r="C10" s="158" t="s">
        <v>1190</v>
      </c>
      <c r="AJ10" s="160"/>
      <c r="AK10" s="157"/>
      <c r="AP10" s="161"/>
      <c r="AQ10" s="162"/>
      <c r="AR10" s="162"/>
    </row>
    <row r="11" spans="2:45">
      <c r="B11" s="147" t="s">
        <v>284</v>
      </c>
      <c r="C11" s="1378">
        <f>E254</f>
        <v>92319</v>
      </c>
      <c r="D11" s="1378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4"/>
      <c r="AK11" s="160"/>
    </row>
    <row r="12" spans="2:45">
      <c r="D12" s="165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6"/>
    </row>
    <row r="13" spans="2:45" ht="31.2" customHeight="1">
      <c r="B13" s="1379" t="s">
        <v>1672</v>
      </c>
      <c r="C13" s="1379" t="s">
        <v>1673</v>
      </c>
      <c r="D13" s="1382" t="s">
        <v>87</v>
      </c>
      <c r="E13" s="1385" t="s">
        <v>1674</v>
      </c>
      <c r="F13" s="1376" t="s">
        <v>1675</v>
      </c>
      <c r="G13" s="1350" t="s">
        <v>1676</v>
      </c>
      <c r="H13" s="1352" t="s">
        <v>25</v>
      </c>
      <c r="I13" s="1353"/>
      <c r="J13" s="1353"/>
      <c r="K13" s="1353"/>
      <c r="L13" s="1353"/>
      <c r="M13" s="1353"/>
      <c r="N13" s="1353"/>
      <c r="O13" s="1353"/>
      <c r="P13" s="1354"/>
      <c r="Q13" s="1355" t="s">
        <v>24</v>
      </c>
      <c r="R13" s="1356"/>
      <c r="S13" s="1356"/>
      <c r="T13" s="1356"/>
      <c r="U13" s="1356"/>
      <c r="V13" s="1356"/>
      <c r="W13" s="1356"/>
      <c r="X13" s="1356"/>
      <c r="Y13" s="1357"/>
      <c r="Z13" s="1358" t="s">
        <v>273</v>
      </c>
      <c r="AA13" s="1359"/>
      <c r="AB13" s="1359"/>
      <c r="AC13" s="1359"/>
      <c r="AD13" s="1359"/>
      <c r="AE13" s="1359"/>
      <c r="AF13" s="1359"/>
      <c r="AG13" s="1359"/>
      <c r="AH13" s="1360"/>
      <c r="AI13" s="1361" t="s">
        <v>2052</v>
      </c>
      <c r="AJ13" s="1361" t="s">
        <v>1677</v>
      </c>
      <c r="AK13" s="1363" t="s">
        <v>1678</v>
      </c>
      <c r="AL13" s="1364"/>
      <c r="AM13" s="1364"/>
      <c r="AN13" s="1364"/>
      <c r="AO13" s="1364"/>
      <c r="AP13" s="1364"/>
      <c r="AQ13" s="1365"/>
      <c r="AR13" s="1366" t="s">
        <v>1679</v>
      </c>
      <c r="AS13" s="1368" t="s">
        <v>1680</v>
      </c>
    </row>
    <row r="14" spans="2:45" s="172" customFormat="1" ht="18" customHeight="1">
      <c r="B14" s="1380"/>
      <c r="C14" s="1380"/>
      <c r="D14" s="1383"/>
      <c r="E14" s="1386"/>
      <c r="F14" s="1377"/>
      <c r="G14" s="1351"/>
      <c r="H14" s="1370" t="s">
        <v>1681</v>
      </c>
      <c r="I14" s="1371"/>
      <c r="J14" s="1371"/>
      <c r="K14" s="1372"/>
      <c r="L14" s="1370" t="s">
        <v>1682</v>
      </c>
      <c r="M14" s="1371"/>
      <c r="N14" s="1371"/>
      <c r="O14" s="1372"/>
      <c r="P14" s="169" t="s">
        <v>284</v>
      </c>
      <c r="Q14" s="1373" t="s">
        <v>1681</v>
      </c>
      <c r="R14" s="1374"/>
      <c r="S14" s="1374"/>
      <c r="T14" s="1375"/>
      <c r="U14" s="1373" t="s">
        <v>1682</v>
      </c>
      <c r="V14" s="1374"/>
      <c r="W14" s="1374"/>
      <c r="X14" s="1375"/>
      <c r="Y14" s="169" t="s">
        <v>284</v>
      </c>
      <c r="Z14" s="1358" t="s">
        <v>1681</v>
      </c>
      <c r="AA14" s="1359"/>
      <c r="AB14" s="1359"/>
      <c r="AC14" s="1360"/>
      <c r="AD14" s="1358" t="s">
        <v>1682</v>
      </c>
      <c r="AE14" s="1359"/>
      <c r="AF14" s="1359"/>
      <c r="AG14" s="1360"/>
      <c r="AH14" s="167" t="s">
        <v>284</v>
      </c>
      <c r="AI14" s="1362"/>
      <c r="AJ14" s="1362"/>
      <c r="AK14" s="170" t="s">
        <v>1683</v>
      </c>
      <c r="AL14" s="170" t="s">
        <v>1684</v>
      </c>
      <c r="AM14" s="170" t="s">
        <v>1685</v>
      </c>
      <c r="AN14" s="170" t="s">
        <v>1686</v>
      </c>
      <c r="AO14" s="170" t="s">
        <v>1687</v>
      </c>
      <c r="AP14" s="170" t="s">
        <v>1688</v>
      </c>
      <c r="AQ14" s="171" t="s">
        <v>284</v>
      </c>
      <c r="AR14" s="1367"/>
      <c r="AS14" s="1369"/>
    </row>
    <row r="15" spans="2:45" s="172" customFormat="1">
      <c r="B15" s="1381"/>
      <c r="C15" s="1381"/>
      <c r="D15" s="1384"/>
      <c r="E15" s="1387"/>
      <c r="F15" s="1377"/>
      <c r="G15" s="1351"/>
      <c r="H15" s="168" t="s">
        <v>1689</v>
      </c>
      <c r="I15" s="173" t="s">
        <v>1690</v>
      </c>
      <c r="J15" s="173" t="s">
        <v>1691</v>
      </c>
      <c r="K15" s="174" t="s">
        <v>284</v>
      </c>
      <c r="L15" s="173" t="s">
        <v>1689</v>
      </c>
      <c r="M15" s="173" t="s">
        <v>1690</v>
      </c>
      <c r="N15" s="173" t="s">
        <v>1691</v>
      </c>
      <c r="O15" s="174" t="s">
        <v>284</v>
      </c>
      <c r="P15" s="169"/>
      <c r="Q15" s="175" t="s">
        <v>1689</v>
      </c>
      <c r="R15" s="175" t="s">
        <v>1690</v>
      </c>
      <c r="S15" s="175" t="s">
        <v>1691</v>
      </c>
      <c r="T15" s="174" t="s">
        <v>284</v>
      </c>
      <c r="U15" s="175" t="s">
        <v>1689</v>
      </c>
      <c r="V15" s="175" t="s">
        <v>1690</v>
      </c>
      <c r="W15" s="175" t="s">
        <v>1691</v>
      </c>
      <c r="X15" s="174" t="s">
        <v>284</v>
      </c>
      <c r="Y15" s="169"/>
      <c r="Z15" s="176" t="s">
        <v>1689</v>
      </c>
      <c r="AA15" s="176" t="s">
        <v>1690</v>
      </c>
      <c r="AB15" s="176" t="s">
        <v>1692</v>
      </c>
      <c r="AC15" s="177" t="s">
        <v>284</v>
      </c>
      <c r="AD15" s="176" t="s">
        <v>1689</v>
      </c>
      <c r="AE15" s="176" t="s">
        <v>1690</v>
      </c>
      <c r="AF15" s="176" t="s">
        <v>1692</v>
      </c>
      <c r="AG15" s="177" t="s">
        <v>284</v>
      </c>
      <c r="AH15" s="178"/>
      <c r="AI15" s="1362"/>
      <c r="AJ15" s="178" t="s">
        <v>1693</v>
      </c>
      <c r="AK15" s="179">
        <v>0.11</v>
      </c>
      <c r="AL15" s="180">
        <v>0.01</v>
      </c>
      <c r="AM15" s="180">
        <v>0.01</v>
      </c>
      <c r="AN15" s="180">
        <v>0.03</v>
      </c>
      <c r="AO15" s="180">
        <v>6.4999999999999997E-3</v>
      </c>
      <c r="AP15" s="180">
        <v>0.05</v>
      </c>
      <c r="AQ15" s="181">
        <f>SUBTOTAL(9,AL15:AP15)</f>
        <v>0.10650000000000001</v>
      </c>
      <c r="AR15" s="182">
        <f>AK15+AQ15</f>
        <v>0.21650000000000003</v>
      </c>
      <c r="AS15" s="1369"/>
    </row>
    <row r="16" spans="2:45" s="172" customFormat="1" ht="11.4" customHeight="1">
      <c r="B16" s="183"/>
      <c r="C16" s="183"/>
      <c r="D16" s="184"/>
      <c r="E16" s="185"/>
      <c r="F16" s="186"/>
      <c r="G16" s="187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9"/>
      <c r="AJ16" s="188"/>
      <c r="AK16" s="190"/>
      <c r="AL16" s="191"/>
      <c r="AM16" s="191"/>
      <c r="AN16" s="191"/>
      <c r="AO16" s="191"/>
      <c r="AP16" s="191"/>
      <c r="AQ16" s="192"/>
      <c r="AR16" s="193"/>
      <c r="AS16" s="188"/>
    </row>
    <row r="17" spans="2:45" s="131" customFormat="1" ht="18" hidden="1" customHeight="1">
      <c r="B17" s="194" t="s">
        <v>1143</v>
      </c>
      <c r="C17" s="194">
        <v>152</v>
      </c>
      <c r="D17" s="195" t="s">
        <v>982</v>
      </c>
      <c r="E17" s="196">
        <v>5458</v>
      </c>
      <c r="F17" s="196">
        <v>774.5</v>
      </c>
      <c r="G17" s="196">
        <v>326.16666666666669</v>
      </c>
      <c r="H17" s="197">
        <v>1</v>
      </c>
      <c r="I17" s="196">
        <v>16</v>
      </c>
      <c r="J17" s="197">
        <v>26</v>
      </c>
      <c r="K17" s="198">
        <f t="shared" ref="K17:K80" si="0">H17*I17*J17</f>
        <v>416</v>
      </c>
      <c r="L17" s="197">
        <v>0</v>
      </c>
      <c r="M17" s="196">
        <v>0</v>
      </c>
      <c r="N17" s="197">
        <v>0</v>
      </c>
      <c r="O17" s="198">
        <f t="shared" ref="O17:O80" si="1">L17*M17*N17</f>
        <v>0</v>
      </c>
      <c r="P17" s="199">
        <f t="shared" ref="P17:P80" si="2">K17+O17</f>
        <v>416</v>
      </c>
      <c r="Q17" s="197">
        <v>1</v>
      </c>
      <c r="R17" s="196">
        <v>40.5</v>
      </c>
      <c r="S17" s="197">
        <v>26</v>
      </c>
      <c r="T17" s="198">
        <f t="shared" ref="T17:T80" si="3">Q17*R17*S17</f>
        <v>1053</v>
      </c>
      <c r="U17" s="196">
        <v>0</v>
      </c>
      <c r="V17" s="196">
        <v>0</v>
      </c>
      <c r="W17" s="197">
        <v>0</v>
      </c>
      <c r="X17" s="198">
        <f t="shared" ref="X17:X80" si="4">U17*V17*W17</f>
        <v>0</v>
      </c>
      <c r="Y17" s="200">
        <f t="shared" ref="Y17:Y80" si="5">T17+X17</f>
        <v>1053</v>
      </c>
      <c r="Z17" s="197">
        <v>1</v>
      </c>
      <c r="AA17" s="196">
        <v>80</v>
      </c>
      <c r="AB17" s="197">
        <v>1</v>
      </c>
      <c r="AC17" s="198">
        <f t="shared" ref="AC17:AC80" si="6">Z17*AA17*AB17</f>
        <v>80</v>
      </c>
      <c r="AD17" s="197">
        <v>0</v>
      </c>
      <c r="AE17" s="196">
        <v>0</v>
      </c>
      <c r="AF17" s="196">
        <v>0</v>
      </c>
      <c r="AG17" s="198">
        <f t="shared" ref="AG17:AG80" si="7">AD17*AE17*AF17</f>
        <v>0</v>
      </c>
      <c r="AH17" s="200">
        <f t="shared" ref="AH17:AH80" si="8">AC17+AG17</f>
        <v>80</v>
      </c>
      <c r="AI17" s="199">
        <f>F17+G17+P17+Y17+AH17</f>
        <v>2649.666666666667</v>
      </c>
      <c r="AJ17" s="201">
        <f>AI17/E17</f>
        <v>0.48546476120679133</v>
      </c>
      <c r="AK17" s="196">
        <v>308.91666666666663</v>
      </c>
      <c r="AL17" s="196">
        <v>54.58</v>
      </c>
      <c r="AM17" s="196">
        <v>54.58</v>
      </c>
      <c r="AN17" s="196">
        <v>163.73999999999998</v>
      </c>
      <c r="AO17" s="196">
        <v>35.476999999999997</v>
      </c>
      <c r="AP17" s="196">
        <v>272.90000000000003</v>
      </c>
      <c r="AQ17" s="202">
        <f t="shared" ref="AQ17:AQ80" si="9">SUM(AL17:AP17)</f>
        <v>581.27700000000004</v>
      </c>
      <c r="AR17" s="202">
        <f t="shared" ref="AR17:AR80" si="10">AK17+AQ17</f>
        <v>890.19366666666667</v>
      </c>
      <c r="AS17" s="203">
        <f t="shared" ref="AS17:AS80" si="11">E17-AR17</f>
        <v>4567.806333333333</v>
      </c>
    </row>
    <row r="18" spans="2:45" s="131" customFormat="1" ht="18" hidden="1" customHeight="1">
      <c r="B18" s="194" t="s">
        <v>1143</v>
      </c>
      <c r="C18" s="194">
        <v>153</v>
      </c>
      <c r="D18" s="195" t="s">
        <v>1003</v>
      </c>
      <c r="E18" s="196">
        <v>14796</v>
      </c>
      <c r="F18" s="196">
        <v>2186.1999999999998</v>
      </c>
      <c r="G18" s="196">
        <v>0</v>
      </c>
      <c r="H18" s="197">
        <v>1</v>
      </c>
      <c r="I18" s="196">
        <v>16</v>
      </c>
      <c r="J18" s="197">
        <v>26</v>
      </c>
      <c r="K18" s="198">
        <f t="shared" si="0"/>
        <v>416</v>
      </c>
      <c r="L18" s="197">
        <v>2</v>
      </c>
      <c r="M18" s="196">
        <v>16</v>
      </c>
      <c r="N18" s="197">
        <v>16</v>
      </c>
      <c r="O18" s="198">
        <f t="shared" si="1"/>
        <v>512</v>
      </c>
      <c r="P18" s="199">
        <f t="shared" si="2"/>
        <v>928</v>
      </c>
      <c r="Q18" s="197">
        <v>1</v>
      </c>
      <c r="R18" s="196">
        <v>40.5</v>
      </c>
      <c r="S18" s="197">
        <v>26</v>
      </c>
      <c r="T18" s="198">
        <f t="shared" si="3"/>
        <v>1053</v>
      </c>
      <c r="U18" s="196">
        <v>2</v>
      </c>
      <c r="V18" s="196">
        <v>40.5</v>
      </c>
      <c r="W18" s="197">
        <v>16</v>
      </c>
      <c r="X18" s="198">
        <f t="shared" si="4"/>
        <v>1296</v>
      </c>
      <c r="Y18" s="200">
        <f t="shared" si="5"/>
        <v>2349</v>
      </c>
      <c r="Z18" s="197">
        <v>1</v>
      </c>
      <c r="AA18" s="196">
        <v>80</v>
      </c>
      <c r="AB18" s="197">
        <v>1</v>
      </c>
      <c r="AC18" s="198">
        <f t="shared" si="6"/>
        <v>80</v>
      </c>
      <c r="AD18" s="197">
        <v>2</v>
      </c>
      <c r="AE18" s="196">
        <v>80</v>
      </c>
      <c r="AF18" s="197">
        <v>1</v>
      </c>
      <c r="AG18" s="198">
        <f t="shared" si="7"/>
        <v>160</v>
      </c>
      <c r="AH18" s="200">
        <f t="shared" si="8"/>
        <v>240</v>
      </c>
      <c r="AI18" s="199">
        <f t="shared" ref="AI18:AI81" si="12">F18+G18+P18+Y18+AH18</f>
        <v>5703.2</v>
      </c>
      <c r="AJ18" s="201">
        <f t="shared" ref="AJ18:AJ77" si="13">AI18/E18</f>
        <v>0.38545552852122195</v>
      </c>
      <c r="AK18" s="196">
        <v>1000.208</v>
      </c>
      <c r="AL18" s="196">
        <v>147.96</v>
      </c>
      <c r="AM18" s="196">
        <v>147.96</v>
      </c>
      <c r="AN18" s="196">
        <v>443.88</v>
      </c>
      <c r="AO18" s="196">
        <v>96.173999999999992</v>
      </c>
      <c r="AP18" s="196">
        <v>739.80000000000007</v>
      </c>
      <c r="AQ18" s="202">
        <f t="shared" si="9"/>
        <v>1575.7739999999999</v>
      </c>
      <c r="AR18" s="202">
        <f t="shared" si="10"/>
        <v>2575.982</v>
      </c>
      <c r="AS18" s="203">
        <f t="shared" si="11"/>
        <v>12220.018</v>
      </c>
    </row>
    <row r="19" spans="2:45" s="131" customFormat="1" ht="18" hidden="1" customHeight="1">
      <c r="B19" s="194" t="s">
        <v>1143</v>
      </c>
      <c r="C19" s="194">
        <v>154</v>
      </c>
      <c r="D19" s="195" t="s">
        <v>1082</v>
      </c>
      <c r="E19" s="196">
        <v>4800</v>
      </c>
      <c r="F19" s="196">
        <v>781.45</v>
      </c>
      <c r="G19" s="196">
        <v>0</v>
      </c>
      <c r="H19" s="197">
        <v>1</v>
      </c>
      <c r="I19" s="196">
        <v>16</v>
      </c>
      <c r="J19" s="197">
        <v>26</v>
      </c>
      <c r="K19" s="198">
        <f t="shared" si="0"/>
        <v>416</v>
      </c>
      <c r="L19" s="197">
        <v>0</v>
      </c>
      <c r="M19" s="196">
        <v>0</v>
      </c>
      <c r="N19" s="197">
        <v>0</v>
      </c>
      <c r="O19" s="198">
        <f t="shared" si="1"/>
        <v>0</v>
      </c>
      <c r="P19" s="199">
        <f t="shared" si="2"/>
        <v>416</v>
      </c>
      <c r="Q19" s="197">
        <v>1</v>
      </c>
      <c r="R19" s="196">
        <v>40.5</v>
      </c>
      <c r="S19" s="197">
        <v>26</v>
      </c>
      <c r="T19" s="198">
        <f t="shared" si="3"/>
        <v>1053</v>
      </c>
      <c r="U19" s="196">
        <v>0</v>
      </c>
      <c r="V19" s="196">
        <v>0</v>
      </c>
      <c r="W19" s="197">
        <v>0</v>
      </c>
      <c r="X19" s="198">
        <f t="shared" si="4"/>
        <v>0</v>
      </c>
      <c r="Y19" s="200">
        <f t="shared" si="5"/>
        <v>1053</v>
      </c>
      <c r="Z19" s="197">
        <v>1</v>
      </c>
      <c r="AA19" s="196">
        <v>80</v>
      </c>
      <c r="AB19" s="197">
        <v>1</v>
      </c>
      <c r="AC19" s="198">
        <f t="shared" si="6"/>
        <v>80</v>
      </c>
      <c r="AD19" s="197">
        <v>0</v>
      </c>
      <c r="AE19" s="196">
        <v>0</v>
      </c>
      <c r="AF19" s="196">
        <v>0</v>
      </c>
      <c r="AG19" s="198">
        <f t="shared" si="7"/>
        <v>0</v>
      </c>
      <c r="AH19" s="200">
        <f t="shared" si="8"/>
        <v>80</v>
      </c>
      <c r="AI19" s="199">
        <f t="shared" si="12"/>
        <v>2330.4499999999998</v>
      </c>
      <c r="AJ19" s="201">
        <f t="shared" si="13"/>
        <v>0.48551041666666661</v>
      </c>
      <c r="AK19" s="196">
        <v>271.65050000000002</v>
      </c>
      <c r="AL19" s="196">
        <v>48</v>
      </c>
      <c r="AM19" s="196">
        <v>48</v>
      </c>
      <c r="AN19" s="196">
        <v>144</v>
      </c>
      <c r="AO19" s="196">
        <v>31.2</v>
      </c>
      <c r="AP19" s="196">
        <v>240</v>
      </c>
      <c r="AQ19" s="202">
        <f t="shared" si="9"/>
        <v>511.2</v>
      </c>
      <c r="AR19" s="202">
        <f t="shared" si="10"/>
        <v>782.85050000000001</v>
      </c>
      <c r="AS19" s="203">
        <f t="shared" si="11"/>
        <v>4017.1495</v>
      </c>
    </row>
    <row r="20" spans="2:45" s="131" customFormat="1" ht="18" hidden="1" customHeight="1">
      <c r="B20" s="194" t="s">
        <v>1143</v>
      </c>
      <c r="C20" s="194">
        <v>155</v>
      </c>
      <c r="D20" s="195" t="s">
        <v>213</v>
      </c>
      <c r="E20" s="196">
        <v>24300</v>
      </c>
      <c r="F20" s="196">
        <v>3221.55</v>
      </c>
      <c r="G20" s="196">
        <v>0</v>
      </c>
      <c r="H20" s="197">
        <v>3</v>
      </c>
      <c r="I20" s="196">
        <v>16</v>
      </c>
      <c r="J20" s="197">
        <v>26</v>
      </c>
      <c r="K20" s="198">
        <f t="shared" si="0"/>
        <v>1248</v>
      </c>
      <c r="L20" s="197">
        <v>2</v>
      </c>
      <c r="M20" s="196">
        <v>16</v>
      </c>
      <c r="N20" s="197">
        <f>16+4</f>
        <v>20</v>
      </c>
      <c r="O20" s="198">
        <f t="shared" si="1"/>
        <v>640</v>
      </c>
      <c r="P20" s="199">
        <f t="shared" si="2"/>
        <v>1888</v>
      </c>
      <c r="Q20" s="197">
        <v>3</v>
      </c>
      <c r="R20" s="196">
        <v>40.5</v>
      </c>
      <c r="S20" s="197">
        <v>26</v>
      </c>
      <c r="T20" s="198">
        <f t="shared" si="3"/>
        <v>3159</v>
      </c>
      <c r="U20" s="197">
        <v>2</v>
      </c>
      <c r="V20" s="196">
        <v>40.5</v>
      </c>
      <c r="W20" s="197">
        <f>16+4</f>
        <v>20</v>
      </c>
      <c r="X20" s="198">
        <f t="shared" si="4"/>
        <v>1620</v>
      </c>
      <c r="Y20" s="200">
        <f t="shared" si="5"/>
        <v>4779</v>
      </c>
      <c r="Z20" s="197">
        <v>3</v>
      </c>
      <c r="AA20" s="196">
        <v>60</v>
      </c>
      <c r="AB20" s="197">
        <v>1</v>
      </c>
      <c r="AC20" s="198">
        <f t="shared" si="6"/>
        <v>180</v>
      </c>
      <c r="AD20" s="197">
        <v>3</v>
      </c>
      <c r="AE20" s="196">
        <v>90</v>
      </c>
      <c r="AF20" s="197">
        <v>1</v>
      </c>
      <c r="AG20" s="198">
        <f t="shared" si="7"/>
        <v>270</v>
      </c>
      <c r="AH20" s="200">
        <f t="shared" si="8"/>
        <v>450</v>
      </c>
      <c r="AI20" s="199">
        <f t="shared" si="12"/>
        <v>10338.549999999999</v>
      </c>
      <c r="AJ20" s="201">
        <f t="shared" si="13"/>
        <v>0.42545473251028804</v>
      </c>
      <c r="AK20" s="196">
        <v>1535.7595000000001</v>
      </c>
      <c r="AL20" s="196">
        <v>243</v>
      </c>
      <c r="AM20" s="196">
        <v>243</v>
      </c>
      <c r="AN20" s="196">
        <v>729</v>
      </c>
      <c r="AO20" s="196">
        <v>157.94999999999999</v>
      </c>
      <c r="AP20" s="196">
        <v>1215</v>
      </c>
      <c r="AQ20" s="202">
        <f t="shared" si="9"/>
        <v>2587.9499999999998</v>
      </c>
      <c r="AR20" s="202">
        <f t="shared" si="10"/>
        <v>4123.7094999999999</v>
      </c>
      <c r="AS20" s="203">
        <f t="shared" si="11"/>
        <v>20176.290499999999</v>
      </c>
    </row>
    <row r="21" spans="2:45" s="131" customFormat="1" ht="18" hidden="1" customHeight="1">
      <c r="B21" s="194" t="s">
        <v>1143</v>
      </c>
      <c r="C21" s="194">
        <v>156</v>
      </c>
      <c r="D21" s="195" t="s">
        <v>1081</v>
      </c>
      <c r="E21" s="196">
        <v>5199</v>
      </c>
      <c r="F21" s="196">
        <v>833.1</v>
      </c>
      <c r="G21" s="196">
        <v>0</v>
      </c>
      <c r="H21" s="197">
        <v>1</v>
      </c>
      <c r="I21" s="196">
        <v>16</v>
      </c>
      <c r="J21" s="197">
        <v>26</v>
      </c>
      <c r="K21" s="198">
        <f t="shared" si="0"/>
        <v>416</v>
      </c>
      <c r="L21" s="197">
        <v>0</v>
      </c>
      <c r="M21" s="196">
        <v>0</v>
      </c>
      <c r="N21" s="197">
        <v>0</v>
      </c>
      <c r="O21" s="198">
        <f t="shared" si="1"/>
        <v>0</v>
      </c>
      <c r="P21" s="199">
        <f t="shared" si="2"/>
        <v>416</v>
      </c>
      <c r="Q21" s="197">
        <v>1</v>
      </c>
      <c r="R21" s="196">
        <v>40.5</v>
      </c>
      <c r="S21" s="197">
        <v>26</v>
      </c>
      <c r="T21" s="198">
        <f t="shared" si="3"/>
        <v>1053</v>
      </c>
      <c r="U21" s="197">
        <v>0</v>
      </c>
      <c r="V21" s="196">
        <v>0</v>
      </c>
      <c r="W21" s="197">
        <v>0</v>
      </c>
      <c r="X21" s="198">
        <f t="shared" si="4"/>
        <v>0</v>
      </c>
      <c r="Y21" s="200">
        <f t="shared" si="5"/>
        <v>1053</v>
      </c>
      <c r="Z21" s="197">
        <v>1</v>
      </c>
      <c r="AA21" s="196">
        <v>80</v>
      </c>
      <c r="AB21" s="197">
        <v>1</v>
      </c>
      <c r="AC21" s="198">
        <f t="shared" si="6"/>
        <v>80</v>
      </c>
      <c r="AD21" s="197">
        <v>0</v>
      </c>
      <c r="AE21" s="196">
        <v>0</v>
      </c>
      <c r="AF21" s="197">
        <v>0</v>
      </c>
      <c r="AG21" s="198">
        <f t="shared" si="7"/>
        <v>0</v>
      </c>
      <c r="AH21" s="200">
        <f t="shared" si="8"/>
        <v>80</v>
      </c>
      <c r="AI21" s="199">
        <f t="shared" si="12"/>
        <v>2382.1</v>
      </c>
      <c r="AJ21" s="201">
        <f t="shared" si="13"/>
        <v>0.45818426620503944</v>
      </c>
      <c r="AK21" s="196">
        <v>309.85900000000004</v>
      </c>
      <c r="AL21" s="196">
        <v>51.99</v>
      </c>
      <c r="AM21" s="196">
        <v>51.99</v>
      </c>
      <c r="AN21" s="196">
        <v>155.97</v>
      </c>
      <c r="AO21" s="196">
        <v>33.793500000000002</v>
      </c>
      <c r="AP21" s="196">
        <v>259.95</v>
      </c>
      <c r="AQ21" s="202">
        <f t="shared" si="9"/>
        <v>553.69349999999997</v>
      </c>
      <c r="AR21" s="202">
        <f t="shared" si="10"/>
        <v>863.55250000000001</v>
      </c>
      <c r="AS21" s="203">
        <f t="shared" si="11"/>
        <v>4335.4475000000002</v>
      </c>
    </row>
    <row r="22" spans="2:45" s="131" customFormat="1" ht="18" hidden="1" customHeight="1">
      <c r="B22" s="194" t="s">
        <v>1143</v>
      </c>
      <c r="C22" s="194">
        <v>157</v>
      </c>
      <c r="D22" s="195" t="s">
        <v>941</v>
      </c>
      <c r="E22" s="196">
        <v>5377</v>
      </c>
      <c r="F22" s="196">
        <v>914.6</v>
      </c>
      <c r="G22" s="196">
        <v>0</v>
      </c>
      <c r="H22" s="197">
        <v>1</v>
      </c>
      <c r="I22" s="196">
        <v>16</v>
      </c>
      <c r="J22" s="197">
        <v>26</v>
      </c>
      <c r="K22" s="198">
        <f t="shared" si="0"/>
        <v>416</v>
      </c>
      <c r="L22" s="197">
        <v>0</v>
      </c>
      <c r="M22" s="196">
        <v>0</v>
      </c>
      <c r="N22" s="197">
        <v>0</v>
      </c>
      <c r="O22" s="198">
        <f t="shared" si="1"/>
        <v>0</v>
      </c>
      <c r="P22" s="199">
        <f t="shared" si="2"/>
        <v>416</v>
      </c>
      <c r="Q22" s="197">
        <v>1</v>
      </c>
      <c r="R22" s="196">
        <v>40.5</v>
      </c>
      <c r="S22" s="197">
        <v>26</v>
      </c>
      <c r="T22" s="198">
        <f t="shared" si="3"/>
        <v>1053</v>
      </c>
      <c r="U22" s="197">
        <v>0</v>
      </c>
      <c r="V22" s="196">
        <v>0</v>
      </c>
      <c r="W22" s="197">
        <v>0</v>
      </c>
      <c r="X22" s="198">
        <f t="shared" si="4"/>
        <v>0</v>
      </c>
      <c r="Y22" s="200">
        <f t="shared" si="5"/>
        <v>1053</v>
      </c>
      <c r="Z22" s="197">
        <v>1</v>
      </c>
      <c r="AA22" s="196">
        <v>80</v>
      </c>
      <c r="AB22" s="197">
        <v>1</v>
      </c>
      <c r="AC22" s="198">
        <f t="shared" si="6"/>
        <v>80</v>
      </c>
      <c r="AD22" s="197">
        <v>0</v>
      </c>
      <c r="AE22" s="196">
        <v>0</v>
      </c>
      <c r="AF22" s="197">
        <v>0</v>
      </c>
      <c r="AG22" s="198">
        <f t="shared" si="7"/>
        <v>0</v>
      </c>
      <c r="AH22" s="200">
        <f t="shared" si="8"/>
        <v>80</v>
      </c>
      <c r="AI22" s="199">
        <f t="shared" si="12"/>
        <v>2463.6</v>
      </c>
      <c r="AJ22" s="201">
        <f t="shared" si="13"/>
        <v>0.45817370280825737</v>
      </c>
      <c r="AK22" s="196">
        <v>320.47399999999999</v>
      </c>
      <c r="AL22" s="196">
        <v>53.77</v>
      </c>
      <c r="AM22" s="196">
        <v>53.77</v>
      </c>
      <c r="AN22" s="196">
        <v>161.31</v>
      </c>
      <c r="AO22" s="196">
        <v>34.950499999999998</v>
      </c>
      <c r="AP22" s="196">
        <v>268.85000000000002</v>
      </c>
      <c r="AQ22" s="202">
        <f t="shared" si="9"/>
        <v>572.65049999999997</v>
      </c>
      <c r="AR22" s="202">
        <f t="shared" si="10"/>
        <v>893.1244999999999</v>
      </c>
      <c r="AS22" s="203">
        <f t="shared" si="11"/>
        <v>4483.8755000000001</v>
      </c>
    </row>
    <row r="23" spans="2:45" s="131" customFormat="1" ht="18" hidden="1" customHeight="1">
      <c r="B23" s="194" t="s">
        <v>1143</v>
      </c>
      <c r="C23" s="194">
        <v>158</v>
      </c>
      <c r="D23" s="195" t="s">
        <v>1137</v>
      </c>
      <c r="E23" s="196">
        <v>33786.42</v>
      </c>
      <c r="F23" s="196">
        <v>2796.15</v>
      </c>
      <c r="G23" s="196">
        <v>0</v>
      </c>
      <c r="H23" s="197">
        <v>1</v>
      </c>
      <c r="I23" s="196">
        <v>10</v>
      </c>
      <c r="J23" s="197">
        <v>26</v>
      </c>
      <c r="K23" s="198">
        <f t="shared" si="0"/>
        <v>260</v>
      </c>
      <c r="L23" s="197">
        <v>2</v>
      </c>
      <c r="M23" s="196">
        <v>19.25</v>
      </c>
      <c r="N23" s="197">
        <v>16</v>
      </c>
      <c r="O23" s="198">
        <f t="shared" si="1"/>
        <v>616</v>
      </c>
      <c r="P23" s="199">
        <f t="shared" si="2"/>
        <v>876</v>
      </c>
      <c r="Q23" s="197">
        <v>4</v>
      </c>
      <c r="R23" s="196">
        <v>18.2</v>
      </c>
      <c r="S23" s="197">
        <v>22</v>
      </c>
      <c r="T23" s="198">
        <f t="shared" si="3"/>
        <v>1601.6</v>
      </c>
      <c r="U23" s="197">
        <v>2</v>
      </c>
      <c r="V23" s="196">
        <v>18.2</v>
      </c>
      <c r="W23" s="207">
        <v>15.5</v>
      </c>
      <c r="X23" s="198">
        <f t="shared" si="4"/>
        <v>564.19999999999993</v>
      </c>
      <c r="Y23" s="200">
        <f t="shared" si="5"/>
        <v>2165.7999999999997</v>
      </c>
      <c r="Z23" s="197">
        <v>4</v>
      </c>
      <c r="AA23" s="208">
        <f>90/12</f>
        <v>7.5</v>
      </c>
      <c r="AB23" s="197">
        <v>2</v>
      </c>
      <c r="AC23" s="198">
        <f t="shared" si="6"/>
        <v>60</v>
      </c>
      <c r="AD23" s="197">
        <v>2</v>
      </c>
      <c r="AE23" s="208">
        <f>90/12</f>
        <v>7.5</v>
      </c>
      <c r="AF23" s="197">
        <v>2</v>
      </c>
      <c r="AG23" s="198">
        <f t="shared" si="7"/>
        <v>30</v>
      </c>
      <c r="AH23" s="200">
        <f t="shared" si="8"/>
        <v>90</v>
      </c>
      <c r="AI23" s="199">
        <f t="shared" si="12"/>
        <v>5927.95</v>
      </c>
      <c r="AJ23" s="201">
        <f t="shared" si="13"/>
        <v>0.17545362900242167</v>
      </c>
      <c r="AK23" s="196">
        <v>3064.4316999999996</v>
      </c>
      <c r="AL23" s="196">
        <v>337.86419999999998</v>
      </c>
      <c r="AM23" s="196">
        <v>337.86419999999998</v>
      </c>
      <c r="AN23" s="196">
        <v>1013.5925999999999</v>
      </c>
      <c r="AO23" s="196">
        <v>219.61172999999997</v>
      </c>
      <c r="AP23" s="209">
        <v>0</v>
      </c>
      <c r="AQ23" s="202">
        <f t="shared" si="9"/>
        <v>1908.93273</v>
      </c>
      <c r="AR23" s="202">
        <f t="shared" si="10"/>
        <v>4973.3644299999996</v>
      </c>
      <c r="AS23" s="203">
        <f t="shared" si="11"/>
        <v>28813.055569999997</v>
      </c>
    </row>
    <row r="24" spans="2:45" s="131" customFormat="1" ht="18" hidden="1" customHeight="1">
      <c r="B24" s="194" t="s">
        <v>1143</v>
      </c>
      <c r="C24" s="194">
        <v>159</v>
      </c>
      <c r="D24" s="195" t="s">
        <v>1113</v>
      </c>
      <c r="E24" s="196">
        <v>23824.9</v>
      </c>
      <c r="F24" s="196">
        <v>0</v>
      </c>
      <c r="G24" s="196">
        <v>0</v>
      </c>
      <c r="H24" s="197">
        <v>0</v>
      </c>
      <c r="I24" s="196">
        <v>0</v>
      </c>
      <c r="J24" s="197">
        <v>0</v>
      </c>
      <c r="K24" s="198">
        <f t="shared" si="0"/>
        <v>0</v>
      </c>
      <c r="L24" s="197">
        <v>0</v>
      </c>
      <c r="M24" s="196">
        <v>0</v>
      </c>
      <c r="N24" s="197">
        <v>0</v>
      </c>
      <c r="O24" s="198">
        <f t="shared" si="1"/>
        <v>0</v>
      </c>
      <c r="P24" s="199">
        <f t="shared" si="2"/>
        <v>0</v>
      </c>
      <c r="Q24" s="197">
        <v>0</v>
      </c>
      <c r="R24" s="196">
        <v>0</v>
      </c>
      <c r="S24" s="197">
        <v>0</v>
      </c>
      <c r="T24" s="198">
        <f t="shared" si="3"/>
        <v>0</v>
      </c>
      <c r="U24" s="197">
        <v>0</v>
      </c>
      <c r="V24" s="196">
        <v>0</v>
      </c>
      <c r="W24" s="207">
        <v>0</v>
      </c>
      <c r="X24" s="198">
        <f t="shared" si="4"/>
        <v>0</v>
      </c>
      <c r="Y24" s="200">
        <f t="shared" si="5"/>
        <v>0</v>
      </c>
      <c r="Z24" s="197">
        <v>0</v>
      </c>
      <c r="AA24" s="196">
        <v>0</v>
      </c>
      <c r="AB24" s="197">
        <v>0</v>
      </c>
      <c r="AC24" s="198">
        <f t="shared" si="6"/>
        <v>0</v>
      </c>
      <c r="AD24" s="197">
        <v>0</v>
      </c>
      <c r="AE24" s="196">
        <v>0</v>
      </c>
      <c r="AF24" s="197">
        <v>0</v>
      </c>
      <c r="AG24" s="198">
        <f t="shared" si="7"/>
        <v>0</v>
      </c>
      <c r="AH24" s="200">
        <f t="shared" si="8"/>
        <v>0</v>
      </c>
      <c r="AI24" s="199">
        <f t="shared" si="12"/>
        <v>0</v>
      </c>
      <c r="AJ24" s="201">
        <f t="shared" si="13"/>
        <v>0</v>
      </c>
      <c r="AK24" s="196">
        <v>2620.739</v>
      </c>
      <c r="AL24" s="209">
        <v>357.37</v>
      </c>
      <c r="AM24" s="196">
        <v>238.24900000000002</v>
      </c>
      <c r="AN24" s="196">
        <v>714.74700000000007</v>
      </c>
      <c r="AO24" s="196">
        <v>154.86185</v>
      </c>
      <c r="AP24" s="209">
        <v>0</v>
      </c>
      <c r="AQ24" s="202">
        <f t="shared" si="9"/>
        <v>1465.22785</v>
      </c>
      <c r="AR24" s="202">
        <f t="shared" si="10"/>
        <v>4085.9668499999998</v>
      </c>
      <c r="AS24" s="203">
        <f t="shared" si="11"/>
        <v>19738.933150000001</v>
      </c>
    </row>
    <row r="25" spans="2:45" s="131" customFormat="1" ht="18" hidden="1" customHeight="1">
      <c r="B25" s="194" t="s">
        <v>1143</v>
      </c>
      <c r="C25" s="194">
        <v>160</v>
      </c>
      <c r="D25" s="195" t="s">
        <v>1114</v>
      </c>
      <c r="E25" s="196">
        <v>4018.49</v>
      </c>
      <c r="F25" s="196">
        <v>0</v>
      </c>
      <c r="G25" s="196">
        <v>0</v>
      </c>
      <c r="H25" s="197">
        <v>0</v>
      </c>
      <c r="I25" s="196">
        <v>0</v>
      </c>
      <c r="J25" s="197">
        <v>0</v>
      </c>
      <c r="K25" s="198">
        <f t="shared" si="0"/>
        <v>0</v>
      </c>
      <c r="L25" s="197">
        <v>0</v>
      </c>
      <c r="M25" s="196">
        <v>0</v>
      </c>
      <c r="N25" s="197">
        <v>0</v>
      </c>
      <c r="O25" s="198">
        <f t="shared" si="1"/>
        <v>0</v>
      </c>
      <c r="P25" s="199">
        <f t="shared" si="2"/>
        <v>0</v>
      </c>
      <c r="Q25" s="197">
        <v>0</v>
      </c>
      <c r="R25" s="196">
        <v>0</v>
      </c>
      <c r="S25" s="197">
        <v>0</v>
      </c>
      <c r="T25" s="198">
        <f t="shared" si="3"/>
        <v>0</v>
      </c>
      <c r="U25" s="197">
        <v>0</v>
      </c>
      <c r="V25" s="196">
        <v>0</v>
      </c>
      <c r="W25" s="207">
        <v>0</v>
      </c>
      <c r="X25" s="198">
        <f t="shared" si="4"/>
        <v>0</v>
      </c>
      <c r="Y25" s="200">
        <f t="shared" si="5"/>
        <v>0</v>
      </c>
      <c r="Z25" s="197">
        <v>0</v>
      </c>
      <c r="AA25" s="196">
        <v>0</v>
      </c>
      <c r="AB25" s="197">
        <v>0</v>
      </c>
      <c r="AC25" s="198">
        <f t="shared" si="6"/>
        <v>0</v>
      </c>
      <c r="AD25" s="197">
        <v>0</v>
      </c>
      <c r="AE25" s="196">
        <v>0</v>
      </c>
      <c r="AF25" s="197">
        <v>0</v>
      </c>
      <c r="AG25" s="198">
        <f t="shared" si="7"/>
        <v>0</v>
      </c>
      <c r="AH25" s="200">
        <f t="shared" si="8"/>
        <v>0</v>
      </c>
      <c r="AI25" s="199">
        <f t="shared" si="12"/>
        <v>0</v>
      </c>
      <c r="AJ25" s="201">
        <f t="shared" si="13"/>
        <v>0</v>
      </c>
      <c r="AK25" s="196">
        <v>442.03389999999996</v>
      </c>
      <c r="AL25" s="209">
        <v>60.28</v>
      </c>
      <c r="AM25" s="196">
        <v>40.184899999999999</v>
      </c>
      <c r="AN25" s="196">
        <v>120.55469999999998</v>
      </c>
      <c r="AO25" s="196">
        <v>26.120184999999996</v>
      </c>
      <c r="AP25" s="196">
        <v>200.92449999999999</v>
      </c>
      <c r="AQ25" s="202">
        <f t="shared" si="9"/>
        <v>448.06428499999993</v>
      </c>
      <c r="AR25" s="202">
        <f t="shared" si="10"/>
        <v>890.09818499999983</v>
      </c>
      <c r="AS25" s="203">
        <f t="shared" si="11"/>
        <v>3128.391815</v>
      </c>
    </row>
    <row r="26" spans="2:45" s="131" customFormat="1" ht="18" hidden="1" customHeight="1">
      <c r="B26" s="194" t="s">
        <v>1143</v>
      </c>
      <c r="C26" s="194">
        <v>162</v>
      </c>
      <c r="D26" s="195" t="s">
        <v>1131</v>
      </c>
      <c r="E26" s="196">
        <v>3891.25</v>
      </c>
      <c r="F26" s="196">
        <v>0</v>
      </c>
      <c r="G26" s="196">
        <v>0</v>
      </c>
      <c r="H26" s="197">
        <v>0</v>
      </c>
      <c r="I26" s="196">
        <v>0</v>
      </c>
      <c r="J26" s="197">
        <v>0</v>
      </c>
      <c r="K26" s="198">
        <f t="shared" si="0"/>
        <v>0</v>
      </c>
      <c r="L26" s="197">
        <v>0</v>
      </c>
      <c r="M26" s="196">
        <v>0</v>
      </c>
      <c r="N26" s="197">
        <v>0</v>
      </c>
      <c r="O26" s="198">
        <f t="shared" si="1"/>
        <v>0</v>
      </c>
      <c r="P26" s="199">
        <f t="shared" si="2"/>
        <v>0</v>
      </c>
      <c r="Q26" s="197">
        <v>0</v>
      </c>
      <c r="R26" s="196">
        <v>0</v>
      </c>
      <c r="S26" s="197">
        <v>0</v>
      </c>
      <c r="T26" s="198">
        <f t="shared" si="3"/>
        <v>0</v>
      </c>
      <c r="U26" s="197">
        <v>0</v>
      </c>
      <c r="V26" s="196">
        <v>0</v>
      </c>
      <c r="W26" s="207">
        <v>0</v>
      </c>
      <c r="X26" s="198">
        <f t="shared" si="4"/>
        <v>0</v>
      </c>
      <c r="Y26" s="200">
        <f t="shared" si="5"/>
        <v>0</v>
      </c>
      <c r="Z26" s="197">
        <v>0</v>
      </c>
      <c r="AA26" s="196">
        <v>0</v>
      </c>
      <c r="AB26" s="197">
        <v>0</v>
      </c>
      <c r="AC26" s="198">
        <f t="shared" si="6"/>
        <v>0</v>
      </c>
      <c r="AD26" s="197">
        <v>0</v>
      </c>
      <c r="AE26" s="196">
        <v>0</v>
      </c>
      <c r="AF26" s="197">
        <v>0</v>
      </c>
      <c r="AG26" s="198">
        <f t="shared" si="7"/>
        <v>0</v>
      </c>
      <c r="AH26" s="200">
        <f t="shared" si="8"/>
        <v>0</v>
      </c>
      <c r="AI26" s="199">
        <f t="shared" si="12"/>
        <v>0</v>
      </c>
      <c r="AJ26" s="201">
        <f t="shared" si="13"/>
        <v>0</v>
      </c>
      <c r="AK26" s="196">
        <v>428.03750000000002</v>
      </c>
      <c r="AL26" s="209">
        <v>58.37</v>
      </c>
      <c r="AM26" s="196">
        <v>38.912500000000001</v>
      </c>
      <c r="AN26" s="196">
        <v>116.7375</v>
      </c>
      <c r="AO26" s="196">
        <v>25.293125</v>
      </c>
      <c r="AP26" s="209">
        <v>0</v>
      </c>
      <c r="AQ26" s="202">
        <f t="shared" si="9"/>
        <v>239.31312499999999</v>
      </c>
      <c r="AR26" s="202">
        <f t="shared" si="10"/>
        <v>667.35062500000004</v>
      </c>
      <c r="AS26" s="203">
        <f t="shared" si="11"/>
        <v>3223.899375</v>
      </c>
    </row>
    <row r="27" spans="2:45" s="131" customFormat="1" ht="18" hidden="1" customHeight="1">
      <c r="B27" s="194" t="s">
        <v>1143</v>
      </c>
      <c r="C27" s="194">
        <v>161</v>
      </c>
      <c r="D27" s="195" t="s">
        <v>1132</v>
      </c>
      <c r="E27" s="196">
        <v>4104.1000000000004</v>
      </c>
      <c r="F27" s="196">
        <v>0</v>
      </c>
      <c r="G27" s="196">
        <v>0</v>
      </c>
      <c r="H27" s="197">
        <v>0</v>
      </c>
      <c r="I27" s="196">
        <v>0</v>
      </c>
      <c r="J27" s="197">
        <v>0</v>
      </c>
      <c r="K27" s="198">
        <f t="shared" si="0"/>
        <v>0</v>
      </c>
      <c r="L27" s="197">
        <v>0</v>
      </c>
      <c r="M27" s="196">
        <v>0</v>
      </c>
      <c r="N27" s="197">
        <v>0</v>
      </c>
      <c r="O27" s="198">
        <f t="shared" si="1"/>
        <v>0</v>
      </c>
      <c r="P27" s="199">
        <f t="shared" si="2"/>
        <v>0</v>
      </c>
      <c r="Q27" s="197">
        <v>0</v>
      </c>
      <c r="R27" s="196">
        <v>0</v>
      </c>
      <c r="S27" s="197">
        <v>0</v>
      </c>
      <c r="T27" s="198">
        <f t="shared" si="3"/>
        <v>0</v>
      </c>
      <c r="U27" s="197">
        <v>0</v>
      </c>
      <c r="V27" s="196">
        <v>0</v>
      </c>
      <c r="W27" s="207">
        <v>0</v>
      </c>
      <c r="X27" s="198">
        <f t="shared" si="4"/>
        <v>0</v>
      </c>
      <c r="Y27" s="200">
        <f t="shared" si="5"/>
        <v>0</v>
      </c>
      <c r="Z27" s="197">
        <v>0</v>
      </c>
      <c r="AA27" s="196">
        <v>0</v>
      </c>
      <c r="AB27" s="197">
        <v>0</v>
      </c>
      <c r="AC27" s="198">
        <f t="shared" si="6"/>
        <v>0</v>
      </c>
      <c r="AD27" s="197">
        <v>0</v>
      </c>
      <c r="AE27" s="196">
        <v>0</v>
      </c>
      <c r="AF27" s="197">
        <v>0</v>
      </c>
      <c r="AG27" s="198">
        <f t="shared" si="7"/>
        <v>0</v>
      </c>
      <c r="AH27" s="200">
        <f t="shared" si="8"/>
        <v>0</v>
      </c>
      <c r="AI27" s="199">
        <f t="shared" si="12"/>
        <v>0</v>
      </c>
      <c r="AJ27" s="201">
        <f t="shared" si="13"/>
        <v>0</v>
      </c>
      <c r="AK27" s="196">
        <v>451.45100000000002</v>
      </c>
      <c r="AL27" s="209">
        <v>61.56</v>
      </c>
      <c r="AM27" s="196">
        <v>41.041000000000004</v>
      </c>
      <c r="AN27" s="196">
        <v>123.123</v>
      </c>
      <c r="AO27" s="196">
        <v>26.676650000000002</v>
      </c>
      <c r="AP27" s="196">
        <v>205.20500000000004</v>
      </c>
      <c r="AQ27" s="202">
        <f t="shared" si="9"/>
        <v>457.60565000000003</v>
      </c>
      <c r="AR27" s="202">
        <f t="shared" si="10"/>
        <v>909.05664999999999</v>
      </c>
      <c r="AS27" s="203">
        <f t="shared" si="11"/>
        <v>3195.0433500000004</v>
      </c>
    </row>
    <row r="28" spans="2:45" s="131" customFormat="1" ht="18" hidden="1" customHeight="1">
      <c r="B28" s="194" t="s">
        <v>1152</v>
      </c>
      <c r="C28" s="194">
        <v>185</v>
      </c>
      <c r="D28" s="195" t="s">
        <v>982</v>
      </c>
      <c r="E28" s="196">
        <v>5928</v>
      </c>
      <c r="F28" s="196">
        <v>950.61</v>
      </c>
      <c r="G28" s="196">
        <v>326.16666666666669</v>
      </c>
      <c r="H28" s="197">
        <v>1</v>
      </c>
      <c r="I28" s="196">
        <v>16</v>
      </c>
      <c r="J28" s="197">
        <v>26</v>
      </c>
      <c r="K28" s="198">
        <f t="shared" si="0"/>
        <v>416</v>
      </c>
      <c r="L28" s="197">
        <v>0</v>
      </c>
      <c r="M28" s="196">
        <v>0</v>
      </c>
      <c r="N28" s="197">
        <v>0</v>
      </c>
      <c r="O28" s="198">
        <f t="shared" si="1"/>
        <v>0</v>
      </c>
      <c r="P28" s="199">
        <f t="shared" si="2"/>
        <v>416</v>
      </c>
      <c r="Q28" s="197">
        <v>1</v>
      </c>
      <c r="R28" s="196">
        <v>42.5</v>
      </c>
      <c r="S28" s="197">
        <v>26</v>
      </c>
      <c r="T28" s="198">
        <f t="shared" si="3"/>
        <v>1105</v>
      </c>
      <c r="U28" s="196">
        <v>0</v>
      </c>
      <c r="V28" s="196">
        <v>0</v>
      </c>
      <c r="W28" s="197">
        <v>0</v>
      </c>
      <c r="X28" s="198">
        <f t="shared" si="4"/>
        <v>0</v>
      </c>
      <c r="Y28" s="200">
        <f t="shared" si="5"/>
        <v>1105</v>
      </c>
      <c r="Z28" s="197">
        <v>1</v>
      </c>
      <c r="AA28" s="196">
        <v>80</v>
      </c>
      <c r="AB28" s="197">
        <v>1</v>
      </c>
      <c r="AC28" s="198">
        <f t="shared" si="6"/>
        <v>80</v>
      </c>
      <c r="AD28" s="197">
        <v>0</v>
      </c>
      <c r="AE28" s="196">
        <v>0</v>
      </c>
      <c r="AF28" s="196">
        <v>0</v>
      </c>
      <c r="AG28" s="198">
        <f t="shared" si="7"/>
        <v>0</v>
      </c>
      <c r="AH28" s="200">
        <f t="shared" si="8"/>
        <v>80</v>
      </c>
      <c r="AI28" s="199">
        <f t="shared" si="12"/>
        <v>2877.7766666666666</v>
      </c>
      <c r="AJ28" s="201">
        <f t="shared" si="13"/>
        <v>0.48545490328385066</v>
      </c>
      <c r="AK28" s="196">
        <v>335.52456666666666</v>
      </c>
      <c r="AL28" s="196">
        <v>59.28</v>
      </c>
      <c r="AM28" s="196">
        <v>59.28</v>
      </c>
      <c r="AN28" s="196">
        <v>177.84</v>
      </c>
      <c r="AO28" s="196">
        <v>38.531999999999996</v>
      </c>
      <c r="AP28" s="196">
        <v>296.40000000000003</v>
      </c>
      <c r="AQ28" s="202">
        <f t="shared" si="9"/>
        <v>631.33199999999999</v>
      </c>
      <c r="AR28" s="202">
        <f t="shared" si="10"/>
        <v>966.85656666666659</v>
      </c>
      <c r="AS28" s="203">
        <f t="shared" si="11"/>
        <v>4961.1434333333336</v>
      </c>
    </row>
    <row r="29" spans="2:45" s="131" customFormat="1" ht="18" hidden="1" customHeight="1">
      <c r="B29" s="194" t="s">
        <v>1152</v>
      </c>
      <c r="C29" s="194">
        <v>171</v>
      </c>
      <c r="D29" s="195" t="s">
        <v>1003</v>
      </c>
      <c r="E29" s="196">
        <v>16252</v>
      </c>
      <c r="F29" s="196">
        <v>2331.4</v>
      </c>
      <c r="G29" s="196">
        <v>300</v>
      </c>
      <c r="H29" s="197">
        <v>1</v>
      </c>
      <c r="I29" s="196">
        <v>16</v>
      </c>
      <c r="J29" s="197">
        <v>26</v>
      </c>
      <c r="K29" s="198">
        <f t="shared" si="0"/>
        <v>416</v>
      </c>
      <c r="L29" s="197">
        <v>2</v>
      </c>
      <c r="M29" s="196">
        <v>16</v>
      </c>
      <c r="N29" s="197">
        <v>16</v>
      </c>
      <c r="O29" s="198">
        <f t="shared" si="1"/>
        <v>512</v>
      </c>
      <c r="P29" s="199">
        <f t="shared" si="2"/>
        <v>928</v>
      </c>
      <c r="Q29" s="197">
        <v>1</v>
      </c>
      <c r="R29" s="196">
        <v>42.5</v>
      </c>
      <c r="S29" s="197">
        <v>26</v>
      </c>
      <c r="T29" s="198">
        <f t="shared" si="3"/>
        <v>1105</v>
      </c>
      <c r="U29" s="196">
        <v>2</v>
      </c>
      <c r="V29" s="196">
        <v>42.5</v>
      </c>
      <c r="W29" s="197">
        <v>16</v>
      </c>
      <c r="X29" s="198">
        <f t="shared" si="4"/>
        <v>1360</v>
      </c>
      <c r="Y29" s="200">
        <f t="shared" si="5"/>
        <v>2465</v>
      </c>
      <c r="Z29" s="197">
        <v>1</v>
      </c>
      <c r="AA29" s="196">
        <v>80</v>
      </c>
      <c r="AB29" s="197">
        <v>1</v>
      </c>
      <c r="AC29" s="198">
        <f t="shared" si="6"/>
        <v>80</v>
      </c>
      <c r="AD29" s="197">
        <v>2</v>
      </c>
      <c r="AE29" s="196">
        <v>80</v>
      </c>
      <c r="AF29" s="197">
        <v>1</v>
      </c>
      <c r="AG29" s="198">
        <f t="shared" si="7"/>
        <v>160</v>
      </c>
      <c r="AH29" s="200">
        <f t="shared" si="8"/>
        <v>240</v>
      </c>
      <c r="AI29" s="199">
        <f t="shared" si="12"/>
        <v>6264.4</v>
      </c>
      <c r="AJ29" s="201">
        <f t="shared" si="13"/>
        <v>0.3854540979571745</v>
      </c>
      <c r="AK29" s="196">
        <v>1098.636</v>
      </c>
      <c r="AL29" s="196">
        <v>162.52000000000001</v>
      </c>
      <c r="AM29" s="196">
        <v>162.52000000000001</v>
      </c>
      <c r="AN29" s="196">
        <v>487.56</v>
      </c>
      <c r="AO29" s="196">
        <v>105.63799999999999</v>
      </c>
      <c r="AP29" s="196">
        <v>812.6</v>
      </c>
      <c r="AQ29" s="202">
        <f t="shared" si="9"/>
        <v>1730.8380000000002</v>
      </c>
      <c r="AR29" s="202">
        <f t="shared" si="10"/>
        <v>2829.4740000000002</v>
      </c>
      <c r="AS29" s="203">
        <f t="shared" si="11"/>
        <v>13422.526</v>
      </c>
    </row>
    <row r="30" spans="2:45" s="131" customFormat="1" ht="18" hidden="1" customHeight="1">
      <c r="B30" s="194" t="s">
        <v>1152</v>
      </c>
      <c r="C30" s="194">
        <v>165</v>
      </c>
      <c r="D30" s="195" t="s">
        <v>1082</v>
      </c>
      <c r="E30" s="196">
        <v>5562</v>
      </c>
      <c r="F30" s="196">
        <v>911.65</v>
      </c>
      <c r="G30" s="196">
        <v>187.41666666666666</v>
      </c>
      <c r="H30" s="197">
        <v>1</v>
      </c>
      <c r="I30" s="196">
        <v>16</v>
      </c>
      <c r="J30" s="197">
        <v>26</v>
      </c>
      <c r="K30" s="198">
        <f t="shared" si="0"/>
        <v>416</v>
      </c>
      <c r="L30" s="197">
        <v>0</v>
      </c>
      <c r="M30" s="196">
        <v>0</v>
      </c>
      <c r="N30" s="197">
        <v>0</v>
      </c>
      <c r="O30" s="198">
        <f t="shared" si="1"/>
        <v>0</v>
      </c>
      <c r="P30" s="199">
        <f t="shared" si="2"/>
        <v>416</v>
      </c>
      <c r="Q30" s="197">
        <v>1</v>
      </c>
      <c r="R30" s="196">
        <v>42.5</v>
      </c>
      <c r="S30" s="197">
        <v>26</v>
      </c>
      <c r="T30" s="198">
        <f t="shared" si="3"/>
        <v>1105</v>
      </c>
      <c r="U30" s="196">
        <v>0</v>
      </c>
      <c r="V30" s="196">
        <v>0</v>
      </c>
      <c r="W30" s="197">
        <v>0</v>
      </c>
      <c r="X30" s="198">
        <f t="shared" si="4"/>
        <v>0</v>
      </c>
      <c r="Y30" s="200">
        <f t="shared" si="5"/>
        <v>1105</v>
      </c>
      <c r="Z30" s="197">
        <v>1</v>
      </c>
      <c r="AA30" s="196">
        <v>80</v>
      </c>
      <c r="AB30" s="197">
        <v>1</v>
      </c>
      <c r="AC30" s="198">
        <f t="shared" si="6"/>
        <v>80</v>
      </c>
      <c r="AD30" s="197">
        <v>0</v>
      </c>
      <c r="AE30" s="196">
        <v>0</v>
      </c>
      <c r="AF30" s="196">
        <v>0</v>
      </c>
      <c r="AG30" s="198">
        <f t="shared" si="7"/>
        <v>0</v>
      </c>
      <c r="AH30" s="200">
        <f t="shared" si="8"/>
        <v>80</v>
      </c>
      <c r="AI30" s="199">
        <f t="shared" si="12"/>
        <v>2700.0666666666666</v>
      </c>
      <c r="AJ30" s="201">
        <f t="shared" si="13"/>
        <v>0.48544887930001196</v>
      </c>
      <c r="AK30" s="196">
        <v>314.8126666666667</v>
      </c>
      <c r="AL30" s="196">
        <v>55.620000000000005</v>
      </c>
      <c r="AM30" s="196">
        <v>55.620000000000005</v>
      </c>
      <c r="AN30" s="196">
        <v>166.85999999999999</v>
      </c>
      <c r="AO30" s="196">
        <v>36.152999999999999</v>
      </c>
      <c r="AP30" s="196">
        <v>278.10000000000002</v>
      </c>
      <c r="AQ30" s="202">
        <f t="shared" si="9"/>
        <v>592.35300000000007</v>
      </c>
      <c r="AR30" s="202">
        <f t="shared" si="10"/>
        <v>907.16566666666677</v>
      </c>
      <c r="AS30" s="203">
        <f t="shared" si="11"/>
        <v>4654.8343333333332</v>
      </c>
    </row>
    <row r="31" spans="2:45" s="131" customFormat="1" ht="18" hidden="1" customHeight="1">
      <c r="B31" s="194" t="s">
        <v>1152</v>
      </c>
      <c r="C31" s="194">
        <v>166</v>
      </c>
      <c r="D31" s="195" t="s">
        <v>213</v>
      </c>
      <c r="E31" s="196">
        <v>26266</v>
      </c>
      <c r="F31" s="196">
        <v>3822</v>
      </c>
      <c r="G31" s="196">
        <v>0</v>
      </c>
      <c r="H31" s="197">
        <v>3</v>
      </c>
      <c r="I31" s="196">
        <v>16</v>
      </c>
      <c r="J31" s="197">
        <v>26</v>
      </c>
      <c r="K31" s="198">
        <f t="shared" si="0"/>
        <v>1248</v>
      </c>
      <c r="L31" s="197">
        <v>2</v>
      </c>
      <c r="M31" s="196">
        <v>16</v>
      </c>
      <c r="N31" s="197">
        <f>16+4</f>
        <v>20</v>
      </c>
      <c r="O31" s="198">
        <f t="shared" si="1"/>
        <v>640</v>
      </c>
      <c r="P31" s="199">
        <f t="shared" si="2"/>
        <v>1888</v>
      </c>
      <c r="Q31" s="197">
        <v>3</v>
      </c>
      <c r="R31" s="196">
        <v>42.5</v>
      </c>
      <c r="S31" s="197">
        <v>26</v>
      </c>
      <c r="T31" s="198">
        <f t="shared" si="3"/>
        <v>3315</v>
      </c>
      <c r="U31" s="197">
        <v>2</v>
      </c>
      <c r="V31" s="196">
        <v>42.5</v>
      </c>
      <c r="W31" s="197">
        <f>16+4</f>
        <v>20</v>
      </c>
      <c r="X31" s="198">
        <f t="shared" si="4"/>
        <v>1700</v>
      </c>
      <c r="Y31" s="200">
        <f t="shared" si="5"/>
        <v>5015</v>
      </c>
      <c r="Z31" s="197">
        <v>3</v>
      </c>
      <c r="AA31" s="196">
        <v>60</v>
      </c>
      <c r="AB31" s="197">
        <v>1</v>
      </c>
      <c r="AC31" s="198">
        <f t="shared" si="6"/>
        <v>180</v>
      </c>
      <c r="AD31" s="197">
        <v>3</v>
      </c>
      <c r="AE31" s="196">
        <v>90</v>
      </c>
      <c r="AF31" s="197">
        <v>1</v>
      </c>
      <c r="AG31" s="198">
        <f t="shared" si="7"/>
        <v>270</v>
      </c>
      <c r="AH31" s="200">
        <f t="shared" si="8"/>
        <v>450</v>
      </c>
      <c r="AI31" s="199">
        <f t="shared" si="12"/>
        <v>11175</v>
      </c>
      <c r="AJ31" s="201">
        <f t="shared" si="13"/>
        <v>0.42545496078580675</v>
      </c>
      <c r="AK31" s="196">
        <v>1660.01</v>
      </c>
      <c r="AL31" s="196">
        <v>262.66000000000003</v>
      </c>
      <c r="AM31" s="196">
        <v>262.66000000000003</v>
      </c>
      <c r="AN31" s="196">
        <v>787.98</v>
      </c>
      <c r="AO31" s="196">
        <v>170.72899999999998</v>
      </c>
      <c r="AP31" s="196">
        <v>1313.3000000000002</v>
      </c>
      <c r="AQ31" s="202">
        <f t="shared" si="9"/>
        <v>2797.3290000000006</v>
      </c>
      <c r="AR31" s="202">
        <f t="shared" si="10"/>
        <v>4457.3390000000009</v>
      </c>
      <c r="AS31" s="203">
        <f t="shared" si="11"/>
        <v>21808.661</v>
      </c>
    </row>
    <row r="32" spans="2:45" s="131" customFormat="1" ht="18" hidden="1" customHeight="1">
      <c r="B32" s="194" t="s">
        <v>1152</v>
      </c>
      <c r="C32" s="194">
        <v>168</v>
      </c>
      <c r="D32" s="195" t="s">
        <v>1081</v>
      </c>
      <c r="E32" s="196">
        <v>5810</v>
      </c>
      <c r="F32" s="196">
        <v>710.95</v>
      </c>
      <c r="G32" s="196">
        <v>350</v>
      </c>
      <c r="H32" s="197">
        <v>1</v>
      </c>
      <c r="I32" s="196">
        <v>16</v>
      </c>
      <c r="J32" s="197">
        <v>26</v>
      </c>
      <c r="K32" s="198">
        <f t="shared" si="0"/>
        <v>416</v>
      </c>
      <c r="L32" s="197">
        <v>0</v>
      </c>
      <c r="M32" s="196">
        <v>0</v>
      </c>
      <c r="N32" s="197">
        <v>0</v>
      </c>
      <c r="O32" s="198">
        <f t="shared" si="1"/>
        <v>0</v>
      </c>
      <c r="P32" s="199">
        <f t="shared" si="2"/>
        <v>416</v>
      </c>
      <c r="Q32" s="197">
        <v>1</v>
      </c>
      <c r="R32" s="196">
        <v>42.5</v>
      </c>
      <c r="S32" s="197">
        <v>26</v>
      </c>
      <c r="T32" s="198">
        <f t="shared" si="3"/>
        <v>1105</v>
      </c>
      <c r="U32" s="196">
        <v>0</v>
      </c>
      <c r="V32" s="196">
        <v>0</v>
      </c>
      <c r="W32" s="197">
        <v>0</v>
      </c>
      <c r="X32" s="198">
        <f t="shared" si="4"/>
        <v>0</v>
      </c>
      <c r="Y32" s="200">
        <f t="shared" si="5"/>
        <v>1105</v>
      </c>
      <c r="Z32" s="197">
        <v>1</v>
      </c>
      <c r="AA32" s="196">
        <v>80</v>
      </c>
      <c r="AB32" s="197">
        <v>1</v>
      </c>
      <c r="AC32" s="198">
        <f t="shared" si="6"/>
        <v>80</v>
      </c>
      <c r="AD32" s="197">
        <v>0</v>
      </c>
      <c r="AE32" s="196">
        <v>0</v>
      </c>
      <c r="AF32" s="196">
        <v>0</v>
      </c>
      <c r="AG32" s="198">
        <f t="shared" si="7"/>
        <v>0</v>
      </c>
      <c r="AH32" s="200">
        <f t="shared" si="8"/>
        <v>80</v>
      </c>
      <c r="AI32" s="199">
        <f t="shared" si="12"/>
        <v>2661.95</v>
      </c>
      <c r="AJ32" s="201">
        <f t="shared" si="13"/>
        <v>0.45816695352839926</v>
      </c>
      <c r="AK32" s="196">
        <v>346.28550000000001</v>
      </c>
      <c r="AL32" s="196">
        <v>58.1</v>
      </c>
      <c r="AM32" s="196">
        <v>58.1</v>
      </c>
      <c r="AN32" s="196">
        <v>174.29999999999998</v>
      </c>
      <c r="AO32" s="196">
        <v>37.765000000000001</v>
      </c>
      <c r="AP32" s="196">
        <v>290.5</v>
      </c>
      <c r="AQ32" s="202">
        <f t="shared" si="9"/>
        <v>618.76499999999999</v>
      </c>
      <c r="AR32" s="202">
        <f t="shared" si="10"/>
        <v>965.05050000000006</v>
      </c>
      <c r="AS32" s="203">
        <f t="shared" si="11"/>
        <v>4844.9494999999997</v>
      </c>
    </row>
    <row r="33" spans="2:45" s="131" customFormat="1" ht="18" hidden="1" customHeight="1">
      <c r="B33" s="194" t="s">
        <v>1152</v>
      </c>
      <c r="C33" s="194">
        <v>169</v>
      </c>
      <c r="D33" s="195" t="s">
        <v>941</v>
      </c>
      <c r="E33" s="196">
        <v>5928</v>
      </c>
      <c r="F33" s="196">
        <v>898.55</v>
      </c>
      <c r="G33" s="196">
        <v>216.5</v>
      </c>
      <c r="H33" s="197">
        <v>1</v>
      </c>
      <c r="I33" s="196">
        <v>16</v>
      </c>
      <c r="J33" s="197">
        <v>26</v>
      </c>
      <c r="K33" s="198">
        <f t="shared" si="0"/>
        <v>416</v>
      </c>
      <c r="L33" s="197">
        <v>0</v>
      </c>
      <c r="M33" s="196">
        <v>0</v>
      </c>
      <c r="N33" s="197">
        <v>0</v>
      </c>
      <c r="O33" s="198">
        <f t="shared" si="1"/>
        <v>0</v>
      </c>
      <c r="P33" s="199">
        <f t="shared" si="2"/>
        <v>416</v>
      </c>
      <c r="Q33" s="197">
        <v>1</v>
      </c>
      <c r="R33" s="196">
        <v>42.5</v>
      </c>
      <c r="S33" s="197">
        <v>26</v>
      </c>
      <c r="T33" s="198">
        <f t="shared" si="3"/>
        <v>1105</v>
      </c>
      <c r="U33" s="196">
        <v>0</v>
      </c>
      <c r="V33" s="196">
        <v>0</v>
      </c>
      <c r="W33" s="197">
        <v>0</v>
      </c>
      <c r="X33" s="198">
        <f t="shared" si="4"/>
        <v>0</v>
      </c>
      <c r="Y33" s="200">
        <f t="shared" si="5"/>
        <v>1105</v>
      </c>
      <c r="Z33" s="197">
        <v>1</v>
      </c>
      <c r="AA33" s="196">
        <v>80</v>
      </c>
      <c r="AB33" s="197">
        <v>1</v>
      </c>
      <c r="AC33" s="198">
        <f t="shared" si="6"/>
        <v>80</v>
      </c>
      <c r="AD33" s="197">
        <v>0</v>
      </c>
      <c r="AE33" s="196">
        <v>0</v>
      </c>
      <c r="AF33" s="196">
        <v>0</v>
      </c>
      <c r="AG33" s="198">
        <f t="shared" si="7"/>
        <v>0</v>
      </c>
      <c r="AH33" s="200">
        <f t="shared" si="8"/>
        <v>80</v>
      </c>
      <c r="AI33" s="199">
        <f t="shared" si="12"/>
        <v>2716.05</v>
      </c>
      <c r="AJ33" s="201">
        <f t="shared" si="13"/>
        <v>0.45817307692307696</v>
      </c>
      <c r="AK33" s="196">
        <v>353.31450000000001</v>
      </c>
      <c r="AL33" s="196">
        <v>59.28</v>
      </c>
      <c r="AM33" s="196">
        <v>59.28</v>
      </c>
      <c r="AN33" s="196">
        <v>177.84</v>
      </c>
      <c r="AO33" s="196">
        <v>38.531999999999996</v>
      </c>
      <c r="AP33" s="196">
        <v>296.40000000000003</v>
      </c>
      <c r="AQ33" s="202">
        <f t="shared" si="9"/>
        <v>631.33199999999999</v>
      </c>
      <c r="AR33" s="202">
        <f t="shared" si="10"/>
        <v>984.64650000000006</v>
      </c>
      <c r="AS33" s="203">
        <f t="shared" si="11"/>
        <v>4943.3535000000002</v>
      </c>
    </row>
    <row r="34" spans="2:45" s="131" customFormat="1" ht="18" hidden="1" customHeight="1">
      <c r="B34" s="194" t="s">
        <v>1152</v>
      </c>
      <c r="C34" s="194">
        <v>170</v>
      </c>
      <c r="D34" s="195" t="s">
        <v>1137</v>
      </c>
      <c r="E34" s="196">
        <v>36840</v>
      </c>
      <c r="F34" s="196">
        <v>2809.7</v>
      </c>
      <c r="G34" s="196">
        <v>0</v>
      </c>
      <c r="H34" s="197">
        <v>1</v>
      </c>
      <c r="I34" s="196">
        <v>16</v>
      </c>
      <c r="J34" s="197">
        <v>26</v>
      </c>
      <c r="K34" s="198">
        <f t="shared" si="0"/>
        <v>416</v>
      </c>
      <c r="L34" s="197">
        <v>2</v>
      </c>
      <c r="M34" s="196">
        <v>24</v>
      </c>
      <c r="N34" s="197">
        <v>16</v>
      </c>
      <c r="O34" s="198">
        <f t="shared" si="1"/>
        <v>768</v>
      </c>
      <c r="P34" s="199">
        <f t="shared" si="2"/>
        <v>1184</v>
      </c>
      <c r="Q34" s="197">
        <v>4</v>
      </c>
      <c r="R34" s="196">
        <v>20</v>
      </c>
      <c r="S34" s="197">
        <v>22</v>
      </c>
      <c r="T34" s="198">
        <f t="shared" si="3"/>
        <v>1760</v>
      </c>
      <c r="U34" s="197">
        <v>2</v>
      </c>
      <c r="V34" s="196">
        <v>20</v>
      </c>
      <c r="W34" s="207">
        <v>15.5</v>
      </c>
      <c r="X34" s="198">
        <f t="shared" si="4"/>
        <v>620</v>
      </c>
      <c r="Y34" s="200">
        <f t="shared" si="5"/>
        <v>2380</v>
      </c>
      <c r="Z34" s="197">
        <v>4</v>
      </c>
      <c r="AA34" s="208">
        <f>90/12</f>
        <v>7.5</v>
      </c>
      <c r="AB34" s="197">
        <v>2</v>
      </c>
      <c r="AC34" s="198">
        <f t="shared" si="6"/>
        <v>60</v>
      </c>
      <c r="AD34" s="197">
        <v>2</v>
      </c>
      <c r="AE34" s="208">
        <f>90/12</f>
        <v>7.5</v>
      </c>
      <c r="AF34" s="197">
        <v>2</v>
      </c>
      <c r="AG34" s="198">
        <f t="shared" si="7"/>
        <v>30</v>
      </c>
      <c r="AH34" s="200">
        <f t="shared" si="8"/>
        <v>90</v>
      </c>
      <c r="AI34" s="199">
        <f t="shared" si="12"/>
        <v>6463.7</v>
      </c>
      <c r="AJ34" s="201">
        <f t="shared" si="13"/>
        <v>0.17545331161780672</v>
      </c>
      <c r="AK34" s="196">
        <v>3341.393</v>
      </c>
      <c r="AL34" s="196">
        <v>368.40000000000003</v>
      </c>
      <c r="AM34" s="196">
        <v>368.40000000000003</v>
      </c>
      <c r="AN34" s="196">
        <v>1105.2</v>
      </c>
      <c r="AO34" s="196">
        <v>239.45999999999998</v>
      </c>
      <c r="AP34" s="209">
        <v>0</v>
      </c>
      <c r="AQ34" s="202">
        <f t="shared" si="9"/>
        <v>2081.46</v>
      </c>
      <c r="AR34" s="202">
        <f t="shared" si="10"/>
        <v>5422.8530000000001</v>
      </c>
      <c r="AS34" s="203">
        <f t="shared" si="11"/>
        <v>31417.147000000001</v>
      </c>
    </row>
    <row r="35" spans="2:45" s="131" customFormat="1" ht="18" hidden="1" customHeight="1">
      <c r="B35" s="194" t="s">
        <v>1152</v>
      </c>
      <c r="C35" s="194">
        <v>172</v>
      </c>
      <c r="D35" s="195" t="s">
        <v>982</v>
      </c>
      <c r="E35" s="196">
        <v>470</v>
      </c>
      <c r="F35" s="196">
        <v>228.16</v>
      </c>
      <c r="G35" s="196">
        <v>0</v>
      </c>
      <c r="H35" s="197">
        <v>0</v>
      </c>
      <c r="I35" s="196">
        <v>0</v>
      </c>
      <c r="J35" s="197">
        <v>0</v>
      </c>
      <c r="K35" s="198">
        <f t="shared" si="0"/>
        <v>0</v>
      </c>
      <c r="L35" s="197">
        <v>0</v>
      </c>
      <c r="M35" s="196">
        <v>0</v>
      </c>
      <c r="N35" s="197">
        <v>0</v>
      </c>
      <c r="O35" s="198">
        <f t="shared" si="1"/>
        <v>0</v>
      </c>
      <c r="P35" s="199">
        <f t="shared" si="2"/>
        <v>0</v>
      </c>
      <c r="Q35" s="197">
        <v>0</v>
      </c>
      <c r="R35" s="196">
        <v>0</v>
      </c>
      <c r="S35" s="197">
        <v>0</v>
      </c>
      <c r="T35" s="198">
        <f t="shared" si="3"/>
        <v>0</v>
      </c>
      <c r="U35" s="196">
        <v>0</v>
      </c>
      <c r="V35" s="196">
        <v>0</v>
      </c>
      <c r="W35" s="197">
        <v>0</v>
      </c>
      <c r="X35" s="198">
        <f t="shared" si="4"/>
        <v>0</v>
      </c>
      <c r="Y35" s="200">
        <f t="shared" si="5"/>
        <v>0</v>
      </c>
      <c r="Z35" s="197">
        <v>0</v>
      </c>
      <c r="AA35" s="196">
        <v>0</v>
      </c>
      <c r="AB35" s="197">
        <v>0</v>
      </c>
      <c r="AC35" s="198">
        <f t="shared" si="6"/>
        <v>0</v>
      </c>
      <c r="AD35" s="197">
        <v>0</v>
      </c>
      <c r="AE35" s="196">
        <v>0</v>
      </c>
      <c r="AF35" s="196">
        <v>0</v>
      </c>
      <c r="AG35" s="198">
        <f t="shared" si="7"/>
        <v>0</v>
      </c>
      <c r="AH35" s="200">
        <f t="shared" si="8"/>
        <v>0</v>
      </c>
      <c r="AI35" s="199">
        <f t="shared" si="12"/>
        <v>228.16</v>
      </c>
      <c r="AJ35" s="201">
        <f t="shared" si="13"/>
        <v>0.48544680851063832</v>
      </c>
      <c r="AK35" s="196">
        <v>26.602399999999999</v>
      </c>
      <c r="AL35" s="196">
        <v>4.7</v>
      </c>
      <c r="AM35" s="196">
        <v>4.7</v>
      </c>
      <c r="AN35" s="196">
        <v>14.1</v>
      </c>
      <c r="AO35" s="196">
        <v>3.0549999999999997</v>
      </c>
      <c r="AP35" s="196">
        <v>23.5</v>
      </c>
      <c r="AQ35" s="202">
        <f t="shared" si="9"/>
        <v>50.055</v>
      </c>
      <c r="AR35" s="202">
        <f t="shared" si="10"/>
        <v>76.657399999999996</v>
      </c>
      <c r="AS35" s="203">
        <f t="shared" si="11"/>
        <v>393.3426</v>
      </c>
    </row>
    <row r="36" spans="2:45" s="131" customFormat="1" ht="18" hidden="1" customHeight="1">
      <c r="B36" s="194" t="s">
        <v>1152</v>
      </c>
      <c r="C36" s="194">
        <v>177</v>
      </c>
      <c r="D36" s="195" t="s">
        <v>1003</v>
      </c>
      <c r="E36" s="196">
        <v>1456</v>
      </c>
      <c r="F36" s="196">
        <v>561.22</v>
      </c>
      <c r="G36" s="196">
        <v>0</v>
      </c>
      <c r="H36" s="197">
        <v>0</v>
      </c>
      <c r="I36" s="196">
        <v>0</v>
      </c>
      <c r="J36" s="197">
        <v>0</v>
      </c>
      <c r="K36" s="198">
        <f t="shared" si="0"/>
        <v>0</v>
      </c>
      <c r="L36" s="197">
        <v>0</v>
      </c>
      <c r="M36" s="196">
        <v>0</v>
      </c>
      <c r="N36" s="197">
        <v>0</v>
      </c>
      <c r="O36" s="198">
        <f t="shared" si="1"/>
        <v>0</v>
      </c>
      <c r="P36" s="199">
        <f t="shared" si="2"/>
        <v>0</v>
      </c>
      <c r="Q36" s="197">
        <v>0</v>
      </c>
      <c r="R36" s="196">
        <v>0</v>
      </c>
      <c r="S36" s="197">
        <v>0</v>
      </c>
      <c r="T36" s="198">
        <f t="shared" si="3"/>
        <v>0</v>
      </c>
      <c r="U36" s="196">
        <v>0</v>
      </c>
      <c r="V36" s="196">
        <v>42.5</v>
      </c>
      <c r="W36" s="197">
        <v>0</v>
      </c>
      <c r="X36" s="198">
        <f t="shared" si="4"/>
        <v>0</v>
      </c>
      <c r="Y36" s="200">
        <f t="shared" si="5"/>
        <v>0</v>
      </c>
      <c r="Z36" s="197">
        <v>0</v>
      </c>
      <c r="AA36" s="196">
        <v>0</v>
      </c>
      <c r="AB36" s="197">
        <v>0</v>
      </c>
      <c r="AC36" s="198">
        <f t="shared" si="6"/>
        <v>0</v>
      </c>
      <c r="AD36" s="197">
        <v>0</v>
      </c>
      <c r="AE36" s="196">
        <v>0</v>
      </c>
      <c r="AF36" s="197">
        <v>0</v>
      </c>
      <c r="AG36" s="198">
        <f t="shared" si="7"/>
        <v>0</v>
      </c>
      <c r="AH36" s="200">
        <f t="shared" si="8"/>
        <v>0</v>
      </c>
      <c r="AI36" s="199">
        <f t="shared" si="12"/>
        <v>561.22</v>
      </c>
      <c r="AJ36" s="201">
        <f t="shared" si="13"/>
        <v>0.3854532967032967</v>
      </c>
      <c r="AK36" s="196">
        <v>98.425799999999995</v>
      </c>
      <c r="AL36" s="196">
        <v>14.56</v>
      </c>
      <c r="AM36" s="196">
        <v>14.56</v>
      </c>
      <c r="AN36" s="196">
        <v>43.68</v>
      </c>
      <c r="AO36" s="196">
        <v>9.4640000000000004</v>
      </c>
      <c r="AP36" s="196">
        <v>72.8</v>
      </c>
      <c r="AQ36" s="202">
        <f t="shared" si="9"/>
        <v>155.06399999999999</v>
      </c>
      <c r="AR36" s="202">
        <f t="shared" si="10"/>
        <v>253.4898</v>
      </c>
      <c r="AS36" s="203">
        <f t="shared" si="11"/>
        <v>1202.5101999999999</v>
      </c>
    </row>
    <row r="37" spans="2:45" s="131" customFormat="1" ht="18" hidden="1" customHeight="1">
      <c r="B37" s="194" t="s">
        <v>1152</v>
      </c>
      <c r="C37" s="194">
        <v>179</v>
      </c>
      <c r="D37" s="195" t="s">
        <v>1082</v>
      </c>
      <c r="E37" s="196">
        <v>762</v>
      </c>
      <c r="F37" s="196">
        <v>369.91</v>
      </c>
      <c r="G37" s="196">
        <v>0</v>
      </c>
      <c r="H37" s="197">
        <v>0</v>
      </c>
      <c r="I37" s="196">
        <v>0</v>
      </c>
      <c r="J37" s="197">
        <v>0</v>
      </c>
      <c r="K37" s="198">
        <f t="shared" si="0"/>
        <v>0</v>
      </c>
      <c r="L37" s="197">
        <v>0</v>
      </c>
      <c r="M37" s="196">
        <v>0</v>
      </c>
      <c r="N37" s="197">
        <v>0</v>
      </c>
      <c r="O37" s="198">
        <f t="shared" si="1"/>
        <v>0</v>
      </c>
      <c r="P37" s="199">
        <f t="shared" si="2"/>
        <v>0</v>
      </c>
      <c r="Q37" s="197">
        <v>0</v>
      </c>
      <c r="R37" s="196">
        <v>0</v>
      </c>
      <c r="S37" s="197">
        <v>0</v>
      </c>
      <c r="T37" s="198">
        <f t="shared" si="3"/>
        <v>0</v>
      </c>
      <c r="U37" s="196">
        <v>0</v>
      </c>
      <c r="V37" s="196">
        <v>0</v>
      </c>
      <c r="W37" s="197">
        <v>0</v>
      </c>
      <c r="X37" s="198">
        <f t="shared" si="4"/>
        <v>0</v>
      </c>
      <c r="Y37" s="200">
        <f t="shared" si="5"/>
        <v>0</v>
      </c>
      <c r="Z37" s="197">
        <v>0</v>
      </c>
      <c r="AA37" s="196">
        <v>0</v>
      </c>
      <c r="AB37" s="197">
        <v>0</v>
      </c>
      <c r="AC37" s="198">
        <f t="shared" si="6"/>
        <v>0</v>
      </c>
      <c r="AD37" s="197">
        <v>0</v>
      </c>
      <c r="AE37" s="196">
        <v>0</v>
      </c>
      <c r="AF37" s="196">
        <v>0</v>
      </c>
      <c r="AG37" s="198">
        <f t="shared" si="7"/>
        <v>0</v>
      </c>
      <c r="AH37" s="200">
        <f t="shared" si="8"/>
        <v>0</v>
      </c>
      <c r="AI37" s="199">
        <f t="shared" si="12"/>
        <v>369.91</v>
      </c>
      <c r="AJ37" s="201">
        <f t="shared" si="13"/>
        <v>0.48544619422572183</v>
      </c>
      <c r="AK37" s="196">
        <v>43.129899999999999</v>
      </c>
      <c r="AL37" s="196">
        <v>7.62</v>
      </c>
      <c r="AM37" s="196">
        <v>7.62</v>
      </c>
      <c r="AN37" s="196">
        <v>22.86</v>
      </c>
      <c r="AO37" s="196">
        <v>4.9529999999999994</v>
      </c>
      <c r="AP37" s="196">
        <v>38.1</v>
      </c>
      <c r="AQ37" s="202">
        <f t="shared" si="9"/>
        <v>81.152999999999992</v>
      </c>
      <c r="AR37" s="202">
        <f t="shared" si="10"/>
        <v>124.28289999999998</v>
      </c>
      <c r="AS37" s="203">
        <f t="shared" si="11"/>
        <v>637.71710000000007</v>
      </c>
    </row>
    <row r="38" spans="2:45" s="131" customFormat="1" ht="18" hidden="1" customHeight="1">
      <c r="B38" s="194" t="s">
        <v>1152</v>
      </c>
      <c r="C38" s="194">
        <v>173</v>
      </c>
      <c r="D38" s="195" t="s">
        <v>213</v>
      </c>
      <c r="E38" s="196">
        <v>1966</v>
      </c>
      <c r="F38" s="196">
        <v>836.44</v>
      </c>
      <c r="G38" s="196">
        <v>0</v>
      </c>
      <c r="H38" s="197">
        <v>0</v>
      </c>
      <c r="I38" s="196">
        <v>0</v>
      </c>
      <c r="J38" s="197">
        <v>0</v>
      </c>
      <c r="K38" s="198">
        <f t="shared" si="0"/>
        <v>0</v>
      </c>
      <c r="L38" s="197">
        <v>0</v>
      </c>
      <c r="M38" s="196">
        <v>0</v>
      </c>
      <c r="N38" s="197">
        <v>0</v>
      </c>
      <c r="O38" s="198">
        <f t="shared" si="1"/>
        <v>0</v>
      </c>
      <c r="P38" s="199">
        <f t="shared" si="2"/>
        <v>0</v>
      </c>
      <c r="Q38" s="197">
        <v>0</v>
      </c>
      <c r="R38" s="196">
        <v>0</v>
      </c>
      <c r="S38" s="197">
        <v>0</v>
      </c>
      <c r="T38" s="198">
        <f t="shared" si="3"/>
        <v>0</v>
      </c>
      <c r="U38" s="197">
        <v>0</v>
      </c>
      <c r="V38" s="196">
        <v>0</v>
      </c>
      <c r="W38" s="197">
        <v>0</v>
      </c>
      <c r="X38" s="198">
        <f t="shared" si="4"/>
        <v>0</v>
      </c>
      <c r="Y38" s="200">
        <f t="shared" si="5"/>
        <v>0</v>
      </c>
      <c r="Z38" s="197">
        <v>0</v>
      </c>
      <c r="AA38" s="196">
        <v>0</v>
      </c>
      <c r="AB38" s="197">
        <v>0</v>
      </c>
      <c r="AC38" s="198">
        <f t="shared" si="6"/>
        <v>0</v>
      </c>
      <c r="AD38" s="197">
        <v>0</v>
      </c>
      <c r="AE38" s="196">
        <v>0</v>
      </c>
      <c r="AF38" s="197">
        <v>0</v>
      </c>
      <c r="AG38" s="198">
        <f t="shared" si="7"/>
        <v>0</v>
      </c>
      <c r="AH38" s="200">
        <f t="shared" si="8"/>
        <v>0</v>
      </c>
      <c r="AI38" s="199">
        <f t="shared" si="12"/>
        <v>836.44</v>
      </c>
      <c r="AJ38" s="201">
        <f t="shared" si="13"/>
        <v>0.42545269582909462</v>
      </c>
      <c r="AK38" s="196">
        <v>124.2516</v>
      </c>
      <c r="AL38" s="196">
        <v>19.66</v>
      </c>
      <c r="AM38" s="196">
        <v>19.66</v>
      </c>
      <c r="AN38" s="196">
        <v>58.98</v>
      </c>
      <c r="AO38" s="196">
        <v>12.779</v>
      </c>
      <c r="AP38" s="196">
        <v>98.300000000000011</v>
      </c>
      <c r="AQ38" s="202">
        <f t="shared" si="9"/>
        <v>209.37900000000002</v>
      </c>
      <c r="AR38" s="202">
        <f t="shared" si="10"/>
        <v>333.63060000000002</v>
      </c>
      <c r="AS38" s="203">
        <f t="shared" si="11"/>
        <v>1632.3694</v>
      </c>
    </row>
    <row r="39" spans="2:45" s="131" customFormat="1" ht="18" hidden="1" customHeight="1">
      <c r="B39" s="194" t="s">
        <v>1152</v>
      </c>
      <c r="C39" s="194">
        <v>175</v>
      </c>
      <c r="D39" s="195" t="s">
        <v>1081</v>
      </c>
      <c r="E39" s="196">
        <v>611</v>
      </c>
      <c r="F39" s="196">
        <v>279.94</v>
      </c>
      <c r="G39" s="196">
        <v>0</v>
      </c>
      <c r="H39" s="197">
        <v>0</v>
      </c>
      <c r="I39" s="196">
        <v>0</v>
      </c>
      <c r="J39" s="197">
        <v>0</v>
      </c>
      <c r="K39" s="198">
        <f t="shared" si="0"/>
        <v>0</v>
      </c>
      <c r="L39" s="197">
        <v>0</v>
      </c>
      <c r="M39" s="196">
        <v>0</v>
      </c>
      <c r="N39" s="197">
        <v>0</v>
      </c>
      <c r="O39" s="198">
        <f t="shared" si="1"/>
        <v>0</v>
      </c>
      <c r="P39" s="199">
        <f t="shared" si="2"/>
        <v>0</v>
      </c>
      <c r="Q39" s="197">
        <v>0</v>
      </c>
      <c r="R39" s="196">
        <v>0</v>
      </c>
      <c r="S39" s="197">
        <v>0</v>
      </c>
      <c r="T39" s="198">
        <f t="shared" si="3"/>
        <v>0</v>
      </c>
      <c r="U39" s="196">
        <v>0</v>
      </c>
      <c r="V39" s="196">
        <v>0</v>
      </c>
      <c r="W39" s="197">
        <v>0</v>
      </c>
      <c r="X39" s="198">
        <f t="shared" si="4"/>
        <v>0</v>
      </c>
      <c r="Y39" s="200">
        <f t="shared" si="5"/>
        <v>0</v>
      </c>
      <c r="Z39" s="197">
        <v>0</v>
      </c>
      <c r="AA39" s="196">
        <v>0</v>
      </c>
      <c r="AB39" s="197">
        <v>0</v>
      </c>
      <c r="AC39" s="198">
        <f t="shared" si="6"/>
        <v>0</v>
      </c>
      <c r="AD39" s="197">
        <v>0</v>
      </c>
      <c r="AE39" s="196">
        <v>0</v>
      </c>
      <c r="AF39" s="196">
        <v>0</v>
      </c>
      <c r="AG39" s="198">
        <f t="shared" si="7"/>
        <v>0</v>
      </c>
      <c r="AH39" s="200">
        <f t="shared" si="8"/>
        <v>0</v>
      </c>
      <c r="AI39" s="199">
        <f t="shared" si="12"/>
        <v>279.94</v>
      </c>
      <c r="AJ39" s="201">
        <f t="shared" si="13"/>
        <v>0.4581669394435352</v>
      </c>
      <c r="AK39" s="196">
        <v>36.416600000000003</v>
      </c>
      <c r="AL39" s="196">
        <v>6.11</v>
      </c>
      <c r="AM39" s="196">
        <v>6.11</v>
      </c>
      <c r="AN39" s="196">
        <v>18.329999999999998</v>
      </c>
      <c r="AO39" s="196">
        <v>3.9714999999999998</v>
      </c>
      <c r="AP39" s="196">
        <v>30.55</v>
      </c>
      <c r="AQ39" s="202">
        <f t="shared" si="9"/>
        <v>65.0715</v>
      </c>
      <c r="AR39" s="202">
        <f t="shared" si="10"/>
        <v>101.4881</v>
      </c>
      <c r="AS39" s="203">
        <f t="shared" si="11"/>
        <v>509.51189999999997</v>
      </c>
    </row>
    <row r="40" spans="2:45" s="131" customFormat="1" ht="18" hidden="1" customHeight="1">
      <c r="B40" s="194" t="s">
        <v>1152</v>
      </c>
      <c r="C40" s="194">
        <v>174</v>
      </c>
      <c r="D40" s="195" t="s">
        <v>941</v>
      </c>
      <c r="E40" s="196">
        <v>551</v>
      </c>
      <c r="F40" s="196">
        <v>252.45</v>
      </c>
      <c r="G40" s="196">
        <v>0</v>
      </c>
      <c r="H40" s="197">
        <v>0</v>
      </c>
      <c r="I40" s="196">
        <v>0</v>
      </c>
      <c r="J40" s="197">
        <v>0</v>
      </c>
      <c r="K40" s="198">
        <f t="shared" si="0"/>
        <v>0</v>
      </c>
      <c r="L40" s="197">
        <v>0</v>
      </c>
      <c r="M40" s="196">
        <v>0</v>
      </c>
      <c r="N40" s="197">
        <v>0</v>
      </c>
      <c r="O40" s="198">
        <f t="shared" si="1"/>
        <v>0</v>
      </c>
      <c r="P40" s="199">
        <f t="shared" si="2"/>
        <v>0</v>
      </c>
      <c r="Q40" s="197">
        <v>0</v>
      </c>
      <c r="R40" s="196">
        <v>0</v>
      </c>
      <c r="S40" s="197">
        <v>0</v>
      </c>
      <c r="T40" s="198">
        <f t="shared" si="3"/>
        <v>0</v>
      </c>
      <c r="U40" s="196">
        <v>0</v>
      </c>
      <c r="V40" s="196">
        <v>0</v>
      </c>
      <c r="W40" s="197">
        <v>0</v>
      </c>
      <c r="X40" s="198">
        <f t="shared" si="4"/>
        <v>0</v>
      </c>
      <c r="Y40" s="200">
        <f t="shared" si="5"/>
        <v>0</v>
      </c>
      <c r="Z40" s="197">
        <v>0</v>
      </c>
      <c r="AA40" s="196">
        <v>0</v>
      </c>
      <c r="AB40" s="197">
        <v>0</v>
      </c>
      <c r="AC40" s="198">
        <f t="shared" si="6"/>
        <v>0</v>
      </c>
      <c r="AD40" s="197">
        <v>0</v>
      </c>
      <c r="AE40" s="196">
        <v>0</v>
      </c>
      <c r="AF40" s="196">
        <v>0</v>
      </c>
      <c r="AG40" s="198">
        <f t="shared" si="7"/>
        <v>0</v>
      </c>
      <c r="AH40" s="200">
        <f t="shared" si="8"/>
        <v>0</v>
      </c>
      <c r="AI40" s="199">
        <f t="shared" si="12"/>
        <v>252.45</v>
      </c>
      <c r="AJ40" s="201">
        <f t="shared" si="13"/>
        <v>0.45816696914700544</v>
      </c>
      <c r="AK40" s="196">
        <v>32.840499999999999</v>
      </c>
      <c r="AL40" s="196">
        <v>5.51</v>
      </c>
      <c r="AM40" s="196">
        <v>5.51</v>
      </c>
      <c r="AN40" s="196">
        <v>16.53</v>
      </c>
      <c r="AO40" s="196">
        <v>3.5814999999999997</v>
      </c>
      <c r="AP40" s="196">
        <v>27.55</v>
      </c>
      <c r="AQ40" s="202">
        <f t="shared" si="9"/>
        <v>58.6815</v>
      </c>
      <c r="AR40" s="202">
        <f t="shared" si="10"/>
        <v>91.521999999999991</v>
      </c>
      <c r="AS40" s="203">
        <f t="shared" si="11"/>
        <v>459.47800000000001</v>
      </c>
    </row>
    <row r="41" spans="2:45" s="131" customFormat="1" ht="18" hidden="1" customHeight="1">
      <c r="B41" s="194" t="s">
        <v>1152</v>
      </c>
      <c r="C41" s="194">
        <v>178</v>
      </c>
      <c r="D41" s="195" t="s">
        <v>1137</v>
      </c>
      <c r="E41" s="196">
        <v>3053.5800000000017</v>
      </c>
      <c r="F41" s="196">
        <v>535.76</v>
      </c>
      <c r="G41" s="196">
        <v>0</v>
      </c>
      <c r="H41" s="197">
        <v>0</v>
      </c>
      <c r="I41" s="196">
        <v>0</v>
      </c>
      <c r="J41" s="197">
        <v>0</v>
      </c>
      <c r="K41" s="198">
        <f t="shared" si="0"/>
        <v>0</v>
      </c>
      <c r="L41" s="197">
        <v>0</v>
      </c>
      <c r="M41" s="196">
        <v>0</v>
      </c>
      <c r="N41" s="197">
        <v>0</v>
      </c>
      <c r="O41" s="198">
        <f t="shared" si="1"/>
        <v>0</v>
      </c>
      <c r="P41" s="199">
        <f t="shared" si="2"/>
        <v>0</v>
      </c>
      <c r="Q41" s="197">
        <v>0</v>
      </c>
      <c r="R41" s="196">
        <v>0</v>
      </c>
      <c r="S41" s="197">
        <v>0</v>
      </c>
      <c r="T41" s="198">
        <f t="shared" si="3"/>
        <v>0</v>
      </c>
      <c r="U41" s="197">
        <v>0</v>
      </c>
      <c r="V41" s="196">
        <v>0</v>
      </c>
      <c r="W41" s="207">
        <v>0</v>
      </c>
      <c r="X41" s="198">
        <f t="shared" si="4"/>
        <v>0</v>
      </c>
      <c r="Y41" s="200">
        <f t="shared" si="5"/>
        <v>0</v>
      </c>
      <c r="Z41" s="197">
        <v>0</v>
      </c>
      <c r="AA41" s="208">
        <v>0</v>
      </c>
      <c r="AB41" s="197">
        <v>0</v>
      </c>
      <c r="AC41" s="198">
        <f t="shared" si="6"/>
        <v>0</v>
      </c>
      <c r="AD41" s="197">
        <v>0</v>
      </c>
      <c r="AE41" s="208">
        <v>0</v>
      </c>
      <c r="AF41" s="197">
        <v>0</v>
      </c>
      <c r="AG41" s="198">
        <f t="shared" si="7"/>
        <v>0</v>
      </c>
      <c r="AH41" s="200">
        <f t="shared" si="8"/>
        <v>0</v>
      </c>
      <c r="AI41" s="199">
        <f t="shared" si="12"/>
        <v>535.76</v>
      </c>
      <c r="AJ41" s="201">
        <f t="shared" si="13"/>
        <v>0.17545307475160293</v>
      </c>
      <c r="AK41" s="196">
        <v>276.96020000000016</v>
      </c>
      <c r="AL41" s="196">
        <v>30.53580000000002</v>
      </c>
      <c r="AM41" s="196">
        <v>30.53580000000002</v>
      </c>
      <c r="AN41" s="196">
        <v>91.607400000000055</v>
      </c>
      <c r="AO41" s="196">
        <v>19.84827000000001</v>
      </c>
      <c r="AP41" s="209">
        <v>0</v>
      </c>
      <c r="AQ41" s="202">
        <f t="shared" si="9"/>
        <v>172.5272700000001</v>
      </c>
      <c r="AR41" s="202">
        <f t="shared" si="10"/>
        <v>449.48747000000026</v>
      </c>
      <c r="AS41" s="203">
        <f t="shared" si="11"/>
        <v>2604.0925300000017</v>
      </c>
    </row>
    <row r="42" spans="2:45" s="131" customFormat="1" ht="18" hidden="1" customHeight="1">
      <c r="B42" s="194" t="s">
        <v>1152</v>
      </c>
      <c r="C42" s="194">
        <v>181</v>
      </c>
      <c r="D42" s="195" t="s">
        <v>1113</v>
      </c>
      <c r="E42" s="196">
        <v>23325.27</v>
      </c>
      <c r="F42" s="196">
        <v>0</v>
      </c>
      <c r="G42" s="196">
        <v>0</v>
      </c>
      <c r="H42" s="197">
        <v>0</v>
      </c>
      <c r="I42" s="196">
        <v>0</v>
      </c>
      <c r="J42" s="197">
        <v>0</v>
      </c>
      <c r="K42" s="198">
        <f t="shared" si="0"/>
        <v>0</v>
      </c>
      <c r="L42" s="197">
        <v>0</v>
      </c>
      <c r="M42" s="196">
        <v>0</v>
      </c>
      <c r="N42" s="197">
        <v>0</v>
      </c>
      <c r="O42" s="198">
        <f t="shared" si="1"/>
        <v>0</v>
      </c>
      <c r="P42" s="199">
        <f t="shared" si="2"/>
        <v>0</v>
      </c>
      <c r="Q42" s="197">
        <v>0</v>
      </c>
      <c r="R42" s="196">
        <v>0</v>
      </c>
      <c r="S42" s="197">
        <v>0</v>
      </c>
      <c r="T42" s="198">
        <f t="shared" si="3"/>
        <v>0</v>
      </c>
      <c r="U42" s="197">
        <v>0</v>
      </c>
      <c r="V42" s="196">
        <v>0</v>
      </c>
      <c r="W42" s="207">
        <v>0</v>
      </c>
      <c r="X42" s="198">
        <f t="shared" si="4"/>
        <v>0</v>
      </c>
      <c r="Y42" s="200">
        <f t="shared" si="5"/>
        <v>0</v>
      </c>
      <c r="Z42" s="197">
        <v>0</v>
      </c>
      <c r="AA42" s="196">
        <v>0</v>
      </c>
      <c r="AB42" s="197">
        <v>0</v>
      </c>
      <c r="AC42" s="198">
        <f t="shared" si="6"/>
        <v>0</v>
      </c>
      <c r="AD42" s="197">
        <v>0</v>
      </c>
      <c r="AE42" s="196">
        <v>0</v>
      </c>
      <c r="AF42" s="197">
        <v>0</v>
      </c>
      <c r="AG42" s="198">
        <f t="shared" si="7"/>
        <v>0</v>
      </c>
      <c r="AH42" s="200">
        <f t="shared" si="8"/>
        <v>0</v>
      </c>
      <c r="AI42" s="199">
        <f t="shared" si="12"/>
        <v>0</v>
      </c>
      <c r="AJ42" s="201">
        <f t="shared" si="13"/>
        <v>0</v>
      </c>
      <c r="AK42" s="196">
        <v>2565.7797</v>
      </c>
      <c r="AL42" s="196">
        <v>233.2527</v>
      </c>
      <c r="AM42" s="196">
        <v>233.2527</v>
      </c>
      <c r="AN42" s="196">
        <v>699.75810000000001</v>
      </c>
      <c r="AO42" s="196">
        <v>151.61425499999999</v>
      </c>
      <c r="AP42" s="209">
        <v>0</v>
      </c>
      <c r="AQ42" s="202">
        <f t="shared" si="9"/>
        <v>1317.877755</v>
      </c>
      <c r="AR42" s="202">
        <f t="shared" si="10"/>
        <v>3883.657455</v>
      </c>
      <c r="AS42" s="203">
        <f t="shared" si="11"/>
        <v>19441.612545</v>
      </c>
    </row>
    <row r="43" spans="2:45" s="131" customFormat="1" ht="18" hidden="1" customHeight="1">
      <c r="B43" s="194" t="s">
        <v>1152</v>
      </c>
      <c r="C43" s="194">
        <v>182</v>
      </c>
      <c r="D43" s="195" t="s">
        <v>1114</v>
      </c>
      <c r="E43" s="196">
        <v>4018.49</v>
      </c>
      <c r="F43" s="196">
        <v>0</v>
      </c>
      <c r="G43" s="196">
        <v>0</v>
      </c>
      <c r="H43" s="197">
        <v>0</v>
      </c>
      <c r="I43" s="196">
        <v>0</v>
      </c>
      <c r="J43" s="197">
        <v>0</v>
      </c>
      <c r="K43" s="198">
        <f t="shared" si="0"/>
        <v>0</v>
      </c>
      <c r="L43" s="197">
        <v>0</v>
      </c>
      <c r="M43" s="196">
        <v>0</v>
      </c>
      <c r="N43" s="197">
        <v>0</v>
      </c>
      <c r="O43" s="198">
        <f t="shared" si="1"/>
        <v>0</v>
      </c>
      <c r="P43" s="199">
        <f t="shared" si="2"/>
        <v>0</v>
      </c>
      <c r="Q43" s="197">
        <v>0</v>
      </c>
      <c r="R43" s="196">
        <v>0</v>
      </c>
      <c r="S43" s="197">
        <v>0</v>
      </c>
      <c r="T43" s="198">
        <f t="shared" si="3"/>
        <v>0</v>
      </c>
      <c r="U43" s="197">
        <v>0</v>
      </c>
      <c r="V43" s="196">
        <v>0</v>
      </c>
      <c r="W43" s="207">
        <v>0</v>
      </c>
      <c r="X43" s="198">
        <f t="shared" si="4"/>
        <v>0</v>
      </c>
      <c r="Y43" s="200">
        <f t="shared" si="5"/>
        <v>0</v>
      </c>
      <c r="Z43" s="197">
        <v>0</v>
      </c>
      <c r="AA43" s="196">
        <v>0</v>
      </c>
      <c r="AB43" s="197">
        <v>0</v>
      </c>
      <c r="AC43" s="198">
        <f t="shared" si="6"/>
        <v>0</v>
      </c>
      <c r="AD43" s="197">
        <v>0</v>
      </c>
      <c r="AE43" s="196">
        <v>0</v>
      </c>
      <c r="AF43" s="197">
        <v>0</v>
      </c>
      <c r="AG43" s="198">
        <f t="shared" si="7"/>
        <v>0</v>
      </c>
      <c r="AH43" s="200">
        <f t="shared" si="8"/>
        <v>0</v>
      </c>
      <c r="AI43" s="199">
        <f t="shared" si="12"/>
        <v>0</v>
      </c>
      <c r="AJ43" s="201">
        <f t="shared" si="13"/>
        <v>0</v>
      </c>
      <c r="AK43" s="196">
        <v>442.03389999999996</v>
      </c>
      <c r="AL43" s="196">
        <v>40.184899999999999</v>
      </c>
      <c r="AM43" s="196">
        <v>40.184899999999999</v>
      </c>
      <c r="AN43" s="196">
        <v>120.55469999999998</v>
      </c>
      <c r="AO43" s="196">
        <v>26.120184999999996</v>
      </c>
      <c r="AP43" s="196">
        <v>200.92449999999999</v>
      </c>
      <c r="AQ43" s="202">
        <f t="shared" si="9"/>
        <v>427.96918499999992</v>
      </c>
      <c r="AR43" s="202">
        <f t="shared" si="10"/>
        <v>870.00308499999983</v>
      </c>
      <c r="AS43" s="203">
        <f t="shared" si="11"/>
        <v>3148.486915</v>
      </c>
    </row>
    <row r="44" spans="2:45" s="131" customFormat="1" ht="18" hidden="1" customHeight="1">
      <c r="B44" s="194" t="s">
        <v>1152</v>
      </c>
      <c r="C44" s="194">
        <v>184</v>
      </c>
      <c r="D44" s="195" t="s">
        <v>1131</v>
      </c>
      <c r="E44" s="196">
        <v>3891.25</v>
      </c>
      <c r="F44" s="196">
        <v>0</v>
      </c>
      <c r="G44" s="196">
        <v>0</v>
      </c>
      <c r="H44" s="197">
        <v>0</v>
      </c>
      <c r="I44" s="196">
        <v>0</v>
      </c>
      <c r="J44" s="197">
        <v>0</v>
      </c>
      <c r="K44" s="198">
        <f t="shared" si="0"/>
        <v>0</v>
      </c>
      <c r="L44" s="197">
        <v>0</v>
      </c>
      <c r="M44" s="196">
        <v>0</v>
      </c>
      <c r="N44" s="197">
        <v>0</v>
      </c>
      <c r="O44" s="198">
        <f t="shared" si="1"/>
        <v>0</v>
      </c>
      <c r="P44" s="199">
        <f t="shared" si="2"/>
        <v>0</v>
      </c>
      <c r="Q44" s="197">
        <v>0</v>
      </c>
      <c r="R44" s="196">
        <v>0</v>
      </c>
      <c r="S44" s="197">
        <v>0</v>
      </c>
      <c r="T44" s="198">
        <f t="shared" si="3"/>
        <v>0</v>
      </c>
      <c r="U44" s="197">
        <v>0</v>
      </c>
      <c r="V44" s="196">
        <v>0</v>
      </c>
      <c r="W44" s="207">
        <v>0</v>
      </c>
      <c r="X44" s="198">
        <f t="shared" si="4"/>
        <v>0</v>
      </c>
      <c r="Y44" s="200">
        <f t="shared" si="5"/>
        <v>0</v>
      </c>
      <c r="Z44" s="197">
        <v>0</v>
      </c>
      <c r="AA44" s="196">
        <v>0</v>
      </c>
      <c r="AB44" s="197">
        <v>0</v>
      </c>
      <c r="AC44" s="198">
        <f t="shared" si="6"/>
        <v>0</v>
      </c>
      <c r="AD44" s="197">
        <v>0</v>
      </c>
      <c r="AE44" s="196">
        <v>0</v>
      </c>
      <c r="AF44" s="197">
        <v>0</v>
      </c>
      <c r="AG44" s="198">
        <f t="shared" si="7"/>
        <v>0</v>
      </c>
      <c r="AH44" s="200">
        <f t="shared" si="8"/>
        <v>0</v>
      </c>
      <c r="AI44" s="199">
        <f t="shared" si="12"/>
        <v>0</v>
      </c>
      <c r="AJ44" s="201">
        <f t="shared" si="13"/>
        <v>0</v>
      </c>
      <c r="AK44" s="196">
        <v>428.03750000000002</v>
      </c>
      <c r="AL44" s="196">
        <v>38.912500000000001</v>
      </c>
      <c r="AM44" s="196">
        <v>38.912500000000001</v>
      </c>
      <c r="AN44" s="196">
        <v>116.7375</v>
      </c>
      <c r="AO44" s="196">
        <v>25.293125</v>
      </c>
      <c r="AP44" s="209">
        <v>0</v>
      </c>
      <c r="AQ44" s="202">
        <f t="shared" si="9"/>
        <v>219.855625</v>
      </c>
      <c r="AR44" s="202">
        <f t="shared" si="10"/>
        <v>647.89312500000005</v>
      </c>
      <c r="AS44" s="203">
        <f t="shared" si="11"/>
        <v>3243.3568749999999</v>
      </c>
    </row>
    <row r="45" spans="2:45" s="131" customFormat="1" ht="18" hidden="1" customHeight="1">
      <c r="B45" s="194" t="s">
        <v>1152</v>
      </c>
      <c r="C45" s="194">
        <v>183</v>
      </c>
      <c r="D45" s="195" t="s">
        <v>1132</v>
      </c>
      <c r="E45" s="196">
        <v>4204.97</v>
      </c>
      <c r="F45" s="196">
        <v>0</v>
      </c>
      <c r="G45" s="196">
        <v>0</v>
      </c>
      <c r="H45" s="197">
        <v>0</v>
      </c>
      <c r="I45" s="196">
        <v>0</v>
      </c>
      <c r="J45" s="197">
        <v>0</v>
      </c>
      <c r="K45" s="198">
        <f t="shared" si="0"/>
        <v>0</v>
      </c>
      <c r="L45" s="197">
        <v>0</v>
      </c>
      <c r="M45" s="196">
        <v>0</v>
      </c>
      <c r="N45" s="197">
        <v>0</v>
      </c>
      <c r="O45" s="198">
        <f t="shared" si="1"/>
        <v>0</v>
      </c>
      <c r="P45" s="199">
        <f t="shared" si="2"/>
        <v>0</v>
      </c>
      <c r="Q45" s="197">
        <v>0</v>
      </c>
      <c r="R45" s="196">
        <v>0</v>
      </c>
      <c r="S45" s="197">
        <v>0</v>
      </c>
      <c r="T45" s="198">
        <f t="shared" si="3"/>
        <v>0</v>
      </c>
      <c r="U45" s="197">
        <v>0</v>
      </c>
      <c r="V45" s="196">
        <v>0</v>
      </c>
      <c r="W45" s="207">
        <v>0</v>
      </c>
      <c r="X45" s="198">
        <f t="shared" si="4"/>
        <v>0</v>
      </c>
      <c r="Y45" s="200">
        <f t="shared" si="5"/>
        <v>0</v>
      </c>
      <c r="Z45" s="197">
        <v>0</v>
      </c>
      <c r="AA45" s="196">
        <v>0</v>
      </c>
      <c r="AB45" s="197">
        <v>0</v>
      </c>
      <c r="AC45" s="198">
        <f t="shared" si="6"/>
        <v>0</v>
      </c>
      <c r="AD45" s="197">
        <v>0</v>
      </c>
      <c r="AE45" s="196">
        <v>0</v>
      </c>
      <c r="AF45" s="197">
        <v>0</v>
      </c>
      <c r="AG45" s="198">
        <f t="shared" si="7"/>
        <v>0</v>
      </c>
      <c r="AH45" s="200">
        <f t="shared" si="8"/>
        <v>0</v>
      </c>
      <c r="AI45" s="199">
        <f t="shared" si="12"/>
        <v>0</v>
      </c>
      <c r="AJ45" s="201">
        <f t="shared" si="13"/>
        <v>0</v>
      </c>
      <c r="AK45" s="196">
        <v>462.54670000000004</v>
      </c>
      <c r="AL45" s="196">
        <v>42.049700000000001</v>
      </c>
      <c r="AM45" s="196">
        <v>42.049700000000001</v>
      </c>
      <c r="AN45" s="196">
        <v>126.1491</v>
      </c>
      <c r="AO45" s="196">
        <v>27.332305000000002</v>
      </c>
      <c r="AP45" s="196">
        <v>210.24850000000004</v>
      </c>
      <c r="AQ45" s="202">
        <f t="shared" si="9"/>
        <v>447.82930500000003</v>
      </c>
      <c r="AR45" s="202">
        <f t="shared" si="10"/>
        <v>910.37600500000008</v>
      </c>
      <c r="AS45" s="203">
        <f t="shared" si="11"/>
        <v>3294.5939950000002</v>
      </c>
    </row>
    <row r="46" spans="2:45" s="131" customFormat="1" ht="18" hidden="1" customHeight="1">
      <c r="B46" s="194" t="s">
        <v>1152</v>
      </c>
      <c r="C46" s="194">
        <v>186</v>
      </c>
      <c r="D46" s="195" t="s">
        <v>1694</v>
      </c>
      <c r="E46" s="196">
        <v>5193.28</v>
      </c>
      <c r="F46" s="196">
        <v>0</v>
      </c>
      <c r="G46" s="196">
        <v>0</v>
      </c>
      <c r="H46" s="197">
        <v>0</v>
      </c>
      <c r="I46" s="196">
        <v>0</v>
      </c>
      <c r="J46" s="197">
        <v>0</v>
      </c>
      <c r="K46" s="198">
        <f t="shared" si="0"/>
        <v>0</v>
      </c>
      <c r="L46" s="197">
        <v>0</v>
      </c>
      <c r="M46" s="196">
        <v>0</v>
      </c>
      <c r="N46" s="197">
        <v>0</v>
      </c>
      <c r="O46" s="198">
        <f t="shared" si="1"/>
        <v>0</v>
      </c>
      <c r="P46" s="199">
        <f t="shared" si="2"/>
        <v>0</v>
      </c>
      <c r="Q46" s="197">
        <v>0</v>
      </c>
      <c r="R46" s="196">
        <v>0</v>
      </c>
      <c r="S46" s="197">
        <v>0</v>
      </c>
      <c r="T46" s="198">
        <f t="shared" si="3"/>
        <v>0</v>
      </c>
      <c r="U46" s="196">
        <v>0</v>
      </c>
      <c r="V46" s="196">
        <v>0</v>
      </c>
      <c r="W46" s="197">
        <v>0</v>
      </c>
      <c r="X46" s="198">
        <f t="shared" si="4"/>
        <v>0</v>
      </c>
      <c r="Y46" s="200">
        <f t="shared" si="5"/>
        <v>0</v>
      </c>
      <c r="Z46" s="197">
        <v>0</v>
      </c>
      <c r="AA46" s="196">
        <v>0</v>
      </c>
      <c r="AB46" s="197">
        <v>0</v>
      </c>
      <c r="AC46" s="198">
        <f t="shared" si="6"/>
        <v>0</v>
      </c>
      <c r="AD46" s="197">
        <v>0</v>
      </c>
      <c r="AE46" s="196">
        <v>0</v>
      </c>
      <c r="AF46" s="196">
        <v>0</v>
      </c>
      <c r="AG46" s="198">
        <f t="shared" si="7"/>
        <v>0</v>
      </c>
      <c r="AH46" s="200">
        <f t="shared" si="8"/>
        <v>0</v>
      </c>
      <c r="AI46" s="199">
        <f t="shared" si="12"/>
        <v>0</v>
      </c>
      <c r="AJ46" s="201">
        <f t="shared" si="13"/>
        <v>0</v>
      </c>
      <c r="AK46" s="196">
        <v>571.26080000000002</v>
      </c>
      <c r="AL46" s="196">
        <v>51.9328</v>
      </c>
      <c r="AM46" s="196">
        <v>51.9328</v>
      </c>
      <c r="AN46" s="196">
        <v>155.79839999999999</v>
      </c>
      <c r="AO46" s="196">
        <v>33.756319999999995</v>
      </c>
      <c r="AP46" s="196">
        <v>259.66399999999999</v>
      </c>
      <c r="AQ46" s="202">
        <f t="shared" si="9"/>
        <v>553.08431999999993</v>
      </c>
      <c r="AR46" s="202">
        <f t="shared" si="10"/>
        <v>1124.34512</v>
      </c>
      <c r="AS46" s="203">
        <f t="shared" si="11"/>
        <v>4068.9348799999998</v>
      </c>
    </row>
    <row r="47" spans="2:45" s="131" customFormat="1" ht="18" hidden="1" customHeight="1">
      <c r="B47" s="194" t="s">
        <v>1171</v>
      </c>
      <c r="C47" s="194">
        <v>187</v>
      </c>
      <c r="D47" s="195" t="s">
        <v>982</v>
      </c>
      <c r="E47" s="196">
        <v>5928</v>
      </c>
      <c r="F47" s="196">
        <v>950.61</v>
      </c>
      <c r="G47" s="196">
        <v>326.16666666666669</v>
      </c>
      <c r="H47" s="197">
        <v>1</v>
      </c>
      <c r="I47" s="196">
        <v>16</v>
      </c>
      <c r="J47" s="197">
        <v>26</v>
      </c>
      <c r="K47" s="198">
        <f t="shared" si="0"/>
        <v>416</v>
      </c>
      <c r="L47" s="197">
        <v>0</v>
      </c>
      <c r="M47" s="196">
        <v>0</v>
      </c>
      <c r="N47" s="197">
        <v>0</v>
      </c>
      <c r="O47" s="198">
        <f t="shared" si="1"/>
        <v>0</v>
      </c>
      <c r="P47" s="199">
        <f t="shared" si="2"/>
        <v>416</v>
      </c>
      <c r="Q47" s="197">
        <v>1</v>
      </c>
      <c r="R47" s="196">
        <v>42.5</v>
      </c>
      <c r="S47" s="197">
        <v>26</v>
      </c>
      <c r="T47" s="198">
        <f t="shared" si="3"/>
        <v>1105</v>
      </c>
      <c r="U47" s="196">
        <v>0</v>
      </c>
      <c r="V47" s="196">
        <v>0</v>
      </c>
      <c r="W47" s="197">
        <v>0</v>
      </c>
      <c r="X47" s="198">
        <f t="shared" si="4"/>
        <v>0</v>
      </c>
      <c r="Y47" s="200">
        <f t="shared" si="5"/>
        <v>1105</v>
      </c>
      <c r="Z47" s="197">
        <v>1</v>
      </c>
      <c r="AA47" s="196">
        <v>80</v>
      </c>
      <c r="AB47" s="197">
        <v>1</v>
      </c>
      <c r="AC47" s="198">
        <f t="shared" si="6"/>
        <v>80</v>
      </c>
      <c r="AD47" s="197">
        <v>0</v>
      </c>
      <c r="AE47" s="196">
        <v>0</v>
      </c>
      <c r="AF47" s="196">
        <v>0</v>
      </c>
      <c r="AG47" s="198">
        <f t="shared" si="7"/>
        <v>0</v>
      </c>
      <c r="AH47" s="200">
        <f t="shared" si="8"/>
        <v>80</v>
      </c>
      <c r="AI47" s="199">
        <f t="shared" si="12"/>
        <v>2877.7766666666666</v>
      </c>
      <c r="AJ47" s="201">
        <f t="shared" si="13"/>
        <v>0.48545490328385066</v>
      </c>
      <c r="AK47" s="196">
        <v>335.52456666666666</v>
      </c>
      <c r="AL47" s="196">
        <v>59.28</v>
      </c>
      <c r="AM47" s="196">
        <v>59.28</v>
      </c>
      <c r="AN47" s="196">
        <v>177.84</v>
      </c>
      <c r="AO47" s="196">
        <v>38.531999999999996</v>
      </c>
      <c r="AP47" s="196">
        <v>296.40000000000003</v>
      </c>
      <c r="AQ47" s="202">
        <f t="shared" si="9"/>
        <v>631.33199999999999</v>
      </c>
      <c r="AR47" s="202">
        <f t="shared" si="10"/>
        <v>966.85656666666659</v>
      </c>
      <c r="AS47" s="203">
        <f t="shared" si="11"/>
        <v>4961.1434333333336</v>
      </c>
    </row>
    <row r="48" spans="2:45" s="131" customFormat="1" ht="18" hidden="1" customHeight="1">
      <c r="B48" s="194" t="s">
        <v>1171</v>
      </c>
      <c r="C48" s="194">
        <v>188</v>
      </c>
      <c r="D48" s="195" t="s">
        <v>1003</v>
      </c>
      <c r="E48" s="196">
        <v>16252</v>
      </c>
      <c r="F48" s="196">
        <v>2331.4</v>
      </c>
      <c r="G48" s="196">
        <v>300</v>
      </c>
      <c r="H48" s="197">
        <v>1</v>
      </c>
      <c r="I48" s="196">
        <v>16</v>
      </c>
      <c r="J48" s="197">
        <v>26</v>
      </c>
      <c r="K48" s="198">
        <f t="shared" si="0"/>
        <v>416</v>
      </c>
      <c r="L48" s="197">
        <v>2</v>
      </c>
      <c r="M48" s="196">
        <v>16</v>
      </c>
      <c r="N48" s="197">
        <v>16</v>
      </c>
      <c r="O48" s="198">
        <f t="shared" si="1"/>
        <v>512</v>
      </c>
      <c r="P48" s="199">
        <f t="shared" si="2"/>
        <v>928</v>
      </c>
      <c r="Q48" s="197">
        <v>1</v>
      </c>
      <c r="R48" s="196">
        <v>42.5</v>
      </c>
      <c r="S48" s="197">
        <v>26</v>
      </c>
      <c r="T48" s="198">
        <f t="shared" si="3"/>
        <v>1105</v>
      </c>
      <c r="U48" s="196">
        <v>2</v>
      </c>
      <c r="V48" s="196">
        <v>42.5</v>
      </c>
      <c r="W48" s="197">
        <v>16</v>
      </c>
      <c r="X48" s="198">
        <f t="shared" si="4"/>
        <v>1360</v>
      </c>
      <c r="Y48" s="200">
        <f t="shared" si="5"/>
        <v>2465</v>
      </c>
      <c r="Z48" s="197">
        <v>1</v>
      </c>
      <c r="AA48" s="196">
        <v>80</v>
      </c>
      <c r="AB48" s="197">
        <v>1</v>
      </c>
      <c r="AC48" s="198">
        <f t="shared" si="6"/>
        <v>80</v>
      </c>
      <c r="AD48" s="197">
        <v>2</v>
      </c>
      <c r="AE48" s="196">
        <v>80</v>
      </c>
      <c r="AF48" s="197">
        <v>1</v>
      </c>
      <c r="AG48" s="198">
        <f t="shared" si="7"/>
        <v>160</v>
      </c>
      <c r="AH48" s="200">
        <f t="shared" si="8"/>
        <v>240</v>
      </c>
      <c r="AI48" s="199">
        <f t="shared" si="12"/>
        <v>6264.4</v>
      </c>
      <c r="AJ48" s="201">
        <f t="shared" si="13"/>
        <v>0.3854540979571745</v>
      </c>
      <c r="AK48" s="196">
        <v>1098.636</v>
      </c>
      <c r="AL48" s="196">
        <v>162.52000000000001</v>
      </c>
      <c r="AM48" s="196">
        <v>162.52000000000001</v>
      </c>
      <c r="AN48" s="196">
        <v>487.56</v>
      </c>
      <c r="AO48" s="196">
        <v>105.63799999999999</v>
      </c>
      <c r="AP48" s="196">
        <v>812.6</v>
      </c>
      <c r="AQ48" s="202">
        <f t="shared" si="9"/>
        <v>1730.8380000000002</v>
      </c>
      <c r="AR48" s="202">
        <f t="shared" si="10"/>
        <v>2829.4740000000002</v>
      </c>
      <c r="AS48" s="203">
        <f t="shared" si="11"/>
        <v>13422.526</v>
      </c>
    </row>
    <row r="49" spans="2:45" s="131" customFormat="1" ht="18" hidden="1" customHeight="1">
      <c r="B49" s="194" t="s">
        <v>1171</v>
      </c>
      <c r="C49" s="194">
        <v>189</v>
      </c>
      <c r="D49" s="195" t="s">
        <v>1082</v>
      </c>
      <c r="E49" s="196">
        <v>5562</v>
      </c>
      <c r="F49" s="196">
        <v>911.65</v>
      </c>
      <c r="G49" s="196">
        <v>187.41666666666666</v>
      </c>
      <c r="H49" s="197">
        <v>1</v>
      </c>
      <c r="I49" s="196">
        <v>16</v>
      </c>
      <c r="J49" s="197">
        <v>26</v>
      </c>
      <c r="K49" s="198">
        <f t="shared" si="0"/>
        <v>416</v>
      </c>
      <c r="L49" s="197">
        <v>0</v>
      </c>
      <c r="M49" s="196">
        <v>0</v>
      </c>
      <c r="N49" s="197">
        <v>0</v>
      </c>
      <c r="O49" s="198">
        <f t="shared" si="1"/>
        <v>0</v>
      </c>
      <c r="P49" s="199">
        <f t="shared" si="2"/>
        <v>416</v>
      </c>
      <c r="Q49" s="197">
        <v>1</v>
      </c>
      <c r="R49" s="196">
        <v>42.5</v>
      </c>
      <c r="S49" s="197">
        <v>26</v>
      </c>
      <c r="T49" s="198">
        <f t="shared" si="3"/>
        <v>1105</v>
      </c>
      <c r="U49" s="196">
        <v>0</v>
      </c>
      <c r="V49" s="196">
        <v>0</v>
      </c>
      <c r="W49" s="197">
        <v>0</v>
      </c>
      <c r="X49" s="198">
        <f t="shared" si="4"/>
        <v>0</v>
      </c>
      <c r="Y49" s="200">
        <f t="shared" si="5"/>
        <v>1105</v>
      </c>
      <c r="Z49" s="197">
        <v>1</v>
      </c>
      <c r="AA49" s="196">
        <v>80</v>
      </c>
      <c r="AB49" s="197">
        <v>1</v>
      </c>
      <c r="AC49" s="198">
        <f t="shared" si="6"/>
        <v>80</v>
      </c>
      <c r="AD49" s="197">
        <v>0</v>
      </c>
      <c r="AE49" s="196">
        <v>0</v>
      </c>
      <c r="AF49" s="196">
        <v>0</v>
      </c>
      <c r="AG49" s="198">
        <f t="shared" si="7"/>
        <v>0</v>
      </c>
      <c r="AH49" s="200">
        <f t="shared" si="8"/>
        <v>80</v>
      </c>
      <c r="AI49" s="199">
        <f t="shared" si="12"/>
        <v>2700.0666666666666</v>
      </c>
      <c r="AJ49" s="201">
        <f t="shared" si="13"/>
        <v>0.48544887930001196</v>
      </c>
      <c r="AK49" s="196">
        <v>314.8126666666667</v>
      </c>
      <c r="AL49" s="196">
        <v>55.620000000000005</v>
      </c>
      <c r="AM49" s="196">
        <v>55.620000000000005</v>
      </c>
      <c r="AN49" s="196">
        <v>166.85999999999999</v>
      </c>
      <c r="AO49" s="196">
        <v>36.152999999999999</v>
      </c>
      <c r="AP49" s="196">
        <v>278.10000000000002</v>
      </c>
      <c r="AQ49" s="202">
        <f t="shared" si="9"/>
        <v>592.35300000000007</v>
      </c>
      <c r="AR49" s="202">
        <f t="shared" si="10"/>
        <v>907.16566666666677</v>
      </c>
      <c r="AS49" s="203">
        <f t="shared" si="11"/>
        <v>4654.8343333333332</v>
      </c>
    </row>
    <row r="50" spans="2:45" s="131" customFormat="1" ht="18" hidden="1" customHeight="1">
      <c r="B50" s="194" t="s">
        <v>1171</v>
      </c>
      <c r="C50" s="194">
        <v>190</v>
      </c>
      <c r="D50" s="195" t="s">
        <v>213</v>
      </c>
      <c r="E50" s="196">
        <v>26266</v>
      </c>
      <c r="F50" s="196">
        <v>3822</v>
      </c>
      <c r="G50" s="196">
        <v>0</v>
      </c>
      <c r="H50" s="197">
        <v>3</v>
      </c>
      <c r="I50" s="196">
        <v>16</v>
      </c>
      <c r="J50" s="197">
        <v>26</v>
      </c>
      <c r="K50" s="198">
        <f t="shared" si="0"/>
        <v>1248</v>
      </c>
      <c r="L50" s="197">
        <v>2</v>
      </c>
      <c r="M50" s="196">
        <v>16</v>
      </c>
      <c r="N50" s="197">
        <f>16+4</f>
        <v>20</v>
      </c>
      <c r="O50" s="198">
        <f t="shared" si="1"/>
        <v>640</v>
      </c>
      <c r="P50" s="199">
        <f t="shared" si="2"/>
        <v>1888</v>
      </c>
      <c r="Q50" s="197">
        <v>3</v>
      </c>
      <c r="R50" s="196">
        <v>42.5</v>
      </c>
      <c r="S50" s="197">
        <v>26</v>
      </c>
      <c r="T50" s="198">
        <f t="shared" si="3"/>
        <v>3315</v>
      </c>
      <c r="U50" s="197">
        <v>2</v>
      </c>
      <c r="V50" s="196">
        <v>42.5</v>
      </c>
      <c r="W50" s="197">
        <f>16+4</f>
        <v>20</v>
      </c>
      <c r="X50" s="198">
        <f t="shared" si="4"/>
        <v>1700</v>
      </c>
      <c r="Y50" s="200">
        <f t="shared" si="5"/>
        <v>5015</v>
      </c>
      <c r="Z50" s="197">
        <v>3</v>
      </c>
      <c r="AA50" s="196">
        <v>60</v>
      </c>
      <c r="AB50" s="197">
        <v>1</v>
      </c>
      <c r="AC50" s="198">
        <f t="shared" si="6"/>
        <v>180</v>
      </c>
      <c r="AD50" s="197">
        <v>3</v>
      </c>
      <c r="AE50" s="196">
        <v>90</v>
      </c>
      <c r="AF50" s="197">
        <v>1</v>
      </c>
      <c r="AG50" s="198">
        <f t="shared" si="7"/>
        <v>270</v>
      </c>
      <c r="AH50" s="200">
        <f t="shared" si="8"/>
        <v>450</v>
      </c>
      <c r="AI50" s="199">
        <f t="shared" si="12"/>
        <v>11175</v>
      </c>
      <c r="AJ50" s="201">
        <f t="shared" si="13"/>
        <v>0.42545496078580675</v>
      </c>
      <c r="AK50" s="196">
        <v>1660.01</v>
      </c>
      <c r="AL50" s="196">
        <v>262.66000000000003</v>
      </c>
      <c r="AM50" s="196">
        <v>262.66000000000003</v>
      </c>
      <c r="AN50" s="196">
        <v>787.98</v>
      </c>
      <c r="AO50" s="196">
        <v>170.72899999999998</v>
      </c>
      <c r="AP50" s="196">
        <v>1313.3000000000002</v>
      </c>
      <c r="AQ50" s="202">
        <f t="shared" si="9"/>
        <v>2797.3290000000006</v>
      </c>
      <c r="AR50" s="202">
        <f t="shared" si="10"/>
        <v>4457.3390000000009</v>
      </c>
      <c r="AS50" s="203">
        <f t="shared" si="11"/>
        <v>21808.661</v>
      </c>
    </row>
    <row r="51" spans="2:45" s="131" customFormat="1" ht="18" hidden="1" customHeight="1">
      <c r="B51" s="194" t="s">
        <v>1171</v>
      </c>
      <c r="C51" s="194">
        <v>191</v>
      </c>
      <c r="D51" s="195" t="s">
        <v>1081</v>
      </c>
      <c r="E51" s="196">
        <v>5810</v>
      </c>
      <c r="F51" s="196">
        <v>710.95</v>
      </c>
      <c r="G51" s="196">
        <v>350</v>
      </c>
      <c r="H51" s="197">
        <v>1</v>
      </c>
      <c r="I51" s="196">
        <v>16</v>
      </c>
      <c r="J51" s="197">
        <v>26</v>
      </c>
      <c r="K51" s="198">
        <f t="shared" si="0"/>
        <v>416</v>
      </c>
      <c r="L51" s="197">
        <v>0</v>
      </c>
      <c r="M51" s="196">
        <v>0</v>
      </c>
      <c r="N51" s="197">
        <v>0</v>
      </c>
      <c r="O51" s="198">
        <f t="shared" si="1"/>
        <v>0</v>
      </c>
      <c r="P51" s="199">
        <f t="shared" si="2"/>
        <v>416</v>
      </c>
      <c r="Q51" s="197">
        <v>1</v>
      </c>
      <c r="R51" s="196">
        <v>42.5</v>
      </c>
      <c r="S51" s="197">
        <v>26</v>
      </c>
      <c r="T51" s="198">
        <f t="shared" si="3"/>
        <v>1105</v>
      </c>
      <c r="U51" s="196">
        <v>0</v>
      </c>
      <c r="V51" s="196">
        <v>0</v>
      </c>
      <c r="W51" s="197">
        <v>0</v>
      </c>
      <c r="X51" s="198">
        <f t="shared" si="4"/>
        <v>0</v>
      </c>
      <c r="Y51" s="200">
        <f t="shared" si="5"/>
        <v>1105</v>
      </c>
      <c r="Z51" s="197">
        <v>1</v>
      </c>
      <c r="AA51" s="196">
        <v>80</v>
      </c>
      <c r="AB51" s="197">
        <v>1</v>
      </c>
      <c r="AC51" s="198">
        <f t="shared" si="6"/>
        <v>80</v>
      </c>
      <c r="AD51" s="197">
        <v>0</v>
      </c>
      <c r="AE51" s="196">
        <v>0</v>
      </c>
      <c r="AF51" s="196">
        <v>0</v>
      </c>
      <c r="AG51" s="198">
        <f t="shared" si="7"/>
        <v>0</v>
      </c>
      <c r="AH51" s="200">
        <f t="shared" si="8"/>
        <v>80</v>
      </c>
      <c r="AI51" s="199">
        <f t="shared" si="12"/>
        <v>2661.95</v>
      </c>
      <c r="AJ51" s="201">
        <f t="shared" si="13"/>
        <v>0.45816695352839926</v>
      </c>
      <c r="AK51" s="196">
        <v>346.28550000000001</v>
      </c>
      <c r="AL51" s="196">
        <v>58.1</v>
      </c>
      <c r="AM51" s="196">
        <v>58.1</v>
      </c>
      <c r="AN51" s="196">
        <v>174.29999999999998</v>
      </c>
      <c r="AO51" s="196">
        <v>37.765000000000001</v>
      </c>
      <c r="AP51" s="196">
        <v>290.5</v>
      </c>
      <c r="AQ51" s="202">
        <f t="shared" si="9"/>
        <v>618.76499999999999</v>
      </c>
      <c r="AR51" s="202">
        <f t="shared" si="10"/>
        <v>965.05050000000006</v>
      </c>
      <c r="AS51" s="203">
        <f t="shared" si="11"/>
        <v>4844.9494999999997</v>
      </c>
    </row>
    <row r="52" spans="2:45" s="131" customFormat="1" ht="18" hidden="1" customHeight="1">
      <c r="B52" s="194" t="s">
        <v>1171</v>
      </c>
      <c r="C52" s="194">
        <v>192</v>
      </c>
      <c r="D52" s="195" t="s">
        <v>941</v>
      </c>
      <c r="E52" s="196">
        <v>5928</v>
      </c>
      <c r="F52" s="196">
        <v>898.55</v>
      </c>
      <c r="G52" s="196">
        <v>216.5</v>
      </c>
      <c r="H52" s="197">
        <v>1</v>
      </c>
      <c r="I52" s="196">
        <v>16</v>
      </c>
      <c r="J52" s="197">
        <v>26</v>
      </c>
      <c r="K52" s="198">
        <f t="shared" si="0"/>
        <v>416</v>
      </c>
      <c r="L52" s="197">
        <v>0</v>
      </c>
      <c r="M52" s="196">
        <v>0</v>
      </c>
      <c r="N52" s="197">
        <v>0</v>
      </c>
      <c r="O52" s="198">
        <f t="shared" si="1"/>
        <v>0</v>
      </c>
      <c r="P52" s="199">
        <f t="shared" si="2"/>
        <v>416</v>
      </c>
      <c r="Q52" s="197">
        <v>1</v>
      </c>
      <c r="R52" s="196">
        <v>42.5</v>
      </c>
      <c r="S52" s="197">
        <v>26</v>
      </c>
      <c r="T52" s="198">
        <f t="shared" si="3"/>
        <v>1105</v>
      </c>
      <c r="U52" s="196">
        <v>0</v>
      </c>
      <c r="V52" s="196">
        <v>0</v>
      </c>
      <c r="W52" s="197">
        <v>0</v>
      </c>
      <c r="X52" s="198">
        <f t="shared" si="4"/>
        <v>0</v>
      </c>
      <c r="Y52" s="200">
        <f t="shared" si="5"/>
        <v>1105</v>
      </c>
      <c r="Z52" s="197">
        <v>1</v>
      </c>
      <c r="AA52" s="196">
        <v>80</v>
      </c>
      <c r="AB52" s="197">
        <v>1</v>
      </c>
      <c r="AC52" s="198">
        <f t="shared" si="6"/>
        <v>80</v>
      </c>
      <c r="AD52" s="197">
        <v>0</v>
      </c>
      <c r="AE52" s="196">
        <v>0</v>
      </c>
      <c r="AF52" s="196">
        <v>0</v>
      </c>
      <c r="AG52" s="198">
        <f t="shared" si="7"/>
        <v>0</v>
      </c>
      <c r="AH52" s="200">
        <f t="shared" si="8"/>
        <v>80</v>
      </c>
      <c r="AI52" s="199">
        <f t="shared" si="12"/>
        <v>2716.05</v>
      </c>
      <c r="AJ52" s="201">
        <f t="shared" si="13"/>
        <v>0.45817307692307696</v>
      </c>
      <c r="AK52" s="196">
        <v>353.31450000000001</v>
      </c>
      <c r="AL52" s="196">
        <v>59.28</v>
      </c>
      <c r="AM52" s="196">
        <v>59.28</v>
      </c>
      <c r="AN52" s="196">
        <v>177.84</v>
      </c>
      <c r="AO52" s="196">
        <v>38.531999999999996</v>
      </c>
      <c r="AP52" s="196">
        <v>296.40000000000003</v>
      </c>
      <c r="AQ52" s="202">
        <f t="shared" si="9"/>
        <v>631.33199999999999</v>
      </c>
      <c r="AR52" s="202">
        <f t="shared" si="10"/>
        <v>984.64650000000006</v>
      </c>
      <c r="AS52" s="203">
        <f t="shared" si="11"/>
        <v>4943.3535000000002</v>
      </c>
    </row>
    <row r="53" spans="2:45" s="131" customFormat="1" ht="18" hidden="1" customHeight="1">
      <c r="B53" s="194" t="s">
        <v>1171</v>
      </c>
      <c r="C53" s="194">
        <v>193</v>
      </c>
      <c r="D53" s="195" t="s">
        <v>1137</v>
      </c>
      <c r="E53" s="196">
        <v>36840</v>
      </c>
      <c r="F53" s="196">
        <v>2809.7</v>
      </c>
      <c r="G53" s="196">
        <v>0</v>
      </c>
      <c r="H53" s="197">
        <v>1</v>
      </c>
      <c r="I53" s="196">
        <v>16</v>
      </c>
      <c r="J53" s="197">
        <v>26</v>
      </c>
      <c r="K53" s="198">
        <f t="shared" si="0"/>
        <v>416</v>
      </c>
      <c r="L53" s="197">
        <v>2</v>
      </c>
      <c r="M53" s="196">
        <v>24</v>
      </c>
      <c r="N53" s="197">
        <v>16</v>
      </c>
      <c r="O53" s="198">
        <f t="shared" si="1"/>
        <v>768</v>
      </c>
      <c r="P53" s="199">
        <f t="shared" si="2"/>
        <v>1184</v>
      </c>
      <c r="Q53" s="197">
        <v>4</v>
      </c>
      <c r="R53" s="196">
        <v>20</v>
      </c>
      <c r="S53" s="197">
        <v>22</v>
      </c>
      <c r="T53" s="198">
        <f t="shared" si="3"/>
        <v>1760</v>
      </c>
      <c r="U53" s="197">
        <v>2</v>
      </c>
      <c r="V53" s="196">
        <v>20</v>
      </c>
      <c r="W53" s="207">
        <v>15.5</v>
      </c>
      <c r="X53" s="198">
        <f t="shared" si="4"/>
        <v>620</v>
      </c>
      <c r="Y53" s="200">
        <f t="shared" si="5"/>
        <v>2380</v>
      </c>
      <c r="Z53" s="197">
        <v>4</v>
      </c>
      <c r="AA53" s="208">
        <f>90/12</f>
        <v>7.5</v>
      </c>
      <c r="AB53" s="197">
        <v>2</v>
      </c>
      <c r="AC53" s="198">
        <f t="shared" si="6"/>
        <v>60</v>
      </c>
      <c r="AD53" s="197">
        <v>2</v>
      </c>
      <c r="AE53" s="208">
        <f>90/12</f>
        <v>7.5</v>
      </c>
      <c r="AF53" s="197">
        <v>2</v>
      </c>
      <c r="AG53" s="198">
        <f t="shared" si="7"/>
        <v>30</v>
      </c>
      <c r="AH53" s="200">
        <f t="shared" si="8"/>
        <v>90</v>
      </c>
      <c r="AI53" s="199">
        <f t="shared" si="12"/>
        <v>6463.7</v>
      </c>
      <c r="AJ53" s="201">
        <f t="shared" si="13"/>
        <v>0.17545331161780672</v>
      </c>
      <c r="AK53" s="196">
        <v>3341.393</v>
      </c>
      <c r="AL53" s="196">
        <v>368.40000000000003</v>
      </c>
      <c r="AM53" s="196">
        <v>368.40000000000003</v>
      </c>
      <c r="AN53" s="196">
        <v>1105.2</v>
      </c>
      <c r="AO53" s="196">
        <v>239.45999999999998</v>
      </c>
      <c r="AP53" s="209">
        <v>0</v>
      </c>
      <c r="AQ53" s="202">
        <f t="shared" si="9"/>
        <v>2081.46</v>
      </c>
      <c r="AR53" s="202">
        <f t="shared" si="10"/>
        <v>5422.8530000000001</v>
      </c>
      <c r="AS53" s="203">
        <f t="shared" si="11"/>
        <v>31417.147000000001</v>
      </c>
    </row>
    <row r="54" spans="2:45" s="131" customFormat="1" ht="18" hidden="1" customHeight="1">
      <c r="B54" s="194" t="s">
        <v>1171</v>
      </c>
      <c r="C54" s="194">
        <v>194</v>
      </c>
      <c r="D54" s="195" t="s">
        <v>1113</v>
      </c>
      <c r="E54" s="196">
        <v>14542.32</v>
      </c>
      <c r="F54" s="196">
        <v>0</v>
      </c>
      <c r="G54" s="196">
        <v>0</v>
      </c>
      <c r="H54" s="197">
        <v>0</v>
      </c>
      <c r="I54" s="196">
        <v>0</v>
      </c>
      <c r="J54" s="197">
        <v>0</v>
      </c>
      <c r="K54" s="198">
        <f t="shared" si="0"/>
        <v>0</v>
      </c>
      <c r="L54" s="197">
        <v>0</v>
      </c>
      <c r="M54" s="196">
        <v>0</v>
      </c>
      <c r="N54" s="197">
        <v>0</v>
      </c>
      <c r="O54" s="198">
        <f t="shared" si="1"/>
        <v>0</v>
      </c>
      <c r="P54" s="199">
        <f t="shared" si="2"/>
        <v>0</v>
      </c>
      <c r="Q54" s="197">
        <v>0</v>
      </c>
      <c r="R54" s="196">
        <v>0</v>
      </c>
      <c r="S54" s="197">
        <v>0</v>
      </c>
      <c r="T54" s="198">
        <f t="shared" si="3"/>
        <v>0</v>
      </c>
      <c r="U54" s="197">
        <v>0</v>
      </c>
      <c r="V54" s="196">
        <v>0</v>
      </c>
      <c r="W54" s="207">
        <v>0</v>
      </c>
      <c r="X54" s="198">
        <f t="shared" si="4"/>
        <v>0</v>
      </c>
      <c r="Y54" s="200">
        <f t="shared" si="5"/>
        <v>0</v>
      </c>
      <c r="Z54" s="197">
        <v>0</v>
      </c>
      <c r="AA54" s="196">
        <v>0</v>
      </c>
      <c r="AB54" s="197">
        <v>0</v>
      </c>
      <c r="AC54" s="198">
        <f t="shared" si="6"/>
        <v>0</v>
      </c>
      <c r="AD54" s="197">
        <v>0</v>
      </c>
      <c r="AE54" s="196">
        <v>0</v>
      </c>
      <c r="AF54" s="197">
        <v>0</v>
      </c>
      <c r="AG54" s="198">
        <f t="shared" si="7"/>
        <v>0</v>
      </c>
      <c r="AH54" s="200">
        <f t="shared" si="8"/>
        <v>0</v>
      </c>
      <c r="AI54" s="199">
        <f t="shared" si="12"/>
        <v>0</v>
      </c>
      <c r="AJ54" s="201">
        <f t="shared" si="13"/>
        <v>0</v>
      </c>
      <c r="AK54" s="196">
        <v>1599.6551999999999</v>
      </c>
      <c r="AL54" s="196">
        <v>145.42320000000001</v>
      </c>
      <c r="AM54" s="196">
        <v>145.42320000000001</v>
      </c>
      <c r="AN54" s="196">
        <v>436.26959999999997</v>
      </c>
      <c r="AO54" s="196">
        <v>94.525079999999988</v>
      </c>
      <c r="AP54" s="209">
        <v>0</v>
      </c>
      <c r="AQ54" s="202">
        <f t="shared" si="9"/>
        <v>821.64107999999999</v>
      </c>
      <c r="AR54" s="202">
        <f t="shared" si="10"/>
        <v>2421.29628</v>
      </c>
      <c r="AS54" s="203">
        <f t="shared" si="11"/>
        <v>12121.023719999999</v>
      </c>
    </row>
    <row r="55" spans="2:45" s="131" customFormat="1" ht="18" hidden="1" customHeight="1">
      <c r="B55" s="194" t="s">
        <v>1171</v>
      </c>
      <c r="C55" s="194">
        <v>195</v>
      </c>
      <c r="D55" s="195" t="s">
        <v>1114</v>
      </c>
      <c r="E55" s="196">
        <v>4018.49</v>
      </c>
      <c r="F55" s="196">
        <v>0</v>
      </c>
      <c r="G55" s="196">
        <v>0</v>
      </c>
      <c r="H55" s="197">
        <v>0</v>
      </c>
      <c r="I55" s="196">
        <v>0</v>
      </c>
      <c r="J55" s="197">
        <v>0</v>
      </c>
      <c r="K55" s="198">
        <f t="shared" si="0"/>
        <v>0</v>
      </c>
      <c r="L55" s="197">
        <v>0</v>
      </c>
      <c r="M55" s="196">
        <v>0</v>
      </c>
      <c r="N55" s="197">
        <v>0</v>
      </c>
      <c r="O55" s="198">
        <f t="shared" si="1"/>
        <v>0</v>
      </c>
      <c r="P55" s="199">
        <f t="shared" si="2"/>
        <v>0</v>
      </c>
      <c r="Q55" s="197">
        <v>0</v>
      </c>
      <c r="R55" s="196">
        <v>0</v>
      </c>
      <c r="S55" s="197">
        <v>0</v>
      </c>
      <c r="T55" s="198">
        <f t="shared" si="3"/>
        <v>0</v>
      </c>
      <c r="U55" s="197">
        <v>0</v>
      </c>
      <c r="V55" s="196">
        <v>0</v>
      </c>
      <c r="W55" s="207">
        <v>0</v>
      </c>
      <c r="X55" s="198">
        <f t="shared" si="4"/>
        <v>0</v>
      </c>
      <c r="Y55" s="200">
        <f t="shared" si="5"/>
        <v>0</v>
      </c>
      <c r="Z55" s="197">
        <v>0</v>
      </c>
      <c r="AA55" s="196">
        <v>0</v>
      </c>
      <c r="AB55" s="197">
        <v>0</v>
      </c>
      <c r="AC55" s="198">
        <f t="shared" si="6"/>
        <v>0</v>
      </c>
      <c r="AD55" s="197">
        <v>0</v>
      </c>
      <c r="AE55" s="196">
        <v>0</v>
      </c>
      <c r="AF55" s="197">
        <v>0</v>
      </c>
      <c r="AG55" s="198">
        <f t="shared" si="7"/>
        <v>0</v>
      </c>
      <c r="AH55" s="200">
        <f t="shared" si="8"/>
        <v>0</v>
      </c>
      <c r="AI55" s="199">
        <f t="shared" si="12"/>
        <v>0</v>
      </c>
      <c r="AJ55" s="201">
        <f t="shared" si="13"/>
        <v>0</v>
      </c>
      <c r="AK55" s="196">
        <v>442.03389999999996</v>
      </c>
      <c r="AL55" s="196">
        <v>40.184899999999999</v>
      </c>
      <c r="AM55" s="196">
        <v>40.184899999999999</v>
      </c>
      <c r="AN55" s="196">
        <v>120.55469999999998</v>
      </c>
      <c r="AO55" s="196">
        <v>26.120184999999996</v>
      </c>
      <c r="AP55" s="196">
        <v>200.92449999999999</v>
      </c>
      <c r="AQ55" s="202">
        <f t="shared" si="9"/>
        <v>427.96918499999992</v>
      </c>
      <c r="AR55" s="202">
        <f t="shared" si="10"/>
        <v>870.00308499999983</v>
      </c>
      <c r="AS55" s="203">
        <f t="shared" si="11"/>
        <v>3148.486915</v>
      </c>
    </row>
    <row r="56" spans="2:45" s="131" customFormat="1" ht="18" hidden="1" customHeight="1">
      <c r="B56" s="194" t="s">
        <v>1171</v>
      </c>
      <c r="C56" s="194">
        <v>196</v>
      </c>
      <c r="D56" s="195" t="s">
        <v>1131</v>
      </c>
      <c r="E56" s="196">
        <v>3922.57</v>
      </c>
      <c r="F56" s="196">
        <v>0</v>
      </c>
      <c r="G56" s="196">
        <v>0</v>
      </c>
      <c r="H56" s="197">
        <v>0</v>
      </c>
      <c r="I56" s="196">
        <v>0</v>
      </c>
      <c r="J56" s="197">
        <v>0</v>
      </c>
      <c r="K56" s="198">
        <f t="shared" si="0"/>
        <v>0</v>
      </c>
      <c r="L56" s="197">
        <v>0</v>
      </c>
      <c r="M56" s="196">
        <v>0</v>
      </c>
      <c r="N56" s="197">
        <v>0</v>
      </c>
      <c r="O56" s="198">
        <f t="shared" si="1"/>
        <v>0</v>
      </c>
      <c r="P56" s="199">
        <f t="shared" si="2"/>
        <v>0</v>
      </c>
      <c r="Q56" s="197">
        <v>0</v>
      </c>
      <c r="R56" s="196">
        <v>0</v>
      </c>
      <c r="S56" s="197">
        <v>0</v>
      </c>
      <c r="T56" s="198">
        <f t="shared" si="3"/>
        <v>0</v>
      </c>
      <c r="U56" s="197">
        <v>0</v>
      </c>
      <c r="V56" s="196">
        <v>0</v>
      </c>
      <c r="W56" s="207">
        <v>0</v>
      </c>
      <c r="X56" s="198">
        <f t="shared" si="4"/>
        <v>0</v>
      </c>
      <c r="Y56" s="200">
        <f t="shared" si="5"/>
        <v>0</v>
      </c>
      <c r="Z56" s="197">
        <v>0</v>
      </c>
      <c r="AA56" s="196">
        <v>0</v>
      </c>
      <c r="AB56" s="197">
        <v>0</v>
      </c>
      <c r="AC56" s="198">
        <f t="shared" si="6"/>
        <v>0</v>
      </c>
      <c r="AD56" s="197">
        <v>0</v>
      </c>
      <c r="AE56" s="196">
        <v>0</v>
      </c>
      <c r="AF56" s="197">
        <v>0</v>
      </c>
      <c r="AG56" s="198">
        <f t="shared" si="7"/>
        <v>0</v>
      </c>
      <c r="AH56" s="200">
        <f t="shared" si="8"/>
        <v>0</v>
      </c>
      <c r="AI56" s="199">
        <f t="shared" si="12"/>
        <v>0</v>
      </c>
      <c r="AJ56" s="201">
        <f t="shared" si="13"/>
        <v>0</v>
      </c>
      <c r="AK56" s="196">
        <v>431.48270000000002</v>
      </c>
      <c r="AL56" s="196">
        <v>39.225700000000003</v>
      </c>
      <c r="AM56" s="196">
        <v>39.225700000000003</v>
      </c>
      <c r="AN56" s="196">
        <v>117.6771</v>
      </c>
      <c r="AO56" s="196">
        <v>25.496704999999999</v>
      </c>
      <c r="AP56" s="209">
        <v>0</v>
      </c>
      <c r="AQ56" s="202">
        <f t="shared" si="9"/>
        <v>221.62520499999999</v>
      </c>
      <c r="AR56" s="202">
        <f t="shared" si="10"/>
        <v>653.10790500000007</v>
      </c>
      <c r="AS56" s="203">
        <f t="shared" si="11"/>
        <v>3269.4620949999999</v>
      </c>
    </row>
    <row r="57" spans="2:45" s="131" customFormat="1" ht="18" hidden="1" customHeight="1">
      <c r="B57" s="194" t="s">
        <v>1171</v>
      </c>
      <c r="C57" s="194">
        <v>197</v>
      </c>
      <c r="D57" s="195" t="s">
        <v>1132</v>
      </c>
      <c r="E57" s="196">
        <v>4304.0600000000004</v>
      </c>
      <c r="F57" s="196">
        <v>0</v>
      </c>
      <c r="G57" s="196">
        <v>0</v>
      </c>
      <c r="H57" s="197">
        <v>0</v>
      </c>
      <c r="I57" s="196">
        <v>0</v>
      </c>
      <c r="J57" s="197">
        <v>0</v>
      </c>
      <c r="K57" s="198">
        <f t="shared" si="0"/>
        <v>0</v>
      </c>
      <c r="L57" s="197">
        <v>0</v>
      </c>
      <c r="M57" s="196">
        <v>0</v>
      </c>
      <c r="N57" s="197">
        <v>0</v>
      </c>
      <c r="O57" s="198">
        <f t="shared" si="1"/>
        <v>0</v>
      </c>
      <c r="P57" s="199">
        <f t="shared" si="2"/>
        <v>0</v>
      </c>
      <c r="Q57" s="197">
        <v>0</v>
      </c>
      <c r="R57" s="196">
        <v>0</v>
      </c>
      <c r="S57" s="197">
        <v>0</v>
      </c>
      <c r="T57" s="198">
        <f t="shared" si="3"/>
        <v>0</v>
      </c>
      <c r="U57" s="197">
        <v>0</v>
      </c>
      <c r="V57" s="196">
        <v>0</v>
      </c>
      <c r="W57" s="207">
        <v>0</v>
      </c>
      <c r="X57" s="198">
        <f t="shared" si="4"/>
        <v>0</v>
      </c>
      <c r="Y57" s="200">
        <f t="shared" si="5"/>
        <v>0</v>
      </c>
      <c r="Z57" s="197">
        <v>0</v>
      </c>
      <c r="AA57" s="196">
        <v>0</v>
      </c>
      <c r="AB57" s="197">
        <v>0</v>
      </c>
      <c r="AC57" s="198">
        <f t="shared" si="6"/>
        <v>0</v>
      </c>
      <c r="AD57" s="197">
        <v>0</v>
      </c>
      <c r="AE57" s="196">
        <v>0</v>
      </c>
      <c r="AF57" s="197">
        <v>0</v>
      </c>
      <c r="AG57" s="198">
        <f t="shared" si="7"/>
        <v>0</v>
      </c>
      <c r="AH57" s="200">
        <f t="shared" si="8"/>
        <v>0</v>
      </c>
      <c r="AI57" s="199">
        <f t="shared" si="12"/>
        <v>0</v>
      </c>
      <c r="AJ57" s="201">
        <f t="shared" si="13"/>
        <v>0</v>
      </c>
      <c r="AK57" s="196">
        <v>473.44660000000005</v>
      </c>
      <c r="AL57" s="196">
        <v>43.040600000000005</v>
      </c>
      <c r="AM57" s="196">
        <v>43.040600000000005</v>
      </c>
      <c r="AN57" s="196">
        <v>129.12180000000001</v>
      </c>
      <c r="AO57" s="196">
        <v>27.976390000000002</v>
      </c>
      <c r="AP57" s="196">
        <v>215.20300000000003</v>
      </c>
      <c r="AQ57" s="202">
        <f t="shared" si="9"/>
        <v>458.3823900000001</v>
      </c>
      <c r="AR57" s="202">
        <f t="shared" si="10"/>
        <v>931.8289900000002</v>
      </c>
      <c r="AS57" s="203">
        <f t="shared" si="11"/>
        <v>3372.2310100000004</v>
      </c>
    </row>
    <row r="58" spans="2:45" s="131" customFormat="1" ht="18" hidden="1" customHeight="1">
      <c r="B58" s="194" t="s">
        <v>1171</v>
      </c>
      <c r="C58" s="194">
        <v>198</v>
      </c>
      <c r="D58" s="195" t="s">
        <v>1694</v>
      </c>
      <c r="E58" s="196">
        <v>6695.1</v>
      </c>
      <c r="F58" s="196">
        <v>0</v>
      </c>
      <c r="G58" s="196">
        <v>0</v>
      </c>
      <c r="H58" s="197">
        <v>0</v>
      </c>
      <c r="I58" s="196">
        <v>0</v>
      </c>
      <c r="J58" s="197">
        <v>0</v>
      </c>
      <c r="K58" s="198">
        <f t="shared" si="0"/>
        <v>0</v>
      </c>
      <c r="L58" s="197">
        <v>0</v>
      </c>
      <c r="M58" s="196">
        <v>0</v>
      </c>
      <c r="N58" s="197">
        <v>0</v>
      </c>
      <c r="O58" s="198">
        <f t="shared" si="1"/>
        <v>0</v>
      </c>
      <c r="P58" s="199">
        <f t="shared" si="2"/>
        <v>0</v>
      </c>
      <c r="Q58" s="197">
        <v>0</v>
      </c>
      <c r="R58" s="196">
        <v>0</v>
      </c>
      <c r="S58" s="197">
        <v>0</v>
      </c>
      <c r="T58" s="198">
        <f t="shared" si="3"/>
        <v>0</v>
      </c>
      <c r="U58" s="196">
        <v>0</v>
      </c>
      <c r="V58" s="196">
        <v>0</v>
      </c>
      <c r="W58" s="197">
        <v>0</v>
      </c>
      <c r="X58" s="198">
        <f t="shared" si="4"/>
        <v>0</v>
      </c>
      <c r="Y58" s="200">
        <f t="shared" si="5"/>
        <v>0</v>
      </c>
      <c r="Z58" s="197">
        <v>0</v>
      </c>
      <c r="AA58" s="196">
        <v>0</v>
      </c>
      <c r="AB58" s="197">
        <v>0</v>
      </c>
      <c r="AC58" s="198">
        <f t="shared" si="6"/>
        <v>0</v>
      </c>
      <c r="AD58" s="197">
        <v>0</v>
      </c>
      <c r="AE58" s="196">
        <v>0</v>
      </c>
      <c r="AF58" s="196">
        <v>0</v>
      </c>
      <c r="AG58" s="198">
        <f t="shared" si="7"/>
        <v>0</v>
      </c>
      <c r="AH58" s="200">
        <f t="shared" si="8"/>
        <v>0</v>
      </c>
      <c r="AI58" s="199">
        <f t="shared" si="12"/>
        <v>0</v>
      </c>
      <c r="AJ58" s="201">
        <f t="shared" si="13"/>
        <v>0</v>
      </c>
      <c r="AK58" s="196">
        <v>736.46100000000001</v>
      </c>
      <c r="AL58" s="196">
        <v>66.951000000000008</v>
      </c>
      <c r="AM58" s="196">
        <v>66.951000000000008</v>
      </c>
      <c r="AN58" s="196">
        <v>200.85300000000001</v>
      </c>
      <c r="AO58" s="196">
        <v>43.518149999999999</v>
      </c>
      <c r="AP58" s="196">
        <v>334.75500000000005</v>
      </c>
      <c r="AQ58" s="202">
        <f t="shared" si="9"/>
        <v>713.0281500000001</v>
      </c>
      <c r="AR58" s="202">
        <f t="shared" si="10"/>
        <v>1449.4891500000001</v>
      </c>
      <c r="AS58" s="203">
        <f t="shared" si="11"/>
        <v>5245.61085</v>
      </c>
    </row>
    <row r="59" spans="2:45" s="131" customFormat="1" ht="18" hidden="1" customHeight="1">
      <c r="B59" s="194" t="s">
        <v>1179</v>
      </c>
      <c r="C59" s="194">
        <v>199</v>
      </c>
      <c r="D59" s="195" t="s">
        <v>982</v>
      </c>
      <c r="E59" s="196">
        <v>5928</v>
      </c>
      <c r="F59" s="196">
        <v>950.61</v>
      </c>
      <c r="G59" s="196">
        <v>326.16666666666669</v>
      </c>
      <c r="H59" s="197">
        <v>1</v>
      </c>
      <c r="I59" s="196">
        <v>16</v>
      </c>
      <c r="J59" s="197">
        <v>26</v>
      </c>
      <c r="K59" s="198">
        <f t="shared" si="0"/>
        <v>416</v>
      </c>
      <c r="L59" s="197">
        <v>0</v>
      </c>
      <c r="M59" s="196">
        <v>0</v>
      </c>
      <c r="N59" s="197">
        <v>0</v>
      </c>
      <c r="O59" s="198">
        <f t="shared" si="1"/>
        <v>0</v>
      </c>
      <c r="P59" s="199">
        <f t="shared" si="2"/>
        <v>416</v>
      </c>
      <c r="Q59" s="197">
        <v>1</v>
      </c>
      <c r="R59" s="196">
        <v>42.5</v>
      </c>
      <c r="S59" s="197">
        <v>26</v>
      </c>
      <c r="T59" s="198">
        <f t="shared" si="3"/>
        <v>1105</v>
      </c>
      <c r="U59" s="196">
        <v>0</v>
      </c>
      <c r="V59" s="196">
        <v>0</v>
      </c>
      <c r="W59" s="197">
        <v>0</v>
      </c>
      <c r="X59" s="198">
        <f t="shared" si="4"/>
        <v>0</v>
      </c>
      <c r="Y59" s="200">
        <f t="shared" si="5"/>
        <v>1105</v>
      </c>
      <c r="Z59" s="197">
        <v>1</v>
      </c>
      <c r="AA59" s="196">
        <v>80</v>
      </c>
      <c r="AB59" s="197">
        <v>1</v>
      </c>
      <c r="AC59" s="198">
        <f t="shared" si="6"/>
        <v>80</v>
      </c>
      <c r="AD59" s="197">
        <v>0</v>
      </c>
      <c r="AE59" s="196">
        <v>0</v>
      </c>
      <c r="AF59" s="196">
        <v>0</v>
      </c>
      <c r="AG59" s="198">
        <f t="shared" si="7"/>
        <v>0</v>
      </c>
      <c r="AH59" s="200">
        <f t="shared" si="8"/>
        <v>80</v>
      </c>
      <c r="AI59" s="199">
        <f t="shared" si="12"/>
        <v>2877.7766666666666</v>
      </c>
      <c r="AJ59" s="201">
        <f t="shared" si="13"/>
        <v>0.48545490328385066</v>
      </c>
      <c r="AK59" s="196">
        <v>335.52456666666666</v>
      </c>
      <c r="AL59" s="196">
        <v>59.28</v>
      </c>
      <c r="AM59" s="196">
        <v>59.28</v>
      </c>
      <c r="AN59" s="196">
        <v>177.84</v>
      </c>
      <c r="AO59" s="196">
        <v>38.531999999999996</v>
      </c>
      <c r="AP59" s="196">
        <v>296.40000000000003</v>
      </c>
      <c r="AQ59" s="202">
        <f t="shared" si="9"/>
        <v>631.33199999999999</v>
      </c>
      <c r="AR59" s="202">
        <f t="shared" si="10"/>
        <v>966.85656666666659</v>
      </c>
      <c r="AS59" s="203">
        <f t="shared" si="11"/>
        <v>4961.1434333333336</v>
      </c>
    </row>
    <row r="60" spans="2:45" s="131" customFormat="1" ht="18" hidden="1" customHeight="1">
      <c r="B60" s="194" t="s">
        <v>1179</v>
      </c>
      <c r="C60" s="194">
        <v>200</v>
      </c>
      <c r="D60" s="195" t="s">
        <v>1003</v>
      </c>
      <c r="E60" s="196">
        <v>16252</v>
      </c>
      <c r="F60" s="196">
        <v>2331.4</v>
      </c>
      <c r="G60" s="196">
        <v>300</v>
      </c>
      <c r="H60" s="197">
        <v>1</v>
      </c>
      <c r="I60" s="196">
        <v>16</v>
      </c>
      <c r="J60" s="197">
        <v>26</v>
      </c>
      <c r="K60" s="198">
        <f t="shared" si="0"/>
        <v>416</v>
      </c>
      <c r="L60" s="197">
        <v>2</v>
      </c>
      <c r="M60" s="196">
        <v>16</v>
      </c>
      <c r="N60" s="197">
        <v>16</v>
      </c>
      <c r="O60" s="198">
        <f t="shared" si="1"/>
        <v>512</v>
      </c>
      <c r="P60" s="199">
        <f t="shared" si="2"/>
        <v>928</v>
      </c>
      <c r="Q60" s="197">
        <v>1</v>
      </c>
      <c r="R60" s="196">
        <v>42.5</v>
      </c>
      <c r="S60" s="197">
        <v>26</v>
      </c>
      <c r="T60" s="198">
        <f t="shared" si="3"/>
        <v>1105</v>
      </c>
      <c r="U60" s="196">
        <v>2</v>
      </c>
      <c r="V60" s="196">
        <v>42.5</v>
      </c>
      <c r="W60" s="197">
        <v>16</v>
      </c>
      <c r="X60" s="198">
        <f t="shared" si="4"/>
        <v>1360</v>
      </c>
      <c r="Y60" s="200">
        <f t="shared" si="5"/>
        <v>2465</v>
      </c>
      <c r="Z60" s="197">
        <v>1</v>
      </c>
      <c r="AA60" s="196">
        <v>80</v>
      </c>
      <c r="AB60" s="197">
        <v>1</v>
      </c>
      <c r="AC60" s="198">
        <f t="shared" si="6"/>
        <v>80</v>
      </c>
      <c r="AD60" s="197">
        <v>2</v>
      </c>
      <c r="AE60" s="196">
        <v>80</v>
      </c>
      <c r="AF60" s="197">
        <v>1</v>
      </c>
      <c r="AG60" s="198">
        <f t="shared" si="7"/>
        <v>160</v>
      </c>
      <c r="AH60" s="200">
        <f t="shared" si="8"/>
        <v>240</v>
      </c>
      <c r="AI60" s="199">
        <f t="shared" si="12"/>
        <v>6264.4</v>
      </c>
      <c r="AJ60" s="201">
        <f t="shared" si="13"/>
        <v>0.3854540979571745</v>
      </c>
      <c r="AK60" s="196">
        <v>1098.636</v>
      </c>
      <c r="AL60" s="196">
        <v>162.52000000000001</v>
      </c>
      <c r="AM60" s="196">
        <v>162.52000000000001</v>
      </c>
      <c r="AN60" s="196">
        <v>487.56</v>
      </c>
      <c r="AO60" s="196">
        <v>105.63799999999999</v>
      </c>
      <c r="AP60" s="196">
        <v>812.6</v>
      </c>
      <c r="AQ60" s="202">
        <f t="shared" si="9"/>
        <v>1730.8380000000002</v>
      </c>
      <c r="AR60" s="202">
        <f t="shared" si="10"/>
        <v>2829.4740000000002</v>
      </c>
      <c r="AS60" s="203">
        <f t="shared" si="11"/>
        <v>13422.526</v>
      </c>
    </row>
    <row r="61" spans="2:45" s="131" customFormat="1" ht="18" hidden="1" customHeight="1">
      <c r="B61" s="194" t="s">
        <v>1179</v>
      </c>
      <c r="C61" s="194">
        <v>201</v>
      </c>
      <c r="D61" s="195" t="s">
        <v>1082</v>
      </c>
      <c r="E61" s="196">
        <v>5562</v>
      </c>
      <c r="F61" s="196">
        <v>911.65</v>
      </c>
      <c r="G61" s="196">
        <v>187.41666666666666</v>
      </c>
      <c r="H61" s="197">
        <v>1</v>
      </c>
      <c r="I61" s="196">
        <v>16</v>
      </c>
      <c r="J61" s="197">
        <v>26</v>
      </c>
      <c r="K61" s="198">
        <f t="shared" si="0"/>
        <v>416</v>
      </c>
      <c r="L61" s="197">
        <v>0</v>
      </c>
      <c r="M61" s="196">
        <v>0</v>
      </c>
      <c r="N61" s="197">
        <v>0</v>
      </c>
      <c r="O61" s="198">
        <f t="shared" si="1"/>
        <v>0</v>
      </c>
      <c r="P61" s="199">
        <f t="shared" si="2"/>
        <v>416</v>
      </c>
      <c r="Q61" s="197">
        <v>1</v>
      </c>
      <c r="R61" s="196">
        <v>42.5</v>
      </c>
      <c r="S61" s="197">
        <v>26</v>
      </c>
      <c r="T61" s="198">
        <f t="shared" si="3"/>
        <v>1105</v>
      </c>
      <c r="U61" s="196">
        <v>0</v>
      </c>
      <c r="V61" s="196">
        <v>0</v>
      </c>
      <c r="W61" s="197">
        <v>0</v>
      </c>
      <c r="X61" s="198">
        <f t="shared" si="4"/>
        <v>0</v>
      </c>
      <c r="Y61" s="200">
        <f t="shared" si="5"/>
        <v>1105</v>
      </c>
      <c r="Z61" s="197">
        <v>1</v>
      </c>
      <c r="AA61" s="196">
        <v>80</v>
      </c>
      <c r="AB61" s="197">
        <v>1</v>
      </c>
      <c r="AC61" s="198">
        <f t="shared" si="6"/>
        <v>80</v>
      </c>
      <c r="AD61" s="197">
        <v>0</v>
      </c>
      <c r="AE61" s="196">
        <v>0</v>
      </c>
      <c r="AF61" s="196">
        <v>0</v>
      </c>
      <c r="AG61" s="198">
        <f t="shared" si="7"/>
        <v>0</v>
      </c>
      <c r="AH61" s="200">
        <f t="shared" si="8"/>
        <v>80</v>
      </c>
      <c r="AI61" s="199">
        <f t="shared" si="12"/>
        <v>2700.0666666666666</v>
      </c>
      <c r="AJ61" s="201">
        <f t="shared" si="13"/>
        <v>0.48544887930001196</v>
      </c>
      <c r="AK61" s="196">
        <v>314.8126666666667</v>
      </c>
      <c r="AL61" s="196">
        <v>55.620000000000005</v>
      </c>
      <c r="AM61" s="196">
        <v>55.620000000000005</v>
      </c>
      <c r="AN61" s="196">
        <v>166.85999999999999</v>
      </c>
      <c r="AO61" s="196">
        <v>36.152999999999999</v>
      </c>
      <c r="AP61" s="196">
        <v>278.10000000000002</v>
      </c>
      <c r="AQ61" s="202">
        <f t="shared" si="9"/>
        <v>592.35300000000007</v>
      </c>
      <c r="AR61" s="202">
        <f t="shared" si="10"/>
        <v>907.16566666666677</v>
      </c>
      <c r="AS61" s="203">
        <f t="shared" si="11"/>
        <v>4654.8343333333332</v>
      </c>
    </row>
    <row r="62" spans="2:45" s="131" customFormat="1" ht="18" hidden="1" customHeight="1">
      <c r="B62" s="194" t="s">
        <v>1179</v>
      </c>
      <c r="C62" s="194">
        <v>202</v>
      </c>
      <c r="D62" s="195" t="s">
        <v>213</v>
      </c>
      <c r="E62" s="196">
        <f>(26266/30)*7</f>
        <v>6128.7333333333336</v>
      </c>
      <c r="F62" s="196">
        <v>110</v>
      </c>
      <c r="G62" s="196">
        <v>0</v>
      </c>
      <c r="H62" s="197">
        <v>3</v>
      </c>
      <c r="I62" s="196">
        <v>16</v>
      </c>
      <c r="J62" s="197">
        <v>7</v>
      </c>
      <c r="K62" s="198">
        <f t="shared" si="0"/>
        <v>336</v>
      </c>
      <c r="L62" s="197">
        <v>2</v>
      </c>
      <c r="M62" s="196">
        <v>16</v>
      </c>
      <c r="N62" s="197">
        <v>7</v>
      </c>
      <c r="O62" s="198">
        <f t="shared" si="1"/>
        <v>224</v>
      </c>
      <c r="P62" s="199">
        <f t="shared" si="2"/>
        <v>560</v>
      </c>
      <c r="Q62" s="197">
        <v>3</v>
      </c>
      <c r="R62" s="196">
        <v>42.5</v>
      </c>
      <c r="S62" s="197">
        <v>7</v>
      </c>
      <c r="T62" s="198">
        <f t="shared" si="3"/>
        <v>892.5</v>
      </c>
      <c r="U62" s="197">
        <v>2</v>
      </c>
      <c r="V62" s="196">
        <v>42.5</v>
      </c>
      <c r="W62" s="197">
        <v>7</v>
      </c>
      <c r="X62" s="198">
        <f t="shared" si="4"/>
        <v>595</v>
      </c>
      <c r="Y62" s="200">
        <f t="shared" si="5"/>
        <v>1487.5</v>
      </c>
      <c r="Z62" s="197">
        <v>3</v>
      </c>
      <c r="AA62" s="196">
        <v>60</v>
      </c>
      <c r="AB62" s="197">
        <v>1</v>
      </c>
      <c r="AC62" s="198">
        <f t="shared" si="6"/>
        <v>180</v>
      </c>
      <c r="AD62" s="197">
        <v>3</v>
      </c>
      <c r="AE62" s="196">
        <v>90</v>
      </c>
      <c r="AF62" s="197">
        <v>1</v>
      </c>
      <c r="AG62" s="198">
        <f t="shared" si="7"/>
        <v>270</v>
      </c>
      <c r="AH62" s="200">
        <f t="shared" si="8"/>
        <v>450</v>
      </c>
      <c r="AI62" s="199">
        <f t="shared" si="12"/>
        <v>2607.5</v>
      </c>
      <c r="AJ62" s="201">
        <f t="shared" si="13"/>
        <v>0.42545496078580675</v>
      </c>
      <c r="AK62" s="196">
        <v>387.33566666666667</v>
      </c>
      <c r="AL62" s="196">
        <v>61.287333333333336</v>
      </c>
      <c r="AM62" s="196">
        <v>61.287333333333336</v>
      </c>
      <c r="AN62" s="196">
        <v>183.86199999999999</v>
      </c>
      <c r="AO62" s="196">
        <v>39.836766666666669</v>
      </c>
      <c r="AP62" s="196">
        <v>306.43666666666667</v>
      </c>
      <c r="AQ62" s="202">
        <f t="shared" si="9"/>
        <v>652.71010000000001</v>
      </c>
      <c r="AR62" s="202">
        <f t="shared" si="10"/>
        <v>1040.0457666666666</v>
      </c>
      <c r="AS62" s="203">
        <f t="shared" si="11"/>
        <v>5088.6875666666674</v>
      </c>
    </row>
    <row r="63" spans="2:45" s="131" customFormat="1" ht="18" hidden="1" customHeight="1">
      <c r="B63" s="194" t="s">
        <v>1179</v>
      </c>
      <c r="C63" s="194">
        <v>203</v>
      </c>
      <c r="D63" s="195" t="s">
        <v>1081</v>
      </c>
      <c r="E63" s="196">
        <v>5810</v>
      </c>
      <c r="F63" s="196">
        <v>710.95</v>
      </c>
      <c r="G63" s="196">
        <v>350</v>
      </c>
      <c r="H63" s="197">
        <v>1</v>
      </c>
      <c r="I63" s="196">
        <v>16</v>
      </c>
      <c r="J63" s="197">
        <v>26</v>
      </c>
      <c r="K63" s="198">
        <f t="shared" si="0"/>
        <v>416</v>
      </c>
      <c r="L63" s="197">
        <v>0</v>
      </c>
      <c r="M63" s="196">
        <v>0</v>
      </c>
      <c r="N63" s="197">
        <v>0</v>
      </c>
      <c r="O63" s="198">
        <f t="shared" si="1"/>
        <v>0</v>
      </c>
      <c r="P63" s="199">
        <f t="shared" si="2"/>
        <v>416</v>
      </c>
      <c r="Q63" s="197">
        <v>1</v>
      </c>
      <c r="R63" s="196">
        <v>42.5</v>
      </c>
      <c r="S63" s="197">
        <v>26</v>
      </c>
      <c r="T63" s="198">
        <f t="shared" si="3"/>
        <v>1105</v>
      </c>
      <c r="U63" s="196">
        <v>0</v>
      </c>
      <c r="V63" s="196">
        <v>0</v>
      </c>
      <c r="W63" s="197">
        <v>0</v>
      </c>
      <c r="X63" s="198">
        <f t="shared" si="4"/>
        <v>0</v>
      </c>
      <c r="Y63" s="200">
        <f t="shared" si="5"/>
        <v>1105</v>
      </c>
      <c r="Z63" s="197">
        <v>1</v>
      </c>
      <c r="AA63" s="196">
        <v>80</v>
      </c>
      <c r="AB63" s="197">
        <v>1</v>
      </c>
      <c r="AC63" s="198">
        <f t="shared" si="6"/>
        <v>80</v>
      </c>
      <c r="AD63" s="197">
        <v>0</v>
      </c>
      <c r="AE63" s="196">
        <v>0</v>
      </c>
      <c r="AF63" s="196">
        <v>0</v>
      </c>
      <c r="AG63" s="198">
        <f t="shared" si="7"/>
        <v>0</v>
      </c>
      <c r="AH63" s="200">
        <f t="shared" si="8"/>
        <v>80</v>
      </c>
      <c r="AI63" s="199">
        <f t="shared" si="12"/>
        <v>2661.95</v>
      </c>
      <c r="AJ63" s="201">
        <f t="shared" si="13"/>
        <v>0.45816695352839926</v>
      </c>
      <c r="AK63" s="196">
        <v>346.28550000000001</v>
      </c>
      <c r="AL63" s="196">
        <v>58.1</v>
      </c>
      <c r="AM63" s="196">
        <v>58.1</v>
      </c>
      <c r="AN63" s="196">
        <v>174.29999999999998</v>
      </c>
      <c r="AO63" s="196">
        <v>37.765000000000001</v>
      </c>
      <c r="AP63" s="196">
        <v>290.5</v>
      </c>
      <c r="AQ63" s="202">
        <f t="shared" si="9"/>
        <v>618.76499999999999</v>
      </c>
      <c r="AR63" s="202">
        <f t="shared" si="10"/>
        <v>965.05050000000006</v>
      </c>
      <c r="AS63" s="203">
        <f t="shared" si="11"/>
        <v>4844.9494999999997</v>
      </c>
    </row>
    <row r="64" spans="2:45" s="131" customFormat="1" ht="18" hidden="1" customHeight="1">
      <c r="B64" s="194" t="s">
        <v>1179</v>
      </c>
      <c r="C64" s="194">
        <v>204</v>
      </c>
      <c r="D64" s="195" t="s">
        <v>941</v>
      </c>
      <c r="E64" s="196">
        <v>5928</v>
      </c>
      <c r="F64" s="196">
        <v>898.55</v>
      </c>
      <c r="G64" s="196">
        <v>216.5</v>
      </c>
      <c r="H64" s="197">
        <v>1</v>
      </c>
      <c r="I64" s="196">
        <v>16</v>
      </c>
      <c r="J64" s="197">
        <v>26</v>
      </c>
      <c r="K64" s="198">
        <f t="shared" si="0"/>
        <v>416</v>
      </c>
      <c r="L64" s="197">
        <v>0</v>
      </c>
      <c r="M64" s="196">
        <v>0</v>
      </c>
      <c r="N64" s="197">
        <v>0</v>
      </c>
      <c r="O64" s="198">
        <f t="shared" si="1"/>
        <v>0</v>
      </c>
      <c r="P64" s="199">
        <f t="shared" si="2"/>
        <v>416</v>
      </c>
      <c r="Q64" s="197">
        <v>1</v>
      </c>
      <c r="R64" s="196">
        <v>42.5</v>
      </c>
      <c r="S64" s="197">
        <v>26</v>
      </c>
      <c r="T64" s="198">
        <f t="shared" si="3"/>
        <v>1105</v>
      </c>
      <c r="U64" s="196">
        <v>0</v>
      </c>
      <c r="V64" s="196">
        <v>0</v>
      </c>
      <c r="W64" s="197">
        <v>0</v>
      </c>
      <c r="X64" s="198">
        <f t="shared" si="4"/>
        <v>0</v>
      </c>
      <c r="Y64" s="200">
        <f t="shared" si="5"/>
        <v>1105</v>
      </c>
      <c r="Z64" s="197">
        <v>1</v>
      </c>
      <c r="AA64" s="196">
        <v>80</v>
      </c>
      <c r="AB64" s="197">
        <v>1</v>
      </c>
      <c r="AC64" s="198">
        <f t="shared" si="6"/>
        <v>80</v>
      </c>
      <c r="AD64" s="197">
        <v>0</v>
      </c>
      <c r="AE64" s="196">
        <v>0</v>
      </c>
      <c r="AF64" s="196">
        <v>0</v>
      </c>
      <c r="AG64" s="198">
        <f t="shared" si="7"/>
        <v>0</v>
      </c>
      <c r="AH64" s="200">
        <f t="shared" si="8"/>
        <v>80</v>
      </c>
      <c r="AI64" s="199">
        <f t="shared" si="12"/>
        <v>2716.05</v>
      </c>
      <c r="AJ64" s="201">
        <f t="shared" si="13"/>
        <v>0.45817307692307696</v>
      </c>
      <c r="AK64" s="196">
        <v>353.31450000000001</v>
      </c>
      <c r="AL64" s="196">
        <v>59.28</v>
      </c>
      <c r="AM64" s="196">
        <v>59.28</v>
      </c>
      <c r="AN64" s="196">
        <v>177.84</v>
      </c>
      <c r="AO64" s="196">
        <v>38.531999999999996</v>
      </c>
      <c r="AP64" s="196">
        <v>296.40000000000003</v>
      </c>
      <c r="AQ64" s="202">
        <f t="shared" si="9"/>
        <v>631.33199999999999</v>
      </c>
      <c r="AR64" s="202">
        <f t="shared" si="10"/>
        <v>984.64650000000006</v>
      </c>
      <c r="AS64" s="203">
        <f t="shared" si="11"/>
        <v>4943.3535000000002</v>
      </c>
    </row>
    <row r="65" spans="2:45" s="131" customFormat="1" ht="18" hidden="1" customHeight="1">
      <c r="B65" s="194" t="s">
        <v>1179</v>
      </c>
      <c r="C65" s="194">
        <v>205</v>
      </c>
      <c r="D65" s="195" t="s">
        <v>1137</v>
      </c>
      <c r="E65" s="196">
        <v>36840</v>
      </c>
      <c r="F65" s="196">
        <v>2809.7</v>
      </c>
      <c r="G65" s="196">
        <v>0</v>
      </c>
      <c r="H65" s="197">
        <v>1</v>
      </c>
      <c r="I65" s="196">
        <v>16</v>
      </c>
      <c r="J65" s="197">
        <v>26</v>
      </c>
      <c r="K65" s="198">
        <f t="shared" si="0"/>
        <v>416</v>
      </c>
      <c r="L65" s="197">
        <v>2</v>
      </c>
      <c r="M65" s="196">
        <v>24</v>
      </c>
      <c r="N65" s="197">
        <v>16</v>
      </c>
      <c r="O65" s="198">
        <f t="shared" si="1"/>
        <v>768</v>
      </c>
      <c r="P65" s="199">
        <f t="shared" si="2"/>
        <v>1184</v>
      </c>
      <c r="Q65" s="197">
        <v>4</v>
      </c>
      <c r="R65" s="196">
        <v>20</v>
      </c>
      <c r="S65" s="197">
        <v>22</v>
      </c>
      <c r="T65" s="198">
        <f t="shared" si="3"/>
        <v>1760</v>
      </c>
      <c r="U65" s="197">
        <v>2</v>
      </c>
      <c r="V65" s="196">
        <v>20</v>
      </c>
      <c r="W65" s="207">
        <v>15.5</v>
      </c>
      <c r="X65" s="198">
        <f t="shared" si="4"/>
        <v>620</v>
      </c>
      <c r="Y65" s="200">
        <f t="shared" si="5"/>
        <v>2380</v>
      </c>
      <c r="Z65" s="197">
        <v>4</v>
      </c>
      <c r="AA65" s="208">
        <f>90/12</f>
        <v>7.5</v>
      </c>
      <c r="AB65" s="197">
        <v>2</v>
      </c>
      <c r="AC65" s="198">
        <f t="shared" si="6"/>
        <v>60</v>
      </c>
      <c r="AD65" s="197">
        <v>2</v>
      </c>
      <c r="AE65" s="208">
        <f>90/12</f>
        <v>7.5</v>
      </c>
      <c r="AF65" s="197">
        <v>2</v>
      </c>
      <c r="AG65" s="198">
        <f t="shared" si="7"/>
        <v>30</v>
      </c>
      <c r="AH65" s="200">
        <f t="shared" si="8"/>
        <v>90</v>
      </c>
      <c r="AI65" s="199">
        <f t="shared" si="12"/>
        <v>6463.7</v>
      </c>
      <c r="AJ65" s="201">
        <f t="shared" si="13"/>
        <v>0.17545331161780672</v>
      </c>
      <c r="AK65" s="196">
        <v>3341.393</v>
      </c>
      <c r="AL65" s="196">
        <v>368.40000000000003</v>
      </c>
      <c r="AM65" s="196">
        <v>368.40000000000003</v>
      </c>
      <c r="AN65" s="196">
        <v>1105.2</v>
      </c>
      <c r="AO65" s="196">
        <v>239.45999999999998</v>
      </c>
      <c r="AP65" s="209">
        <v>0</v>
      </c>
      <c r="AQ65" s="202">
        <f t="shared" si="9"/>
        <v>2081.46</v>
      </c>
      <c r="AR65" s="202">
        <f t="shared" si="10"/>
        <v>5422.8530000000001</v>
      </c>
      <c r="AS65" s="203">
        <f t="shared" si="11"/>
        <v>31417.147000000001</v>
      </c>
    </row>
    <row r="66" spans="2:45" s="131" customFormat="1" ht="18" hidden="1" customHeight="1">
      <c r="B66" s="194" t="s">
        <v>1179</v>
      </c>
      <c r="C66" s="194">
        <v>206</v>
      </c>
      <c r="D66" s="195" t="s">
        <v>1695</v>
      </c>
      <c r="E66" s="196">
        <v>4018.49</v>
      </c>
      <c r="F66" s="196">
        <v>0</v>
      </c>
      <c r="G66" s="196">
        <v>0</v>
      </c>
      <c r="H66" s="197">
        <v>0</v>
      </c>
      <c r="I66" s="196">
        <v>0</v>
      </c>
      <c r="J66" s="197">
        <v>0</v>
      </c>
      <c r="K66" s="198">
        <f t="shared" si="0"/>
        <v>0</v>
      </c>
      <c r="L66" s="197">
        <v>0</v>
      </c>
      <c r="M66" s="196">
        <v>0</v>
      </c>
      <c r="N66" s="197">
        <v>0</v>
      </c>
      <c r="O66" s="198">
        <f t="shared" si="1"/>
        <v>0</v>
      </c>
      <c r="P66" s="199">
        <f t="shared" si="2"/>
        <v>0</v>
      </c>
      <c r="Q66" s="197">
        <v>0</v>
      </c>
      <c r="R66" s="196">
        <v>0</v>
      </c>
      <c r="S66" s="197">
        <v>0</v>
      </c>
      <c r="T66" s="198">
        <f t="shared" si="3"/>
        <v>0</v>
      </c>
      <c r="U66" s="197">
        <v>0</v>
      </c>
      <c r="V66" s="196">
        <v>0</v>
      </c>
      <c r="W66" s="207">
        <v>0</v>
      </c>
      <c r="X66" s="198">
        <f t="shared" si="4"/>
        <v>0</v>
      </c>
      <c r="Y66" s="200">
        <f t="shared" si="5"/>
        <v>0</v>
      </c>
      <c r="Z66" s="197">
        <v>0</v>
      </c>
      <c r="AA66" s="196">
        <v>0</v>
      </c>
      <c r="AB66" s="197">
        <v>0</v>
      </c>
      <c r="AC66" s="198">
        <f t="shared" si="6"/>
        <v>0</v>
      </c>
      <c r="AD66" s="197">
        <v>0</v>
      </c>
      <c r="AE66" s="196">
        <v>0</v>
      </c>
      <c r="AF66" s="197">
        <v>0</v>
      </c>
      <c r="AG66" s="198">
        <f t="shared" si="7"/>
        <v>0</v>
      </c>
      <c r="AH66" s="200">
        <f t="shared" si="8"/>
        <v>0</v>
      </c>
      <c r="AI66" s="199">
        <f t="shared" si="12"/>
        <v>0</v>
      </c>
      <c r="AJ66" s="201">
        <f t="shared" si="13"/>
        <v>0</v>
      </c>
      <c r="AK66" s="196">
        <v>442.03389999999996</v>
      </c>
      <c r="AL66" s="196">
        <v>40.184899999999999</v>
      </c>
      <c r="AM66" s="196">
        <v>40.184899999999999</v>
      </c>
      <c r="AN66" s="196">
        <v>120.55469999999998</v>
      </c>
      <c r="AO66" s="196">
        <v>26.120184999999996</v>
      </c>
      <c r="AP66" s="209">
        <v>0</v>
      </c>
      <c r="AQ66" s="202">
        <f t="shared" si="9"/>
        <v>227.04468499999996</v>
      </c>
      <c r="AR66" s="202">
        <f t="shared" si="10"/>
        <v>669.07858499999998</v>
      </c>
      <c r="AS66" s="203">
        <f t="shared" si="11"/>
        <v>3349.4114149999996</v>
      </c>
    </row>
    <row r="67" spans="2:45" s="131" customFormat="1" ht="18" hidden="1" customHeight="1">
      <c r="B67" s="194" t="s">
        <v>1179</v>
      </c>
      <c r="C67" s="194">
        <v>207</v>
      </c>
      <c r="D67" s="195" t="s">
        <v>1131</v>
      </c>
      <c r="E67" s="196">
        <v>3804.21</v>
      </c>
      <c r="F67" s="196">
        <v>0</v>
      </c>
      <c r="G67" s="196">
        <v>0</v>
      </c>
      <c r="H67" s="197">
        <v>0</v>
      </c>
      <c r="I67" s="196">
        <v>0</v>
      </c>
      <c r="J67" s="197">
        <v>0</v>
      </c>
      <c r="K67" s="198">
        <f t="shared" si="0"/>
        <v>0</v>
      </c>
      <c r="L67" s="197">
        <v>0</v>
      </c>
      <c r="M67" s="196">
        <v>0</v>
      </c>
      <c r="N67" s="197">
        <v>0</v>
      </c>
      <c r="O67" s="198">
        <f t="shared" si="1"/>
        <v>0</v>
      </c>
      <c r="P67" s="199">
        <f t="shared" si="2"/>
        <v>0</v>
      </c>
      <c r="Q67" s="197">
        <v>0</v>
      </c>
      <c r="R67" s="196">
        <v>0</v>
      </c>
      <c r="S67" s="197">
        <v>0</v>
      </c>
      <c r="T67" s="198">
        <f t="shared" si="3"/>
        <v>0</v>
      </c>
      <c r="U67" s="197">
        <v>0</v>
      </c>
      <c r="V67" s="196">
        <v>0</v>
      </c>
      <c r="W67" s="207">
        <v>0</v>
      </c>
      <c r="X67" s="198">
        <f t="shared" si="4"/>
        <v>0</v>
      </c>
      <c r="Y67" s="200">
        <f t="shared" si="5"/>
        <v>0</v>
      </c>
      <c r="Z67" s="197">
        <v>0</v>
      </c>
      <c r="AA67" s="196">
        <v>0</v>
      </c>
      <c r="AB67" s="197">
        <v>0</v>
      </c>
      <c r="AC67" s="198">
        <f t="shared" si="6"/>
        <v>0</v>
      </c>
      <c r="AD67" s="197">
        <v>0</v>
      </c>
      <c r="AE67" s="196">
        <v>0</v>
      </c>
      <c r="AF67" s="197">
        <v>0</v>
      </c>
      <c r="AG67" s="198">
        <f t="shared" si="7"/>
        <v>0</v>
      </c>
      <c r="AH67" s="200">
        <f t="shared" si="8"/>
        <v>0</v>
      </c>
      <c r="AI67" s="199">
        <f t="shared" si="12"/>
        <v>0</v>
      </c>
      <c r="AJ67" s="201">
        <f t="shared" si="13"/>
        <v>0</v>
      </c>
      <c r="AK67" s="196">
        <v>418.4631</v>
      </c>
      <c r="AL67" s="196">
        <v>38.042099999999998</v>
      </c>
      <c r="AM67" s="196">
        <v>38.042099999999998</v>
      </c>
      <c r="AN67" s="196">
        <v>114.1263</v>
      </c>
      <c r="AO67" s="196">
        <v>24.727364999999999</v>
      </c>
      <c r="AP67" s="209">
        <v>0</v>
      </c>
      <c r="AQ67" s="202">
        <f t="shared" si="9"/>
        <v>214.93786499999999</v>
      </c>
      <c r="AR67" s="202">
        <f t="shared" si="10"/>
        <v>633.40096500000004</v>
      </c>
      <c r="AS67" s="203">
        <f t="shared" si="11"/>
        <v>3170.8090350000002</v>
      </c>
    </row>
    <row r="68" spans="2:45" s="131" customFormat="1" ht="18" hidden="1" customHeight="1">
      <c r="B68" s="194" t="s">
        <v>1179</v>
      </c>
      <c r="C68" s="194">
        <v>208</v>
      </c>
      <c r="D68" s="195" t="s">
        <v>1132</v>
      </c>
      <c r="E68" s="196">
        <v>4369.29</v>
      </c>
      <c r="F68" s="196">
        <v>0</v>
      </c>
      <c r="G68" s="196">
        <v>0</v>
      </c>
      <c r="H68" s="197">
        <v>0</v>
      </c>
      <c r="I68" s="196">
        <v>0</v>
      </c>
      <c r="J68" s="197">
        <v>0</v>
      </c>
      <c r="K68" s="198">
        <f t="shared" si="0"/>
        <v>0</v>
      </c>
      <c r="L68" s="197">
        <v>0</v>
      </c>
      <c r="M68" s="196">
        <v>0</v>
      </c>
      <c r="N68" s="197">
        <v>0</v>
      </c>
      <c r="O68" s="198">
        <f t="shared" si="1"/>
        <v>0</v>
      </c>
      <c r="P68" s="199">
        <f t="shared" si="2"/>
        <v>0</v>
      </c>
      <c r="Q68" s="197">
        <v>0</v>
      </c>
      <c r="R68" s="196">
        <v>0</v>
      </c>
      <c r="S68" s="197">
        <v>0</v>
      </c>
      <c r="T68" s="198">
        <f t="shared" si="3"/>
        <v>0</v>
      </c>
      <c r="U68" s="197">
        <v>0</v>
      </c>
      <c r="V68" s="196">
        <v>0</v>
      </c>
      <c r="W68" s="207">
        <v>0</v>
      </c>
      <c r="X68" s="198">
        <f t="shared" si="4"/>
        <v>0</v>
      </c>
      <c r="Y68" s="200">
        <f t="shared" si="5"/>
        <v>0</v>
      </c>
      <c r="Z68" s="197">
        <v>0</v>
      </c>
      <c r="AA68" s="196">
        <v>0</v>
      </c>
      <c r="AB68" s="197">
        <v>0</v>
      </c>
      <c r="AC68" s="198">
        <f t="shared" si="6"/>
        <v>0</v>
      </c>
      <c r="AD68" s="197">
        <v>0</v>
      </c>
      <c r="AE68" s="196">
        <v>0</v>
      </c>
      <c r="AF68" s="197">
        <v>0</v>
      </c>
      <c r="AG68" s="198">
        <f t="shared" si="7"/>
        <v>0</v>
      </c>
      <c r="AH68" s="200">
        <f t="shared" si="8"/>
        <v>0</v>
      </c>
      <c r="AI68" s="199">
        <f t="shared" si="12"/>
        <v>0</v>
      </c>
      <c r="AJ68" s="201">
        <f t="shared" si="13"/>
        <v>0</v>
      </c>
      <c r="AK68" s="196">
        <v>480.62189999999998</v>
      </c>
      <c r="AL68" s="196">
        <v>43.692900000000002</v>
      </c>
      <c r="AM68" s="196">
        <v>43.692900000000002</v>
      </c>
      <c r="AN68" s="196">
        <v>131.0787</v>
      </c>
      <c r="AO68" s="196">
        <v>28.400385</v>
      </c>
      <c r="AP68" s="196">
        <v>218.46450000000002</v>
      </c>
      <c r="AQ68" s="202">
        <f t="shared" si="9"/>
        <v>465.329385</v>
      </c>
      <c r="AR68" s="202">
        <f t="shared" si="10"/>
        <v>945.95128499999998</v>
      </c>
      <c r="AS68" s="203">
        <f t="shared" si="11"/>
        <v>3423.3387149999999</v>
      </c>
    </row>
    <row r="69" spans="2:45" s="131" customFormat="1" ht="18" hidden="1" customHeight="1">
      <c r="B69" s="194" t="s">
        <v>1179</v>
      </c>
      <c r="C69" s="194">
        <v>209</v>
      </c>
      <c r="D69" s="195" t="s">
        <v>1694</v>
      </c>
      <c r="E69" s="196">
        <v>6157.54</v>
      </c>
      <c r="F69" s="196">
        <v>0</v>
      </c>
      <c r="G69" s="196">
        <v>0</v>
      </c>
      <c r="H69" s="197">
        <v>0</v>
      </c>
      <c r="I69" s="196">
        <v>0</v>
      </c>
      <c r="J69" s="197">
        <v>0</v>
      </c>
      <c r="K69" s="198">
        <f t="shared" si="0"/>
        <v>0</v>
      </c>
      <c r="L69" s="197">
        <v>0</v>
      </c>
      <c r="M69" s="196">
        <v>0</v>
      </c>
      <c r="N69" s="197">
        <v>0</v>
      </c>
      <c r="O69" s="198">
        <f t="shared" si="1"/>
        <v>0</v>
      </c>
      <c r="P69" s="199">
        <f t="shared" si="2"/>
        <v>0</v>
      </c>
      <c r="Q69" s="197">
        <v>0</v>
      </c>
      <c r="R69" s="196">
        <v>0</v>
      </c>
      <c r="S69" s="197">
        <v>0</v>
      </c>
      <c r="T69" s="198">
        <f t="shared" si="3"/>
        <v>0</v>
      </c>
      <c r="U69" s="196">
        <v>0</v>
      </c>
      <c r="V69" s="196">
        <v>0</v>
      </c>
      <c r="W69" s="197">
        <v>0</v>
      </c>
      <c r="X69" s="198">
        <f t="shared" si="4"/>
        <v>0</v>
      </c>
      <c r="Y69" s="200">
        <f t="shared" si="5"/>
        <v>0</v>
      </c>
      <c r="Z69" s="197">
        <v>0</v>
      </c>
      <c r="AA69" s="196">
        <v>0</v>
      </c>
      <c r="AB69" s="197">
        <v>0</v>
      </c>
      <c r="AC69" s="198">
        <f t="shared" si="6"/>
        <v>0</v>
      </c>
      <c r="AD69" s="197">
        <v>0</v>
      </c>
      <c r="AE69" s="196">
        <v>0</v>
      </c>
      <c r="AF69" s="196">
        <v>0</v>
      </c>
      <c r="AG69" s="198">
        <f t="shared" si="7"/>
        <v>0</v>
      </c>
      <c r="AH69" s="200">
        <f t="shared" si="8"/>
        <v>0</v>
      </c>
      <c r="AI69" s="199">
        <f t="shared" si="12"/>
        <v>0</v>
      </c>
      <c r="AJ69" s="201">
        <f t="shared" si="13"/>
        <v>0</v>
      </c>
      <c r="AK69" s="196">
        <v>677.32939999999996</v>
      </c>
      <c r="AL69" s="196">
        <v>61.575400000000002</v>
      </c>
      <c r="AM69" s="196">
        <v>61.575400000000002</v>
      </c>
      <c r="AN69" s="196">
        <v>184.72620000000001</v>
      </c>
      <c r="AO69" s="196">
        <v>40.024009999999997</v>
      </c>
      <c r="AP69" s="196">
        <v>307.87700000000001</v>
      </c>
      <c r="AQ69" s="202">
        <f t="shared" si="9"/>
        <v>655.77800999999999</v>
      </c>
      <c r="AR69" s="202">
        <f t="shared" si="10"/>
        <v>1333.1074100000001</v>
      </c>
      <c r="AS69" s="203">
        <f t="shared" si="11"/>
        <v>4824.4325900000003</v>
      </c>
    </row>
    <row r="70" spans="2:45" s="131" customFormat="1" ht="18" hidden="1" customHeight="1">
      <c r="B70" s="194" t="s">
        <v>1491</v>
      </c>
      <c r="C70" s="210" t="s">
        <v>1696</v>
      </c>
      <c r="D70" s="211" t="s">
        <v>1695</v>
      </c>
      <c r="E70" s="208">
        <v>1149.74</v>
      </c>
      <c r="F70" s="196">
        <v>0</v>
      </c>
      <c r="G70" s="196">
        <v>0</v>
      </c>
      <c r="H70" s="197">
        <v>0</v>
      </c>
      <c r="I70" s="196">
        <v>0</v>
      </c>
      <c r="J70" s="197">
        <v>0</v>
      </c>
      <c r="K70" s="198">
        <f t="shared" si="0"/>
        <v>0</v>
      </c>
      <c r="L70" s="197">
        <v>0</v>
      </c>
      <c r="M70" s="196">
        <v>0</v>
      </c>
      <c r="N70" s="197">
        <v>0</v>
      </c>
      <c r="O70" s="198">
        <f t="shared" si="1"/>
        <v>0</v>
      </c>
      <c r="P70" s="199">
        <f t="shared" si="2"/>
        <v>0</v>
      </c>
      <c r="Q70" s="197">
        <v>0</v>
      </c>
      <c r="R70" s="196">
        <v>0</v>
      </c>
      <c r="S70" s="197">
        <v>0</v>
      </c>
      <c r="T70" s="198">
        <f t="shared" si="3"/>
        <v>0</v>
      </c>
      <c r="U70" s="197">
        <v>0</v>
      </c>
      <c r="V70" s="196">
        <v>0</v>
      </c>
      <c r="W70" s="207">
        <v>0</v>
      </c>
      <c r="X70" s="198">
        <f t="shared" si="4"/>
        <v>0</v>
      </c>
      <c r="Y70" s="200">
        <f t="shared" si="5"/>
        <v>0</v>
      </c>
      <c r="Z70" s="197">
        <v>0</v>
      </c>
      <c r="AA70" s="196">
        <v>0</v>
      </c>
      <c r="AB70" s="197">
        <v>0</v>
      </c>
      <c r="AC70" s="198">
        <f t="shared" si="6"/>
        <v>0</v>
      </c>
      <c r="AD70" s="197">
        <v>0</v>
      </c>
      <c r="AE70" s="196">
        <v>0</v>
      </c>
      <c r="AF70" s="197">
        <v>0</v>
      </c>
      <c r="AG70" s="198">
        <f t="shared" si="7"/>
        <v>0</v>
      </c>
      <c r="AH70" s="200">
        <f t="shared" si="8"/>
        <v>0</v>
      </c>
      <c r="AI70" s="199">
        <f t="shared" si="12"/>
        <v>0</v>
      </c>
      <c r="AJ70" s="201">
        <f t="shared" si="13"/>
        <v>0</v>
      </c>
      <c r="AK70" s="196">
        <v>126.4714</v>
      </c>
      <c r="AL70" s="196">
        <v>11.497400000000001</v>
      </c>
      <c r="AM70" s="196">
        <v>11.497400000000001</v>
      </c>
      <c r="AN70" s="196">
        <v>34.492199999999997</v>
      </c>
      <c r="AO70" s="196">
        <v>7.4733099999999997</v>
      </c>
      <c r="AP70" s="209">
        <v>0</v>
      </c>
      <c r="AQ70" s="202">
        <f t="shared" si="9"/>
        <v>64.960309999999993</v>
      </c>
      <c r="AR70" s="202">
        <f t="shared" si="10"/>
        <v>191.43171000000001</v>
      </c>
      <c r="AS70" s="203">
        <f t="shared" si="11"/>
        <v>958.30828999999994</v>
      </c>
    </row>
    <row r="71" spans="2:45" s="131" customFormat="1" ht="18" hidden="1" customHeight="1">
      <c r="B71" s="194" t="s">
        <v>1491</v>
      </c>
      <c r="C71" s="194">
        <v>217</v>
      </c>
      <c r="D71" s="195" t="s">
        <v>982</v>
      </c>
      <c r="E71" s="196">
        <v>5928</v>
      </c>
      <c r="F71" s="196">
        <v>950.61</v>
      </c>
      <c r="G71" s="196">
        <v>326.16666666666669</v>
      </c>
      <c r="H71" s="197">
        <v>1</v>
      </c>
      <c r="I71" s="196">
        <v>16</v>
      </c>
      <c r="J71" s="197">
        <v>26</v>
      </c>
      <c r="K71" s="198">
        <f t="shared" si="0"/>
        <v>416</v>
      </c>
      <c r="L71" s="197">
        <v>0</v>
      </c>
      <c r="M71" s="196">
        <v>0</v>
      </c>
      <c r="N71" s="197">
        <v>0</v>
      </c>
      <c r="O71" s="198">
        <f t="shared" si="1"/>
        <v>0</v>
      </c>
      <c r="P71" s="199">
        <f t="shared" si="2"/>
        <v>416</v>
      </c>
      <c r="Q71" s="197">
        <v>1</v>
      </c>
      <c r="R71" s="196">
        <v>42.5</v>
      </c>
      <c r="S71" s="197">
        <v>26</v>
      </c>
      <c r="T71" s="198">
        <f t="shared" si="3"/>
        <v>1105</v>
      </c>
      <c r="U71" s="196">
        <v>0</v>
      </c>
      <c r="V71" s="196">
        <v>0</v>
      </c>
      <c r="W71" s="197">
        <v>0</v>
      </c>
      <c r="X71" s="198">
        <f t="shared" si="4"/>
        <v>0</v>
      </c>
      <c r="Y71" s="200">
        <f t="shared" si="5"/>
        <v>1105</v>
      </c>
      <c r="Z71" s="197">
        <v>1</v>
      </c>
      <c r="AA71" s="196">
        <v>80</v>
      </c>
      <c r="AB71" s="197">
        <v>1</v>
      </c>
      <c r="AC71" s="198">
        <f t="shared" si="6"/>
        <v>80</v>
      </c>
      <c r="AD71" s="197">
        <v>0</v>
      </c>
      <c r="AE71" s="196">
        <v>0</v>
      </c>
      <c r="AF71" s="196">
        <v>0</v>
      </c>
      <c r="AG71" s="198">
        <f t="shared" si="7"/>
        <v>0</v>
      </c>
      <c r="AH71" s="200">
        <f t="shared" si="8"/>
        <v>80</v>
      </c>
      <c r="AI71" s="199">
        <f t="shared" si="12"/>
        <v>2877.7766666666666</v>
      </c>
      <c r="AJ71" s="201">
        <f t="shared" si="13"/>
        <v>0.48545490328385066</v>
      </c>
      <c r="AK71" s="196">
        <v>335.52456666666666</v>
      </c>
      <c r="AL71" s="196">
        <v>59.28</v>
      </c>
      <c r="AM71" s="196">
        <v>59.28</v>
      </c>
      <c r="AN71" s="196">
        <v>177.84</v>
      </c>
      <c r="AO71" s="196">
        <v>38.531999999999996</v>
      </c>
      <c r="AP71" s="196">
        <v>296.40000000000003</v>
      </c>
      <c r="AQ71" s="202">
        <f t="shared" si="9"/>
        <v>631.33199999999999</v>
      </c>
      <c r="AR71" s="202">
        <f t="shared" si="10"/>
        <v>966.85656666666659</v>
      </c>
      <c r="AS71" s="203">
        <f t="shared" si="11"/>
        <v>4961.1434333333336</v>
      </c>
    </row>
    <row r="72" spans="2:45" s="131" customFormat="1" ht="18" hidden="1" customHeight="1">
      <c r="B72" s="194" t="s">
        <v>1491</v>
      </c>
      <c r="C72" s="194">
        <v>218</v>
      </c>
      <c r="D72" s="195" t="s">
        <v>1003</v>
      </c>
      <c r="E72" s="196">
        <v>16252</v>
      </c>
      <c r="F72" s="196">
        <v>2331.4</v>
      </c>
      <c r="G72" s="196">
        <v>300</v>
      </c>
      <c r="H72" s="197">
        <v>1</v>
      </c>
      <c r="I72" s="196">
        <v>16</v>
      </c>
      <c r="J72" s="197">
        <v>26</v>
      </c>
      <c r="K72" s="198">
        <f t="shared" si="0"/>
        <v>416</v>
      </c>
      <c r="L72" s="197">
        <v>2</v>
      </c>
      <c r="M72" s="196">
        <v>16</v>
      </c>
      <c r="N72" s="197">
        <v>16</v>
      </c>
      <c r="O72" s="198">
        <f t="shared" si="1"/>
        <v>512</v>
      </c>
      <c r="P72" s="199">
        <f t="shared" si="2"/>
        <v>928</v>
      </c>
      <c r="Q72" s="197">
        <v>1</v>
      </c>
      <c r="R72" s="196">
        <v>42.5</v>
      </c>
      <c r="S72" s="197">
        <v>26</v>
      </c>
      <c r="T72" s="198">
        <f t="shared" si="3"/>
        <v>1105</v>
      </c>
      <c r="U72" s="196">
        <v>2</v>
      </c>
      <c r="V72" s="196">
        <v>42.5</v>
      </c>
      <c r="W72" s="197">
        <v>16</v>
      </c>
      <c r="X72" s="198">
        <f t="shared" si="4"/>
        <v>1360</v>
      </c>
      <c r="Y72" s="200">
        <f t="shared" si="5"/>
        <v>2465</v>
      </c>
      <c r="Z72" s="197">
        <v>1</v>
      </c>
      <c r="AA72" s="196">
        <v>80</v>
      </c>
      <c r="AB72" s="197">
        <v>1</v>
      </c>
      <c r="AC72" s="198">
        <f t="shared" si="6"/>
        <v>80</v>
      </c>
      <c r="AD72" s="197">
        <v>2</v>
      </c>
      <c r="AE72" s="196">
        <v>80</v>
      </c>
      <c r="AF72" s="197">
        <v>1</v>
      </c>
      <c r="AG72" s="198">
        <f t="shared" si="7"/>
        <v>160</v>
      </c>
      <c r="AH72" s="200">
        <f t="shared" si="8"/>
        <v>240</v>
      </c>
      <c r="AI72" s="199">
        <f t="shared" si="12"/>
        <v>6264.4</v>
      </c>
      <c r="AJ72" s="201">
        <f t="shared" si="13"/>
        <v>0.3854540979571745</v>
      </c>
      <c r="AK72" s="196">
        <v>1098.636</v>
      </c>
      <c r="AL72" s="196">
        <v>162.52000000000001</v>
      </c>
      <c r="AM72" s="196">
        <v>162.52000000000001</v>
      </c>
      <c r="AN72" s="196">
        <v>487.56</v>
      </c>
      <c r="AO72" s="196">
        <v>105.63799999999999</v>
      </c>
      <c r="AP72" s="196">
        <v>812.6</v>
      </c>
      <c r="AQ72" s="202">
        <f t="shared" si="9"/>
        <v>1730.8380000000002</v>
      </c>
      <c r="AR72" s="202">
        <f t="shared" si="10"/>
        <v>2829.4740000000002</v>
      </c>
      <c r="AS72" s="203">
        <f t="shared" si="11"/>
        <v>13422.526</v>
      </c>
    </row>
    <row r="73" spans="2:45" s="131" customFormat="1" ht="18" hidden="1" customHeight="1">
      <c r="B73" s="194" t="s">
        <v>1491</v>
      </c>
      <c r="C73" s="194">
        <v>219</v>
      </c>
      <c r="D73" s="195" t="s">
        <v>1082</v>
      </c>
      <c r="E73" s="196">
        <v>5562</v>
      </c>
      <c r="F73" s="196">
        <v>911.65</v>
      </c>
      <c r="G73" s="196">
        <v>187.41666666666666</v>
      </c>
      <c r="H73" s="197">
        <v>1</v>
      </c>
      <c r="I73" s="196">
        <v>16</v>
      </c>
      <c r="J73" s="197">
        <v>26</v>
      </c>
      <c r="K73" s="198">
        <f t="shared" si="0"/>
        <v>416</v>
      </c>
      <c r="L73" s="197">
        <v>0</v>
      </c>
      <c r="M73" s="196">
        <v>0</v>
      </c>
      <c r="N73" s="197">
        <v>0</v>
      </c>
      <c r="O73" s="198">
        <f t="shared" si="1"/>
        <v>0</v>
      </c>
      <c r="P73" s="199">
        <f t="shared" si="2"/>
        <v>416</v>
      </c>
      <c r="Q73" s="197">
        <v>1</v>
      </c>
      <c r="R73" s="196">
        <v>42.5</v>
      </c>
      <c r="S73" s="197">
        <v>26</v>
      </c>
      <c r="T73" s="198">
        <f t="shared" si="3"/>
        <v>1105</v>
      </c>
      <c r="U73" s="196">
        <v>0</v>
      </c>
      <c r="V73" s="196">
        <v>0</v>
      </c>
      <c r="W73" s="197">
        <v>0</v>
      </c>
      <c r="X73" s="198">
        <f t="shared" si="4"/>
        <v>0</v>
      </c>
      <c r="Y73" s="200">
        <f t="shared" si="5"/>
        <v>1105</v>
      </c>
      <c r="Z73" s="197">
        <v>1</v>
      </c>
      <c r="AA73" s="196">
        <v>80</v>
      </c>
      <c r="AB73" s="197">
        <v>1</v>
      </c>
      <c r="AC73" s="198">
        <f t="shared" si="6"/>
        <v>80</v>
      </c>
      <c r="AD73" s="197">
        <v>0</v>
      </c>
      <c r="AE73" s="196">
        <v>0</v>
      </c>
      <c r="AF73" s="196">
        <v>0</v>
      </c>
      <c r="AG73" s="198">
        <f t="shared" si="7"/>
        <v>0</v>
      </c>
      <c r="AH73" s="200">
        <f t="shared" si="8"/>
        <v>80</v>
      </c>
      <c r="AI73" s="199">
        <f t="shared" si="12"/>
        <v>2700.0666666666666</v>
      </c>
      <c r="AJ73" s="201">
        <f t="shared" si="13"/>
        <v>0.48544887930001196</v>
      </c>
      <c r="AK73" s="196">
        <v>314.8126666666667</v>
      </c>
      <c r="AL73" s="196">
        <v>55.620000000000005</v>
      </c>
      <c r="AM73" s="196">
        <v>55.620000000000005</v>
      </c>
      <c r="AN73" s="196">
        <v>166.85999999999999</v>
      </c>
      <c r="AO73" s="196">
        <v>36.152999999999999</v>
      </c>
      <c r="AP73" s="196">
        <v>278.10000000000002</v>
      </c>
      <c r="AQ73" s="202">
        <f t="shared" si="9"/>
        <v>592.35300000000007</v>
      </c>
      <c r="AR73" s="202">
        <f t="shared" si="10"/>
        <v>907.16566666666677</v>
      </c>
      <c r="AS73" s="203">
        <f t="shared" si="11"/>
        <v>4654.8343333333332</v>
      </c>
    </row>
    <row r="74" spans="2:45" s="131" customFormat="1" ht="18" hidden="1" customHeight="1">
      <c r="B74" s="194" t="s">
        <v>1491</v>
      </c>
      <c r="C74" s="194">
        <v>221</v>
      </c>
      <c r="D74" s="195" t="s">
        <v>1081</v>
      </c>
      <c r="E74" s="196">
        <v>5810</v>
      </c>
      <c r="F74" s="196">
        <v>710.95</v>
      </c>
      <c r="G74" s="196">
        <v>350</v>
      </c>
      <c r="H74" s="197">
        <v>1</v>
      </c>
      <c r="I74" s="196">
        <v>16</v>
      </c>
      <c r="J74" s="197">
        <v>26</v>
      </c>
      <c r="K74" s="198">
        <f t="shared" si="0"/>
        <v>416</v>
      </c>
      <c r="L74" s="197">
        <v>0</v>
      </c>
      <c r="M74" s="196">
        <v>0</v>
      </c>
      <c r="N74" s="197">
        <v>0</v>
      </c>
      <c r="O74" s="198">
        <f t="shared" si="1"/>
        <v>0</v>
      </c>
      <c r="P74" s="199">
        <f t="shared" si="2"/>
        <v>416</v>
      </c>
      <c r="Q74" s="197">
        <v>1</v>
      </c>
      <c r="R74" s="196">
        <v>42.5</v>
      </c>
      <c r="S74" s="197">
        <v>26</v>
      </c>
      <c r="T74" s="198">
        <f t="shared" si="3"/>
        <v>1105</v>
      </c>
      <c r="U74" s="196">
        <v>0</v>
      </c>
      <c r="V74" s="196">
        <v>0</v>
      </c>
      <c r="W74" s="197">
        <v>0</v>
      </c>
      <c r="X74" s="198">
        <f t="shared" si="4"/>
        <v>0</v>
      </c>
      <c r="Y74" s="200">
        <f t="shared" si="5"/>
        <v>1105</v>
      </c>
      <c r="Z74" s="197">
        <v>1</v>
      </c>
      <c r="AA74" s="196">
        <v>80</v>
      </c>
      <c r="AB74" s="197">
        <v>1</v>
      </c>
      <c r="AC74" s="198">
        <f t="shared" si="6"/>
        <v>80</v>
      </c>
      <c r="AD74" s="197">
        <v>0</v>
      </c>
      <c r="AE74" s="196">
        <v>0</v>
      </c>
      <c r="AF74" s="196">
        <v>0</v>
      </c>
      <c r="AG74" s="198">
        <f t="shared" si="7"/>
        <v>0</v>
      </c>
      <c r="AH74" s="200">
        <f t="shared" si="8"/>
        <v>80</v>
      </c>
      <c r="AI74" s="199">
        <f t="shared" si="12"/>
        <v>2661.95</v>
      </c>
      <c r="AJ74" s="201">
        <f t="shared" si="13"/>
        <v>0.45816695352839926</v>
      </c>
      <c r="AK74" s="196">
        <v>346.28550000000001</v>
      </c>
      <c r="AL74" s="196">
        <v>58.1</v>
      </c>
      <c r="AM74" s="196">
        <v>58.1</v>
      </c>
      <c r="AN74" s="196">
        <v>174.29999999999998</v>
      </c>
      <c r="AO74" s="196">
        <v>37.765000000000001</v>
      </c>
      <c r="AP74" s="196">
        <v>290.5</v>
      </c>
      <c r="AQ74" s="202">
        <f t="shared" si="9"/>
        <v>618.76499999999999</v>
      </c>
      <c r="AR74" s="202">
        <f t="shared" si="10"/>
        <v>965.05050000000006</v>
      </c>
      <c r="AS74" s="203">
        <f t="shared" si="11"/>
        <v>4844.9494999999997</v>
      </c>
    </row>
    <row r="75" spans="2:45" s="131" customFormat="1" ht="18" hidden="1" customHeight="1">
      <c r="B75" s="194" t="s">
        <v>1491</v>
      </c>
      <c r="C75" s="194">
        <v>222</v>
      </c>
      <c r="D75" s="195" t="s">
        <v>941</v>
      </c>
      <c r="E75" s="196">
        <v>5928</v>
      </c>
      <c r="F75" s="196">
        <v>898.55</v>
      </c>
      <c r="G75" s="196">
        <v>216.5</v>
      </c>
      <c r="H75" s="197">
        <v>1</v>
      </c>
      <c r="I75" s="196">
        <v>16</v>
      </c>
      <c r="J75" s="197">
        <v>26</v>
      </c>
      <c r="K75" s="198">
        <f t="shared" si="0"/>
        <v>416</v>
      </c>
      <c r="L75" s="197">
        <v>0</v>
      </c>
      <c r="M75" s="196">
        <v>0</v>
      </c>
      <c r="N75" s="197">
        <v>0</v>
      </c>
      <c r="O75" s="198">
        <f t="shared" si="1"/>
        <v>0</v>
      </c>
      <c r="P75" s="199">
        <f t="shared" si="2"/>
        <v>416</v>
      </c>
      <c r="Q75" s="197">
        <v>1</v>
      </c>
      <c r="R75" s="196">
        <v>42.5</v>
      </c>
      <c r="S75" s="197">
        <v>26</v>
      </c>
      <c r="T75" s="198">
        <f t="shared" si="3"/>
        <v>1105</v>
      </c>
      <c r="U75" s="196">
        <v>0</v>
      </c>
      <c r="V75" s="196">
        <v>0</v>
      </c>
      <c r="W75" s="197">
        <v>0</v>
      </c>
      <c r="X75" s="198">
        <f t="shared" si="4"/>
        <v>0</v>
      </c>
      <c r="Y75" s="200">
        <f t="shared" si="5"/>
        <v>1105</v>
      </c>
      <c r="Z75" s="197">
        <v>1</v>
      </c>
      <c r="AA75" s="196">
        <v>80</v>
      </c>
      <c r="AB75" s="197">
        <v>1</v>
      </c>
      <c r="AC75" s="198">
        <f t="shared" si="6"/>
        <v>80</v>
      </c>
      <c r="AD75" s="197">
        <v>0</v>
      </c>
      <c r="AE75" s="196">
        <v>0</v>
      </c>
      <c r="AF75" s="196">
        <v>0</v>
      </c>
      <c r="AG75" s="198">
        <f t="shared" si="7"/>
        <v>0</v>
      </c>
      <c r="AH75" s="200">
        <f t="shared" si="8"/>
        <v>80</v>
      </c>
      <c r="AI75" s="199">
        <f t="shared" si="12"/>
        <v>2716.05</v>
      </c>
      <c r="AJ75" s="201">
        <f t="shared" si="13"/>
        <v>0.45817307692307696</v>
      </c>
      <c r="AK75" s="196">
        <v>353.31450000000001</v>
      </c>
      <c r="AL75" s="196">
        <v>59.28</v>
      </c>
      <c r="AM75" s="196">
        <v>59.28</v>
      </c>
      <c r="AN75" s="196">
        <v>177.84</v>
      </c>
      <c r="AO75" s="196">
        <v>38.531999999999996</v>
      </c>
      <c r="AP75" s="196">
        <v>296.40000000000003</v>
      </c>
      <c r="AQ75" s="202">
        <f t="shared" si="9"/>
        <v>631.33199999999999</v>
      </c>
      <c r="AR75" s="202">
        <f t="shared" si="10"/>
        <v>984.64650000000006</v>
      </c>
      <c r="AS75" s="203">
        <f t="shared" si="11"/>
        <v>4943.3535000000002</v>
      </c>
    </row>
    <row r="76" spans="2:45" s="131" customFormat="1" ht="18" hidden="1" customHeight="1">
      <c r="B76" s="194" t="s">
        <v>1491</v>
      </c>
      <c r="C76" s="194">
        <v>223</v>
      </c>
      <c r="D76" s="195" t="s">
        <v>1137</v>
      </c>
      <c r="E76" s="196">
        <v>36840</v>
      </c>
      <c r="F76" s="196">
        <v>2809.7</v>
      </c>
      <c r="G76" s="196">
        <v>0</v>
      </c>
      <c r="H76" s="197">
        <v>1</v>
      </c>
      <c r="I76" s="196">
        <v>16</v>
      </c>
      <c r="J76" s="197">
        <v>26</v>
      </c>
      <c r="K76" s="198">
        <f t="shared" si="0"/>
        <v>416</v>
      </c>
      <c r="L76" s="197">
        <v>2</v>
      </c>
      <c r="M76" s="196">
        <v>24</v>
      </c>
      <c r="N76" s="197">
        <v>16</v>
      </c>
      <c r="O76" s="198">
        <f t="shared" si="1"/>
        <v>768</v>
      </c>
      <c r="P76" s="199">
        <f t="shared" si="2"/>
        <v>1184</v>
      </c>
      <c r="Q76" s="197">
        <v>4</v>
      </c>
      <c r="R76" s="196">
        <v>20</v>
      </c>
      <c r="S76" s="197">
        <v>22</v>
      </c>
      <c r="T76" s="198">
        <f t="shared" si="3"/>
        <v>1760</v>
      </c>
      <c r="U76" s="197">
        <v>2</v>
      </c>
      <c r="V76" s="196">
        <v>20</v>
      </c>
      <c r="W76" s="207">
        <v>15.5</v>
      </c>
      <c r="X76" s="198">
        <f t="shared" si="4"/>
        <v>620</v>
      </c>
      <c r="Y76" s="200">
        <f t="shared" si="5"/>
        <v>2380</v>
      </c>
      <c r="Z76" s="197">
        <v>4</v>
      </c>
      <c r="AA76" s="208">
        <f>90/12</f>
        <v>7.5</v>
      </c>
      <c r="AB76" s="197">
        <v>2</v>
      </c>
      <c r="AC76" s="198">
        <f t="shared" si="6"/>
        <v>60</v>
      </c>
      <c r="AD76" s="197">
        <v>2</v>
      </c>
      <c r="AE76" s="208">
        <f>90/12</f>
        <v>7.5</v>
      </c>
      <c r="AF76" s="197">
        <v>2</v>
      </c>
      <c r="AG76" s="198">
        <f t="shared" si="7"/>
        <v>30</v>
      </c>
      <c r="AH76" s="200">
        <f t="shared" si="8"/>
        <v>90</v>
      </c>
      <c r="AI76" s="199">
        <f t="shared" si="12"/>
        <v>6463.7</v>
      </c>
      <c r="AJ76" s="201">
        <f t="shared" si="13"/>
        <v>0.17545331161780672</v>
      </c>
      <c r="AK76" s="196">
        <v>3341.393</v>
      </c>
      <c r="AL76" s="196">
        <v>368.40000000000003</v>
      </c>
      <c r="AM76" s="196">
        <v>368.40000000000003</v>
      </c>
      <c r="AN76" s="196">
        <v>1105.2</v>
      </c>
      <c r="AO76" s="196">
        <v>239.45999999999998</v>
      </c>
      <c r="AP76" s="209">
        <v>0</v>
      </c>
      <c r="AQ76" s="202">
        <f t="shared" si="9"/>
        <v>2081.46</v>
      </c>
      <c r="AR76" s="202">
        <f t="shared" si="10"/>
        <v>5422.8530000000001</v>
      </c>
      <c r="AS76" s="203">
        <f t="shared" si="11"/>
        <v>31417.147000000001</v>
      </c>
    </row>
    <row r="77" spans="2:45" s="131" customFormat="1" ht="18" hidden="1" customHeight="1">
      <c r="B77" s="194" t="s">
        <v>1491</v>
      </c>
      <c r="C77" s="194">
        <v>227</v>
      </c>
      <c r="D77" s="195" t="s">
        <v>1426</v>
      </c>
      <c r="E77" s="196">
        <v>28588</v>
      </c>
      <c r="F77" s="196">
        <v>2968.35</v>
      </c>
      <c r="G77" s="196">
        <v>1600</v>
      </c>
      <c r="H77" s="197">
        <v>2</v>
      </c>
      <c r="I77" s="196">
        <v>16</v>
      </c>
      <c r="J77" s="197">
        <v>26</v>
      </c>
      <c r="K77" s="198">
        <f t="shared" si="0"/>
        <v>832</v>
      </c>
      <c r="L77" s="197">
        <v>4</v>
      </c>
      <c r="M77" s="196">
        <v>16</v>
      </c>
      <c r="N77" s="197">
        <v>16</v>
      </c>
      <c r="O77" s="198">
        <f t="shared" si="1"/>
        <v>1024</v>
      </c>
      <c r="P77" s="199">
        <f t="shared" si="2"/>
        <v>1856</v>
      </c>
      <c r="Q77" s="197">
        <v>2</v>
      </c>
      <c r="R77" s="196">
        <v>42.5</v>
      </c>
      <c r="S77" s="212">
        <v>22</v>
      </c>
      <c r="T77" s="198">
        <f t="shared" si="3"/>
        <v>1870</v>
      </c>
      <c r="U77" s="197">
        <v>4</v>
      </c>
      <c r="V77" s="196">
        <v>42.5</v>
      </c>
      <c r="W77" s="207">
        <v>15.5</v>
      </c>
      <c r="X77" s="198">
        <f t="shared" si="4"/>
        <v>2635</v>
      </c>
      <c r="Y77" s="200">
        <f t="shared" si="5"/>
        <v>4505</v>
      </c>
      <c r="Z77" s="197">
        <v>2</v>
      </c>
      <c r="AA77" s="208">
        <f>90/12</f>
        <v>7.5</v>
      </c>
      <c r="AB77" s="197">
        <v>2</v>
      </c>
      <c r="AC77" s="198">
        <f t="shared" si="6"/>
        <v>30</v>
      </c>
      <c r="AD77" s="197">
        <v>4</v>
      </c>
      <c r="AE77" s="208">
        <f>90/12</f>
        <v>7.5</v>
      </c>
      <c r="AF77" s="196">
        <v>2</v>
      </c>
      <c r="AG77" s="198">
        <f t="shared" si="7"/>
        <v>60</v>
      </c>
      <c r="AH77" s="200">
        <f t="shared" si="8"/>
        <v>90</v>
      </c>
      <c r="AI77" s="199">
        <f t="shared" si="12"/>
        <v>11019.35</v>
      </c>
      <c r="AJ77" s="201">
        <f t="shared" si="13"/>
        <v>0.38545368686162029</v>
      </c>
      <c r="AK77" s="196">
        <v>1932.5515000000003</v>
      </c>
      <c r="AL77" s="196">
        <v>285.88</v>
      </c>
      <c r="AM77" s="196">
        <v>285.88</v>
      </c>
      <c r="AN77" s="196">
        <v>857.64</v>
      </c>
      <c r="AO77" s="196">
        <v>185.822</v>
      </c>
      <c r="AP77" s="196">
        <v>1429.4</v>
      </c>
      <c r="AQ77" s="202">
        <f t="shared" si="9"/>
        <v>3044.6220000000003</v>
      </c>
      <c r="AR77" s="202">
        <f t="shared" si="10"/>
        <v>4977.1735000000008</v>
      </c>
      <c r="AS77" s="203">
        <f t="shared" si="11"/>
        <v>23610.826499999999</v>
      </c>
    </row>
    <row r="78" spans="2:45" s="131" customFormat="1" ht="18" hidden="1" customHeight="1">
      <c r="B78" s="194" t="s">
        <v>1491</v>
      </c>
      <c r="C78" s="194">
        <v>228</v>
      </c>
      <c r="D78" s="195" t="s">
        <v>1478</v>
      </c>
      <c r="E78" s="213">
        <v>2723</v>
      </c>
      <c r="F78" s="196">
        <v>247.4</v>
      </c>
      <c r="G78" s="196">
        <v>0</v>
      </c>
      <c r="H78" s="197">
        <v>1</v>
      </c>
      <c r="I78" s="196">
        <v>16</v>
      </c>
      <c r="J78" s="197">
        <v>17</v>
      </c>
      <c r="K78" s="198">
        <f t="shared" si="0"/>
        <v>272</v>
      </c>
      <c r="L78" s="197">
        <v>0</v>
      </c>
      <c r="M78" s="196">
        <v>0</v>
      </c>
      <c r="N78" s="197">
        <v>0</v>
      </c>
      <c r="O78" s="198">
        <f t="shared" si="1"/>
        <v>0</v>
      </c>
      <c r="P78" s="199">
        <f t="shared" si="2"/>
        <v>272</v>
      </c>
      <c r="Q78" s="197">
        <v>1</v>
      </c>
      <c r="R78" s="196">
        <v>42.5</v>
      </c>
      <c r="S78" s="197">
        <v>17</v>
      </c>
      <c r="T78" s="198">
        <f t="shared" si="3"/>
        <v>722.5</v>
      </c>
      <c r="U78" s="196">
        <v>0</v>
      </c>
      <c r="V78" s="196">
        <v>0</v>
      </c>
      <c r="W78" s="197">
        <v>0</v>
      </c>
      <c r="X78" s="198">
        <f t="shared" si="4"/>
        <v>0</v>
      </c>
      <c r="Y78" s="200">
        <f t="shared" si="5"/>
        <v>722.5</v>
      </c>
      <c r="Z78" s="197">
        <v>1</v>
      </c>
      <c r="AA78" s="196">
        <v>80</v>
      </c>
      <c r="AB78" s="197">
        <v>1</v>
      </c>
      <c r="AC78" s="198">
        <f t="shared" si="6"/>
        <v>80</v>
      </c>
      <c r="AD78" s="197">
        <v>0</v>
      </c>
      <c r="AE78" s="196">
        <v>0</v>
      </c>
      <c r="AF78" s="196">
        <v>0</v>
      </c>
      <c r="AG78" s="198">
        <f t="shared" si="7"/>
        <v>0</v>
      </c>
      <c r="AH78" s="200">
        <f t="shared" si="8"/>
        <v>80</v>
      </c>
      <c r="AI78" s="199">
        <f t="shared" si="12"/>
        <v>1321.9</v>
      </c>
      <c r="AJ78" s="201">
        <v>0.48544887930001196</v>
      </c>
      <c r="AK78" s="196">
        <v>154.12099999999998</v>
      </c>
      <c r="AL78" s="196">
        <v>27.23</v>
      </c>
      <c r="AM78" s="196">
        <v>27.23</v>
      </c>
      <c r="AN78" s="196">
        <v>81.69</v>
      </c>
      <c r="AO78" s="196">
        <v>17.6995</v>
      </c>
      <c r="AP78" s="209">
        <v>0</v>
      </c>
      <c r="AQ78" s="202">
        <f t="shared" si="9"/>
        <v>153.84950000000001</v>
      </c>
      <c r="AR78" s="202">
        <f t="shared" si="10"/>
        <v>307.97050000000002</v>
      </c>
      <c r="AS78" s="203">
        <f t="shared" si="11"/>
        <v>2415.0295000000001</v>
      </c>
    </row>
    <row r="79" spans="2:45" s="131" customFormat="1" ht="18" hidden="1" customHeight="1">
      <c r="B79" s="194" t="s">
        <v>1497</v>
      </c>
      <c r="C79" s="194">
        <v>229</v>
      </c>
      <c r="D79" s="195" t="s">
        <v>1697</v>
      </c>
      <c r="E79" s="214">
        <v>1372</v>
      </c>
      <c r="F79" s="196">
        <v>472.7</v>
      </c>
      <c r="G79" s="196">
        <v>0</v>
      </c>
      <c r="H79" s="197">
        <v>1</v>
      </c>
      <c r="I79" s="196">
        <v>24</v>
      </c>
      <c r="J79" s="197">
        <v>4</v>
      </c>
      <c r="K79" s="198">
        <f t="shared" si="0"/>
        <v>96</v>
      </c>
      <c r="L79" s="197">
        <v>0</v>
      </c>
      <c r="M79" s="196">
        <v>0</v>
      </c>
      <c r="N79" s="197">
        <v>0</v>
      </c>
      <c r="O79" s="198">
        <f t="shared" si="1"/>
        <v>0</v>
      </c>
      <c r="P79" s="199">
        <f t="shared" si="2"/>
        <v>96</v>
      </c>
      <c r="Q79" s="197">
        <v>1</v>
      </c>
      <c r="R79" s="196">
        <v>21</v>
      </c>
      <c r="S79" s="197">
        <v>4</v>
      </c>
      <c r="T79" s="198">
        <f t="shared" si="3"/>
        <v>84</v>
      </c>
      <c r="U79" s="196">
        <v>0</v>
      </c>
      <c r="V79" s="196">
        <v>0</v>
      </c>
      <c r="W79" s="197">
        <v>0</v>
      </c>
      <c r="X79" s="198">
        <f t="shared" si="4"/>
        <v>0</v>
      </c>
      <c r="Y79" s="200">
        <f t="shared" si="5"/>
        <v>84</v>
      </c>
      <c r="Z79" s="197">
        <v>1</v>
      </c>
      <c r="AA79" s="208">
        <f>80/12</f>
        <v>6.666666666666667</v>
      </c>
      <c r="AB79" s="197">
        <v>2</v>
      </c>
      <c r="AC79" s="198">
        <f t="shared" si="6"/>
        <v>13.333333333333334</v>
      </c>
      <c r="AD79" s="197">
        <v>0</v>
      </c>
      <c r="AE79" s="196">
        <v>0</v>
      </c>
      <c r="AF79" s="196">
        <v>0</v>
      </c>
      <c r="AG79" s="198">
        <f t="shared" si="7"/>
        <v>0</v>
      </c>
      <c r="AH79" s="200">
        <f t="shared" si="8"/>
        <v>13.333333333333334</v>
      </c>
      <c r="AI79" s="199">
        <f t="shared" si="12"/>
        <v>666.03333333333342</v>
      </c>
      <c r="AJ79" s="201">
        <f t="shared" ref="AJ79:AJ89" si="14">AI79/E79</f>
        <v>0.48544703595724009</v>
      </c>
      <c r="AK79" s="196">
        <v>77.656333333333322</v>
      </c>
      <c r="AL79" s="196">
        <v>13.72</v>
      </c>
      <c r="AM79" s="196">
        <v>13.72</v>
      </c>
      <c r="AN79" s="196">
        <v>41.16</v>
      </c>
      <c r="AO79" s="196">
        <v>8.9179999999999993</v>
      </c>
      <c r="AP79" s="209"/>
      <c r="AQ79" s="202">
        <f t="shared" si="9"/>
        <v>77.518000000000001</v>
      </c>
      <c r="AR79" s="202">
        <f t="shared" si="10"/>
        <v>155.17433333333332</v>
      </c>
      <c r="AS79" s="203">
        <f t="shared" si="11"/>
        <v>1216.8256666666666</v>
      </c>
    </row>
    <row r="80" spans="2:45" s="131" customFormat="1" ht="18" hidden="1" customHeight="1">
      <c r="B80" s="194" t="s">
        <v>1497</v>
      </c>
      <c r="C80" s="194">
        <v>231</v>
      </c>
      <c r="D80" s="195" t="s">
        <v>1694</v>
      </c>
      <c r="E80" s="196">
        <v>32480.510503777394</v>
      </c>
      <c r="F80" s="196">
        <v>0</v>
      </c>
      <c r="G80" s="196">
        <v>0</v>
      </c>
      <c r="H80" s="197">
        <v>0</v>
      </c>
      <c r="I80" s="196">
        <v>0</v>
      </c>
      <c r="J80" s="197">
        <v>0</v>
      </c>
      <c r="K80" s="198">
        <f t="shared" si="0"/>
        <v>0</v>
      </c>
      <c r="L80" s="197">
        <v>0</v>
      </c>
      <c r="M80" s="196">
        <v>0</v>
      </c>
      <c r="N80" s="197">
        <v>0</v>
      </c>
      <c r="O80" s="198">
        <f t="shared" si="1"/>
        <v>0</v>
      </c>
      <c r="P80" s="199">
        <f t="shared" si="2"/>
        <v>0</v>
      </c>
      <c r="Q80" s="197">
        <v>0</v>
      </c>
      <c r="R80" s="196">
        <v>0</v>
      </c>
      <c r="S80" s="197">
        <v>0</v>
      </c>
      <c r="T80" s="198">
        <f t="shared" si="3"/>
        <v>0</v>
      </c>
      <c r="U80" s="196">
        <v>0</v>
      </c>
      <c r="V80" s="196">
        <v>0</v>
      </c>
      <c r="W80" s="197">
        <v>0</v>
      </c>
      <c r="X80" s="198">
        <f t="shared" si="4"/>
        <v>0</v>
      </c>
      <c r="Y80" s="200">
        <f t="shared" si="5"/>
        <v>0</v>
      </c>
      <c r="Z80" s="197">
        <v>0</v>
      </c>
      <c r="AA80" s="196">
        <v>0</v>
      </c>
      <c r="AB80" s="197">
        <v>0</v>
      </c>
      <c r="AC80" s="198">
        <f t="shared" si="6"/>
        <v>0</v>
      </c>
      <c r="AD80" s="197">
        <v>0</v>
      </c>
      <c r="AE80" s="196">
        <v>0</v>
      </c>
      <c r="AF80" s="196">
        <v>0</v>
      </c>
      <c r="AG80" s="198">
        <f t="shared" si="7"/>
        <v>0</v>
      </c>
      <c r="AH80" s="200">
        <f t="shared" si="8"/>
        <v>0</v>
      </c>
      <c r="AI80" s="199">
        <f t="shared" si="12"/>
        <v>0</v>
      </c>
      <c r="AJ80" s="201">
        <f t="shared" si="14"/>
        <v>0</v>
      </c>
      <c r="AK80" s="196">
        <v>3572.8561554155135</v>
      </c>
      <c r="AL80" s="196">
        <v>324.80510503777396</v>
      </c>
      <c r="AM80" s="196">
        <v>324.80510503777396</v>
      </c>
      <c r="AN80" s="196">
        <v>974.41531511332175</v>
      </c>
      <c r="AO80" s="196">
        <v>211.12331827455304</v>
      </c>
      <c r="AP80" s="196">
        <v>1624.0255251888698</v>
      </c>
      <c r="AQ80" s="202">
        <f t="shared" si="9"/>
        <v>3459.1743686522923</v>
      </c>
      <c r="AR80" s="202">
        <f t="shared" si="10"/>
        <v>7032.0305240678063</v>
      </c>
      <c r="AS80" s="203">
        <f t="shared" si="11"/>
        <v>25448.479979709587</v>
      </c>
    </row>
    <row r="81" spans="2:48" s="131" customFormat="1" ht="18" hidden="1" customHeight="1">
      <c r="B81" s="194" t="s">
        <v>1497</v>
      </c>
      <c r="C81" s="194">
        <v>232</v>
      </c>
      <c r="D81" s="195" t="s">
        <v>941</v>
      </c>
      <c r="E81" s="196">
        <v>5928</v>
      </c>
      <c r="F81" s="196">
        <v>898.55</v>
      </c>
      <c r="G81" s="196">
        <v>216.5</v>
      </c>
      <c r="H81" s="197">
        <v>1</v>
      </c>
      <c r="I81" s="196">
        <v>16</v>
      </c>
      <c r="J81" s="197">
        <v>26</v>
      </c>
      <c r="K81" s="198">
        <f t="shared" ref="K81:K123" si="15">H81*I81*J81</f>
        <v>416</v>
      </c>
      <c r="L81" s="197">
        <v>0</v>
      </c>
      <c r="M81" s="196">
        <v>0</v>
      </c>
      <c r="N81" s="197">
        <v>0</v>
      </c>
      <c r="O81" s="198">
        <f t="shared" ref="O81:O123" si="16">L81*M81*N81</f>
        <v>0</v>
      </c>
      <c r="P81" s="199">
        <f t="shared" ref="P81:P123" si="17">K81+O81</f>
        <v>416</v>
      </c>
      <c r="Q81" s="197">
        <v>1</v>
      </c>
      <c r="R81" s="196">
        <v>42.5</v>
      </c>
      <c r="S81" s="197">
        <v>26</v>
      </c>
      <c r="T81" s="198">
        <f t="shared" ref="T81:T123" si="18">Q81*R81*S81</f>
        <v>1105</v>
      </c>
      <c r="U81" s="196">
        <v>0</v>
      </c>
      <c r="V81" s="196">
        <v>0</v>
      </c>
      <c r="W81" s="197">
        <v>0</v>
      </c>
      <c r="X81" s="198">
        <f t="shared" ref="X81:X123" si="19">U81*V81*W81</f>
        <v>0</v>
      </c>
      <c r="Y81" s="200">
        <f t="shared" ref="Y81:Y123" si="20">T81+X81</f>
        <v>1105</v>
      </c>
      <c r="Z81" s="197">
        <v>1</v>
      </c>
      <c r="AA81" s="196">
        <v>80</v>
      </c>
      <c r="AB81" s="197">
        <v>1</v>
      </c>
      <c r="AC81" s="198">
        <f t="shared" ref="AC81:AC123" si="21">Z81*AA81*AB81</f>
        <v>80</v>
      </c>
      <c r="AD81" s="197">
        <v>0</v>
      </c>
      <c r="AE81" s="196">
        <v>0</v>
      </c>
      <c r="AF81" s="196">
        <v>0</v>
      </c>
      <c r="AG81" s="198">
        <f t="shared" ref="AG81:AG123" si="22">AD81*AE81*AF81</f>
        <v>0</v>
      </c>
      <c r="AH81" s="200">
        <f t="shared" ref="AH81:AH123" si="23">AC81+AG81</f>
        <v>80</v>
      </c>
      <c r="AI81" s="199">
        <f t="shared" si="12"/>
        <v>2716.05</v>
      </c>
      <c r="AJ81" s="201">
        <f t="shared" si="14"/>
        <v>0.45817307692307696</v>
      </c>
      <c r="AK81" s="196">
        <v>353.31450000000001</v>
      </c>
      <c r="AL81" s="196">
        <v>59.28</v>
      </c>
      <c r="AM81" s="196">
        <v>59.28</v>
      </c>
      <c r="AN81" s="196">
        <v>177.84</v>
      </c>
      <c r="AO81" s="196">
        <v>38.531999999999996</v>
      </c>
      <c r="AP81" s="196">
        <v>296.40000000000003</v>
      </c>
      <c r="AQ81" s="202">
        <f t="shared" ref="AQ81:AQ123" si="24">SUM(AL81:AP81)</f>
        <v>631.33199999999999</v>
      </c>
      <c r="AR81" s="202">
        <f t="shared" ref="AR81:AR123" si="25">AK81+AQ81</f>
        <v>984.64650000000006</v>
      </c>
      <c r="AS81" s="203">
        <f t="shared" ref="AS81:AS123" si="26">E81-AR81</f>
        <v>4943.3535000000002</v>
      </c>
    </row>
    <row r="82" spans="2:48" s="131" customFormat="1" ht="18" hidden="1" customHeight="1">
      <c r="B82" s="194" t="s">
        <v>1497</v>
      </c>
      <c r="C82" s="194">
        <v>233</v>
      </c>
      <c r="D82" s="195" t="s">
        <v>982</v>
      </c>
      <c r="E82" s="196">
        <v>5928</v>
      </c>
      <c r="F82" s="196">
        <v>950.61</v>
      </c>
      <c r="G82" s="196">
        <v>326.16666666666669</v>
      </c>
      <c r="H82" s="197">
        <v>1</v>
      </c>
      <c r="I82" s="196">
        <v>16</v>
      </c>
      <c r="J82" s="197">
        <v>26</v>
      </c>
      <c r="K82" s="198">
        <f t="shared" si="15"/>
        <v>416</v>
      </c>
      <c r="L82" s="197">
        <v>0</v>
      </c>
      <c r="M82" s="196">
        <v>0</v>
      </c>
      <c r="N82" s="197">
        <v>0</v>
      </c>
      <c r="O82" s="198">
        <f t="shared" si="16"/>
        <v>0</v>
      </c>
      <c r="P82" s="199">
        <f t="shared" si="17"/>
        <v>416</v>
      </c>
      <c r="Q82" s="197">
        <v>1</v>
      </c>
      <c r="R82" s="196">
        <v>42.5</v>
      </c>
      <c r="S82" s="197">
        <v>26</v>
      </c>
      <c r="T82" s="198">
        <f t="shared" si="18"/>
        <v>1105</v>
      </c>
      <c r="U82" s="196">
        <v>0</v>
      </c>
      <c r="V82" s="196">
        <v>0</v>
      </c>
      <c r="W82" s="197">
        <v>0</v>
      </c>
      <c r="X82" s="198">
        <f t="shared" si="19"/>
        <v>0</v>
      </c>
      <c r="Y82" s="200">
        <f t="shared" si="20"/>
        <v>1105</v>
      </c>
      <c r="Z82" s="197">
        <v>1</v>
      </c>
      <c r="AA82" s="196">
        <v>80</v>
      </c>
      <c r="AB82" s="197">
        <v>1</v>
      </c>
      <c r="AC82" s="198">
        <f t="shared" si="21"/>
        <v>80</v>
      </c>
      <c r="AD82" s="197">
        <v>0</v>
      </c>
      <c r="AE82" s="196">
        <v>0</v>
      </c>
      <c r="AF82" s="196">
        <v>0</v>
      </c>
      <c r="AG82" s="198">
        <f t="shared" si="22"/>
        <v>0</v>
      </c>
      <c r="AH82" s="200">
        <f t="shared" si="23"/>
        <v>80</v>
      </c>
      <c r="AI82" s="199">
        <f t="shared" ref="AI82:AI121" si="27">F82+G82+P82+Y82+AH82</f>
        <v>2877.7766666666666</v>
      </c>
      <c r="AJ82" s="201">
        <f t="shared" si="14"/>
        <v>0.48545490328385066</v>
      </c>
      <c r="AK82" s="196">
        <v>335.52456666666666</v>
      </c>
      <c r="AL82" s="196">
        <v>59.28</v>
      </c>
      <c r="AM82" s="196">
        <v>59.28</v>
      </c>
      <c r="AN82" s="196">
        <v>177.84</v>
      </c>
      <c r="AO82" s="196">
        <v>38.531999999999996</v>
      </c>
      <c r="AP82" s="196">
        <v>296.40000000000003</v>
      </c>
      <c r="AQ82" s="202">
        <f t="shared" si="24"/>
        <v>631.33199999999999</v>
      </c>
      <c r="AR82" s="202">
        <f t="shared" si="25"/>
        <v>966.85656666666659</v>
      </c>
      <c r="AS82" s="203">
        <f t="shared" si="26"/>
        <v>4961.1434333333336</v>
      </c>
    </row>
    <row r="83" spans="2:48" s="131" customFormat="1" ht="18" hidden="1" customHeight="1">
      <c r="B83" s="194" t="s">
        <v>1497</v>
      </c>
      <c r="C83" s="194">
        <v>234</v>
      </c>
      <c r="D83" s="195" t="s">
        <v>1003</v>
      </c>
      <c r="E83" s="196">
        <v>16252</v>
      </c>
      <c r="F83" s="196">
        <v>2331.4</v>
      </c>
      <c r="G83" s="196">
        <v>300</v>
      </c>
      <c r="H83" s="197">
        <v>1</v>
      </c>
      <c r="I83" s="196">
        <v>16</v>
      </c>
      <c r="J83" s="197">
        <v>26</v>
      </c>
      <c r="K83" s="198">
        <f t="shared" si="15"/>
        <v>416</v>
      </c>
      <c r="L83" s="197">
        <v>2</v>
      </c>
      <c r="M83" s="196">
        <v>16</v>
      </c>
      <c r="N83" s="197">
        <v>16</v>
      </c>
      <c r="O83" s="198">
        <f t="shared" si="16"/>
        <v>512</v>
      </c>
      <c r="P83" s="199">
        <f t="shared" si="17"/>
        <v>928</v>
      </c>
      <c r="Q83" s="197">
        <v>1</v>
      </c>
      <c r="R83" s="196">
        <v>42.5</v>
      </c>
      <c r="S83" s="197">
        <v>26</v>
      </c>
      <c r="T83" s="198">
        <f t="shared" si="18"/>
        <v>1105</v>
      </c>
      <c r="U83" s="196">
        <v>2</v>
      </c>
      <c r="V83" s="196">
        <v>42.5</v>
      </c>
      <c r="W83" s="197">
        <v>16</v>
      </c>
      <c r="X83" s="198">
        <f t="shared" si="19"/>
        <v>1360</v>
      </c>
      <c r="Y83" s="200">
        <f t="shared" si="20"/>
        <v>2465</v>
      </c>
      <c r="Z83" s="197">
        <v>1</v>
      </c>
      <c r="AA83" s="196">
        <v>80</v>
      </c>
      <c r="AB83" s="197">
        <v>1</v>
      </c>
      <c r="AC83" s="198">
        <f t="shared" si="21"/>
        <v>80</v>
      </c>
      <c r="AD83" s="197">
        <v>2</v>
      </c>
      <c r="AE83" s="196">
        <v>80</v>
      </c>
      <c r="AF83" s="197">
        <v>1</v>
      </c>
      <c r="AG83" s="198">
        <f t="shared" si="22"/>
        <v>160</v>
      </c>
      <c r="AH83" s="200">
        <f t="shared" si="23"/>
        <v>240</v>
      </c>
      <c r="AI83" s="199">
        <f t="shared" si="27"/>
        <v>6264.4</v>
      </c>
      <c r="AJ83" s="201">
        <f t="shared" si="14"/>
        <v>0.3854540979571745</v>
      </c>
      <c r="AK83" s="196">
        <v>1098.636</v>
      </c>
      <c r="AL83" s="196">
        <v>162.52000000000001</v>
      </c>
      <c r="AM83" s="196">
        <v>162.52000000000001</v>
      </c>
      <c r="AN83" s="196">
        <v>487.56</v>
      </c>
      <c r="AO83" s="196">
        <v>105.63799999999999</v>
      </c>
      <c r="AP83" s="196">
        <v>812.6</v>
      </c>
      <c r="AQ83" s="202">
        <f t="shared" si="24"/>
        <v>1730.8380000000002</v>
      </c>
      <c r="AR83" s="202">
        <f t="shared" si="25"/>
        <v>2829.4740000000002</v>
      </c>
      <c r="AS83" s="203">
        <f t="shared" si="26"/>
        <v>13422.526</v>
      </c>
    </row>
    <row r="84" spans="2:48" s="131" customFormat="1" ht="18" hidden="1" customHeight="1">
      <c r="B84" s="194" t="s">
        <v>1497</v>
      </c>
      <c r="C84" s="194">
        <v>235</v>
      </c>
      <c r="D84" s="195" t="s">
        <v>1082</v>
      </c>
      <c r="E84" s="196">
        <v>5562</v>
      </c>
      <c r="F84" s="196">
        <v>911.65</v>
      </c>
      <c r="G84" s="196">
        <v>187.41666666666666</v>
      </c>
      <c r="H84" s="197">
        <v>1</v>
      </c>
      <c r="I84" s="196">
        <v>16</v>
      </c>
      <c r="J84" s="197">
        <v>26</v>
      </c>
      <c r="K84" s="198">
        <f t="shared" si="15"/>
        <v>416</v>
      </c>
      <c r="L84" s="197">
        <v>0</v>
      </c>
      <c r="M84" s="196">
        <v>0</v>
      </c>
      <c r="N84" s="197">
        <v>0</v>
      </c>
      <c r="O84" s="198">
        <f t="shared" si="16"/>
        <v>0</v>
      </c>
      <c r="P84" s="199">
        <f t="shared" si="17"/>
        <v>416</v>
      </c>
      <c r="Q84" s="197">
        <v>1</v>
      </c>
      <c r="R84" s="196">
        <v>42.5</v>
      </c>
      <c r="S84" s="197">
        <v>26</v>
      </c>
      <c r="T84" s="198">
        <f t="shared" si="18"/>
        <v>1105</v>
      </c>
      <c r="U84" s="196">
        <v>0</v>
      </c>
      <c r="V84" s="196">
        <v>0</v>
      </c>
      <c r="W84" s="197">
        <v>0</v>
      </c>
      <c r="X84" s="198">
        <f t="shared" si="19"/>
        <v>0</v>
      </c>
      <c r="Y84" s="200">
        <f t="shared" si="20"/>
        <v>1105</v>
      </c>
      <c r="Z84" s="197">
        <v>1</v>
      </c>
      <c r="AA84" s="196">
        <v>80</v>
      </c>
      <c r="AB84" s="197">
        <v>1</v>
      </c>
      <c r="AC84" s="198">
        <f t="shared" si="21"/>
        <v>80</v>
      </c>
      <c r="AD84" s="197">
        <v>0</v>
      </c>
      <c r="AE84" s="196">
        <v>0</v>
      </c>
      <c r="AF84" s="196">
        <v>0</v>
      </c>
      <c r="AG84" s="198">
        <f t="shared" si="22"/>
        <v>0</v>
      </c>
      <c r="AH84" s="200">
        <f t="shared" si="23"/>
        <v>80</v>
      </c>
      <c r="AI84" s="199">
        <f t="shared" si="27"/>
        <v>2700.0666666666666</v>
      </c>
      <c r="AJ84" s="201">
        <f t="shared" si="14"/>
        <v>0.48544887930001196</v>
      </c>
      <c r="AK84" s="196">
        <v>314.8126666666667</v>
      </c>
      <c r="AL84" s="196">
        <v>55.620000000000005</v>
      </c>
      <c r="AM84" s="196">
        <v>55.620000000000005</v>
      </c>
      <c r="AN84" s="196">
        <v>166.85999999999999</v>
      </c>
      <c r="AO84" s="196">
        <v>36.152999999999999</v>
      </c>
      <c r="AP84" s="196">
        <v>278.10000000000002</v>
      </c>
      <c r="AQ84" s="202">
        <f t="shared" si="24"/>
        <v>592.35300000000007</v>
      </c>
      <c r="AR84" s="202">
        <f t="shared" si="25"/>
        <v>907.16566666666677</v>
      </c>
      <c r="AS84" s="203">
        <f t="shared" si="26"/>
        <v>4654.8343333333332</v>
      </c>
    </row>
    <row r="85" spans="2:48" s="131" customFormat="1" ht="18" hidden="1" customHeight="1">
      <c r="B85" s="194" t="s">
        <v>1497</v>
      </c>
      <c r="C85" s="194">
        <v>236</v>
      </c>
      <c r="D85" s="195" t="s">
        <v>1081</v>
      </c>
      <c r="E85" s="196">
        <v>5810</v>
      </c>
      <c r="F85" s="196">
        <v>710.95</v>
      </c>
      <c r="G85" s="196">
        <v>350</v>
      </c>
      <c r="H85" s="197">
        <v>1</v>
      </c>
      <c r="I85" s="196">
        <v>16</v>
      </c>
      <c r="J85" s="197">
        <v>26</v>
      </c>
      <c r="K85" s="198">
        <f t="shared" si="15"/>
        <v>416</v>
      </c>
      <c r="L85" s="197">
        <v>0</v>
      </c>
      <c r="M85" s="196">
        <v>0</v>
      </c>
      <c r="N85" s="197">
        <v>0</v>
      </c>
      <c r="O85" s="198">
        <f t="shared" si="16"/>
        <v>0</v>
      </c>
      <c r="P85" s="199">
        <f t="shared" si="17"/>
        <v>416</v>
      </c>
      <c r="Q85" s="197">
        <v>1</v>
      </c>
      <c r="R85" s="196">
        <v>42.5</v>
      </c>
      <c r="S85" s="197">
        <v>26</v>
      </c>
      <c r="T85" s="198">
        <f t="shared" si="18"/>
        <v>1105</v>
      </c>
      <c r="U85" s="196">
        <v>0</v>
      </c>
      <c r="V85" s="196">
        <v>0</v>
      </c>
      <c r="W85" s="197">
        <v>0</v>
      </c>
      <c r="X85" s="198">
        <f t="shared" si="19"/>
        <v>0</v>
      </c>
      <c r="Y85" s="200">
        <f t="shared" si="20"/>
        <v>1105</v>
      </c>
      <c r="Z85" s="197">
        <v>1</v>
      </c>
      <c r="AA85" s="196">
        <v>80</v>
      </c>
      <c r="AB85" s="197">
        <v>1</v>
      </c>
      <c r="AC85" s="198">
        <f t="shared" si="21"/>
        <v>80</v>
      </c>
      <c r="AD85" s="197">
        <v>0</v>
      </c>
      <c r="AE85" s="196">
        <v>0</v>
      </c>
      <c r="AF85" s="196">
        <v>0</v>
      </c>
      <c r="AG85" s="198">
        <f t="shared" si="22"/>
        <v>0</v>
      </c>
      <c r="AH85" s="200">
        <f t="shared" si="23"/>
        <v>80</v>
      </c>
      <c r="AI85" s="199">
        <f t="shared" si="27"/>
        <v>2661.95</v>
      </c>
      <c r="AJ85" s="201">
        <f t="shared" si="14"/>
        <v>0.45816695352839926</v>
      </c>
      <c r="AK85" s="196">
        <v>346.28550000000001</v>
      </c>
      <c r="AL85" s="196">
        <v>58.1</v>
      </c>
      <c r="AM85" s="196">
        <v>58.1</v>
      </c>
      <c r="AN85" s="196">
        <v>174.29999999999998</v>
      </c>
      <c r="AO85" s="196">
        <v>37.765000000000001</v>
      </c>
      <c r="AP85" s="196">
        <v>290.5</v>
      </c>
      <c r="AQ85" s="202">
        <f t="shared" si="24"/>
        <v>618.76499999999999</v>
      </c>
      <c r="AR85" s="202">
        <f t="shared" si="25"/>
        <v>965.05050000000006</v>
      </c>
      <c r="AS85" s="203">
        <f t="shared" si="26"/>
        <v>4844.9494999999997</v>
      </c>
    </row>
    <row r="86" spans="2:48" s="131" customFormat="1" ht="18" hidden="1" customHeight="1">
      <c r="B86" s="194" t="s">
        <v>1497</v>
      </c>
      <c r="C86" s="194">
        <v>237</v>
      </c>
      <c r="D86" s="195" t="s">
        <v>1137</v>
      </c>
      <c r="E86" s="196">
        <v>36840</v>
      </c>
      <c r="F86" s="196">
        <v>2809.7</v>
      </c>
      <c r="G86" s="196">
        <v>0</v>
      </c>
      <c r="H86" s="197">
        <v>1</v>
      </c>
      <c r="I86" s="196">
        <v>16</v>
      </c>
      <c r="J86" s="197">
        <v>26</v>
      </c>
      <c r="K86" s="198">
        <f t="shared" si="15"/>
        <v>416</v>
      </c>
      <c r="L86" s="197">
        <v>2</v>
      </c>
      <c r="M86" s="196">
        <v>24</v>
      </c>
      <c r="N86" s="197">
        <v>16</v>
      </c>
      <c r="O86" s="198">
        <f t="shared" si="16"/>
        <v>768</v>
      </c>
      <c r="P86" s="199">
        <f t="shared" si="17"/>
        <v>1184</v>
      </c>
      <c r="Q86" s="197">
        <v>4</v>
      </c>
      <c r="R86" s="196">
        <v>20</v>
      </c>
      <c r="S86" s="197">
        <v>22</v>
      </c>
      <c r="T86" s="198">
        <f t="shared" si="18"/>
        <v>1760</v>
      </c>
      <c r="U86" s="197">
        <v>2</v>
      </c>
      <c r="V86" s="196">
        <v>20</v>
      </c>
      <c r="W86" s="207">
        <v>15.5</v>
      </c>
      <c r="X86" s="198">
        <f t="shared" si="19"/>
        <v>620</v>
      </c>
      <c r="Y86" s="200">
        <f t="shared" si="20"/>
        <v>2380</v>
      </c>
      <c r="Z86" s="197">
        <v>4</v>
      </c>
      <c r="AA86" s="208">
        <f>90/12</f>
        <v>7.5</v>
      </c>
      <c r="AB86" s="197">
        <v>2</v>
      </c>
      <c r="AC86" s="198">
        <f t="shared" si="21"/>
        <v>60</v>
      </c>
      <c r="AD86" s="197">
        <v>2</v>
      </c>
      <c r="AE86" s="208">
        <f>90/12</f>
        <v>7.5</v>
      </c>
      <c r="AF86" s="197">
        <v>2</v>
      </c>
      <c r="AG86" s="198">
        <f t="shared" si="22"/>
        <v>30</v>
      </c>
      <c r="AH86" s="200">
        <f t="shared" si="23"/>
        <v>90</v>
      </c>
      <c r="AI86" s="199">
        <f t="shared" si="27"/>
        <v>6463.7</v>
      </c>
      <c r="AJ86" s="201">
        <f t="shared" si="14"/>
        <v>0.17545331161780672</v>
      </c>
      <c r="AK86" s="196">
        <v>3341.393</v>
      </c>
      <c r="AL86" s="196">
        <v>368.40000000000003</v>
      </c>
      <c r="AM86" s="196">
        <v>368.40000000000003</v>
      </c>
      <c r="AN86" s="196">
        <v>1105.2</v>
      </c>
      <c r="AO86" s="196">
        <v>239.45999999999998</v>
      </c>
      <c r="AP86" s="209">
        <v>0</v>
      </c>
      <c r="AQ86" s="202">
        <f t="shared" si="24"/>
        <v>2081.46</v>
      </c>
      <c r="AR86" s="202">
        <f t="shared" si="25"/>
        <v>5422.8530000000001</v>
      </c>
      <c r="AS86" s="203">
        <f t="shared" si="26"/>
        <v>31417.147000000001</v>
      </c>
      <c r="AU86" s="215"/>
      <c r="AV86" s="205"/>
    </row>
    <row r="87" spans="2:48" s="131" customFormat="1" ht="18" hidden="1" customHeight="1">
      <c r="B87" s="194" t="s">
        <v>1497</v>
      </c>
      <c r="C87" s="194">
        <v>238</v>
      </c>
      <c r="D87" s="195" t="s">
        <v>1426</v>
      </c>
      <c r="E87" s="196">
        <v>28588</v>
      </c>
      <c r="F87" s="196">
        <v>2968.35</v>
      </c>
      <c r="G87" s="196">
        <v>1600</v>
      </c>
      <c r="H87" s="197">
        <v>2</v>
      </c>
      <c r="I87" s="196">
        <v>16</v>
      </c>
      <c r="J87" s="197">
        <v>26</v>
      </c>
      <c r="K87" s="198">
        <f t="shared" si="15"/>
        <v>832</v>
      </c>
      <c r="L87" s="197">
        <v>4</v>
      </c>
      <c r="M87" s="196">
        <v>16</v>
      </c>
      <c r="N87" s="197">
        <v>16</v>
      </c>
      <c r="O87" s="198">
        <f t="shared" si="16"/>
        <v>1024</v>
      </c>
      <c r="P87" s="199">
        <f t="shared" si="17"/>
        <v>1856</v>
      </c>
      <c r="Q87" s="197">
        <v>2</v>
      </c>
      <c r="R87" s="196">
        <v>42.5</v>
      </c>
      <c r="S87" s="212">
        <v>22</v>
      </c>
      <c r="T87" s="198">
        <f t="shared" si="18"/>
        <v>1870</v>
      </c>
      <c r="U87" s="197">
        <v>4</v>
      </c>
      <c r="V87" s="196">
        <v>42.5</v>
      </c>
      <c r="W87" s="207">
        <v>15.5</v>
      </c>
      <c r="X87" s="198">
        <f t="shared" si="19"/>
        <v>2635</v>
      </c>
      <c r="Y87" s="200">
        <f t="shared" si="20"/>
        <v>4505</v>
      </c>
      <c r="Z87" s="197">
        <v>2</v>
      </c>
      <c r="AA87" s="208">
        <f>90/12</f>
        <v>7.5</v>
      </c>
      <c r="AB87" s="197">
        <v>2</v>
      </c>
      <c r="AC87" s="198">
        <f t="shared" si="21"/>
        <v>30</v>
      </c>
      <c r="AD87" s="197">
        <v>4</v>
      </c>
      <c r="AE87" s="208">
        <f>90/12</f>
        <v>7.5</v>
      </c>
      <c r="AF87" s="196">
        <v>2</v>
      </c>
      <c r="AG87" s="198">
        <f t="shared" si="22"/>
        <v>60</v>
      </c>
      <c r="AH87" s="200">
        <f t="shared" si="23"/>
        <v>90</v>
      </c>
      <c r="AI87" s="199">
        <f t="shared" si="27"/>
        <v>11019.35</v>
      </c>
      <c r="AJ87" s="201">
        <f t="shared" si="14"/>
        <v>0.38545368686162029</v>
      </c>
      <c r="AK87" s="196">
        <v>1932.5515000000003</v>
      </c>
      <c r="AL87" s="196">
        <v>285.88</v>
      </c>
      <c r="AM87" s="196">
        <v>285.88</v>
      </c>
      <c r="AN87" s="196">
        <v>857.64</v>
      </c>
      <c r="AO87" s="196">
        <v>185.822</v>
      </c>
      <c r="AP87" s="196">
        <v>1429.4</v>
      </c>
      <c r="AQ87" s="202">
        <f t="shared" si="24"/>
        <v>3044.6220000000003</v>
      </c>
      <c r="AR87" s="202">
        <f t="shared" si="25"/>
        <v>4977.1735000000008</v>
      </c>
      <c r="AS87" s="203">
        <f t="shared" si="26"/>
        <v>23610.826499999999</v>
      </c>
    </row>
    <row r="88" spans="2:48" s="131" customFormat="1" ht="18" hidden="1" customHeight="1">
      <c r="B88" s="194" t="s">
        <v>1497</v>
      </c>
      <c r="C88" s="194">
        <v>240</v>
      </c>
      <c r="D88" s="195" t="s">
        <v>1697</v>
      </c>
      <c r="E88" s="214">
        <v>1372</v>
      </c>
      <c r="F88" s="196">
        <v>472.7</v>
      </c>
      <c r="G88" s="196">
        <v>0</v>
      </c>
      <c r="H88" s="197">
        <v>1</v>
      </c>
      <c r="I88" s="196">
        <v>24</v>
      </c>
      <c r="J88" s="197">
        <v>4</v>
      </c>
      <c r="K88" s="198">
        <f t="shared" si="15"/>
        <v>96</v>
      </c>
      <c r="L88" s="197">
        <v>0</v>
      </c>
      <c r="M88" s="196">
        <v>0</v>
      </c>
      <c r="N88" s="197">
        <v>0</v>
      </c>
      <c r="O88" s="198">
        <f t="shared" si="16"/>
        <v>0</v>
      </c>
      <c r="P88" s="199">
        <f t="shared" si="17"/>
        <v>96</v>
      </c>
      <c r="Q88" s="197">
        <v>1</v>
      </c>
      <c r="R88" s="196">
        <v>21</v>
      </c>
      <c r="S88" s="197">
        <v>4</v>
      </c>
      <c r="T88" s="198">
        <f t="shared" si="18"/>
        <v>84</v>
      </c>
      <c r="U88" s="196">
        <v>0</v>
      </c>
      <c r="V88" s="196">
        <v>0</v>
      </c>
      <c r="W88" s="197">
        <v>0</v>
      </c>
      <c r="X88" s="198">
        <f t="shared" si="19"/>
        <v>0</v>
      </c>
      <c r="Y88" s="200">
        <f t="shared" si="20"/>
        <v>84</v>
      </c>
      <c r="Z88" s="197">
        <v>1</v>
      </c>
      <c r="AA88" s="208">
        <f>80/12</f>
        <v>6.666666666666667</v>
      </c>
      <c r="AB88" s="197">
        <v>2</v>
      </c>
      <c r="AC88" s="198">
        <f t="shared" si="21"/>
        <v>13.333333333333334</v>
      </c>
      <c r="AD88" s="197">
        <v>0</v>
      </c>
      <c r="AE88" s="196">
        <v>0</v>
      </c>
      <c r="AF88" s="196">
        <v>0</v>
      </c>
      <c r="AG88" s="198">
        <f t="shared" si="22"/>
        <v>0</v>
      </c>
      <c r="AH88" s="200">
        <f t="shared" si="23"/>
        <v>13.333333333333334</v>
      </c>
      <c r="AI88" s="199">
        <f t="shared" si="27"/>
        <v>666.03333333333342</v>
      </c>
      <c r="AJ88" s="201">
        <f t="shared" si="14"/>
        <v>0.48544703595724009</v>
      </c>
      <c r="AK88" s="196">
        <v>77.656333333333322</v>
      </c>
      <c r="AL88" s="196">
        <v>13.72</v>
      </c>
      <c r="AM88" s="196">
        <v>13.72</v>
      </c>
      <c r="AN88" s="196">
        <v>41.16</v>
      </c>
      <c r="AO88" s="196">
        <v>8.9179999999999993</v>
      </c>
      <c r="AP88" s="209"/>
      <c r="AQ88" s="202">
        <f t="shared" si="24"/>
        <v>77.518000000000001</v>
      </c>
      <c r="AR88" s="202">
        <f t="shared" si="25"/>
        <v>155.17433333333332</v>
      </c>
      <c r="AS88" s="203">
        <f t="shared" si="26"/>
        <v>1216.8256666666666</v>
      </c>
    </row>
    <row r="89" spans="2:48" s="131" customFormat="1" ht="18" hidden="1" customHeight="1">
      <c r="B89" s="194" t="s">
        <v>1497</v>
      </c>
      <c r="C89" s="194">
        <v>241</v>
      </c>
      <c r="D89" s="195" t="s">
        <v>1694</v>
      </c>
      <c r="E89" s="196">
        <v>41109.56</v>
      </c>
      <c r="F89" s="196">
        <v>0</v>
      </c>
      <c r="G89" s="196">
        <v>0</v>
      </c>
      <c r="H89" s="197">
        <v>0</v>
      </c>
      <c r="I89" s="196">
        <v>0</v>
      </c>
      <c r="J89" s="197">
        <v>0</v>
      </c>
      <c r="K89" s="198">
        <f t="shared" si="15"/>
        <v>0</v>
      </c>
      <c r="L89" s="197">
        <v>0</v>
      </c>
      <c r="M89" s="196">
        <v>0</v>
      </c>
      <c r="N89" s="197">
        <v>0</v>
      </c>
      <c r="O89" s="198">
        <f t="shared" si="16"/>
        <v>0</v>
      </c>
      <c r="P89" s="199">
        <f t="shared" si="17"/>
        <v>0</v>
      </c>
      <c r="Q89" s="197">
        <v>0</v>
      </c>
      <c r="R89" s="196">
        <v>0</v>
      </c>
      <c r="S89" s="197">
        <v>0</v>
      </c>
      <c r="T89" s="198">
        <f t="shared" si="18"/>
        <v>0</v>
      </c>
      <c r="U89" s="196">
        <v>0</v>
      </c>
      <c r="V89" s="196">
        <v>0</v>
      </c>
      <c r="W89" s="197">
        <v>0</v>
      </c>
      <c r="X89" s="198">
        <f t="shared" si="19"/>
        <v>0</v>
      </c>
      <c r="Y89" s="200">
        <f t="shared" si="20"/>
        <v>0</v>
      </c>
      <c r="Z89" s="197">
        <v>0</v>
      </c>
      <c r="AA89" s="196">
        <v>0</v>
      </c>
      <c r="AB89" s="197">
        <v>0</v>
      </c>
      <c r="AC89" s="198">
        <f t="shared" si="21"/>
        <v>0</v>
      </c>
      <c r="AD89" s="197">
        <v>0</v>
      </c>
      <c r="AE89" s="196">
        <v>0</v>
      </c>
      <c r="AF89" s="196">
        <v>0</v>
      </c>
      <c r="AG89" s="198">
        <f t="shared" si="22"/>
        <v>0</v>
      </c>
      <c r="AH89" s="200">
        <f t="shared" si="23"/>
        <v>0</v>
      </c>
      <c r="AI89" s="199">
        <f t="shared" si="27"/>
        <v>0</v>
      </c>
      <c r="AJ89" s="201">
        <f t="shared" si="14"/>
        <v>0</v>
      </c>
      <c r="AK89" s="196">
        <v>4522.0515999999998</v>
      </c>
      <c r="AL89" s="196">
        <v>411.09559999999999</v>
      </c>
      <c r="AM89" s="196">
        <v>411.09559999999999</v>
      </c>
      <c r="AN89" s="196">
        <v>1233.2867999999999</v>
      </c>
      <c r="AO89" s="196">
        <v>267.21213999999998</v>
      </c>
      <c r="AP89" s="196">
        <v>2055.4780000000001</v>
      </c>
      <c r="AQ89" s="202">
        <f t="shared" si="24"/>
        <v>4378.1681399999998</v>
      </c>
      <c r="AR89" s="202">
        <f t="shared" si="25"/>
        <v>8900.2197400000005</v>
      </c>
      <c r="AS89" s="203">
        <f t="shared" si="26"/>
        <v>32209.340259999997</v>
      </c>
    </row>
    <row r="90" spans="2:48" s="131" customFormat="1" ht="18" hidden="1" customHeight="1">
      <c r="B90" s="194" t="s">
        <v>1497</v>
      </c>
      <c r="C90" s="194">
        <v>242</v>
      </c>
      <c r="D90" s="195" t="s">
        <v>1478</v>
      </c>
      <c r="E90" s="213">
        <v>5446</v>
      </c>
      <c r="F90" s="196">
        <v>911.65</v>
      </c>
      <c r="G90" s="196">
        <v>131.08000000000001</v>
      </c>
      <c r="H90" s="197">
        <v>1</v>
      </c>
      <c r="I90" s="196">
        <v>16</v>
      </c>
      <c r="J90" s="197">
        <v>26</v>
      </c>
      <c r="K90" s="198">
        <f t="shared" si="15"/>
        <v>416</v>
      </c>
      <c r="L90" s="197">
        <v>0</v>
      </c>
      <c r="M90" s="196">
        <v>0</v>
      </c>
      <c r="N90" s="197">
        <v>0</v>
      </c>
      <c r="O90" s="198">
        <f t="shared" si="16"/>
        <v>0</v>
      </c>
      <c r="P90" s="199">
        <f t="shared" si="17"/>
        <v>416</v>
      </c>
      <c r="Q90" s="197">
        <v>1</v>
      </c>
      <c r="R90" s="196">
        <v>42.5</v>
      </c>
      <c r="S90" s="197">
        <v>26</v>
      </c>
      <c r="T90" s="198">
        <f t="shared" si="18"/>
        <v>1105</v>
      </c>
      <c r="U90" s="196">
        <v>0</v>
      </c>
      <c r="V90" s="196">
        <v>0</v>
      </c>
      <c r="W90" s="197">
        <v>0</v>
      </c>
      <c r="X90" s="198">
        <f t="shared" si="19"/>
        <v>0</v>
      </c>
      <c r="Y90" s="200">
        <f t="shared" si="20"/>
        <v>1105</v>
      </c>
      <c r="Z90" s="197">
        <v>1</v>
      </c>
      <c r="AA90" s="196">
        <v>80</v>
      </c>
      <c r="AB90" s="197">
        <v>1</v>
      </c>
      <c r="AC90" s="198">
        <f t="shared" si="21"/>
        <v>80</v>
      </c>
      <c r="AD90" s="197">
        <v>0</v>
      </c>
      <c r="AE90" s="196">
        <v>0</v>
      </c>
      <c r="AF90" s="196">
        <v>0</v>
      </c>
      <c r="AG90" s="198">
        <f t="shared" si="22"/>
        <v>0</v>
      </c>
      <c r="AH90" s="200">
        <f t="shared" si="23"/>
        <v>80</v>
      </c>
      <c r="AI90" s="199">
        <f t="shared" si="27"/>
        <v>2643.73</v>
      </c>
      <c r="AJ90" s="201">
        <v>0.48544887930001196</v>
      </c>
      <c r="AK90" s="196">
        <v>308.24970000000002</v>
      </c>
      <c r="AL90" s="196">
        <v>54.46</v>
      </c>
      <c r="AM90" s="196">
        <v>54.46</v>
      </c>
      <c r="AN90" s="196">
        <v>163.38</v>
      </c>
      <c r="AO90" s="196">
        <v>35.399000000000001</v>
      </c>
      <c r="AP90" s="196">
        <v>272.3</v>
      </c>
      <c r="AQ90" s="202">
        <f t="shared" si="24"/>
        <v>579.99900000000002</v>
      </c>
      <c r="AR90" s="202">
        <f t="shared" si="25"/>
        <v>888.2487000000001</v>
      </c>
      <c r="AS90" s="203">
        <f t="shared" si="26"/>
        <v>4557.7512999999999</v>
      </c>
    </row>
    <row r="91" spans="2:48" s="131" customFormat="1" ht="18" hidden="1" customHeight="1">
      <c r="B91" s="194" t="s">
        <v>1517</v>
      </c>
      <c r="C91" s="194">
        <v>244</v>
      </c>
      <c r="D91" s="195" t="s">
        <v>1697</v>
      </c>
      <c r="E91" s="213">
        <v>1372</v>
      </c>
      <c r="F91" s="196">
        <v>472.7</v>
      </c>
      <c r="G91" s="196">
        <v>0</v>
      </c>
      <c r="H91" s="197">
        <v>1</v>
      </c>
      <c r="I91" s="196">
        <v>24</v>
      </c>
      <c r="J91" s="197">
        <v>4</v>
      </c>
      <c r="K91" s="198">
        <f t="shared" si="15"/>
        <v>96</v>
      </c>
      <c r="L91" s="197">
        <v>0</v>
      </c>
      <c r="M91" s="196">
        <v>0</v>
      </c>
      <c r="N91" s="197">
        <v>0</v>
      </c>
      <c r="O91" s="198">
        <f t="shared" si="16"/>
        <v>0</v>
      </c>
      <c r="P91" s="199">
        <f t="shared" si="17"/>
        <v>96</v>
      </c>
      <c r="Q91" s="197">
        <v>1</v>
      </c>
      <c r="R91" s="196">
        <v>21</v>
      </c>
      <c r="S91" s="197">
        <v>4</v>
      </c>
      <c r="T91" s="198">
        <f t="shared" si="18"/>
        <v>84</v>
      </c>
      <c r="U91" s="196">
        <v>0</v>
      </c>
      <c r="V91" s="196">
        <v>0</v>
      </c>
      <c r="W91" s="197">
        <v>0</v>
      </c>
      <c r="X91" s="198">
        <f t="shared" si="19"/>
        <v>0</v>
      </c>
      <c r="Y91" s="200">
        <f t="shared" si="20"/>
        <v>84</v>
      </c>
      <c r="Z91" s="197">
        <v>1</v>
      </c>
      <c r="AA91" s="208">
        <f>80/12</f>
        <v>6.666666666666667</v>
      </c>
      <c r="AB91" s="197">
        <v>2</v>
      </c>
      <c r="AC91" s="198">
        <f t="shared" si="21"/>
        <v>13.333333333333334</v>
      </c>
      <c r="AD91" s="197">
        <v>0</v>
      </c>
      <c r="AE91" s="196">
        <v>0</v>
      </c>
      <c r="AF91" s="196">
        <v>0</v>
      </c>
      <c r="AG91" s="198">
        <f t="shared" si="22"/>
        <v>0</v>
      </c>
      <c r="AH91" s="200">
        <f t="shared" si="23"/>
        <v>13.333333333333334</v>
      </c>
      <c r="AI91" s="199">
        <f t="shared" si="27"/>
        <v>666.03333333333342</v>
      </c>
      <c r="AJ91" s="201">
        <f t="shared" ref="AJ91:AJ97" si="28">AI91/E91</f>
        <v>0.48544703595724009</v>
      </c>
      <c r="AK91" s="196">
        <v>77.656333333333322</v>
      </c>
      <c r="AL91" s="196">
        <v>13.72</v>
      </c>
      <c r="AM91" s="196">
        <v>13.72</v>
      </c>
      <c r="AN91" s="196">
        <v>41.16</v>
      </c>
      <c r="AO91" s="196">
        <v>8.9179999999999993</v>
      </c>
      <c r="AP91" s="209"/>
      <c r="AQ91" s="202">
        <f t="shared" si="24"/>
        <v>77.518000000000001</v>
      </c>
      <c r="AR91" s="202">
        <f t="shared" si="25"/>
        <v>155.17433333333332</v>
      </c>
      <c r="AS91" s="203">
        <f t="shared" si="26"/>
        <v>1216.8256666666666</v>
      </c>
    </row>
    <row r="92" spans="2:48" s="131" customFormat="1" ht="18" hidden="1" customHeight="1">
      <c r="B92" s="194" t="s">
        <v>1517</v>
      </c>
      <c r="C92" s="194">
        <v>246</v>
      </c>
      <c r="D92" s="195" t="s">
        <v>941</v>
      </c>
      <c r="E92" s="196">
        <v>5928</v>
      </c>
      <c r="F92" s="196">
        <v>898.55</v>
      </c>
      <c r="G92" s="196">
        <v>216.5</v>
      </c>
      <c r="H92" s="197">
        <v>1</v>
      </c>
      <c r="I92" s="196">
        <v>16</v>
      </c>
      <c r="J92" s="197">
        <v>26</v>
      </c>
      <c r="K92" s="198">
        <f t="shared" si="15"/>
        <v>416</v>
      </c>
      <c r="L92" s="197">
        <v>0</v>
      </c>
      <c r="M92" s="196">
        <v>0</v>
      </c>
      <c r="N92" s="197">
        <v>0</v>
      </c>
      <c r="O92" s="198">
        <f t="shared" si="16"/>
        <v>0</v>
      </c>
      <c r="P92" s="199">
        <f t="shared" si="17"/>
        <v>416</v>
      </c>
      <c r="Q92" s="197">
        <v>1</v>
      </c>
      <c r="R92" s="196">
        <v>42.5</v>
      </c>
      <c r="S92" s="197">
        <v>26</v>
      </c>
      <c r="T92" s="198">
        <f t="shared" si="18"/>
        <v>1105</v>
      </c>
      <c r="U92" s="196">
        <v>0</v>
      </c>
      <c r="V92" s="196">
        <v>0</v>
      </c>
      <c r="W92" s="197">
        <v>0</v>
      </c>
      <c r="X92" s="198">
        <f t="shared" si="19"/>
        <v>0</v>
      </c>
      <c r="Y92" s="200">
        <f t="shared" si="20"/>
        <v>1105</v>
      </c>
      <c r="Z92" s="197">
        <v>1</v>
      </c>
      <c r="AA92" s="196">
        <v>80</v>
      </c>
      <c r="AB92" s="197">
        <v>1</v>
      </c>
      <c r="AC92" s="198">
        <f t="shared" si="21"/>
        <v>80</v>
      </c>
      <c r="AD92" s="197">
        <v>0</v>
      </c>
      <c r="AE92" s="196">
        <v>0</v>
      </c>
      <c r="AF92" s="196">
        <v>0</v>
      </c>
      <c r="AG92" s="198">
        <f t="shared" si="22"/>
        <v>0</v>
      </c>
      <c r="AH92" s="200">
        <f t="shared" si="23"/>
        <v>80</v>
      </c>
      <c r="AI92" s="199">
        <f t="shared" si="27"/>
        <v>2716.05</v>
      </c>
      <c r="AJ92" s="201">
        <f t="shared" si="28"/>
        <v>0.45817307692307696</v>
      </c>
      <c r="AK92" s="196">
        <v>353.31450000000001</v>
      </c>
      <c r="AL92" s="196">
        <v>59.28</v>
      </c>
      <c r="AM92" s="196">
        <v>59.28</v>
      </c>
      <c r="AN92" s="196">
        <v>177.84</v>
      </c>
      <c r="AO92" s="196">
        <v>38.531999999999996</v>
      </c>
      <c r="AP92" s="196">
        <v>296.40000000000003</v>
      </c>
      <c r="AQ92" s="202">
        <f t="shared" si="24"/>
        <v>631.33199999999999</v>
      </c>
      <c r="AR92" s="202">
        <f t="shared" si="25"/>
        <v>984.64650000000006</v>
      </c>
      <c r="AS92" s="203">
        <f t="shared" si="26"/>
        <v>4943.3535000000002</v>
      </c>
    </row>
    <row r="93" spans="2:48" s="131" customFormat="1" ht="18" hidden="1" customHeight="1">
      <c r="B93" s="194" t="s">
        <v>1517</v>
      </c>
      <c r="C93" s="194">
        <v>247</v>
      </c>
      <c r="D93" s="195" t="s">
        <v>982</v>
      </c>
      <c r="E93" s="196">
        <v>5928</v>
      </c>
      <c r="F93" s="196">
        <v>950.61</v>
      </c>
      <c r="G93" s="196">
        <v>326.16666666666669</v>
      </c>
      <c r="H93" s="197">
        <v>1</v>
      </c>
      <c r="I93" s="196">
        <v>16</v>
      </c>
      <c r="J93" s="197">
        <v>26</v>
      </c>
      <c r="K93" s="198">
        <f t="shared" si="15"/>
        <v>416</v>
      </c>
      <c r="L93" s="197">
        <v>0</v>
      </c>
      <c r="M93" s="196">
        <v>0</v>
      </c>
      <c r="N93" s="197">
        <v>0</v>
      </c>
      <c r="O93" s="198">
        <f t="shared" si="16"/>
        <v>0</v>
      </c>
      <c r="P93" s="199">
        <f t="shared" si="17"/>
        <v>416</v>
      </c>
      <c r="Q93" s="197">
        <v>1</v>
      </c>
      <c r="R93" s="196">
        <v>42.5</v>
      </c>
      <c r="S93" s="197">
        <v>26</v>
      </c>
      <c r="T93" s="198">
        <f t="shared" si="18"/>
        <v>1105</v>
      </c>
      <c r="U93" s="196">
        <v>0</v>
      </c>
      <c r="V93" s="196">
        <v>0</v>
      </c>
      <c r="W93" s="197">
        <v>0</v>
      </c>
      <c r="X93" s="198">
        <f t="shared" si="19"/>
        <v>0</v>
      </c>
      <c r="Y93" s="200">
        <f t="shared" si="20"/>
        <v>1105</v>
      </c>
      <c r="Z93" s="197">
        <v>1</v>
      </c>
      <c r="AA93" s="196">
        <v>80</v>
      </c>
      <c r="AB93" s="197">
        <v>1</v>
      </c>
      <c r="AC93" s="198">
        <f t="shared" si="21"/>
        <v>80</v>
      </c>
      <c r="AD93" s="197">
        <v>0</v>
      </c>
      <c r="AE93" s="196">
        <v>0</v>
      </c>
      <c r="AF93" s="196">
        <v>0</v>
      </c>
      <c r="AG93" s="198">
        <f t="shared" si="22"/>
        <v>0</v>
      </c>
      <c r="AH93" s="200">
        <f t="shared" si="23"/>
        <v>80</v>
      </c>
      <c r="AI93" s="199">
        <f t="shared" si="27"/>
        <v>2877.7766666666666</v>
      </c>
      <c r="AJ93" s="201">
        <f t="shared" si="28"/>
        <v>0.48545490328385066</v>
      </c>
      <c r="AK93" s="196">
        <v>335.52456666666666</v>
      </c>
      <c r="AL93" s="196">
        <v>59.28</v>
      </c>
      <c r="AM93" s="196">
        <v>59.28</v>
      </c>
      <c r="AN93" s="196">
        <v>177.84</v>
      </c>
      <c r="AO93" s="196">
        <v>38.531999999999996</v>
      </c>
      <c r="AP93" s="196">
        <v>296.40000000000003</v>
      </c>
      <c r="AQ93" s="202">
        <f t="shared" si="24"/>
        <v>631.33199999999999</v>
      </c>
      <c r="AR93" s="202">
        <f t="shared" si="25"/>
        <v>966.85656666666659</v>
      </c>
      <c r="AS93" s="203">
        <f t="shared" si="26"/>
        <v>4961.1434333333336</v>
      </c>
    </row>
    <row r="94" spans="2:48" s="131" customFormat="1" ht="18" hidden="1" customHeight="1">
      <c r="B94" s="194" t="s">
        <v>1517</v>
      </c>
      <c r="C94" s="194">
        <v>248</v>
      </c>
      <c r="D94" s="195" t="s">
        <v>1003</v>
      </c>
      <c r="E94" s="196">
        <v>16252</v>
      </c>
      <c r="F94" s="196">
        <v>2331.4</v>
      </c>
      <c r="G94" s="196">
        <v>300</v>
      </c>
      <c r="H94" s="197">
        <v>1</v>
      </c>
      <c r="I94" s="196">
        <v>16</v>
      </c>
      <c r="J94" s="197">
        <v>26</v>
      </c>
      <c r="K94" s="198">
        <f t="shared" si="15"/>
        <v>416</v>
      </c>
      <c r="L94" s="197">
        <v>2</v>
      </c>
      <c r="M94" s="196">
        <v>16</v>
      </c>
      <c r="N94" s="197">
        <v>16</v>
      </c>
      <c r="O94" s="198">
        <f t="shared" si="16"/>
        <v>512</v>
      </c>
      <c r="P94" s="199">
        <f t="shared" si="17"/>
        <v>928</v>
      </c>
      <c r="Q94" s="197">
        <v>1</v>
      </c>
      <c r="R94" s="196">
        <v>42.5</v>
      </c>
      <c r="S94" s="197">
        <v>26</v>
      </c>
      <c r="T94" s="198">
        <f t="shared" si="18"/>
        <v>1105</v>
      </c>
      <c r="U94" s="196">
        <v>2</v>
      </c>
      <c r="V94" s="196">
        <v>42.5</v>
      </c>
      <c r="W94" s="197">
        <v>16</v>
      </c>
      <c r="X94" s="198">
        <f t="shared" si="19"/>
        <v>1360</v>
      </c>
      <c r="Y94" s="200">
        <f t="shared" si="20"/>
        <v>2465</v>
      </c>
      <c r="Z94" s="197">
        <v>1</v>
      </c>
      <c r="AA94" s="196">
        <v>80</v>
      </c>
      <c r="AB94" s="197">
        <v>1</v>
      </c>
      <c r="AC94" s="198">
        <f t="shared" si="21"/>
        <v>80</v>
      </c>
      <c r="AD94" s="197">
        <v>2</v>
      </c>
      <c r="AE94" s="196">
        <v>80</v>
      </c>
      <c r="AF94" s="197">
        <v>1</v>
      </c>
      <c r="AG94" s="198">
        <f t="shared" si="22"/>
        <v>160</v>
      </c>
      <c r="AH94" s="200">
        <f t="shared" si="23"/>
        <v>240</v>
      </c>
      <c r="AI94" s="199">
        <f t="shared" si="27"/>
        <v>6264.4</v>
      </c>
      <c r="AJ94" s="201">
        <f t="shared" si="28"/>
        <v>0.3854540979571745</v>
      </c>
      <c r="AK94" s="196">
        <v>1098.636</v>
      </c>
      <c r="AL94" s="196">
        <v>162.52000000000001</v>
      </c>
      <c r="AM94" s="196">
        <v>162.52000000000001</v>
      </c>
      <c r="AN94" s="196">
        <v>487.56</v>
      </c>
      <c r="AO94" s="196">
        <v>105.63799999999999</v>
      </c>
      <c r="AP94" s="196">
        <v>812.6</v>
      </c>
      <c r="AQ94" s="202">
        <f t="shared" si="24"/>
        <v>1730.8380000000002</v>
      </c>
      <c r="AR94" s="202">
        <f t="shared" si="25"/>
        <v>2829.4740000000002</v>
      </c>
      <c r="AS94" s="203">
        <f t="shared" si="26"/>
        <v>13422.526</v>
      </c>
    </row>
    <row r="95" spans="2:48" s="131" customFormat="1" ht="18" hidden="1" customHeight="1">
      <c r="B95" s="194" t="s">
        <v>1517</v>
      </c>
      <c r="C95" s="194">
        <v>249</v>
      </c>
      <c r="D95" s="195" t="s">
        <v>1082</v>
      </c>
      <c r="E95" s="196">
        <v>5562</v>
      </c>
      <c r="F95" s="196">
        <v>911.65</v>
      </c>
      <c r="G95" s="196">
        <v>187.41666666666666</v>
      </c>
      <c r="H95" s="197">
        <v>1</v>
      </c>
      <c r="I95" s="196">
        <v>16</v>
      </c>
      <c r="J95" s="197">
        <v>26</v>
      </c>
      <c r="K95" s="198">
        <f t="shared" si="15"/>
        <v>416</v>
      </c>
      <c r="L95" s="197">
        <v>0</v>
      </c>
      <c r="M95" s="196">
        <v>0</v>
      </c>
      <c r="N95" s="197">
        <v>0</v>
      </c>
      <c r="O95" s="198">
        <f t="shared" si="16"/>
        <v>0</v>
      </c>
      <c r="P95" s="199">
        <f t="shared" si="17"/>
        <v>416</v>
      </c>
      <c r="Q95" s="197">
        <v>1</v>
      </c>
      <c r="R95" s="196">
        <v>42.5</v>
      </c>
      <c r="S95" s="197">
        <v>26</v>
      </c>
      <c r="T95" s="198">
        <f t="shared" si="18"/>
        <v>1105</v>
      </c>
      <c r="U95" s="196">
        <v>0</v>
      </c>
      <c r="V95" s="196">
        <v>0</v>
      </c>
      <c r="W95" s="197">
        <v>0</v>
      </c>
      <c r="X95" s="198">
        <f t="shared" si="19"/>
        <v>0</v>
      </c>
      <c r="Y95" s="200">
        <f t="shared" si="20"/>
        <v>1105</v>
      </c>
      <c r="Z95" s="197">
        <v>1</v>
      </c>
      <c r="AA95" s="196">
        <v>80</v>
      </c>
      <c r="AB95" s="197">
        <v>1</v>
      </c>
      <c r="AC95" s="198">
        <f t="shared" si="21"/>
        <v>80</v>
      </c>
      <c r="AD95" s="197">
        <v>0</v>
      </c>
      <c r="AE95" s="196">
        <v>0</v>
      </c>
      <c r="AF95" s="196">
        <v>0</v>
      </c>
      <c r="AG95" s="198">
        <f t="shared" si="22"/>
        <v>0</v>
      </c>
      <c r="AH95" s="200">
        <f t="shared" si="23"/>
        <v>80</v>
      </c>
      <c r="AI95" s="199">
        <f t="shared" si="27"/>
        <v>2700.0666666666666</v>
      </c>
      <c r="AJ95" s="201">
        <f t="shared" si="28"/>
        <v>0.48544887930001196</v>
      </c>
      <c r="AK95" s="196">
        <v>314.8126666666667</v>
      </c>
      <c r="AL95" s="196">
        <v>55.620000000000005</v>
      </c>
      <c r="AM95" s="196">
        <v>55.620000000000005</v>
      </c>
      <c r="AN95" s="196">
        <v>166.85999999999999</v>
      </c>
      <c r="AO95" s="196">
        <v>36.152999999999999</v>
      </c>
      <c r="AP95" s="196">
        <v>278.10000000000002</v>
      </c>
      <c r="AQ95" s="202">
        <f t="shared" si="24"/>
        <v>592.35300000000007</v>
      </c>
      <c r="AR95" s="202">
        <f t="shared" si="25"/>
        <v>907.16566666666677</v>
      </c>
      <c r="AS95" s="203">
        <f t="shared" si="26"/>
        <v>4654.8343333333332</v>
      </c>
    </row>
    <row r="96" spans="2:48" s="131" customFormat="1" ht="18" hidden="1" customHeight="1">
      <c r="B96" s="194" t="s">
        <v>1517</v>
      </c>
      <c r="C96" s="194">
        <v>250</v>
      </c>
      <c r="D96" s="195" t="s">
        <v>1081</v>
      </c>
      <c r="E96" s="196">
        <v>5810</v>
      </c>
      <c r="F96" s="196">
        <v>710.95</v>
      </c>
      <c r="G96" s="196">
        <v>350</v>
      </c>
      <c r="H96" s="197">
        <v>1</v>
      </c>
      <c r="I96" s="196">
        <v>16</v>
      </c>
      <c r="J96" s="197">
        <v>26</v>
      </c>
      <c r="K96" s="198">
        <f t="shared" si="15"/>
        <v>416</v>
      </c>
      <c r="L96" s="197">
        <v>0</v>
      </c>
      <c r="M96" s="196">
        <v>0</v>
      </c>
      <c r="N96" s="197">
        <v>0</v>
      </c>
      <c r="O96" s="198">
        <f t="shared" si="16"/>
        <v>0</v>
      </c>
      <c r="P96" s="199">
        <f t="shared" si="17"/>
        <v>416</v>
      </c>
      <c r="Q96" s="197">
        <v>1</v>
      </c>
      <c r="R96" s="196">
        <v>42.5</v>
      </c>
      <c r="S96" s="197">
        <v>26</v>
      </c>
      <c r="T96" s="198">
        <f t="shared" si="18"/>
        <v>1105</v>
      </c>
      <c r="U96" s="196">
        <v>0</v>
      </c>
      <c r="V96" s="196">
        <v>0</v>
      </c>
      <c r="W96" s="197">
        <v>0</v>
      </c>
      <c r="X96" s="198">
        <f t="shared" si="19"/>
        <v>0</v>
      </c>
      <c r="Y96" s="200">
        <f t="shared" si="20"/>
        <v>1105</v>
      </c>
      <c r="Z96" s="197">
        <v>1</v>
      </c>
      <c r="AA96" s="196">
        <v>80</v>
      </c>
      <c r="AB96" s="197">
        <v>1</v>
      </c>
      <c r="AC96" s="198">
        <f t="shared" si="21"/>
        <v>80</v>
      </c>
      <c r="AD96" s="197">
        <v>0</v>
      </c>
      <c r="AE96" s="196">
        <v>0</v>
      </c>
      <c r="AF96" s="196">
        <v>0</v>
      </c>
      <c r="AG96" s="198">
        <f t="shared" si="22"/>
        <v>0</v>
      </c>
      <c r="AH96" s="200">
        <f t="shared" si="23"/>
        <v>80</v>
      </c>
      <c r="AI96" s="199">
        <f t="shared" si="27"/>
        <v>2661.95</v>
      </c>
      <c r="AJ96" s="201">
        <f t="shared" si="28"/>
        <v>0.45816695352839926</v>
      </c>
      <c r="AK96" s="196">
        <v>346.28550000000001</v>
      </c>
      <c r="AL96" s="196">
        <v>58.1</v>
      </c>
      <c r="AM96" s="196">
        <v>58.1</v>
      </c>
      <c r="AN96" s="196">
        <v>174.29999999999998</v>
      </c>
      <c r="AO96" s="196">
        <v>37.765000000000001</v>
      </c>
      <c r="AP96" s="196">
        <v>290.5</v>
      </c>
      <c r="AQ96" s="202">
        <f t="shared" si="24"/>
        <v>618.76499999999999</v>
      </c>
      <c r="AR96" s="202">
        <f t="shared" si="25"/>
        <v>965.05050000000006</v>
      </c>
      <c r="AS96" s="203">
        <f t="shared" si="26"/>
        <v>4844.9494999999997</v>
      </c>
    </row>
    <row r="97" spans="2:45" s="131" customFormat="1" ht="18" hidden="1" customHeight="1">
      <c r="B97" s="194" t="s">
        <v>1517</v>
      </c>
      <c r="C97" s="194">
        <v>252</v>
      </c>
      <c r="D97" s="195" t="s">
        <v>1426</v>
      </c>
      <c r="E97" s="196">
        <v>28588</v>
      </c>
      <c r="F97" s="196">
        <v>2968.35</v>
      </c>
      <c r="G97" s="196">
        <v>1600</v>
      </c>
      <c r="H97" s="197">
        <v>2</v>
      </c>
      <c r="I97" s="196">
        <v>16</v>
      </c>
      <c r="J97" s="197">
        <v>26</v>
      </c>
      <c r="K97" s="198">
        <f t="shared" si="15"/>
        <v>832</v>
      </c>
      <c r="L97" s="197">
        <v>4</v>
      </c>
      <c r="M97" s="196">
        <v>16</v>
      </c>
      <c r="N97" s="197">
        <v>16</v>
      </c>
      <c r="O97" s="198">
        <f t="shared" si="16"/>
        <v>1024</v>
      </c>
      <c r="P97" s="199">
        <f t="shared" si="17"/>
        <v>1856</v>
      </c>
      <c r="Q97" s="197">
        <v>2</v>
      </c>
      <c r="R97" s="196">
        <v>42.5</v>
      </c>
      <c r="S97" s="212">
        <v>22</v>
      </c>
      <c r="T97" s="198">
        <f t="shared" si="18"/>
        <v>1870</v>
      </c>
      <c r="U97" s="197">
        <v>4</v>
      </c>
      <c r="V97" s="196">
        <v>42.5</v>
      </c>
      <c r="W97" s="207">
        <v>15.5</v>
      </c>
      <c r="X97" s="198">
        <f t="shared" si="19"/>
        <v>2635</v>
      </c>
      <c r="Y97" s="200">
        <f t="shared" si="20"/>
        <v>4505</v>
      </c>
      <c r="Z97" s="197">
        <v>2</v>
      </c>
      <c r="AA97" s="208">
        <f>90/12</f>
        <v>7.5</v>
      </c>
      <c r="AB97" s="197">
        <v>2</v>
      </c>
      <c r="AC97" s="198">
        <f t="shared" si="21"/>
        <v>30</v>
      </c>
      <c r="AD97" s="197">
        <v>4</v>
      </c>
      <c r="AE97" s="208">
        <f>90/12</f>
        <v>7.5</v>
      </c>
      <c r="AF97" s="196">
        <v>2</v>
      </c>
      <c r="AG97" s="198">
        <f t="shared" si="22"/>
        <v>60</v>
      </c>
      <c r="AH97" s="200">
        <f t="shared" si="23"/>
        <v>90</v>
      </c>
      <c r="AI97" s="199">
        <f t="shared" si="27"/>
        <v>11019.35</v>
      </c>
      <c r="AJ97" s="201">
        <f t="shared" si="28"/>
        <v>0.38545368686162029</v>
      </c>
      <c r="AK97" s="196">
        <v>1932.5515000000003</v>
      </c>
      <c r="AL97" s="196">
        <v>285.88</v>
      </c>
      <c r="AM97" s="196">
        <v>285.88</v>
      </c>
      <c r="AN97" s="196">
        <v>857.64</v>
      </c>
      <c r="AO97" s="196">
        <v>185.822</v>
      </c>
      <c r="AP97" s="196">
        <v>1429.4</v>
      </c>
      <c r="AQ97" s="202">
        <f t="shared" si="24"/>
        <v>3044.6220000000003</v>
      </c>
      <c r="AR97" s="202">
        <f t="shared" si="25"/>
        <v>4977.1735000000008</v>
      </c>
      <c r="AS97" s="203">
        <f t="shared" si="26"/>
        <v>23610.826499999999</v>
      </c>
    </row>
    <row r="98" spans="2:45" s="131" customFormat="1" ht="18" hidden="1" customHeight="1">
      <c r="B98" s="194" t="s">
        <v>1517</v>
      </c>
      <c r="C98" s="194">
        <v>253</v>
      </c>
      <c r="D98" s="195" t="s">
        <v>1478</v>
      </c>
      <c r="E98" s="213">
        <v>5446</v>
      </c>
      <c r="F98" s="196">
        <v>911.65</v>
      </c>
      <c r="G98" s="196">
        <v>131.08000000000001</v>
      </c>
      <c r="H98" s="197">
        <v>1</v>
      </c>
      <c r="I98" s="196">
        <v>16</v>
      </c>
      <c r="J98" s="197">
        <v>26</v>
      </c>
      <c r="K98" s="198">
        <f t="shared" si="15"/>
        <v>416</v>
      </c>
      <c r="L98" s="197">
        <v>0</v>
      </c>
      <c r="M98" s="196">
        <v>0</v>
      </c>
      <c r="N98" s="197">
        <v>0</v>
      </c>
      <c r="O98" s="198">
        <f t="shared" si="16"/>
        <v>0</v>
      </c>
      <c r="P98" s="199">
        <f t="shared" si="17"/>
        <v>416</v>
      </c>
      <c r="Q98" s="197">
        <v>1</v>
      </c>
      <c r="R98" s="196">
        <v>42.5</v>
      </c>
      <c r="S98" s="197">
        <v>26</v>
      </c>
      <c r="T98" s="198">
        <f t="shared" si="18"/>
        <v>1105</v>
      </c>
      <c r="U98" s="196">
        <v>0</v>
      </c>
      <c r="V98" s="196">
        <v>0</v>
      </c>
      <c r="W98" s="197">
        <v>0</v>
      </c>
      <c r="X98" s="198">
        <f t="shared" si="19"/>
        <v>0</v>
      </c>
      <c r="Y98" s="200">
        <f t="shared" si="20"/>
        <v>1105</v>
      </c>
      <c r="Z98" s="197">
        <v>1</v>
      </c>
      <c r="AA98" s="196">
        <v>80</v>
      </c>
      <c r="AB98" s="197">
        <v>1</v>
      </c>
      <c r="AC98" s="198">
        <f t="shared" si="21"/>
        <v>80</v>
      </c>
      <c r="AD98" s="197">
        <v>0</v>
      </c>
      <c r="AE98" s="196">
        <v>0</v>
      </c>
      <c r="AF98" s="196">
        <v>0</v>
      </c>
      <c r="AG98" s="198">
        <f t="shared" si="22"/>
        <v>0</v>
      </c>
      <c r="AH98" s="200">
        <f t="shared" si="23"/>
        <v>80</v>
      </c>
      <c r="AI98" s="199">
        <f t="shared" si="27"/>
        <v>2643.73</v>
      </c>
      <c r="AJ98" s="201">
        <v>0.48544887930001196</v>
      </c>
      <c r="AK98" s="196">
        <v>308.24970000000002</v>
      </c>
      <c r="AL98" s="196">
        <v>54.46</v>
      </c>
      <c r="AM98" s="196">
        <v>54.46</v>
      </c>
      <c r="AN98" s="196">
        <v>163.38</v>
      </c>
      <c r="AO98" s="196">
        <v>35.399000000000001</v>
      </c>
      <c r="AP98" s="196">
        <v>272.3</v>
      </c>
      <c r="AQ98" s="202">
        <f t="shared" si="24"/>
        <v>579.99900000000002</v>
      </c>
      <c r="AR98" s="202">
        <f t="shared" si="25"/>
        <v>888.2487000000001</v>
      </c>
      <c r="AS98" s="203">
        <f t="shared" si="26"/>
        <v>4557.7512999999999</v>
      </c>
    </row>
    <row r="99" spans="2:45" s="131" customFormat="1" ht="18" hidden="1" customHeight="1">
      <c r="B99" s="194" t="s">
        <v>1517</v>
      </c>
      <c r="C99" s="194">
        <v>254</v>
      </c>
      <c r="D99" s="195" t="s">
        <v>1137</v>
      </c>
      <c r="E99" s="196">
        <f>37805-1750</f>
        <v>36055</v>
      </c>
      <c r="F99" s="196">
        <v>860</v>
      </c>
      <c r="G99" s="196">
        <v>0</v>
      </c>
      <c r="H99" s="197">
        <v>6</v>
      </c>
      <c r="I99" s="196">
        <v>16</v>
      </c>
      <c r="J99" s="197">
        <v>26</v>
      </c>
      <c r="K99" s="198">
        <f t="shared" si="15"/>
        <v>2496</v>
      </c>
      <c r="L99" s="197">
        <v>0</v>
      </c>
      <c r="M99" s="196">
        <v>0</v>
      </c>
      <c r="N99" s="197">
        <v>0</v>
      </c>
      <c r="O99" s="198">
        <f t="shared" si="16"/>
        <v>0</v>
      </c>
      <c r="P99" s="199">
        <f t="shared" si="17"/>
        <v>2496</v>
      </c>
      <c r="Q99" s="197">
        <v>6</v>
      </c>
      <c r="R99" s="196">
        <v>20</v>
      </c>
      <c r="S99" s="197">
        <v>24</v>
      </c>
      <c r="T99" s="198">
        <f t="shared" si="18"/>
        <v>2880</v>
      </c>
      <c r="U99" s="197">
        <v>0</v>
      </c>
      <c r="V99" s="196">
        <v>0</v>
      </c>
      <c r="W99" s="207">
        <v>0</v>
      </c>
      <c r="X99" s="198">
        <f t="shared" si="19"/>
        <v>0</v>
      </c>
      <c r="Y99" s="200">
        <f t="shared" si="20"/>
        <v>2880</v>
      </c>
      <c r="Z99" s="197">
        <v>6</v>
      </c>
      <c r="AA99" s="208">
        <f>90/12</f>
        <v>7.5</v>
      </c>
      <c r="AB99" s="197">
        <v>2</v>
      </c>
      <c r="AC99" s="198">
        <f t="shared" si="21"/>
        <v>90</v>
      </c>
      <c r="AD99" s="197">
        <v>0</v>
      </c>
      <c r="AE99" s="196">
        <v>0</v>
      </c>
      <c r="AF99" s="196">
        <v>0</v>
      </c>
      <c r="AG99" s="198">
        <f t="shared" si="22"/>
        <v>0</v>
      </c>
      <c r="AH99" s="200">
        <f t="shared" si="23"/>
        <v>90</v>
      </c>
      <c r="AI99" s="199">
        <f t="shared" si="27"/>
        <v>6326</v>
      </c>
      <c r="AJ99" s="201">
        <f t="shared" ref="AJ99:AJ107" si="29">AI99/E99</f>
        <v>0.17545416724448759</v>
      </c>
      <c r="AK99" s="196">
        <v>3270.19</v>
      </c>
      <c r="AL99" s="196">
        <v>360.55</v>
      </c>
      <c r="AM99" s="196">
        <v>360.55</v>
      </c>
      <c r="AN99" s="196">
        <v>1081.6499999999999</v>
      </c>
      <c r="AO99" s="196">
        <v>234.35749999999999</v>
      </c>
      <c r="AP99" s="209"/>
      <c r="AQ99" s="202">
        <f t="shared" si="24"/>
        <v>2037.1075000000001</v>
      </c>
      <c r="AR99" s="202">
        <f t="shared" si="25"/>
        <v>5307.2975000000006</v>
      </c>
      <c r="AS99" s="203">
        <f t="shared" si="26"/>
        <v>30747.702499999999</v>
      </c>
    </row>
    <row r="100" spans="2:45" s="131" customFormat="1" ht="18" hidden="1" customHeight="1">
      <c r="B100" s="194" t="s">
        <v>1517</v>
      </c>
      <c r="C100" s="194">
        <v>255</v>
      </c>
      <c r="D100" s="195" t="s">
        <v>1694</v>
      </c>
      <c r="E100" s="196">
        <v>47460.13</v>
      </c>
      <c r="F100" s="196">
        <v>0</v>
      </c>
      <c r="G100" s="196">
        <v>0</v>
      </c>
      <c r="H100" s="197">
        <v>0</v>
      </c>
      <c r="I100" s="196">
        <v>0</v>
      </c>
      <c r="J100" s="197">
        <v>0</v>
      </c>
      <c r="K100" s="198">
        <f t="shared" si="15"/>
        <v>0</v>
      </c>
      <c r="L100" s="197">
        <v>0</v>
      </c>
      <c r="M100" s="196">
        <v>0</v>
      </c>
      <c r="N100" s="197">
        <v>0</v>
      </c>
      <c r="O100" s="198">
        <f t="shared" si="16"/>
        <v>0</v>
      </c>
      <c r="P100" s="199">
        <f t="shared" si="17"/>
        <v>0</v>
      </c>
      <c r="Q100" s="197">
        <v>0</v>
      </c>
      <c r="R100" s="196">
        <v>0</v>
      </c>
      <c r="S100" s="197">
        <v>0</v>
      </c>
      <c r="T100" s="198">
        <f t="shared" si="18"/>
        <v>0</v>
      </c>
      <c r="U100" s="196">
        <v>0</v>
      </c>
      <c r="V100" s="196">
        <v>0</v>
      </c>
      <c r="W100" s="197">
        <v>0</v>
      </c>
      <c r="X100" s="198">
        <f t="shared" si="19"/>
        <v>0</v>
      </c>
      <c r="Y100" s="200">
        <f t="shared" si="20"/>
        <v>0</v>
      </c>
      <c r="Z100" s="197">
        <v>0</v>
      </c>
      <c r="AA100" s="196">
        <v>0</v>
      </c>
      <c r="AB100" s="197">
        <v>0</v>
      </c>
      <c r="AC100" s="198">
        <f t="shared" si="21"/>
        <v>0</v>
      </c>
      <c r="AD100" s="197">
        <v>0</v>
      </c>
      <c r="AE100" s="196">
        <v>0</v>
      </c>
      <c r="AF100" s="196">
        <v>0</v>
      </c>
      <c r="AG100" s="198">
        <f t="shared" si="22"/>
        <v>0</v>
      </c>
      <c r="AH100" s="200">
        <f t="shared" si="23"/>
        <v>0</v>
      </c>
      <c r="AI100" s="199">
        <f t="shared" si="27"/>
        <v>0</v>
      </c>
      <c r="AJ100" s="201">
        <f t="shared" si="29"/>
        <v>0</v>
      </c>
      <c r="AK100" s="196">
        <v>5220.6143000000002</v>
      </c>
      <c r="AL100" s="196">
        <v>474.60129999999998</v>
      </c>
      <c r="AM100" s="196">
        <v>474.60129999999998</v>
      </c>
      <c r="AN100" s="196">
        <v>1423.8038999999999</v>
      </c>
      <c r="AO100" s="196">
        <v>308.49084499999998</v>
      </c>
      <c r="AP100" s="196">
        <v>2373.0065</v>
      </c>
      <c r="AQ100" s="202">
        <f t="shared" si="24"/>
        <v>5054.5038449999993</v>
      </c>
      <c r="AR100" s="202">
        <f t="shared" si="25"/>
        <v>10275.118145</v>
      </c>
      <c r="AS100" s="203">
        <f t="shared" si="26"/>
        <v>37185.011854999997</v>
      </c>
    </row>
    <row r="101" spans="2:45" s="131" customFormat="1" ht="18" hidden="1" customHeight="1">
      <c r="B101" s="194" t="s">
        <v>1605</v>
      </c>
      <c r="C101" s="194">
        <v>257</v>
      </c>
      <c r="D101" s="195" t="s">
        <v>1697</v>
      </c>
      <c r="E101" s="213">
        <v>1372</v>
      </c>
      <c r="F101" s="196">
        <v>472.7</v>
      </c>
      <c r="G101" s="196">
        <v>0</v>
      </c>
      <c r="H101" s="197">
        <v>1</v>
      </c>
      <c r="I101" s="196">
        <v>24</v>
      </c>
      <c r="J101" s="197">
        <v>4</v>
      </c>
      <c r="K101" s="198">
        <f t="shared" si="15"/>
        <v>96</v>
      </c>
      <c r="L101" s="197">
        <v>0</v>
      </c>
      <c r="M101" s="196">
        <v>0</v>
      </c>
      <c r="N101" s="197">
        <v>0</v>
      </c>
      <c r="O101" s="198">
        <f t="shared" si="16"/>
        <v>0</v>
      </c>
      <c r="P101" s="199">
        <f t="shared" si="17"/>
        <v>96</v>
      </c>
      <c r="Q101" s="197">
        <v>1</v>
      </c>
      <c r="R101" s="196">
        <v>21</v>
      </c>
      <c r="S101" s="197">
        <v>4</v>
      </c>
      <c r="T101" s="198">
        <f t="shared" si="18"/>
        <v>84</v>
      </c>
      <c r="U101" s="196">
        <v>0</v>
      </c>
      <c r="V101" s="196">
        <v>0</v>
      </c>
      <c r="W101" s="197">
        <v>0</v>
      </c>
      <c r="X101" s="198">
        <f t="shared" si="19"/>
        <v>0</v>
      </c>
      <c r="Y101" s="200">
        <f t="shared" si="20"/>
        <v>84</v>
      </c>
      <c r="Z101" s="197">
        <v>1</v>
      </c>
      <c r="AA101" s="208">
        <f>80/12</f>
        <v>6.666666666666667</v>
      </c>
      <c r="AB101" s="197">
        <v>2</v>
      </c>
      <c r="AC101" s="198">
        <f t="shared" si="21"/>
        <v>13.333333333333334</v>
      </c>
      <c r="AD101" s="197">
        <v>0</v>
      </c>
      <c r="AE101" s="196">
        <v>0</v>
      </c>
      <c r="AF101" s="196">
        <v>0</v>
      </c>
      <c r="AG101" s="198">
        <f t="shared" si="22"/>
        <v>0</v>
      </c>
      <c r="AH101" s="200">
        <f t="shared" si="23"/>
        <v>13.333333333333334</v>
      </c>
      <c r="AI101" s="199">
        <f t="shared" si="27"/>
        <v>666.03333333333342</v>
      </c>
      <c r="AJ101" s="201">
        <f t="shared" si="29"/>
        <v>0.48544703595724009</v>
      </c>
      <c r="AK101" s="196">
        <v>77.656333333333322</v>
      </c>
      <c r="AL101" s="196">
        <v>13.72</v>
      </c>
      <c r="AM101" s="196">
        <v>13.72</v>
      </c>
      <c r="AN101" s="196">
        <v>41.16</v>
      </c>
      <c r="AO101" s="196">
        <v>8.9179999999999993</v>
      </c>
      <c r="AP101" s="209"/>
      <c r="AQ101" s="202">
        <f t="shared" si="24"/>
        <v>77.518000000000001</v>
      </c>
      <c r="AR101" s="202">
        <f t="shared" si="25"/>
        <v>155.17433333333332</v>
      </c>
      <c r="AS101" s="203">
        <f t="shared" si="26"/>
        <v>1216.8256666666666</v>
      </c>
    </row>
    <row r="102" spans="2:45" s="131" customFormat="1" ht="18" hidden="1" customHeight="1">
      <c r="B102" s="194" t="s">
        <v>1605</v>
      </c>
      <c r="C102" s="194">
        <v>258</v>
      </c>
      <c r="D102" s="195" t="s">
        <v>941</v>
      </c>
      <c r="E102" s="196">
        <v>5928</v>
      </c>
      <c r="F102" s="196">
        <v>898.55</v>
      </c>
      <c r="G102" s="196">
        <v>216.5</v>
      </c>
      <c r="H102" s="197">
        <v>1</v>
      </c>
      <c r="I102" s="196">
        <v>16</v>
      </c>
      <c r="J102" s="197">
        <v>26</v>
      </c>
      <c r="K102" s="198">
        <f t="shared" si="15"/>
        <v>416</v>
      </c>
      <c r="L102" s="197">
        <v>0</v>
      </c>
      <c r="M102" s="196">
        <v>0</v>
      </c>
      <c r="N102" s="197">
        <v>0</v>
      </c>
      <c r="O102" s="198">
        <f t="shared" si="16"/>
        <v>0</v>
      </c>
      <c r="P102" s="199">
        <f t="shared" si="17"/>
        <v>416</v>
      </c>
      <c r="Q102" s="197">
        <v>1</v>
      </c>
      <c r="R102" s="196">
        <v>42.5</v>
      </c>
      <c r="S102" s="197">
        <v>26</v>
      </c>
      <c r="T102" s="198">
        <f t="shared" si="18"/>
        <v>1105</v>
      </c>
      <c r="U102" s="196">
        <v>0</v>
      </c>
      <c r="V102" s="196">
        <v>0</v>
      </c>
      <c r="W102" s="197">
        <v>0</v>
      </c>
      <c r="X102" s="198">
        <f t="shared" si="19"/>
        <v>0</v>
      </c>
      <c r="Y102" s="200">
        <f t="shared" si="20"/>
        <v>1105</v>
      </c>
      <c r="Z102" s="197">
        <v>1</v>
      </c>
      <c r="AA102" s="196">
        <v>80</v>
      </c>
      <c r="AB102" s="197">
        <v>1</v>
      </c>
      <c r="AC102" s="198">
        <f t="shared" si="21"/>
        <v>80</v>
      </c>
      <c r="AD102" s="197">
        <v>0</v>
      </c>
      <c r="AE102" s="196">
        <v>0</v>
      </c>
      <c r="AF102" s="196">
        <v>0</v>
      </c>
      <c r="AG102" s="198">
        <f t="shared" si="22"/>
        <v>0</v>
      </c>
      <c r="AH102" s="200">
        <f t="shared" si="23"/>
        <v>80</v>
      </c>
      <c r="AI102" s="199">
        <f t="shared" si="27"/>
        <v>2716.05</v>
      </c>
      <c r="AJ102" s="201">
        <f t="shared" si="29"/>
        <v>0.45817307692307696</v>
      </c>
      <c r="AK102" s="196">
        <v>353.31450000000001</v>
      </c>
      <c r="AL102" s="196">
        <v>59.28</v>
      </c>
      <c r="AM102" s="196">
        <v>59.28</v>
      </c>
      <c r="AN102" s="196">
        <v>177.84</v>
      </c>
      <c r="AO102" s="196">
        <v>38.531999999999996</v>
      </c>
      <c r="AP102" s="196">
        <v>296.40000000000003</v>
      </c>
      <c r="AQ102" s="202">
        <f t="shared" si="24"/>
        <v>631.33199999999999</v>
      </c>
      <c r="AR102" s="202">
        <f t="shared" si="25"/>
        <v>984.64650000000006</v>
      </c>
      <c r="AS102" s="203">
        <f t="shared" si="26"/>
        <v>4943.3535000000002</v>
      </c>
    </row>
    <row r="103" spans="2:45" s="131" customFormat="1" ht="18" hidden="1" customHeight="1">
      <c r="B103" s="194" t="s">
        <v>1605</v>
      </c>
      <c r="C103" s="194">
        <v>259</v>
      </c>
      <c r="D103" s="195" t="s">
        <v>982</v>
      </c>
      <c r="E103" s="196">
        <v>5928</v>
      </c>
      <c r="F103" s="196">
        <v>950.61</v>
      </c>
      <c r="G103" s="196">
        <v>326.16666666666669</v>
      </c>
      <c r="H103" s="197">
        <v>1</v>
      </c>
      <c r="I103" s="196">
        <v>16</v>
      </c>
      <c r="J103" s="197">
        <v>26</v>
      </c>
      <c r="K103" s="198">
        <f t="shared" si="15"/>
        <v>416</v>
      </c>
      <c r="L103" s="197">
        <v>0</v>
      </c>
      <c r="M103" s="196">
        <v>0</v>
      </c>
      <c r="N103" s="197">
        <v>0</v>
      </c>
      <c r="O103" s="198">
        <f t="shared" si="16"/>
        <v>0</v>
      </c>
      <c r="P103" s="199">
        <f t="shared" si="17"/>
        <v>416</v>
      </c>
      <c r="Q103" s="197">
        <v>1</v>
      </c>
      <c r="R103" s="196">
        <v>42.5</v>
      </c>
      <c r="S103" s="197">
        <v>26</v>
      </c>
      <c r="T103" s="198">
        <f t="shared" si="18"/>
        <v>1105</v>
      </c>
      <c r="U103" s="196">
        <v>0</v>
      </c>
      <c r="V103" s="196">
        <v>0</v>
      </c>
      <c r="W103" s="197">
        <v>0</v>
      </c>
      <c r="X103" s="198">
        <f t="shared" si="19"/>
        <v>0</v>
      </c>
      <c r="Y103" s="200">
        <f t="shared" si="20"/>
        <v>1105</v>
      </c>
      <c r="Z103" s="197">
        <v>1</v>
      </c>
      <c r="AA103" s="196">
        <v>80</v>
      </c>
      <c r="AB103" s="197">
        <v>1</v>
      </c>
      <c r="AC103" s="198">
        <f t="shared" si="21"/>
        <v>80</v>
      </c>
      <c r="AD103" s="197">
        <v>0</v>
      </c>
      <c r="AE103" s="196">
        <v>0</v>
      </c>
      <c r="AF103" s="196">
        <v>0</v>
      </c>
      <c r="AG103" s="198">
        <f t="shared" si="22"/>
        <v>0</v>
      </c>
      <c r="AH103" s="200">
        <f t="shared" si="23"/>
        <v>80</v>
      </c>
      <c r="AI103" s="199">
        <f t="shared" si="27"/>
        <v>2877.7766666666666</v>
      </c>
      <c r="AJ103" s="201">
        <f t="shared" si="29"/>
        <v>0.48545490328385066</v>
      </c>
      <c r="AK103" s="196">
        <v>335.52456666666666</v>
      </c>
      <c r="AL103" s="196">
        <v>59.28</v>
      </c>
      <c r="AM103" s="196">
        <v>59.28</v>
      </c>
      <c r="AN103" s="196">
        <v>177.84</v>
      </c>
      <c r="AO103" s="196">
        <v>38.531999999999996</v>
      </c>
      <c r="AP103" s="196">
        <v>296.40000000000003</v>
      </c>
      <c r="AQ103" s="202">
        <f t="shared" si="24"/>
        <v>631.33199999999999</v>
      </c>
      <c r="AR103" s="202">
        <f t="shared" si="25"/>
        <v>966.85656666666659</v>
      </c>
      <c r="AS103" s="203">
        <f t="shared" si="26"/>
        <v>4961.1434333333336</v>
      </c>
    </row>
    <row r="104" spans="2:45" s="131" customFormat="1" ht="18" hidden="1" customHeight="1">
      <c r="B104" s="194" t="s">
        <v>1605</v>
      </c>
      <c r="C104" s="194">
        <v>260</v>
      </c>
      <c r="D104" s="195" t="s">
        <v>1003</v>
      </c>
      <c r="E104" s="196">
        <v>16252</v>
      </c>
      <c r="F104" s="196">
        <v>2331.4</v>
      </c>
      <c r="G104" s="196">
        <v>300</v>
      </c>
      <c r="H104" s="197">
        <v>1</v>
      </c>
      <c r="I104" s="196">
        <v>16</v>
      </c>
      <c r="J104" s="197">
        <v>26</v>
      </c>
      <c r="K104" s="198">
        <f t="shared" si="15"/>
        <v>416</v>
      </c>
      <c r="L104" s="197">
        <v>2</v>
      </c>
      <c r="M104" s="196">
        <v>16</v>
      </c>
      <c r="N104" s="197">
        <v>16</v>
      </c>
      <c r="O104" s="198">
        <f t="shared" si="16"/>
        <v>512</v>
      </c>
      <c r="P104" s="199">
        <f t="shared" si="17"/>
        <v>928</v>
      </c>
      <c r="Q104" s="197">
        <v>1</v>
      </c>
      <c r="R104" s="196">
        <v>42.5</v>
      </c>
      <c r="S104" s="197">
        <v>26</v>
      </c>
      <c r="T104" s="198">
        <f t="shared" si="18"/>
        <v>1105</v>
      </c>
      <c r="U104" s="196">
        <v>2</v>
      </c>
      <c r="V104" s="196">
        <v>42.5</v>
      </c>
      <c r="W104" s="197">
        <v>16</v>
      </c>
      <c r="X104" s="198">
        <f t="shared" si="19"/>
        <v>1360</v>
      </c>
      <c r="Y104" s="200">
        <f t="shared" si="20"/>
        <v>2465</v>
      </c>
      <c r="Z104" s="197">
        <v>1</v>
      </c>
      <c r="AA104" s="196">
        <v>80</v>
      </c>
      <c r="AB104" s="197">
        <v>1</v>
      </c>
      <c r="AC104" s="198">
        <f t="shared" si="21"/>
        <v>80</v>
      </c>
      <c r="AD104" s="197">
        <v>2</v>
      </c>
      <c r="AE104" s="196">
        <v>80</v>
      </c>
      <c r="AF104" s="197">
        <v>1</v>
      </c>
      <c r="AG104" s="198">
        <f t="shared" si="22"/>
        <v>160</v>
      </c>
      <c r="AH104" s="200">
        <f t="shared" si="23"/>
        <v>240</v>
      </c>
      <c r="AI104" s="199">
        <f t="shared" si="27"/>
        <v>6264.4</v>
      </c>
      <c r="AJ104" s="201">
        <f t="shared" si="29"/>
        <v>0.3854540979571745</v>
      </c>
      <c r="AK104" s="196">
        <v>1098.636</v>
      </c>
      <c r="AL104" s="196">
        <v>162.52000000000001</v>
      </c>
      <c r="AM104" s="196">
        <v>162.52000000000001</v>
      </c>
      <c r="AN104" s="196">
        <v>487.56</v>
      </c>
      <c r="AO104" s="196">
        <v>105.63799999999999</v>
      </c>
      <c r="AP104" s="196">
        <v>812.6</v>
      </c>
      <c r="AQ104" s="202">
        <f t="shared" si="24"/>
        <v>1730.8380000000002</v>
      </c>
      <c r="AR104" s="202">
        <f t="shared" si="25"/>
        <v>2829.4740000000002</v>
      </c>
      <c r="AS104" s="203">
        <f t="shared" si="26"/>
        <v>13422.526</v>
      </c>
    </row>
    <row r="105" spans="2:45" s="131" customFormat="1" ht="18" hidden="1" customHeight="1">
      <c r="B105" s="194" t="s">
        <v>1605</v>
      </c>
      <c r="C105" s="194">
        <v>261</v>
      </c>
      <c r="D105" s="195" t="s">
        <v>1082</v>
      </c>
      <c r="E105" s="196">
        <v>5562</v>
      </c>
      <c r="F105" s="196">
        <v>911.65</v>
      </c>
      <c r="G105" s="196">
        <v>187.41666666666666</v>
      </c>
      <c r="H105" s="197">
        <v>1</v>
      </c>
      <c r="I105" s="196">
        <v>16</v>
      </c>
      <c r="J105" s="197">
        <v>26</v>
      </c>
      <c r="K105" s="198">
        <f t="shared" si="15"/>
        <v>416</v>
      </c>
      <c r="L105" s="197">
        <v>0</v>
      </c>
      <c r="M105" s="196">
        <v>0</v>
      </c>
      <c r="N105" s="197">
        <v>0</v>
      </c>
      <c r="O105" s="198">
        <f t="shared" si="16"/>
        <v>0</v>
      </c>
      <c r="P105" s="199">
        <f t="shared" si="17"/>
        <v>416</v>
      </c>
      <c r="Q105" s="197">
        <v>1</v>
      </c>
      <c r="R105" s="196">
        <v>42.5</v>
      </c>
      <c r="S105" s="197">
        <v>26</v>
      </c>
      <c r="T105" s="198">
        <f t="shared" si="18"/>
        <v>1105</v>
      </c>
      <c r="U105" s="196">
        <v>0</v>
      </c>
      <c r="V105" s="196">
        <v>0</v>
      </c>
      <c r="W105" s="197">
        <v>0</v>
      </c>
      <c r="X105" s="198">
        <f t="shared" si="19"/>
        <v>0</v>
      </c>
      <c r="Y105" s="200">
        <f t="shared" si="20"/>
        <v>1105</v>
      </c>
      <c r="Z105" s="197">
        <v>1</v>
      </c>
      <c r="AA105" s="196">
        <v>80</v>
      </c>
      <c r="AB105" s="197">
        <v>1</v>
      </c>
      <c r="AC105" s="198">
        <f t="shared" si="21"/>
        <v>80</v>
      </c>
      <c r="AD105" s="197">
        <v>0</v>
      </c>
      <c r="AE105" s="196">
        <v>0</v>
      </c>
      <c r="AF105" s="196">
        <v>0</v>
      </c>
      <c r="AG105" s="198">
        <f t="shared" si="22"/>
        <v>0</v>
      </c>
      <c r="AH105" s="200">
        <f t="shared" si="23"/>
        <v>80</v>
      </c>
      <c r="AI105" s="199">
        <f t="shared" si="27"/>
        <v>2700.0666666666666</v>
      </c>
      <c r="AJ105" s="201">
        <f t="shared" si="29"/>
        <v>0.48544887930001196</v>
      </c>
      <c r="AK105" s="196">
        <v>314.8126666666667</v>
      </c>
      <c r="AL105" s="196">
        <v>55.620000000000005</v>
      </c>
      <c r="AM105" s="196">
        <v>55.620000000000005</v>
      </c>
      <c r="AN105" s="196">
        <v>166.85999999999999</v>
      </c>
      <c r="AO105" s="196">
        <v>36.152999999999999</v>
      </c>
      <c r="AP105" s="196">
        <v>278.10000000000002</v>
      </c>
      <c r="AQ105" s="202">
        <f t="shared" si="24"/>
        <v>592.35300000000007</v>
      </c>
      <c r="AR105" s="202">
        <f t="shared" si="25"/>
        <v>907.16566666666677</v>
      </c>
      <c r="AS105" s="203">
        <f t="shared" si="26"/>
        <v>4654.8343333333332</v>
      </c>
    </row>
    <row r="106" spans="2:45" s="131" customFormat="1" ht="18" hidden="1" customHeight="1">
      <c r="B106" s="194" t="s">
        <v>1605</v>
      </c>
      <c r="C106" s="194">
        <v>262</v>
      </c>
      <c r="D106" s="195" t="s">
        <v>1081</v>
      </c>
      <c r="E106" s="196">
        <v>5810</v>
      </c>
      <c r="F106" s="196">
        <v>710.95</v>
      </c>
      <c r="G106" s="196">
        <v>350</v>
      </c>
      <c r="H106" s="197">
        <v>1</v>
      </c>
      <c r="I106" s="196">
        <v>16</v>
      </c>
      <c r="J106" s="197">
        <v>26</v>
      </c>
      <c r="K106" s="198">
        <f t="shared" si="15"/>
        <v>416</v>
      </c>
      <c r="L106" s="197">
        <v>0</v>
      </c>
      <c r="M106" s="196">
        <v>0</v>
      </c>
      <c r="N106" s="197">
        <v>0</v>
      </c>
      <c r="O106" s="198">
        <f t="shared" si="16"/>
        <v>0</v>
      </c>
      <c r="P106" s="199">
        <f t="shared" si="17"/>
        <v>416</v>
      </c>
      <c r="Q106" s="197">
        <v>1</v>
      </c>
      <c r="R106" s="196">
        <v>42.5</v>
      </c>
      <c r="S106" s="197">
        <v>26</v>
      </c>
      <c r="T106" s="198">
        <f t="shared" si="18"/>
        <v>1105</v>
      </c>
      <c r="U106" s="196">
        <v>0</v>
      </c>
      <c r="V106" s="196">
        <v>0</v>
      </c>
      <c r="W106" s="197">
        <v>0</v>
      </c>
      <c r="X106" s="198">
        <f t="shared" si="19"/>
        <v>0</v>
      </c>
      <c r="Y106" s="200">
        <f t="shared" si="20"/>
        <v>1105</v>
      </c>
      <c r="Z106" s="197">
        <v>1</v>
      </c>
      <c r="AA106" s="196">
        <v>80</v>
      </c>
      <c r="AB106" s="197">
        <v>1</v>
      </c>
      <c r="AC106" s="198">
        <f t="shared" si="21"/>
        <v>80</v>
      </c>
      <c r="AD106" s="197">
        <v>0</v>
      </c>
      <c r="AE106" s="196">
        <v>0</v>
      </c>
      <c r="AF106" s="196">
        <v>0</v>
      </c>
      <c r="AG106" s="198">
        <f t="shared" si="22"/>
        <v>0</v>
      </c>
      <c r="AH106" s="200">
        <f t="shared" si="23"/>
        <v>80</v>
      </c>
      <c r="AI106" s="199">
        <f t="shared" si="27"/>
        <v>2661.95</v>
      </c>
      <c r="AJ106" s="201">
        <f t="shared" si="29"/>
        <v>0.45816695352839926</v>
      </c>
      <c r="AK106" s="196">
        <v>346.28550000000001</v>
      </c>
      <c r="AL106" s="196">
        <v>58.1</v>
      </c>
      <c r="AM106" s="196">
        <v>58.1</v>
      </c>
      <c r="AN106" s="196">
        <v>174.29999999999998</v>
      </c>
      <c r="AO106" s="196">
        <v>37.765000000000001</v>
      </c>
      <c r="AP106" s="196">
        <v>290.5</v>
      </c>
      <c r="AQ106" s="202">
        <f t="shared" si="24"/>
        <v>618.76499999999999</v>
      </c>
      <c r="AR106" s="202">
        <f t="shared" si="25"/>
        <v>965.05050000000006</v>
      </c>
      <c r="AS106" s="203">
        <f t="shared" si="26"/>
        <v>4844.9494999999997</v>
      </c>
    </row>
    <row r="107" spans="2:45" s="131" customFormat="1" ht="18" hidden="1" customHeight="1">
      <c r="B107" s="194" t="s">
        <v>1605</v>
      </c>
      <c r="C107" s="194">
        <v>263</v>
      </c>
      <c r="D107" s="195" t="s">
        <v>1426</v>
      </c>
      <c r="E107" s="196">
        <v>28588</v>
      </c>
      <c r="F107" s="196">
        <v>2968.35</v>
      </c>
      <c r="G107" s="196">
        <v>1600</v>
      </c>
      <c r="H107" s="197">
        <v>2</v>
      </c>
      <c r="I107" s="196">
        <v>16</v>
      </c>
      <c r="J107" s="197">
        <v>26</v>
      </c>
      <c r="K107" s="198">
        <f t="shared" si="15"/>
        <v>832</v>
      </c>
      <c r="L107" s="197">
        <v>4</v>
      </c>
      <c r="M107" s="196">
        <v>16</v>
      </c>
      <c r="N107" s="197">
        <v>16</v>
      </c>
      <c r="O107" s="198">
        <f t="shared" si="16"/>
        <v>1024</v>
      </c>
      <c r="P107" s="199">
        <f t="shared" si="17"/>
        <v>1856</v>
      </c>
      <c r="Q107" s="197">
        <v>2</v>
      </c>
      <c r="R107" s="196">
        <v>42.5</v>
      </c>
      <c r="S107" s="212">
        <v>22</v>
      </c>
      <c r="T107" s="198">
        <f t="shared" si="18"/>
        <v>1870</v>
      </c>
      <c r="U107" s="197">
        <v>4</v>
      </c>
      <c r="V107" s="196">
        <v>42.5</v>
      </c>
      <c r="W107" s="207">
        <v>15.5</v>
      </c>
      <c r="X107" s="198">
        <f t="shared" si="19"/>
        <v>2635</v>
      </c>
      <c r="Y107" s="200">
        <f t="shared" si="20"/>
        <v>4505</v>
      </c>
      <c r="Z107" s="197">
        <v>2</v>
      </c>
      <c r="AA107" s="208">
        <f>90/12</f>
        <v>7.5</v>
      </c>
      <c r="AB107" s="197">
        <v>2</v>
      </c>
      <c r="AC107" s="198">
        <f t="shared" si="21"/>
        <v>30</v>
      </c>
      <c r="AD107" s="197">
        <v>4</v>
      </c>
      <c r="AE107" s="208">
        <f>90/12</f>
        <v>7.5</v>
      </c>
      <c r="AF107" s="196">
        <v>2</v>
      </c>
      <c r="AG107" s="198">
        <f t="shared" si="22"/>
        <v>60</v>
      </c>
      <c r="AH107" s="200">
        <f t="shared" si="23"/>
        <v>90</v>
      </c>
      <c r="AI107" s="199">
        <f t="shared" si="27"/>
        <v>11019.35</v>
      </c>
      <c r="AJ107" s="201">
        <f t="shared" si="29"/>
        <v>0.38545368686162029</v>
      </c>
      <c r="AK107" s="196">
        <v>1932.5515000000003</v>
      </c>
      <c r="AL107" s="196">
        <v>285.88</v>
      </c>
      <c r="AM107" s="196">
        <v>285.88</v>
      </c>
      <c r="AN107" s="196">
        <v>857.64</v>
      </c>
      <c r="AO107" s="196">
        <v>185.822</v>
      </c>
      <c r="AP107" s="196">
        <v>1429.4</v>
      </c>
      <c r="AQ107" s="202">
        <f t="shared" si="24"/>
        <v>3044.6220000000003</v>
      </c>
      <c r="AR107" s="202">
        <f t="shared" si="25"/>
        <v>4977.1735000000008</v>
      </c>
      <c r="AS107" s="203">
        <f t="shared" si="26"/>
        <v>23610.826499999999</v>
      </c>
    </row>
    <row r="108" spans="2:45" s="131" customFormat="1" ht="18" hidden="1" customHeight="1">
      <c r="B108" s="194" t="s">
        <v>1605</v>
      </c>
      <c r="C108" s="194">
        <v>264</v>
      </c>
      <c r="D108" s="195" t="s">
        <v>1478</v>
      </c>
      <c r="E108" s="213">
        <v>5446</v>
      </c>
      <c r="F108" s="196">
        <v>911.65</v>
      </c>
      <c r="G108" s="196">
        <v>131.08000000000001</v>
      </c>
      <c r="H108" s="197">
        <v>1</v>
      </c>
      <c r="I108" s="196">
        <v>16</v>
      </c>
      <c r="J108" s="197">
        <v>26</v>
      </c>
      <c r="K108" s="198">
        <f t="shared" si="15"/>
        <v>416</v>
      </c>
      <c r="L108" s="197">
        <v>0</v>
      </c>
      <c r="M108" s="196">
        <v>0</v>
      </c>
      <c r="N108" s="197">
        <v>0</v>
      </c>
      <c r="O108" s="198">
        <f t="shared" si="16"/>
        <v>0</v>
      </c>
      <c r="P108" s="199">
        <f t="shared" si="17"/>
        <v>416</v>
      </c>
      <c r="Q108" s="197">
        <v>1</v>
      </c>
      <c r="R108" s="196">
        <v>42.5</v>
      </c>
      <c r="S108" s="197">
        <v>26</v>
      </c>
      <c r="T108" s="198">
        <f t="shared" si="18"/>
        <v>1105</v>
      </c>
      <c r="U108" s="196">
        <v>0</v>
      </c>
      <c r="V108" s="196">
        <v>0</v>
      </c>
      <c r="W108" s="197">
        <v>0</v>
      </c>
      <c r="X108" s="198">
        <f t="shared" si="19"/>
        <v>0</v>
      </c>
      <c r="Y108" s="200">
        <f t="shared" si="20"/>
        <v>1105</v>
      </c>
      <c r="Z108" s="197">
        <v>1</v>
      </c>
      <c r="AA108" s="196">
        <v>80</v>
      </c>
      <c r="AB108" s="197">
        <v>1</v>
      </c>
      <c r="AC108" s="198">
        <f t="shared" si="21"/>
        <v>80</v>
      </c>
      <c r="AD108" s="197">
        <v>0</v>
      </c>
      <c r="AE108" s="196">
        <v>0</v>
      </c>
      <c r="AF108" s="196">
        <v>0</v>
      </c>
      <c r="AG108" s="198">
        <f t="shared" si="22"/>
        <v>0</v>
      </c>
      <c r="AH108" s="200">
        <f t="shared" si="23"/>
        <v>80</v>
      </c>
      <c r="AI108" s="199">
        <f t="shared" si="27"/>
        <v>2643.73</v>
      </c>
      <c r="AJ108" s="201">
        <v>0.48544887930001196</v>
      </c>
      <c r="AK108" s="196">
        <v>308.24970000000002</v>
      </c>
      <c r="AL108" s="196">
        <v>54.46</v>
      </c>
      <c r="AM108" s="196">
        <v>54.46</v>
      </c>
      <c r="AN108" s="196">
        <v>163.38</v>
      </c>
      <c r="AO108" s="196">
        <v>35.399000000000001</v>
      </c>
      <c r="AP108" s="196">
        <v>272.3</v>
      </c>
      <c r="AQ108" s="202">
        <f t="shared" si="24"/>
        <v>579.99900000000002</v>
      </c>
      <c r="AR108" s="202">
        <f t="shared" si="25"/>
        <v>888.2487000000001</v>
      </c>
      <c r="AS108" s="203">
        <f t="shared" si="26"/>
        <v>4557.7512999999999</v>
      </c>
    </row>
    <row r="109" spans="2:45" s="131" customFormat="1" ht="18" hidden="1" customHeight="1">
      <c r="B109" s="194" t="s">
        <v>1605</v>
      </c>
      <c r="C109" s="194">
        <v>266</v>
      </c>
      <c r="D109" s="195" t="s">
        <v>1694</v>
      </c>
      <c r="E109" s="196">
        <v>60051.19</v>
      </c>
      <c r="F109" s="196">
        <v>0</v>
      </c>
      <c r="G109" s="196">
        <v>0</v>
      </c>
      <c r="H109" s="197">
        <v>0</v>
      </c>
      <c r="I109" s="196">
        <v>0</v>
      </c>
      <c r="J109" s="197">
        <v>0</v>
      </c>
      <c r="K109" s="198">
        <f t="shared" si="15"/>
        <v>0</v>
      </c>
      <c r="L109" s="197">
        <v>0</v>
      </c>
      <c r="M109" s="196">
        <v>0</v>
      </c>
      <c r="N109" s="197">
        <v>0</v>
      </c>
      <c r="O109" s="198">
        <f t="shared" si="16"/>
        <v>0</v>
      </c>
      <c r="P109" s="199">
        <f t="shared" si="17"/>
        <v>0</v>
      </c>
      <c r="Q109" s="197">
        <v>0</v>
      </c>
      <c r="R109" s="196">
        <v>0</v>
      </c>
      <c r="S109" s="197">
        <v>0</v>
      </c>
      <c r="T109" s="198">
        <f t="shared" si="18"/>
        <v>0</v>
      </c>
      <c r="U109" s="196">
        <v>0</v>
      </c>
      <c r="V109" s="196">
        <v>0</v>
      </c>
      <c r="W109" s="197">
        <v>0</v>
      </c>
      <c r="X109" s="198">
        <f t="shared" si="19"/>
        <v>0</v>
      </c>
      <c r="Y109" s="200">
        <f t="shared" si="20"/>
        <v>0</v>
      </c>
      <c r="Z109" s="197">
        <v>0</v>
      </c>
      <c r="AA109" s="196">
        <v>0</v>
      </c>
      <c r="AB109" s="197">
        <v>0</v>
      </c>
      <c r="AC109" s="198">
        <f t="shared" si="21"/>
        <v>0</v>
      </c>
      <c r="AD109" s="197">
        <v>0</v>
      </c>
      <c r="AE109" s="196">
        <v>0</v>
      </c>
      <c r="AF109" s="196">
        <v>0</v>
      </c>
      <c r="AG109" s="198">
        <f t="shared" si="22"/>
        <v>0</v>
      </c>
      <c r="AH109" s="200">
        <f t="shared" si="23"/>
        <v>0</v>
      </c>
      <c r="AI109" s="199">
        <f t="shared" si="27"/>
        <v>0</v>
      </c>
      <c r="AJ109" s="201">
        <f>AI109/E109</f>
        <v>0</v>
      </c>
      <c r="AK109" s="196">
        <v>6605.6309000000001</v>
      </c>
      <c r="AL109" s="196">
        <v>600.51190000000008</v>
      </c>
      <c r="AM109" s="196">
        <v>600.51190000000008</v>
      </c>
      <c r="AN109" s="196">
        <v>1801.5356999999999</v>
      </c>
      <c r="AO109" s="196">
        <v>390.33273500000001</v>
      </c>
      <c r="AP109" s="196">
        <v>3002.5595000000003</v>
      </c>
      <c r="AQ109" s="202">
        <f t="shared" si="24"/>
        <v>6395.4517350000006</v>
      </c>
      <c r="AR109" s="202">
        <f t="shared" si="25"/>
        <v>13001.082635000001</v>
      </c>
      <c r="AS109" s="203" t="s">
        <v>537</v>
      </c>
    </row>
    <row r="110" spans="2:45" s="131" customFormat="1" ht="18" hidden="1" customHeight="1">
      <c r="B110" s="194" t="s">
        <v>1605</v>
      </c>
      <c r="C110" s="194">
        <v>267</v>
      </c>
      <c r="D110" s="195" t="s">
        <v>1137</v>
      </c>
      <c r="E110" s="196">
        <v>37805</v>
      </c>
      <c r="F110" s="196">
        <v>2187</v>
      </c>
      <c r="G110" s="196">
        <v>0</v>
      </c>
      <c r="H110" s="197">
        <v>6</v>
      </c>
      <c r="I110" s="196">
        <v>11</v>
      </c>
      <c r="J110" s="197">
        <v>26</v>
      </c>
      <c r="K110" s="198">
        <f t="shared" si="15"/>
        <v>1716</v>
      </c>
      <c r="L110" s="197">
        <v>0</v>
      </c>
      <c r="M110" s="196">
        <v>0</v>
      </c>
      <c r="N110" s="197">
        <v>0</v>
      </c>
      <c r="O110" s="198">
        <f t="shared" si="16"/>
        <v>0</v>
      </c>
      <c r="P110" s="199">
        <f t="shared" si="17"/>
        <v>1716</v>
      </c>
      <c r="Q110" s="197">
        <v>6</v>
      </c>
      <c r="R110" s="196">
        <v>20</v>
      </c>
      <c r="S110" s="197">
        <v>22</v>
      </c>
      <c r="T110" s="198">
        <f t="shared" si="18"/>
        <v>2640</v>
      </c>
      <c r="U110" s="197">
        <v>0</v>
      </c>
      <c r="V110" s="196">
        <v>0</v>
      </c>
      <c r="W110" s="207">
        <v>0</v>
      </c>
      <c r="X110" s="198">
        <f t="shared" si="19"/>
        <v>0</v>
      </c>
      <c r="Y110" s="200">
        <f t="shared" si="20"/>
        <v>2640</v>
      </c>
      <c r="Z110" s="197">
        <v>6</v>
      </c>
      <c r="AA110" s="208">
        <f>90/12</f>
        <v>7.5</v>
      </c>
      <c r="AB110" s="197">
        <v>2</v>
      </c>
      <c r="AC110" s="198">
        <f t="shared" si="21"/>
        <v>90</v>
      </c>
      <c r="AD110" s="197">
        <v>0</v>
      </c>
      <c r="AE110" s="196">
        <v>0</v>
      </c>
      <c r="AF110" s="196">
        <v>0</v>
      </c>
      <c r="AG110" s="198">
        <f t="shared" si="22"/>
        <v>0</v>
      </c>
      <c r="AH110" s="200">
        <f t="shared" si="23"/>
        <v>90</v>
      </c>
      <c r="AI110" s="199">
        <f t="shared" si="27"/>
        <v>6633</v>
      </c>
      <c r="AJ110" s="201">
        <f>AI110/E110</f>
        <v>0.17545298240973417</v>
      </c>
      <c r="AK110" s="196">
        <v>3428.92</v>
      </c>
      <c r="AL110" s="196">
        <v>378.05</v>
      </c>
      <c r="AM110" s="196">
        <v>378.05</v>
      </c>
      <c r="AN110" s="196">
        <v>1134.1499999999999</v>
      </c>
      <c r="AO110" s="196">
        <v>245.73249999999999</v>
      </c>
      <c r="AP110" s="209"/>
      <c r="AQ110" s="202">
        <f t="shared" si="24"/>
        <v>2135.9825000000001</v>
      </c>
      <c r="AR110" s="202">
        <f t="shared" si="25"/>
        <v>5564.9025000000001</v>
      </c>
      <c r="AS110" s="203">
        <f t="shared" si="26"/>
        <v>32240.0975</v>
      </c>
    </row>
    <row r="111" spans="2:45" s="131" customFormat="1" ht="18" hidden="1" customHeight="1">
      <c r="B111" s="194" t="s">
        <v>1605</v>
      </c>
      <c r="C111" s="194">
        <v>268</v>
      </c>
      <c r="D111" s="217" t="s">
        <v>1499</v>
      </c>
      <c r="E111" s="196">
        <v>34954</v>
      </c>
      <c r="F111" s="196">
        <v>2400</v>
      </c>
      <c r="G111" s="196">
        <v>0</v>
      </c>
      <c r="H111" s="197">
        <v>3</v>
      </c>
      <c r="I111" s="196">
        <v>11</v>
      </c>
      <c r="J111" s="196">
        <v>26</v>
      </c>
      <c r="K111" s="198">
        <f t="shared" si="15"/>
        <v>858</v>
      </c>
      <c r="L111" s="197">
        <v>4</v>
      </c>
      <c r="M111" s="196">
        <v>11</v>
      </c>
      <c r="N111" s="197">
        <v>16</v>
      </c>
      <c r="O111" s="198">
        <f t="shared" si="16"/>
        <v>704</v>
      </c>
      <c r="P111" s="199">
        <f t="shared" si="17"/>
        <v>1562</v>
      </c>
      <c r="Q111" s="197">
        <v>3</v>
      </c>
      <c r="R111" s="208">
        <v>42.2</v>
      </c>
      <c r="S111" s="197">
        <v>26</v>
      </c>
      <c r="T111" s="198">
        <f t="shared" si="18"/>
        <v>3291.6000000000004</v>
      </c>
      <c r="U111" s="197">
        <v>4</v>
      </c>
      <c r="V111" s="208">
        <v>42.2</v>
      </c>
      <c r="W111" s="197">
        <v>16</v>
      </c>
      <c r="X111" s="198">
        <f t="shared" si="19"/>
        <v>2700.8</v>
      </c>
      <c r="Y111" s="200">
        <f t="shared" si="20"/>
        <v>5992.4000000000005</v>
      </c>
      <c r="Z111" s="197">
        <v>3</v>
      </c>
      <c r="AA111" s="208">
        <f>90/12</f>
        <v>7.5</v>
      </c>
      <c r="AB111" s="197">
        <v>2</v>
      </c>
      <c r="AC111" s="198">
        <f t="shared" si="21"/>
        <v>45</v>
      </c>
      <c r="AD111" s="197">
        <v>4</v>
      </c>
      <c r="AE111" s="208">
        <f>90/12</f>
        <v>7.5</v>
      </c>
      <c r="AF111" s="196">
        <v>2</v>
      </c>
      <c r="AG111" s="198">
        <f t="shared" si="22"/>
        <v>60</v>
      </c>
      <c r="AH111" s="200">
        <f t="shared" si="23"/>
        <v>105</v>
      </c>
      <c r="AI111" s="199">
        <f t="shared" si="27"/>
        <v>10059.400000000001</v>
      </c>
      <c r="AJ111" s="201">
        <f>AI111/E111</f>
        <v>0.28778966641872178</v>
      </c>
      <c r="AK111" s="196">
        <v>2738.4059999999999</v>
      </c>
      <c r="AL111" s="196">
        <v>349.54</v>
      </c>
      <c r="AM111" s="196">
        <v>349.54</v>
      </c>
      <c r="AN111" s="196">
        <v>1048.6199999999999</v>
      </c>
      <c r="AO111" s="196">
        <v>227.20099999999999</v>
      </c>
      <c r="AP111" s="196">
        <v>1747.7</v>
      </c>
      <c r="AQ111" s="202">
        <f t="shared" si="24"/>
        <v>3722.6009999999997</v>
      </c>
      <c r="AR111" s="202">
        <f t="shared" si="25"/>
        <v>6461.0069999999996</v>
      </c>
      <c r="AS111" s="203">
        <f t="shared" si="26"/>
        <v>28492.993000000002</v>
      </c>
    </row>
    <row r="112" spans="2:45" s="131" customFormat="1" ht="18" hidden="1" customHeight="1">
      <c r="B112" s="194" t="s">
        <v>1608</v>
      </c>
      <c r="C112" s="194">
        <v>270</v>
      </c>
      <c r="D112" s="195" t="s">
        <v>1697</v>
      </c>
      <c r="E112" s="213">
        <v>1372</v>
      </c>
      <c r="F112" s="196">
        <v>472.7</v>
      </c>
      <c r="G112" s="196">
        <v>0</v>
      </c>
      <c r="H112" s="197">
        <v>1</v>
      </c>
      <c r="I112" s="196">
        <v>24</v>
      </c>
      <c r="J112" s="197">
        <v>4</v>
      </c>
      <c r="K112" s="198">
        <f t="shared" si="15"/>
        <v>96</v>
      </c>
      <c r="L112" s="197">
        <v>0</v>
      </c>
      <c r="M112" s="196">
        <v>0</v>
      </c>
      <c r="N112" s="197">
        <v>0</v>
      </c>
      <c r="O112" s="198">
        <f t="shared" si="16"/>
        <v>0</v>
      </c>
      <c r="P112" s="199">
        <f t="shared" si="17"/>
        <v>96</v>
      </c>
      <c r="Q112" s="197">
        <v>1</v>
      </c>
      <c r="R112" s="196">
        <v>21</v>
      </c>
      <c r="S112" s="197">
        <v>4</v>
      </c>
      <c r="T112" s="198">
        <f t="shared" si="18"/>
        <v>84</v>
      </c>
      <c r="U112" s="196">
        <v>0</v>
      </c>
      <c r="V112" s="196">
        <v>0</v>
      </c>
      <c r="W112" s="197">
        <v>0</v>
      </c>
      <c r="X112" s="198">
        <f t="shared" si="19"/>
        <v>0</v>
      </c>
      <c r="Y112" s="200">
        <f t="shared" si="20"/>
        <v>84</v>
      </c>
      <c r="Z112" s="197">
        <v>1</v>
      </c>
      <c r="AA112" s="208">
        <f>80/12</f>
        <v>6.666666666666667</v>
      </c>
      <c r="AB112" s="197">
        <v>2</v>
      </c>
      <c r="AC112" s="198">
        <f t="shared" si="21"/>
        <v>13.333333333333334</v>
      </c>
      <c r="AD112" s="197">
        <v>0</v>
      </c>
      <c r="AE112" s="196">
        <v>0</v>
      </c>
      <c r="AF112" s="196">
        <v>0</v>
      </c>
      <c r="AG112" s="198">
        <f t="shared" si="22"/>
        <v>0</v>
      </c>
      <c r="AH112" s="200">
        <f t="shared" si="23"/>
        <v>13.333333333333334</v>
      </c>
      <c r="AI112" s="199">
        <f t="shared" si="27"/>
        <v>666.03333333333342</v>
      </c>
      <c r="AJ112" s="201">
        <f t="shared" ref="AJ112:AJ118" si="30">AI112/E112</f>
        <v>0.48544703595724009</v>
      </c>
      <c r="AK112" s="200">
        <v>77.656333333333322</v>
      </c>
      <c r="AL112" s="196">
        <v>13.72</v>
      </c>
      <c r="AM112" s="196">
        <v>13.72</v>
      </c>
      <c r="AN112" s="196">
        <v>41.16</v>
      </c>
      <c r="AO112" s="196">
        <v>8.9179999999999993</v>
      </c>
      <c r="AP112" s="209"/>
      <c r="AQ112" s="202">
        <f t="shared" si="24"/>
        <v>77.518000000000001</v>
      </c>
      <c r="AR112" s="202">
        <f t="shared" si="25"/>
        <v>155.17433333333332</v>
      </c>
      <c r="AS112" s="203">
        <f t="shared" si="26"/>
        <v>1216.8256666666666</v>
      </c>
    </row>
    <row r="113" spans="2:45" s="131" customFormat="1" ht="18" hidden="1" customHeight="1">
      <c r="B113" s="194" t="s">
        <v>1608</v>
      </c>
      <c r="C113" s="194">
        <v>271</v>
      </c>
      <c r="D113" s="195" t="s">
        <v>941</v>
      </c>
      <c r="E113" s="196">
        <v>5928</v>
      </c>
      <c r="F113" s="196">
        <v>898.55</v>
      </c>
      <c r="G113" s="196">
        <v>216.5</v>
      </c>
      <c r="H113" s="197">
        <v>1</v>
      </c>
      <c r="I113" s="196">
        <v>16</v>
      </c>
      <c r="J113" s="197">
        <v>26</v>
      </c>
      <c r="K113" s="198">
        <f t="shared" si="15"/>
        <v>416</v>
      </c>
      <c r="L113" s="197">
        <v>0</v>
      </c>
      <c r="M113" s="196">
        <v>0</v>
      </c>
      <c r="N113" s="197">
        <v>0</v>
      </c>
      <c r="O113" s="198">
        <f t="shared" si="16"/>
        <v>0</v>
      </c>
      <c r="P113" s="199">
        <f t="shared" si="17"/>
        <v>416</v>
      </c>
      <c r="Q113" s="197">
        <v>1</v>
      </c>
      <c r="R113" s="196">
        <v>42.5</v>
      </c>
      <c r="S113" s="197">
        <v>26</v>
      </c>
      <c r="T113" s="198">
        <f t="shared" si="18"/>
        <v>1105</v>
      </c>
      <c r="U113" s="196">
        <v>0</v>
      </c>
      <c r="V113" s="196">
        <v>0</v>
      </c>
      <c r="W113" s="197">
        <v>0</v>
      </c>
      <c r="X113" s="198">
        <f t="shared" si="19"/>
        <v>0</v>
      </c>
      <c r="Y113" s="200">
        <f t="shared" si="20"/>
        <v>1105</v>
      </c>
      <c r="Z113" s="197">
        <v>1</v>
      </c>
      <c r="AA113" s="196">
        <v>80</v>
      </c>
      <c r="AB113" s="197">
        <v>1</v>
      </c>
      <c r="AC113" s="198">
        <f t="shared" si="21"/>
        <v>80</v>
      </c>
      <c r="AD113" s="197">
        <v>0</v>
      </c>
      <c r="AE113" s="196">
        <v>0</v>
      </c>
      <c r="AF113" s="196">
        <v>0</v>
      </c>
      <c r="AG113" s="198">
        <f t="shared" si="22"/>
        <v>0</v>
      </c>
      <c r="AH113" s="200">
        <f t="shared" si="23"/>
        <v>80</v>
      </c>
      <c r="AI113" s="199">
        <f t="shared" si="27"/>
        <v>2716.05</v>
      </c>
      <c r="AJ113" s="201">
        <f t="shared" si="30"/>
        <v>0.45817307692307696</v>
      </c>
      <c r="AK113" s="200">
        <v>353.31450000000001</v>
      </c>
      <c r="AL113" s="196">
        <v>59.28</v>
      </c>
      <c r="AM113" s="196">
        <v>59.28</v>
      </c>
      <c r="AN113" s="196">
        <v>177.84</v>
      </c>
      <c r="AO113" s="196">
        <v>38.531999999999996</v>
      </c>
      <c r="AP113" s="196">
        <v>296.40000000000003</v>
      </c>
      <c r="AQ113" s="202">
        <f t="shared" si="24"/>
        <v>631.33199999999999</v>
      </c>
      <c r="AR113" s="202">
        <f t="shared" si="25"/>
        <v>984.64650000000006</v>
      </c>
      <c r="AS113" s="203">
        <f t="shared" si="26"/>
        <v>4943.3535000000002</v>
      </c>
    </row>
    <row r="114" spans="2:45" s="131" customFormat="1" ht="18" hidden="1" customHeight="1">
      <c r="B114" s="194" t="s">
        <v>1608</v>
      </c>
      <c r="C114" s="194">
        <v>272</v>
      </c>
      <c r="D114" s="195" t="s">
        <v>982</v>
      </c>
      <c r="E114" s="196">
        <v>5928</v>
      </c>
      <c r="F114" s="196">
        <v>950.61</v>
      </c>
      <c r="G114" s="196">
        <v>326.16666666666669</v>
      </c>
      <c r="H114" s="197">
        <v>1</v>
      </c>
      <c r="I114" s="196">
        <v>16</v>
      </c>
      <c r="J114" s="197">
        <v>26</v>
      </c>
      <c r="K114" s="198">
        <f t="shared" si="15"/>
        <v>416</v>
      </c>
      <c r="L114" s="197">
        <v>0</v>
      </c>
      <c r="M114" s="196">
        <v>0</v>
      </c>
      <c r="N114" s="197">
        <v>0</v>
      </c>
      <c r="O114" s="198">
        <f t="shared" si="16"/>
        <v>0</v>
      </c>
      <c r="P114" s="199">
        <f t="shared" si="17"/>
        <v>416</v>
      </c>
      <c r="Q114" s="197">
        <v>1</v>
      </c>
      <c r="R114" s="196">
        <v>42.5</v>
      </c>
      <c r="S114" s="197">
        <v>26</v>
      </c>
      <c r="T114" s="198">
        <f t="shared" si="18"/>
        <v>1105</v>
      </c>
      <c r="U114" s="196">
        <v>0</v>
      </c>
      <c r="V114" s="196">
        <v>0</v>
      </c>
      <c r="W114" s="197">
        <v>0</v>
      </c>
      <c r="X114" s="198">
        <f t="shared" si="19"/>
        <v>0</v>
      </c>
      <c r="Y114" s="200">
        <f t="shared" si="20"/>
        <v>1105</v>
      </c>
      <c r="Z114" s="197">
        <v>1</v>
      </c>
      <c r="AA114" s="196">
        <v>80</v>
      </c>
      <c r="AB114" s="197">
        <v>1</v>
      </c>
      <c r="AC114" s="198">
        <f t="shared" si="21"/>
        <v>80</v>
      </c>
      <c r="AD114" s="197">
        <v>0</v>
      </c>
      <c r="AE114" s="196">
        <v>0</v>
      </c>
      <c r="AF114" s="196">
        <v>0</v>
      </c>
      <c r="AG114" s="198">
        <f t="shared" si="22"/>
        <v>0</v>
      </c>
      <c r="AH114" s="200">
        <f t="shared" si="23"/>
        <v>80</v>
      </c>
      <c r="AI114" s="199">
        <f t="shared" si="27"/>
        <v>2877.7766666666666</v>
      </c>
      <c r="AJ114" s="201">
        <f t="shared" si="30"/>
        <v>0.48545490328385066</v>
      </c>
      <c r="AK114" s="200">
        <v>335.52456666666666</v>
      </c>
      <c r="AL114" s="196">
        <v>59.28</v>
      </c>
      <c r="AM114" s="196">
        <v>59.28</v>
      </c>
      <c r="AN114" s="196">
        <v>177.84</v>
      </c>
      <c r="AO114" s="196">
        <v>38.531999999999996</v>
      </c>
      <c r="AP114" s="196">
        <v>296.40000000000003</v>
      </c>
      <c r="AQ114" s="202">
        <f t="shared" si="24"/>
        <v>631.33199999999999</v>
      </c>
      <c r="AR114" s="202">
        <f t="shared" si="25"/>
        <v>966.85656666666659</v>
      </c>
      <c r="AS114" s="203">
        <f t="shared" si="26"/>
        <v>4961.1434333333336</v>
      </c>
    </row>
    <row r="115" spans="2:45" s="131" customFormat="1" ht="18" hidden="1" customHeight="1">
      <c r="B115" s="194" t="s">
        <v>1608</v>
      </c>
      <c r="C115" s="194">
        <v>283</v>
      </c>
      <c r="D115" s="195" t="s">
        <v>1003</v>
      </c>
      <c r="E115" s="196">
        <v>16252</v>
      </c>
      <c r="F115" s="196">
        <v>2331.4</v>
      </c>
      <c r="G115" s="196">
        <v>300</v>
      </c>
      <c r="H115" s="197">
        <v>1</v>
      </c>
      <c r="I115" s="196">
        <v>16</v>
      </c>
      <c r="J115" s="197">
        <v>26</v>
      </c>
      <c r="K115" s="198">
        <f t="shared" si="15"/>
        <v>416</v>
      </c>
      <c r="L115" s="197">
        <v>2</v>
      </c>
      <c r="M115" s="196">
        <v>16</v>
      </c>
      <c r="N115" s="197">
        <v>16</v>
      </c>
      <c r="O115" s="198">
        <f t="shared" si="16"/>
        <v>512</v>
      </c>
      <c r="P115" s="199">
        <f t="shared" si="17"/>
        <v>928</v>
      </c>
      <c r="Q115" s="197">
        <v>1</v>
      </c>
      <c r="R115" s="196">
        <v>42.5</v>
      </c>
      <c r="S115" s="197">
        <v>26</v>
      </c>
      <c r="T115" s="198">
        <f t="shared" si="18"/>
        <v>1105</v>
      </c>
      <c r="U115" s="196">
        <v>2</v>
      </c>
      <c r="V115" s="196">
        <v>42.5</v>
      </c>
      <c r="W115" s="197">
        <v>16</v>
      </c>
      <c r="X115" s="198">
        <f t="shared" si="19"/>
        <v>1360</v>
      </c>
      <c r="Y115" s="200">
        <f t="shared" si="20"/>
        <v>2465</v>
      </c>
      <c r="Z115" s="197">
        <v>1</v>
      </c>
      <c r="AA115" s="196">
        <v>80</v>
      </c>
      <c r="AB115" s="197">
        <v>1</v>
      </c>
      <c r="AC115" s="198">
        <f t="shared" si="21"/>
        <v>80</v>
      </c>
      <c r="AD115" s="197">
        <v>2</v>
      </c>
      <c r="AE115" s="196">
        <v>80</v>
      </c>
      <c r="AF115" s="197">
        <v>1</v>
      </c>
      <c r="AG115" s="198">
        <f t="shared" si="22"/>
        <v>160</v>
      </c>
      <c r="AH115" s="200">
        <f t="shared" si="23"/>
        <v>240</v>
      </c>
      <c r="AI115" s="199">
        <f t="shared" si="27"/>
        <v>6264.4</v>
      </c>
      <c r="AJ115" s="201">
        <f t="shared" si="30"/>
        <v>0.3854540979571745</v>
      </c>
      <c r="AK115" s="200">
        <v>1098.636</v>
      </c>
      <c r="AL115" s="196">
        <v>162.52000000000001</v>
      </c>
      <c r="AM115" s="196">
        <v>162.52000000000001</v>
      </c>
      <c r="AN115" s="196">
        <v>487.56</v>
      </c>
      <c r="AO115" s="196">
        <v>105.63799999999999</v>
      </c>
      <c r="AP115" s="196">
        <v>812.6</v>
      </c>
      <c r="AQ115" s="202">
        <f t="shared" si="24"/>
        <v>1730.8380000000002</v>
      </c>
      <c r="AR115" s="202">
        <f t="shared" si="25"/>
        <v>2829.4740000000002</v>
      </c>
      <c r="AS115" s="203">
        <f t="shared" si="26"/>
        <v>13422.526</v>
      </c>
    </row>
    <row r="116" spans="2:45" s="131" customFormat="1" ht="18" hidden="1" customHeight="1">
      <c r="B116" s="194" t="s">
        <v>1608</v>
      </c>
      <c r="C116" s="194">
        <v>274</v>
      </c>
      <c r="D116" s="195" t="s">
        <v>1082</v>
      </c>
      <c r="E116" s="196">
        <v>5562</v>
      </c>
      <c r="F116" s="196">
        <v>911.65</v>
      </c>
      <c r="G116" s="196">
        <v>187.41666666666666</v>
      </c>
      <c r="H116" s="197">
        <v>1</v>
      </c>
      <c r="I116" s="196">
        <v>16</v>
      </c>
      <c r="J116" s="197">
        <v>26</v>
      </c>
      <c r="K116" s="198">
        <f t="shared" si="15"/>
        <v>416</v>
      </c>
      <c r="L116" s="197">
        <v>0</v>
      </c>
      <c r="M116" s="196">
        <v>0</v>
      </c>
      <c r="N116" s="197">
        <v>0</v>
      </c>
      <c r="O116" s="198">
        <f t="shared" si="16"/>
        <v>0</v>
      </c>
      <c r="P116" s="199">
        <f t="shared" si="17"/>
        <v>416</v>
      </c>
      <c r="Q116" s="197">
        <v>1</v>
      </c>
      <c r="R116" s="196">
        <v>42.5</v>
      </c>
      <c r="S116" s="197">
        <v>26</v>
      </c>
      <c r="T116" s="198">
        <f t="shared" si="18"/>
        <v>1105</v>
      </c>
      <c r="U116" s="196">
        <v>0</v>
      </c>
      <c r="V116" s="196">
        <v>0</v>
      </c>
      <c r="W116" s="197">
        <v>0</v>
      </c>
      <c r="X116" s="198">
        <f t="shared" si="19"/>
        <v>0</v>
      </c>
      <c r="Y116" s="200">
        <f t="shared" si="20"/>
        <v>1105</v>
      </c>
      <c r="Z116" s="197">
        <v>1</v>
      </c>
      <c r="AA116" s="196">
        <v>80</v>
      </c>
      <c r="AB116" s="197">
        <v>1</v>
      </c>
      <c r="AC116" s="198">
        <f t="shared" si="21"/>
        <v>80</v>
      </c>
      <c r="AD116" s="197">
        <v>0</v>
      </c>
      <c r="AE116" s="196">
        <v>0</v>
      </c>
      <c r="AF116" s="196">
        <v>0</v>
      </c>
      <c r="AG116" s="198">
        <f t="shared" si="22"/>
        <v>0</v>
      </c>
      <c r="AH116" s="200">
        <f t="shared" si="23"/>
        <v>80</v>
      </c>
      <c r="AI116" s="199">
        <f t="shared" si="27"/>
        <v>2700.0666666666666</v>
      </c>
      <c r="AJ116" s="201">
        <f t="shared" si="30"/>
        <v>0.48544887930001196</v>
      </c>
      <c r="AK116" s="200">
        <v>314.8126666666667</v>
      </c>
      <c r="AL116" s="196">
        <v>55.620000000000005</v>
      </c>
      <c r="AM116" s="196">
        <v>55.620000000000005</v>
      </c>
      <c r="AN116" s="196">
        <v>166.85999999999999</v>
      </c>
      <c r="AO116" s="196">
        <v>36.152999999999999</v>
      </c>
      <c r="AP116" s="196">
        <v>278.10000000000002</v>
      </c>
      <c r="AQ116" s="202">
        <f t="shared" si="24"/>
        <v>592.35300000000007</v>
      </c>
      <c r="AR116" s="202">
        <f t="shared" si="25"/>
        <v>907.16566666666677</v>
      </c>
      <c r="AS116" s="203">
        <f t="shared" si="26"/>
        <v>4654.8343333333332</v>
      </c>
    </row>
    <row r="117" spans="2:45" s="131" customFormat="1" ht="18" hidden="1" customHeight="1">
      <c r="B117" s="194" t="s">
        <v>1608</v>
      </c>
      <c r="C117" s="194">
        <v>275</v>
      </c>
      <c r="D117" s="195" t="s">
        <v>1081</v>
      </c>
      <c r="E117" s="196">
        <v>5810</v>
      </c>
      <c r="F117" s="196">
        <v>710.95</v>
      </c>
      <c r="G117" s="196">
        <v>350</v>
      </c>
      <c r="H117" s="197">
        <v>1</v>
      </c>
      <c r="I117" s="196">
        <v>16</v>
      </c>
      <c r="J117" s="197">
        <v>26</v>
      </c>
      <c r="K117" s="198">
        <f t="shared" si="15"/>
        <v>416</v>
      </c>
      <c r="L117" s="197">
        <v>0</v>
      </c>
      <c r="M117" s="196">
        <v>0</v>
      </c>
      <c r="N117" s="197">
        <v>0</v>
      </c>
      <c r="O117" s="198">
        <f t="shared" si="16"/>
        <v>0</v>
      </c>
      <c r="P117" s="199">
        <f t="shared" si="17"/>
        <v>416</v>
      </c>
      <c r="Q117" s="197">
        <v>1</v>
      </c>
      <c r="R117" s="196">
        <v>42.5</v>
      </c>
      <c r="S117" s="197">
        <v>26</v>
      </c>
      <c r="T117" s="198">
        <f t="shared" si="18"/>
        <v>1105</v>
      </c>
      <c r="U117" s="196">
        <v>0</v>
      </c>
      <c r="V117" s="196">
        <v>0</v>
      </c>
      <c r="W117" s="197">
        <v>0</v>
      </c>
      <c r="X117" s="198">
        <f t="shared" si="19"/>
        <v>0</v>
      </c>
      <c r="Y117" s="200">
        <f t="shared" si="20"/>
        <v>1105</v>
      </c>
      <c r="Z117" s="197">
        <v>1</v>
      </c>
      <c r="AA117" s="196">
        <v>80</v>
      </c>
      <c r="AB117" s="197">
        <v>1</v>
      </c>
      <c r="AC117" s="198">
        <f t="shared" si="21"/>
        <v>80</v>
      </c>
      <c r="AD117" s="197">
        <v>0</v>
      </c>
      <c r="AE117" s="196">
        <v>0</v>
      </c>
      <c r="AF117" s="196">
        <v>0</v>
      </c>
      <c r="AG117" s="198">
        <f t="shared" si="22"/>
        <v>0</v>
      </c>
      <c r="AH117" s="200">
        <f t="shared" si="23"/>
        <v>80</v>
      </c>
      <c r="AI117" s="199">
        <f t="shared" si="27"/>
        <v>2661.95</v>
      </c>
      <c r="AJ117" s="201">
        <f t="shared" si="30"/>
        <v>0.45816695352839926</v>
      </c>
      <c r="AK117" s="200">
        <v>346.28550000000001</v>
      </c>
      <c r="AL117" s="196">
        <v>58.1</v>
      </c>
      <c r="AM117" s="196">
        <v>58.1</v>
      </c>
      <c r="AN117" s="196">
        <v>174.29999999999998</v>
      </c>
      <c r="AO117" s="196">
        <v>37.765000000000001</v>
      </c>
      <c r="AP117" s="196">
        <v>290.5</v>
      </c>
      <c r="AQ117" s="202">
        <f t="shared" si="24"/>
        <v>618.76499999999999</v>
      </c>
      <c r="AR117" s="202">
        <f t="shared" si="25"/>
        <v>965.05050000000006</v>
      </c>
      <c r="AS117" s="203">
        <f t="shared" si="26"/>
        <v>4844.9494999999997</v>
      </c>
    </row>
    <row r="118" spans="2:45" s="131" customFormat="1" ht="18" hidden="1" customHeight="1">
      <c r="B118" s="194" t="s">
        <v>1608</v>
      </c>
      <c r="C118" s="194">
        <v>276</v>
      </c>
      <c r="D118" s="195" t="s">
        <v>1426</v>
      </c>
      <c r="E118" s="196">
        <v>28588</v>
      </c>
      <c r="F118" s="196">
        <v>2968.35</v>
      </c>
      <c r="G118" s="196">
        <v>1600</v>
      </c>
      <c r="H118" s="197">
        <v>2</v>
      </c>
      <c r="I118" s="196">
        <v>16</v>
      </c>
      <c r="J118" s="197">
        <v>26</v>
      </c>
      <c r="K118" s="198">
        <f t="shared" si="15"/>
        <v>832</v>
      </c>
      <c r="L118" s="197">
        <v>4</v>
      </c>
      <c r="M118" s="196">
        <v>16</v>
      </c>
      <c r="N118" s="197">
        <v>16</v>
      </c>
      <c r="O118" s="198">
        <f t="shared" si="16"/>
        <v>1024</v>
      </c>
      <c r="P118" s="199">
        <f t="shared" si="17"/>
        <v>1856</v>
      </c>
      <c r="Q118" s="197">
        <v>2</v>
      </c>
      <c r="R118" s="196">
        <v>42.5</v>
      </c>
      <c r="S118" s="212">
        <v>22</v>
      </c>
      <c r="T118" s="198">
        <f t="shared" si="18"/>
        <v>1870</v>
      </c>
      <c r="U118" s="197">
        <v>4</v>
      </c>
      <c r="V118" s="196">
        <v>42.5</v>
      </c>
      <c r="W118" s="207">
        <v>15.5</v>
      </c>
      <c r="X118" s="198">
        <f t="shared" si="19"/>
        <v>2635</v>
      </c>
      <c r="Y118" s="200">
        <f t="shared" si="20"/>
        <v>4505</v>
      </c>
      <c r="Z118" s="197">
        <v>2</v>
      </c>
      <c r="AA118" s="208">
        <f>90/12</f>
        <v>7.5</v>
      </c>
      <c r="AB118" s="197">
        <v>2</v>
      </c>
      <c r="AC118" s="198">
        <f t="shared" si="21"/>
        <v>30</v>
      </c>
      <c r="AD118" s="197">
        <v>4</v>
      </c>
      <c r="AE118" s="208">
        <f>90/12</f>
        <v>7.5</v>
      </c>
      <c r="AF118" s="196">
        <v>2</v>
      </c>
      <c r="AG118" s="198">
        <f t="shared" si="22"/>
        <v>60</v>
      </c>
      <c r="AH118" s="200">
        <f t="shared" si="23"/>
        <v>90</v>
      </c>
      <c r="AI118" s="199">
        <f t="shared" si="27"/>
        <v>11019.35</v>
      </c>
      <c r="AJ118" s="201">
        <f t="shared" si="30"/>
        <v>0.38545368686162029</v>
      </c>
      <c r="AK118" s="200">
        <v>1932.5515000000003</v>
      </c>
      <c r="AL118" s="196">
        <v>285.88</v>
      </c>
      <c r="AM118" s="196">
        <v>285.88</v>
      </c>
      <c r="AN118" s="196">
        <v>857.64</v>
      </c>
      <c r="AO118" s="196">
        <v>185.822</v>
      </c>
      <c r="AP118" s="196">
        <v>1429.4</v>
      </c>
      <c r="AQ118" s="202">
        <f t="shared" si="24"/>
        <v>3044.6220000000003</v>
      </c>
      <c r="AR118" s="202">
        <f t="shared" si="25"/>
        <v>4977.1735000000008</v>
      </c>
      <c r="AS118" s="203">
        <f t="shared" si="26"/>
        <v>23610.826499999999</v>
      </c>
    </row>
    <row r="119" spans="2:45" s="131" customFormat="1" ht="18" hidden="1" customHeight="1">
      <c r="B119" s="194" t="s">
        <v>1608</v>
      </c>
      <c r="C119" s="194">
        <v>277</v>
      </c>
      <c r="D119" s="195" t="s">
        <v>1478</v>
      </c>
      <c r="E119" s="213">
        <v>5446</v>
      </c>
      <c r="F119" s="196">
        <v>911.65</v>
      </c>
      <c r="G119" s="196">
        <v>131.08000000000001</v>
      </c>
      <c r="H119" s="197">
        <v>1</v>
      </c>
      <c r="I119" s="196">
        <v>16</v>
      </c>
      <c r="J119" s="197">
        <v>26</v>
      </c>
      <c r="K119" s="198">
        <f t="shared" si="15"/>
        <v>416</v>
      </c>
      <c r="L119" s="197">
        <v>0</v>
      </c>
      <c r="M119" s="196">
        <v>0</v>
      </c>
      <c r="N119" s="197">
        <v>0</v>
      </c>
      <c r="O119" s="198">
        <f t="shared" si="16"/>
        <v>0</v>
      </c>
      <c r="P119" s="199">
        <f t="shared" si="17"/>
        <v>416</v>
      </c>
      <c r="Q119" s="197">
        <v>1</v>
      </c>
      <c r="R119" s="196">
        <v>42.5</v>
      </c>
      <c r="S119" s="197">
        <v>26</v>
      </c>
      <c r="T119" s="198">
        <f t="shared" si="18"/>
        <v>1105</v>
      </c>
      <c r="U119" s="196">
        <v>0</v>
      </c>
      <c r="V119" s="196">
        <v>0</v>
      </c>
      <c r="W119" s="197">
        <v>0</v>
      </c>
      <c r="X119" s="198">
        <f t="shared" si="19"/>
        <v>0</v>
      </c>
      <c r="Y119" s="200">
        <f t="shared" si="20"/>
        <v>1105</v>
      </c>
      <c r="Z119" s="197">
        <v>1</v>
      </c>
      <c r="AA119" s="196">
        <v>80</v>
      </c>
      <c r="AB119" s="197">
        <v>1</v>
      </c>
      <c r="AC119" s="198">
        <f t="shared" si="21"/>
        <v>80</v>
      </c>
      <c r="AD119" s="197">
        <v>0</v>
      </c>
      <c r="AE119" s="196">
        <v>0</v>
      </c>
      <c r="AF119" s="196">
        <v>0</v>
      </c>
      <c r="AG119" s="198">
        <f t="shared" si="22"/>
        <v>0</v>
      </c>
      <c r="AH119" s="200">
        <f t="shared" si="23"/>
        <v>80</v>
      </c>
      <c r="AI119" s="199">
        <f t="shared" si="27"/>
        <v>2643.73</v>
      </c>
      <c r="AJ119" s="201">
        <v>0.48544887930001196</v>
      </c>
      <c r="AK119" s="200">
        <v>308.24970000000002</v>
      </c>
      <c r="AL119" s="196">
        <v>54.46</v>
      </c>
      <c r="AM119" s="196">
        <v>54.46</v>
      </c>
      <c r="AN119" s="196">
        <v>163.38</v>
      </c>
      <c r="AO119" s="196">
        <v>35.399000000000001</v>
      </c>
      <c r="AP119" s="196">
        <v>272.3</v>
      </c>
      <c r="AQ119" s="202">
        <f t="shared" si="24"/>
        <v>579.99900000000002</v>
      </c>
      <c r="AR119" s="202">
        <f t="shared" si="25"/>
        <v>888.2487000000001</v>
      </c>
      <c r="AS119" s="203">
        <f t="shared" si="26"/>
        <v>4557.7512999999999</v>
      </c>
    </row>
    <row r="120" spans="2:45" s="131" customFormat="1" ht="18" hidden="1" customHeight="1">
      <c r="B120" s="194" t="s">
        <v>1608</v>
      </c>
      <c r="C120" s="194">
        <v>282</v>
      </c>
      <c r="D120" s="195" t="s">
        <v>1694</v>
      </c>
      <c r="E120" s="196">
        <v>29085.759999999998</v>
      </c>
      <c r="F120" s="196">
        <v>0</v>
      </c>
      <c r="G120" s="196">
        <v>0</v>
      </c>
      <c r="H120" s="197">
        <v>0</v>
      </c>
      <c r="I120" s="196">
        <v>0</v>
      </c>
      <c r="J120" s="197">
        <v>0</v>
      </c>
      <c r="K120" s="198">
        <f t="shared" si="15"/>
        <v>0</v>
      </c>
      <c r="L120" s="197">
        <v>0</v>
      </c>
      <c r="M120" s="196">
        <v>0</v>
      </c>
      <c r="N120" s="197">
        <v>0</v>
      </c>
      <c r="O120" s="198">
        <f t="shared" si="16"/>
        <v>0</v>
      </c>
      <c r="P120" s="199">
        <f t="shared" si="17"/>
        <v>0</v>
      </c>
      <c r="Q120" s="197">
        <v>0</v>
      </c>
      <c r="R120" s="196">
        <v>0</v>
      </c>
      <c r="S120" s="197">
        <v>0</v>
      </c>
      <c r="T120" s="198">
        <f t="shared" si="18"/>
        <v>0</v>
      </c>
      <c r="U120" s="196">
        <v>0</v>
      </c>
      <c r="V120" s="196">
        <v>0</v>
      </c>
      <c r="W120" s="197">
        <v>0</v>
      </c>
      <c r="X120" s="198">
        <f t="shared" si="19"/>
        <v>0</v>
      </c>
      <c r="Y120" s="200">
        <f t="shared" si="20"/>
        <v>0</v>
      </c>
      <c r="Z120" s="197">
        <v>0</v>
      </c>
      <c r="AA120" s="196">
        <v>0</v>
      </c>
      <c r="AB120" s="197">
        <v>0</v>
      </c>
      <c r="AC120" s="198">
        <f t="shared" si="21"/>
        <v>0</v>
      </c>
      <c r="AD120" s="197">
        <v>0</v>
      </c>
      <c r="AE120" s="196">
        <v>0</v>
      </c>
      <c r="AF120" s="196">
        <v>0</v>
      </c>
      <c r="AG120" s="198">
        <f t="shared" si="22"/>
        <v>0</v>
      </c>
      <c r="AH120" s="200">
        <f t="shared" si="23"/>
        <v>0</v>
      </c>
      <c r="AI120" s="199">
        <f t="shared" si="27"/>
        <v>0</v>
      </c>
      <c r="AJ120" s="201">
        <f>AI120/E120</f>
        <v>0</v>
      </c>
      <c r="AK120" s="200">
        <v>3199.4335999999998</v>
      </c>
      <c r="AL120" s="196">
        <v>290.85759999999999</v>
      </c>
      <c r="AM120" s="196">
        <v>290.85759999999999</v>
      </c>
      <c r="AN120" s="196">
        <v>872.57279999999992</v>
      </c>
      <c r="AO120" s="196">
        <v>189.05743999999999</v>
      </c>
      <c r="AP120" s="196">
        <v>1454.288</v>
      </c>
      <c r="AQ120" s="202">
        <f t="shared" si="24"/>
        <v>3097.6334400000001</v>
      </c>
      <c r="AR120" s="202">
        <f t="shared" si="25"/>
        <v>6297.0670399999999</v>
      </c>
      <c r="AS120" s="203">
        <f t="shared" si="26"/>
        <v>22788.69296</v>
      </c>
    </row>
    <row r="121" spans="2:45" s="131" customFormat="1" ht="18" hidden="1" customHeight="1">
      <c r="B121" s="194" t="s">
        <v>1608</v>
      </c>
      <c r="C121" s="194">
        <v>279</v>
      </c>
      <c r="D121" s="195" t="s">
        <v>1137</v>
      </c>
      <c r="E121" s="196">
        <v>37805</v>
      </c>
      <c r="F121" s="196">
        <v>2187</v>
      </c>
      <c r="G121" s="196">
        <v>0</v>
      </c>
      <c r="H121" s="197">
        <v>6</v>
      </c>
      <c r="I121" s="196">
        <v>11</v>
      </c>
      <c r="J121" s="197">
        <v>26</v>
      </c>
      <c r="K121" s="198">
        <f t="shared" si="15"/>
        <v>1716</v>
      </c>
      <c r="L121" s="197">
        <v>0</v>
      </c>
      <c r="M121" s="196">
        <v>0</v>
      </c>
      <c r="N121" s="197">
        <v>0</v>
      </c>
      <c r="O121" s="198">
        <f t="shared" si="16"/>
        <v>0</v>
      </c>
      <c r="P121" s="199">
        <f t="shared" si="17"/>
        <v>1716</v>
      </c>
      <c r="Q121" s="197">
        <v>6</v>
      </c>
      <c r="R121" s="196">
        <v>20</v>
      </c>
      <c r="S121" s="197">
        <v>22</v>
      </c>
      <c r="T121" s="198">
        <f t="shared" si="18"/>
        <v>2640</v>
      </c>
      <c r="U121" s="197">
        <v>0</v>
      </c>
      <c r="V121" s="196">
        <v>0</v>
      </c>
      <c r="W121" s="207">
        <v>0</v>
      </c>
      <c r="X121" s="198">
        <f t="shared" si="19"/>
        <v>0</v>
      </c>
      <c r="Y121" s="200">
        <f t="shared" si="20"/>
        <v>2640</v>
      </c>
      <c r="Z121" s="197">
        <v>6</v>
      </c>
      <c r="AA121" s="208">
        <f>90/12</f>
        <v>7.5</v>
      </c>
      <c r="AB121" s="197">
        <v>2</v>
      </c>
      <c r="AC121" s="198">
        <f t="shared" si="21"/>
        <v>90</v>
      </c>
      <c r="AD121" s="197">
        <v>0</v>
      </c>
      <c r="AE121" s="196">
        <v>0</v>
      </c>
      <c r="AF121" s="196">
        <v>0</v>
      </c>
      <c r="AG121" s="198">
        <f t="shared" si="22"/>
        <v>0</v>
      </c>
      <c r="AH121" s="200">
        <f t="shared" si="23"/>
        <v>90</v>
      </c>
      <c r="AI121" s="199">
        <f t="shared" si="27"/>
        <v>6633</v>
      </c>
      <c r="AJ121" s="201">
        <f>AI121/E121</f>
        <v>0.17545298240973417</v>
      </c>
      <c r="AK121" s="200">
        <v>3428.92</v>
      </c>
      <c r="AL121" s="196">
        <v>378.05</v>
      </c>
      <c r="AM121" s="196">
        <v>378.05</v>
      </c>
      <c r="AN121" s="196">
        <v>1134.1499999999999</v>
      </c>
      <c r="AO121" s="196">
        <v>245.73249999999999</v>
      </c>
      <c r="AP121" s="209"/>
      <c r="AQ121" s="202">
        <f t="shared" si="24"/>
        <v>2135.9825000000001</v>
      </c>
      <c r="AR121" s="202">
        <f t="shared" si="25"/>
        <v>5564.9025000000001</v>
      </c>
      <c r="AS121" s="203">
        <f t="shared" si="26"/>
        <v>32240.0975</v>
      </c>
    </row>
    <row r="122" spans="2:45" s="131" customFormat="1" ht="18" hidden="1" customHeight="1">
      <c r="B122" s="194" t="s">
        <v>1608</v>
      </c>
      <c r="C122" s="194">
        <v>280</v>
      </c>
      <c r="D122" s="217" t="s">
        <v>1499</v>
      </c>
      <c r="E122" s="196">
        <v>34954</v>
      </c>
      <c r="F122" s="196">
        <v>2400</v>
      </c>
      <c r="G122" s="196">
        <v>0</v>
      </c>
      <c r="H122" s="197">
        <v>3</v>
      </c>
      <c r="I122" s="196">
        <v>11</v>
      </c>
      <c r="J122" s="196">
        <v>26</v>
      </c>
      <c r="K122" s="198">
        <f t="shared" si="15"/>
        <v>858</v>
      </c>
      <c r="L122" s="197">
        <v>4</v>
      </c>
      <c r="M122" s="196">
        <v>11</v>
      </c>
      <c r="N122" s="197">
        <v>16</v>
      </c>
      <c r="O122" s="198">
        <f t="shared" si="16"/>
        <v>704</v>
      </c>
      <c r="P122" s="199">
        <f t="shared" si="17"/>
        <v>1562</v>
      </c>
      <c r="Q122" s="197">
        <v>3</v>
      </c>
      <c r="R122" s="208">
        <v>42.2</v>
      </c>
      <c r="S122" s="197">
        <v>26</v>
      </c>
      <c r="T122" s="198">
        <f t="shared" si="18"/>
        <v>3291.6000000000004</v>
      </c>
      <c r="U122" s="197">
        <v>4</v>
      </c>
      <c r="V122" s="208">
        <v>42.2</v>
      </c>
      <c r="W122" s="197">
        <v>16</v>
      </c>
      <c r="X122" s="198">
        <f t="shared" si="19"/>
        <v>2700.8</v>
      </c>
      <c r="Y122" s="200">
        <f t="shared" si="20"/>
        <v>5992.4000000000005</v>
      </c>
      <c r="Z122" s="197">
        <v>3</v>
      </c>
      <c r="AA122" s="208">
        <f>90/12</f>
        <v>7.5</v>
      </c>
      <c r="AB122" s="197">
        <v>2</v>
      </c>
      <c r="AC122" s="198">
        <f t="shared" si="21"/>
        <v>45</v>
      </c>
      <c r="AD122" s="197">
        <v>4</v>
      </c>
      <c r="AE122" s="208">
        <f>90/12</f>
        <v>7.5</v>
      </c>
      <c r="AF122" s="196">
        <v>2</v>
      </c>
      <c r="AG122" s="198">
        <f t="shared" si="22"/>
        <v>60</v>
      </c>
      <c r="AH122" s="200">
        <f t="shared" si="23"/>
        <v>105</v>
      </c>
      <c r="AI122" s="199">
        <f>F122+G122+P122+Y122+AH122</f>
        <v>10059.400000000001</v>
      </c>
      <c r="AJ122" s="201">
        <f>AI122/E122</f>
        <v>0.28778966641872178</v>
      </c>
      <c r="AK122" s="200">
        <v>2738.4059999999999</v>
      </c>
      <c r="AL122" s="196">
        <v>349.54</v>
      </c>
      <c r="AM122" s="196">
        <v>349.54</v>
      </c>
      <c r="AN122" s="196">
        <v>1048.6199999999999</v>
      </c>
      <c r="AO122" s="196">
        <v>227.20099999999999</v>
      </c>
      <c r="AP122" s="196">
        <v>1747.7</v>
      </c>
      <c r="AQ122" s="202">
        <f t="shared" si="24"/>
        <v>3722.6009999999997</v>
      </c>
      <c r="AR122" s="202">
        <f t="shared" si="25"/>
        <v>6461.0069999999996</v>
      </c>
      <c r="AS122" s="203">
        <f t="shared" si="26"/>
        <v>28492.993000000002</v>
      </c>
    </row>
    <row r="123" spans="2:45" s="131" customFormat="1" ht="18" hidden="1" customHeight="1">
      <c r="B123" s="194" t="s">
        <v>1608</v>
      </c>
      <c r="C123" s="194">
        <v>281</v>
      </c>
      <c r="D123" s="217" t="s">
        <v>49</v>
      </c>
      <c r="E123" s="196">
        <v>29976</v>
      </c>
      <c r="F123" s="196">
        <v>5288.3</v>
      </c>
      <c r="G123" s="196">
        <v>2550</v>
      </c>
      <c r="H123" s="197">
        <v>2</v>
      </c>
      <c r="I123" s="196">
        <v>24</v>
      </c>
      <c r="J123" s="196">
        <v>26</v>
      </c>
      <c r="K123" s="198">
        <f t="shared" si="15"/>
        <v>1248</v>
      </c>
      <c r="L123" s="197">
        <v>4</v>
      </c>
      <c r="M123" s="196">
        <v>16</v>
      </c>
      <c r="N123" s="197">
        <v>16</v>
      </c>
      <c r="O123" s="198">
        <f t="shared" si="16"/>
        <v>1024</v>
      </c>
      <c r="P123" s="199">
        <f t="shared" si="17"/>
        <v>2272</v>
      </c>
      <c r="Q123" s="197">
        <v>2</v>
      </c>
      <c r="R123" s="196">
        <v>42.5</v>
      </c>
      <c r="S123" s="197">
        <v>26</v>
      </c>
      <c r="T123" s="198">
        <f t="shared" si="18"/>
        <v>2210</v>
      </c>
      <c r="U123" s="197">
        <v>4</v>
      </c>
      <c r="V123" s="196">
        <v>42.5</v>
      </c>
      <c r="W123" s="197">
        <v>16</v>
      </c>
      <c r="X123" s="198">
        <f t="shared" si="19"/>
        <v>2720</v>
      </c>
      <c r="Y123" s="200">
        <f t="shared" si="20"/>
        <v>4930</v>
      </c>
      <c r="Z123" s="197">
        <v>2</v>
      </c>
      <c r="AA123" s="208">
        <v>80</v>
      </c>
      <c r="AB123" s="197">
        <v>1</v>
      </c>
      <c r="AC123" s="198">
        <f t="shared" si="21"/>
        <v>160</v>
      </c>
      <c r="AD123" s="197">
        <v>4</v>
      </c>
      <c r="AE123" s="208">
        <v>90</v>
      </c>
      <c r="AF123" s="196">
        <v>1</v>
      </c>
      <c r="AG123" s="198">
        <f t="shared" si="22"/>
        <v>360</v>
      </c>
      <c r="AH123" s="200">
        <f t="shared" si="23"/>
        <v>520</v>
      </c>
      <c r="AI123" s="199">
        <f>F123+G123+P123+Y123+AH123</f>
        <v>15560.3</v>
      </c>
      <c r="AJ123" s="201">
        <f>AI123/E123</f>
        <v>0.51909194021884175</v>
      </c>
      <c r="AK123" s="200">
        <v>1585.7270000000001</v>
      </c>
      <c r="AL123" s="196">
        <v>299.76</v>
      </c>
      <c r="AM123" s="196">
        <v>299.76</v>
      </c>
      <c r="AN123" s="196">
        <v>899.28</v>
      </c>
      <c r="AO123" s="196">
        <v>194.84399999999999</v>
      </c>
      <c r="AP123" s="196">
        <v>1498.8000000000002</v>
      </c>
      <c r="AQ123" s="202">
        <f t="shared" si="24"/>
        <v>3192.4440000000004</v>
      </c>
      <c r="AR123" s="202">
        <f t="shared" si="25"/>
        <v>4778.1710000000003</v>
      </c>
      <c r="AS123" s="203">
        <f t="shared" si="26"/>
        <v>25197.828999999998</v>
      </c>
    </row>
    <row r="124" spans="2:45" s="131" customFormat="1" ht="18" hidden="1" customHeight="1">
      <c r="B124" s="194" t="s">
        <v>1616</v>
      </c>
      <c r="C124" s="194">
        <v>284</v>
      </c>
      <c r="D124" s="195" t="s">
        <v>1694</v>
      </c>
      <c r="E124" s="196">
        <v>11763.96</v>
      </c>
      <c r="F124" s="196">
        <v>0</v>
      </c>
      <c r="G124" s="196">
        <v>0</v>
      </c>
      <c r="H124" s="197">
        <v>0</v>
      </c>
      <c r="I124" s="196">
        <v>0</v>
      </c>
      <c r="J124" s="197">
        <v>0</v>
      </c>
      <c r="K124" s="198">
        <f>H124*I124*J124</f>
        <v>0</v>
      </c>
      <c r="L124" s="197">
        <v>0</v>
      </c>
      <c r="M124" s="196">
        <v>0</v>
      </c>
      <c r="N124" s="197">
        <v>0</v>
      </c>
      <c r="O124" s="198">
        <f>L124*M124*N124</f>
        <v>0</v>
      </c>
      <c r="P124" s="199">
        <f>K124+O124</f>
        <v>0</v>
      </c>
      <c r="Q124" s="197">
        <v>0</v>
      </c>
      <c r="R124" s="196">
        <v>0</v>
      </c>
      <c r="S124" s="197">
        <v>0</v>
      </c>
      <c r="T124" s="198">
        <f>Q124*R124*S124</f>
        <v>0</v>
      </c>
      <c r="U124" s="196">
        <v>0</v>
      </c>
      <c r="V124" s="196">
        <v>0</v>
      </c>
      <c r="W124" s="197">
        <v>0</v>
      </c>
      <c r="X124" s="198">
        <f>U124*V124*W124</f>
        <v>0</v>
      </c>
      <c r="Y124" s="200">
        <f>T124+X124</f>
        <v>0</v>
      </c>
      <c r="Z124" s="197">
        <v>0</v>
      </c>
      <c r="AA124" s="196">
        <v>0</v>
      </c>
      <c r="AB124" s="197">
        <v>0</v>
      </c>
      <c r="AC124" s="198">
        <f>Z124*AA124*AB124</f>
        <v>0</v>
      </c>
      <c r="AD124" s="197">
        <v>0</v>
      </c>
      <c r="AE124" s="196">
        <v>0</v>
      </c>
      <c r="AF124" s="196">
        <v>0</v>
      </c>
      <c r="AG124" s="198">
        <f>AD124*AE124*AF124</f>
        <v>0</v>
      </c>
      <c r="AH124" s="200">
        <f>AC124+AG124</f>
        <v>0</v>
      </c>
      <c r="AI124" s="199">
        <f>F124+G124+P124+Y124+AH124</f>
        <v>0</v>
      </c>
      <c r="AJ124" s="201">
        <f>AI124/E124</f>
        <v>0</v>
      </c>
      <c r="AK124" s="200">
        <v>1294.0355999999999</v>
      </c>
      <c r="AL124" s="196">
        <v>117.63959999999999</v>
      </c>
      <c r="AM124" s="196">
        <v>117.63959999999999</v>
      </c>
      <c r="AN124" s="196">
        <v>352.91879999999998</v>
      </c>
      <c r="AO124" s="196">
        <v>76.465739999999997</v>
      </c>
      <c r="AP124" s="196">
        <v>588.19799999999998</v>
      </c>
      <c r="AQ124" s="202">
        <f>SUM(AL124:AP124)</f>
        <v>1252.8617399999998</v>
      </c>
      <c r="AR124" s="202">
        <f>AK124+AQ124</f>
        <v>2546.8973399999995</v>
      </c>
      <c r="AS124" s="203">
        <f>E124-AR124</f>
        <v>9217.0626599999996</v>
      </c>
    </row>
    <row r="125" spans="2:45" s="131" customFormat="1" ht="18" hidden="1" customHeight="1">
      <c r="B125" s="194" t="s">
        <v>1616</v>
      </c>
      <c r="C125" s="194">
        <v>285</v>
      </c>
      <c r="D125" s="195" t="s">
        <v>941</v>
      </c>
      <c r="E125" s="208">
        <f>(5928/30)*21</f>
        <v>4149.5999999999995</v>
      </c>
      <c r="F125" s="196">
        <v>898.55</v>
      </c>
      <c r="G125" s="196">
        <v>216.5</v>
      </c>
      <c r="H125" s="197">
        <v>1</v>
      </c>
      <c r="I125" s="196">
        <v>16</v>
      </c>
      <c r="J125" s="197">
        <v>26</v>
      </c>
      <c r="K125" s="198">
        <f t="shared" ref="K125:K133" si="31">H125*I125*J125</f>
        <v>416</v>
      </c>
      <c r="L125" s="197">
        <v>0</v>
      </c>
      <c r="M125" s="196">
        <v>0</v>
      </c>
      <c r="N125" s="197">
        <v>0</v>
      </c>
      <c r="O125" s="198">
        <f t="shared" ref="O125:O133" si="32">L125*M125*N125</f>
        <v>0</v>
      </c>
      <c r="P125" s="199">
        <f t="shared" ref="P125:P133" si="33">K125+O125</f>
        <v>416</v>
      </c>
      <c r="Q125" s="197">
        <v>1</v>
      </c>
      <c r="R125" s="196">
        <v>42.5</v>
      </c>
      <c r="S125" s="197">
        <v>26</v>
      </c>
      <c r="T125" s="198">
        <f t="shared" ref="T125:T133" si="34">Q125*R125*S125</f>
        <v>1105</v>
      </c>
      <c r="U125" s="196">
        <v>0</v>
      </c>
      <c r="V125" s="196">
        <v>0</v>
      </c>
      <c r="W125" s="197">
        <v>0</v>
      </c>
      <c r="X125" s="198">
        <f t="shared" ref="X125:X133" si="35">U125*V125*W125</f>
        <v>0</v>
      </c>
      <c r="Y125" s="200">
        <f t="shared" ref="Y125:Y133" si="36">T125+X125</f>
        <v>1105</v>
      </c>
      <c r="Z125" s="197">
        <v>1</v>
      </c>
      <c r="AA125" s="196">
        <v>80</v>
      </c>
      <c r="AB125" s="197">
        <v>1</v>
      </c>
      <c r="AC125" s="198">
        <f t="shared" ref="AC125:AC133" si="37">Z125*AA125*AB125</f>
        <v>80</v>
      </c>
      <c r="AD125" s="197">
        <v>0</v>
      </c>
      <c r="AE125" s="196">
        <v>0</v>
      </c>
      <c r="AF125" s="196">
        <v>0</v>
      </c>
      <c r="AG125" s="198">
        <f t="shared" ref="AG125:AG133" si="38">AD125*AE125*AF125</f>
        <v>0</v>
      </c>
      <c r="AH125" s="200">
        <f t="shared" ref="AH125:AH133" si="39">AC125+AG125</f>
        <v>80</v>
      </c>
      <c r="AI125" s="199">
        <f t="shared" ref="AI125:AI131" si="40">F125+G125+P125+Y125+AH125</f>
        <v>2716.05</v>
      </c>
      <c r="AJ125" s="201">
        <f t="shared" ref="AJ125:AJ130" si="41">AI125/E125</f>
        <v>0.65453296703296715</v>
      </c>
      <c r="AK125" s="200">
        <v>157.69049999999993</v>
      </c>
      <c r="AL125" s="196">
        <v>41.495999999999995</v>
      </c>
      <c r="AM125" s="196">
        <v>41.495999999999995</v>
      </c>
      <c r="AN125" s="196">
        <v>124.48799999999999</v>
      </c>
      <c r="AO125" s="196">
        <v>26.972399999999997</v>
      </c>
      <c r="AP125" s="196">
        <v>207.48</v>
      </c>
      <c r="AQ125" s="202">
        <f t="shared" ref="AQ125:AQ126" si="42">SUM(AL125:AP125)</f>
        <v>441.93239999999992</v>
      </c>
      <c r="AR125" s="202">
        <f t="shared" ref="AR125:AR133" si="43">AK125+AQ125</f>
        <v>599.62289999999985</v>
      </c>
      <c r="AS125" s="203">
        <f t="shared" ref="AS125:AS133" si="44">E125-AR125</f>
        <v>3549.9770999999996</v>
      </c>
    </row>
    <row r="126" spans="2:45" s="131" customFormat="1" ht="18" hidden="1" customHeight="1">
      <c r="B126" s="194" t="s">
        <v>1616</v>
      </c>
      <c r="C126" s="194">
        <v>286</v>
      </c>
      <c r="D126" s="195" t="s">
        <v>982</v>
      </c>
      <c r="E126" s="196">
        <v>5928</v>
      </c>
      <c r="F126" s="196">
        <v>950.61</v>
      </c>
      <c r="G126" s="196">
        <v>351.9</v>
      </c>
      <c r="H126" s="197">
        <v>1</v>
      </c>
      <c r="I126" s="196">
        <v>24</v>
      </c>
      <c r="J126" s="197">
        <v>26</v>
      </c>
      <c r="K126" s="198">
        <f t="shared" si="31"/>
        <v>624</v>
      </c>
      <c r="L126" s="197">
        <v>0</v>
      </c>
      <c r="M126" s="196">
        <v>0</v>
      </c>
      <c r="N126" s="197">
        <v>0</v>
      </c>
      <c r="O126" s="198">
        <f t="shared" si="32"/>
        <v>0</v>
      </c>
      <c r="P126" s="199">
        <f t="shared" si="33"/>
        <v>624</v>
      </c>
      <c r="Q126" s="197">
        <v>1</v>
      </c>
      <c r="R126" s="196">
        <v>42.5</v>
      </c>
      <c r="S126" s="197">
        <v>26</v>
      </c>
      <c r="T126" s="198">
        <f t="shared" si="34"/>
        <v>1105</v>
      </c>
      <c r="U126" s="196">
        <v>0</v>
      </c>
      <c r="V126" s="196">
        <v>0</v>
      </c>
      <c r="W126" s="197">
        <v>0</v>
      </c>
      <c r="X126" s="198">
        <f t="shared" si="35"/>
        <v>0</v>
      </c>
      <c r="Y126" s="200">
        <f t="shared" si="36"/>
        <v>1105</v>
      </c>
      <c r="Z126" s="197">
        <v>1</v>
      </c>
      <c r="AA126" s="196">
        <v>80</v>
      </c>
      <c r="AB126" s="197">
        <v>2</v>
      </c>
      <c r="AC126" s="198">
        <f t="shared" si="37"/>
        <v>160</v>
      </c>
      <c r="AD126" s="197">
        <v>0</v>
      </c>
      <c r="AE126" s="196">
        <v>0</v>
      </c>
      <c r="AF126" s="196">
        <v>0</v>
      </c>
      <c r="AG126" s="198">
        <f t="shared" si="38"/>
        <v>0</v>
      </c>
      <c r="AH126" s="200">
        <f t="shared" si="39"/>
        <v>160</v>
      </c>
      <c r="AI126" s="199">
        <f t="shared" si="40"/>
        <v>3191.51</v>
      </c>
      <c r="AJ126" s="201">
        <f t="shared" si="41"/>
        <v>0.53837887989203781</v>
      </c>
      <c r="AK126" s="200">
        <v>301.01389999999998</v>
      </c>
      <c r="AL126" s="196">
        <v>59.28</v>
      </c>
      <c r="AM126" s="196">
        <v>59.28</v>
      </c>
      <c r="AN126" s="196">
        <v>177.84</v>
      </c>
      <c r="AO126" s="196">
        <v>38.531999999999996</v>
      </c>
      <c r="AP126" s="196">
        <v>296.40000000000003</v>
      </c>
      <c r="AQ126" s="202">
        <f t="shared" si="42"/>
        <v>631.33199999999999</v>
      </c>
      <c r="AR126" s="202">
        <f t="shared" si="43"/>
        <v>932.34590000000003</v>
      </c>
      <c r="AS126" s="203">
        <f t="shared" si="44"/>
        <v>4995.6540999999997</v>
      </c>
    </row>
    <row r="127" spans="2:45" s="131" customFormat="1" ht="18" hidden="1" customHeight="1">
      <c r="B127" s="194" t="s">
        <v>1616</v>
      </c>
      <c r="C127" s="194">
        <v>287</v>
      </c>
      <c r="D127" s="195" t="s">
        <v>1003</v>
      </c>
      <c r="E127" s="196">
        <v>16252</v>
      </c>
      <c r="F127" s="196">
        <v>2550</v>
      </c>
      <c r="G127" s="196">
        <v>703.8</v>
      </c>
      <c r="H127" s="197">
        <v>1</v>
      </c>
      <c r="I127" s="196">
        <v>24</v>
      </c>
      <c r="J127" s="197">
        <v>26</v>
      </c>
      <c r="K127" s="198">
        <f t="shared" si="31"/>
        <v>624</v>
      </c>
      <c r="L127" s="197">
        <v>2</v>
      </c>
      <c r="M127" s="196">
        <v>16</v>
      </c>
      <c r="N127" s="197">
        <v>16</v>
      </c>
      <c r="O127" s="198">
        <f t="shared" si="32"/>
        <v>512</v>
      </c>
      <c r="P127" s="199">
        <f t="shared" si="33"/>
        <v>1136</v>
      </c>
      <c r="Q127" s="197">
        <v>1</v>
      </c>
      <c r="R127" s="196">
        <v>42.5</v>
      </c>
      <c r="S127" s="197">
        <v>26</v>
      </c>
      <c r="T127" s="198">
        <f t="shared" si="34"/>
        <v>1105</v>
      </c>
      <c r="U127" s="196">
        <v>2</v>
      </c>
      <c r="V127" s="196">
        <v>42.5</v>
      </c>
      <c r="W127" s="197">
        <v>16</v>
      </c>
      <c r="X127" s="198">
        <f t="shared" si="35"/>
        <v>1360</v>
      </c>
      <c r="Y127" s="200">
        <f t="shared" si="36"/>
        <v>2465</v>
      </c>
      <c r="Z127" s="197">
        <v>1</v>
      </c>
      <c r="AA127" s="196">
        <v>80</v>
      </c>
      <c r="AB127" s="197">
        <v>2</v>
      </c>
      <c r="AC127" s="198">
        <f t="shared" si="37"/>
        <v>160</v>
      </c>
      <c r="AD127" s="197">
        <v>2</v>
      </c>
      <c r="AE127" s="196">
        <v>80</v>
      </c>
      <c r="AF127" s="197">
        <v>2</v>
      </c>
      <c r="AG127" s="198">
        <f t="shared" si="38"/>
        <v>320</v>
      </c>
      <c r="AH127" s="200">
        <f t="shared" si="39"/>
        <v>480</v>
      </c>
      <c r="AI127" s="199">
        <f t="shared" si="40"/>
        <v>7334.8</v>
      </c>
      <c r="AJ127" s="201">
        <f t="shared" si="41"/>
        <v>0.45131676101402907</v>
      </c>
      <c r="AK127" s="200">
        <v>980.89200000000005</v>
      </c>
      <c r="AL127" s="196">
        <v>162.52000000000001</v>
      </c>
      <c r="AM127" s="196">
        <v>162.52000000000001</v>
      </c>
      <c r="AN127" s="196">
        <v>487.56</v>
      </c>
      <c r="AO127" s="196">
        <v>105.63799999999999</v>
      </c>
      <c r="AP127" s="196">
        <v>812.6</v>
      </c>
      <c r="AQ127" s="202">
        <f t="shared" ref="AQ127:AQ132" si="45">SUM(AL127:AP127)</f>
        <v>1730.8380000000002</v>
      </c>
      <c r="AR127" s="202">
        <f t="shared" si="43"/>
        <v>2711.7300000000005</v>
      </c>
      <c r="AS127" s="203">
        <f t="shared" si="44"/>
        <v>13540.27</v>
      </c>
    </row>
    <row r="128" spans="2:45" s="131" customFormat="1" ht="18" hidden="1" customHeight="1">
      <c r="B128" s="194" t="s">
        <v>1616</v>
      </c>
      <c r="C128" s="194">
        <v>288</v>
      </c>
      <c r="D128" s="195" t="s">
        <v>1082</v>
      </c>
      <c r="E128" s="196">
        <v>5562</v>
      </c>
      <c r="F128" s="196">
        <v>950.61</v>
      </c>
      <c r="G128" s="196">
        <v>351.9</v>
      </c>
      <c r="H128" s="197">
        <v>1</v>
      </c>
      <c r="I128" s="196">
        <v>24</v>
      </c>
      <c r="J128" s="197">
        <v>26</v>
      </c>
      <c r="K128" s="198">
        <f t="shared" si="31"/>
        <v>624</v>
      </c>
      <c r="L128" s="197">
        <v>0</v>
      </c>
      <c r="M128" s="196">
        <v>0</v>
      </c>
      <c r="N128" s="197">
        <v>0</v>
      </c>
      <c r="O128" s="198">
        <f t="shared" si="32"/>
        <v>0</v>
      </c>
      <c r="P128" s="199">
        <f t="shared" si="33"/>
        <v>624</v>
      </c>
      <c r="Q128" s="197">
        <v>1</v>
      </c>
      <c r="R128" s="196">
        <v>42.5</v>
      </c>
      <c r="S128" s="197">
        <v>26</v>
      </c>
      <c r="T128" s="198">
        <f t="shared" si="34"/>
        <v>1105</v>
      </c>
      <c r="U128" s="196">
        <v>0</v>
      </c>
      <c r="V128" s="196">
        <v>0</v>
      </c>
      <c r="W128" s="197">
        <v>0</v>
      </c>
      <c r="X128" s="198">
        <f t="shared" si="35"/>
        <v>0</v>
      </c>
      <c r="Y128" s="200">
        <f t="shared" si="36"/>
        <v>1105</v>
      </c>
      <c r="Z128" s="197">
        <v>1</v>
      </c>
      <c r="AA128" s="196">
        <v>80</v>
      </c>
      <c r="AB128" s="197">
        <v>2</v>
      </c>
      <c r="AC128" s="198">
        <f t="shared" si="37"/>
        <v>160</v>
      </c>
      <c r="AD128" s="197">
        <v>0</v>
      </c>
      <c r="AE128" s="196">
        <v>0</v>
      </c>
      <c r="AF128" s="196">
        <v>0</v>
      </c>
      <c r="AG128" s="198">
        <f t="shared" si="38"/>
        <v>0</v>
      </c>
      <c r="AH128" s="200">
        <f t="shared" si="39"/>
        <v>160</v>
      </c>
      <c r="AI128" s="199">
        <f t="shared" si="40"/>
        <v>3191.51</v>
      </c>
      <c r="AJ128" s="201">
        <f t="shared" si="41"/>
        <v>0.57380618482560231</v>
      </c>
      <c r="AK128" s="200">
        <v>260.75389999999999</v>
      </c>
      <c r="AL128" s="196">
        <v>55.620000000000005</v>
      </c>
      <c r="AM128" s="196">
        <v>55.620000000000005</v>
      </c>
      <c r="AN128" s="196">
        <v>166.85999999999999</v>
      </c>
      <c r="AO128" s="196">
        <v>36.152999999999999</v>
      </c>
      <c r="AP128" s="196">
        <v>278.10000000000002</v>
      </c>
      <c r="AQ128" s="202">
        <f t="shared" si="45"/>
        <v>592.35300000000007</v>
      </c>
      <c r="AR128" s="202">
        <f t="shared" si="43"/>
        <v>853.1069</v>
      </c>
      <c r="AS128" s="203">
        <f t="shared" si="44"/>
        <v>4708.8931000000002</v>
      </c>
    </row>
    <row r="129" spans="2:45" s="131" customFormat="1" ht="18" hidden="1" customHeight="1">
      <c r="B129" s="194" t="s">
        <v>1616</v>
      </c>
      <c r="C129" s="194">
        <v>289</v>
      </c>
      <c r="D129" s="195" t="s">
        <v>1081</v>
      </c>
      <c r="E129" s="196">
        <v>5810</v>
      </c>
      <c r="F129" s="196">
        <v>950.61</v>
      </c>
      <c r="G129" s="196">
        <v>351.9</v>
      </c>
      <c r="H129" s="197">
        <v>1</v>
      </c>
      <c r="I129" s="196">
        <v>24</v>
      </c>
      <c r="J129" s="197">
        <v>26</v>
      </c>
      <c r="K129" s="198">
        <f t="shared" si="31"/>
        <v>624</v>
      </c>
      <c r="L129" s="197">
        <v>0</v>
      </c>
      <c r="M129" s="196">
        <v>0</v>
      </c>
      <c r="N129" s="197">
        <v>0</v>
      </c>
      <c r="O129" s="198">
        <f t="shared" si="32"/>
        <v>0</v>
      </c>
      <c r="P129" s="199">
        <f t="shared" si="33"/>
        <v>624</v>
      </c>
      <c r="Q129" s="197">
        <v>1</v>
      </c>
      <c r="R129" s="196">
        <v>42.5</v>
      </c>
      <c r="S129" s="197">
        <v>26</v>
      </c>
      <c r="T129" s="198">
        <f t="shared" si="34"/>
        <v>1105</v>
      </c>
      <c r="U129" s="196">
        <v>0</v>
      </c>
      <c r="V129" s="196">
        <v>0</v>
      </c>
      <c r="W129" s="197">
        <v>0</v>
      </c>
      <c r="X129" s="198">
        <f t="shared" si="35"/>
        <v>0</v>
      </c>
      <c r="Y129" s="200">
        <f t="shared" si="36"/>
        <v>1105</v>
      </c>
      <c r="Z129" s="197">
        <v>1</v>
      </c>
      <c r="AA129" s="196">
        <v>80</v>
      </c>
      <c r="AB129" s="197">
        <v>2</v>
      </c>
      <c r="AC129" s="198">
        <f t="shared" si="37"/>
        <v>160</v>
      </c>
      <c r="AD129" s="197">
        <v>0</v>
      </c>
      <c r="AE129" s="196">
        <v>0</v>
      </c>
      <c r="AF129" s="196">
        <v>0</v>
      </c>
      <c r="AG129" s="198">
        <f t="shared" si="38"/>
        <v>0</v>
      </c>
      <c r="AH129" s="200">
        <f t="shared" si="39"/>
        <v>160</v>
      </c>
      <c r="AI129" s="199">
        <f t="shared" si="40"/>
        <v>3191.51</v>
      </c>
      <c r="AJ129" s="201">
        <f t="shared" si="41"/>
        <v>0.54931325301204825</v>
      </c>
      <c r="AK129" s="200">
        <v>288.03389999999996</v>
      </c>
      <c r="AL129" s="196">
        <v>58.1</v>
      </c>
      <c r="AM129" s="196">
        <v>58.1</v>
      </c>
      <c r="AN129" s="196">
        <v>174.29999999999998</v>
      </c>
      <c r="AO129" s="196">
        <v>37.765000000000001</v>
      </c>
      <c r="AP129" s="196">
        <v>290.5</v>
      </c>
      <c r="AQ129" s="202">
        <f t="shared" si="45"/>
        <v>618.76499999999999</v>
      </c>
      <c r="AR129" s="202">
        <f t="shared" si="43"/>
        <v>906.7989</v>
      </c>
      <c r="AS129" s="203">
        <f t="shared" si="44"/>
        <v>4903.2011000000002</v>
      </c>
    </row>
    <row r="130" spans="2:45" s="131" customFormat="1" ht="18" hidden="1" customHeight="1">
      <c r="B130" s="194" t="s">
        <v>1616</v>
      </c>
      <c r="C130" s="194">
        <v>290</v>
      </c>
      <c r="D130" s="195" t="s">
        <v>1426</v>
      </c>
      <c r="E130" s="196">
        <v>28588</v>
      </c>
      <c r="F130" s="196">
        <v>5288.3</v>
      </c>
      <c r="G130" s="196">
        <v>2550</v>
      </c>
      <c r="H130" s="197">
        <v>2</v>
      </c>
      <c r="I130" s="196">
        <v>24</v>
      </c>
      <c r="J130" s="197">
        <v>26</v>
      </c>
      <c r="K130" s="198">
        <f t="shared" si="31"/>
        <v>1248</v>
      </c>
      <c r="L130" s="197">
        <v>4</v>
      </c>
      <c r="M130" s="196">
        <v>16</v>
      </c>
      <c r="N130" s="197">
        <v>16</v>
      </c>
      <c r="O130" s="198">
        <f t="shared" si="32"/>
        <v>1024</v>
      </c>
      <c r="P130" s="199">
        <f t="shared" si="33"/>
        <v>2272</v>
      </c>
      <c r="Q130" s="197">
        <v>2</v>
      </c>
      <c r="R130" s="196">
        <v>42.5</v>
      </c>
      <c r="S130" s="197">
        <v>26</v>
      </c>
      <c r="T130" s="198">
        <f t="shared" si="34"/>
        <v>2210</v>
      </c>
      <c r="U130" s="197">
        <v>4</v>
      </c>
      <c r="V130" s="196">
        <v>42.5</v>
      </c>
      <c r="W130" s="197">
        <v>16</v>
      </c>
      <c r="X130" s="198">
        <f t="shared" si="35"/>
        <v>2720</v>
      </c>
      <c r="Y130" s="200">
        <f t="shared" si="36"/>
        <v>4930</v>
      </c>
      <c r="Z130" s="197">
        <v>2</v>
      </c>
      <c r="AA130" s="196">
        <v>80</v>
      </c>
      <c r="AB130" s="197">
        <v>2</v>
      </c>
      <c r="AC130" s="198">
        <f t="shared" si="37"/>
        <v>320</v>
      </c>
      <c r="AD130" s="197">
        <v>4</v>
      </c>
      <c r="AE130" s="196">
        <v>90</v>
      </c>
      <c r="AF130" s="196">
        <v>2</v>
      </c>
      <c r="AG130" s="198">
        <f t="shared" si="38"/>
        <v>720</v>
      </c>
      <c r="AH130" s="200">
        <f t="shared" si="39"/>
        <v>1040</v>
      </c>
      <c r="AI130" s="199">
        <f t="shared" si="40"/>
        <v>16080.3</v>
      </c>
      <c r="AJ130" s="201">
        <f t="shared" si="41"/>
        <v>0.56248425912970479</v>
      </c>
      <c r="AK130" s="200">
        <v>1375.847</v>
      </c>
      <c r="AL130" s="196">
        <v>285.88</v>
      </c>
      <c r="AM130" s="196">
        <v>285.88</v>
      </c>
      <c r="AN130" s="196">
        <v>857.64</v>
      </c>
      <c r="AO130" s="196">
        <v>185.822</v>
      </c>
      <c r="AP130" s="196">
        <v>1429.4</v>
      </c>
      <c r="AQ130" s="202">
        <f t="shared" si="45"/>
        <v>3044.6220000000003</v>
      </c>
      <c r="AR130" s="202">
        <f t="shared" si="43"/>
        <v>4420.4690000000001</v>
      </c>
      <c r="AS130" s="203">
        <f t="shared" si="44"/>
        <v>24167.530999999999</v>
      </c>
    </row>
    <row r="131" spans="2:45" s="131" customFormat="1" ht="18" hidden="1" customHeight="1">
      <c r="B131" s="194" t="s">
        <v>1616</v>
      </c>
      <c r="C131" s="194">
        <v>291</v>
      </c>
      <c r="D131" s="195" t="s">
        <v>1478</v>
      </c>
      <c r="E131" s="213">
        <v>5446</v>
      </c>
      <c r="F131" s="196">
        <v>950.61</v>
      </c>
      <c r="G131" s="196">
        <v>351.9</v>
      </c>
      <c r="H131" s="197">
        <v>1</v>
      </c>
      <c r="I131" s="196">
        <v>24</v>
      </c>
      <c r="J131" s="197">
        <v>26</v>
      </c>
      <c r="K131" s="198">
        <f t="shared" si="31"/>
        <v>624</v>
      </c>
      <c r="L131" s="197">
        <v>0</v>
      </c>
      <c r="M131" s="196">
        <v>0</v>
      </c>
      <c r="N131" s="197">
        <v>0</v>
      </c>
      <c r="O131" s="198">
        <f t="shared" si="32"/>
        <v>0</v>
      </c>
      <c r="P131" s="199">
        <f t="shared" si="33"/>
        <v>624</v>
      </c>
      <c r="Q131" s="197">
        <v>1</v>
      </c>
      <c r="R131" s="196">
        <v>42.5</v>
      </c>
      <c r="S131" s="197">
        <v>26</v>
      </c>
      <c r="T131" s="198">
        <f t="shared" si="34"/>
        <v>1105</v>
      </c>
      <c r="U131" s="196">
        <v>0</v>
      </c>
      <c r="V131" s="196">
        <v>0</v>
      </c>
      <c r="W131" s="197">
        <v>0</v>
      </c>
      <c r="X131" s="198">
        <f t="shared" si="35"/>
        <v>0</v>
      </c>
      <c r="Y131" s="200">
        <f t="shared" si="36"/>
        <v>1105</v>
      </c>
      <c r="Z131" s="197">
        <v>1</v>
      </c>
      <c r="AA131" s="196">
        <v>80</v>
      </c>
      <c r="AB131" s="197">
        <v>2</v>
      </c>
      <c r="AC131" s="198">
        <f t="shared" si="37"/>
        <v>160</v>
      </c>
      <c r="AD131" s="197">
        <v>0</v>
      </c>
      <c r="AE131" s="196">
        <v>0</v>
      </c>
      <c r="AF131" s="196">
        <v>0</v>
      </c>
      <c r="AG131" s="198">
        <f t="shared" si="38"/>
        <v>0</v>
      </c>
      <c r="AH131" s="200">
        <f t="shared" si="39"/>
        <v>160</v>
      </c>
      <c r="AI131" s="199">
        <f t="shared" si="40"/>
        <v>3191.51</v>
      </c>
      <c r="AJ131" s="201">
        <v>0.48544887930001196</v>
      </c>
      <c r="AK131" s="200">
        <v>247.99389999999997</v>
      </c>
      <c r="AL131" s="196">
        <v>54.46</v>
      </c>
      <c r="AM131" s="196">
        <v>54.46</v>
      </c>
      <c r="AN131" s="196">
        <v>163.38</v>
      </c>
      <c r="AO131" s="196">
        <v>35.399000000000001</v>
      </c>
      <c r="AP131" s="196">
        <v>272.3</v>
      </c>
      <c r="AQ131" s="202">
        <f t="shared" si="45"/>
        <v>579.99900000000002</v>
      </c>
      <c r="AR131" s="202">
        <f t="shared" si="43"/>
        <v>827.99289999999996</v>
      </c>
      <c r="AS131" s="203">
        <f t="shared" si="44"/>
        <v>4618.0070999999998</v>
      </c>
    </row>
    <row r="132" spans="2:45" s="131" customFormat="1" ht="18" hidden="1" customHeight="1">
      <c r="B132" s="194" t="s">
        <v>1616</v>
      </c>
      <c r="C132" s="194">
        <v>292</v>
      </c>
      <c r="D132" s="217" t="s">
        <v>1499</v>
      </c>
      <c r="E132" s="196">
        <v>34954</v>
      </c>
      <c r="F132" s="196">
        <v>5288.3</v>
      </c>
      <c r="G132" s="196">
        <v>2550</v>
      </c>
      <c r="H132" s="197">
        <v>3</v>
      </c>
      <c r="I132" s="196">
        <v>24</v>
      </c>
      <c r="J132" s="197">
        <v>26</v>
      </c>
      <c r="K132" s="198">
        <f t="shared" si="31"/>
        <v>1872</v>
      </c>
      <c r="L132" s="197">
        <v>4</v>
      </c>
      <c r="M132" s="196">
        <v>16</v>
      </c>
      <c r="N132" s="197">
        <v>16</v>
      </c>
      <c r="O132" s="198">
        <f t="shared" si="32"/>
        <v>1024</v>
      </c>
      <c r="P132" s="199">
        <f t="shared" si="33"/>
        <v>2896</v>
      </c>
      <c r="Q132" s="197">
        <v>3</v>
      </c>
      <c r="R132" s="196">
        <v>42.5</v>
      </c>
      <c r="S132" s="197">
        <v>26</v>
      </c>
      <c r="T132" s="198">
        <f t="shared" si="34"/>
        <v>3315</v>
      </c>
      <c r="U132" s="197">
        <v>4</v>
      </c>
      <c r="V132" s="196">
        <v>42.5</v>
      </c>
      <c r="W132" s="197">
        <v>16</v>
      </c>
      <c r="X132" s="198">
        <f t="shared" si="35"/>
        <v>2720</v>
      </c>
      <c r="Y132" s="200">
        <f t="shared" si="36"/>
        <v>6035</v>
      </c>
      <c r="Z132" s="197">
        <v>3</v>
      </c>
      <c r="AA132" s="196">
        <v>80</v>
      </c>
      <c r="AB132" s="197">
        <v>2</v>
      </c>
      <c r="AC132" s="198">
        <f t="shared" si="37"/>
        <v>480</v>
      </c>
      <c r="AD132" s="197">
        <v>4</v>
      </c>
      <c r="AE132" s="196">
        <v>90</v>
      </c>
      <c r="AF132" s="196">
        <v>2</v>
      </c>
      <c r="AG132" s="198">
        <f t="shared" si="38"/>
        <v>720</v>
      </c>
      <c r="AH132" s="200">
        <f t="shared" si="39"/>
        <v>1200</v>
      </c>
      <c r="AI132" s="199">
        <f>F132+G132+P132+Y132+AH132</f>
        <v>17969.3</v>
      </c>
      <c r="AJ132" s="201">
        <f>AI132/E132</f>
        <v>0.51408422498140416</v>
      </c>
      <c r="AK132" s="200">
        <v>1868.317</v>
      </c>
      <c r="AL132" s="196">
        <v>349.54</v>
      </c>
      <c r="AM132" s="196">
        <v>349.54</v>
      </c>
      <c r="AN132" s="196">
        <v>1048.6199999999999</v>
      </c>
      <c r="AO132" s="196">
        <v>227.20099999999999</v>
      </c>
      <c r="AP132" s="196">
        <v>1747.7</v>
      </c>
      <c r="AQ132" s="202">
        <f t="shared" si="45"/>
        <v>3722.6009999999997</v>
      </c>
      <c r="AR132" s="202">
        <f t="shared" si="43"/>
        <v>5590.9179999999997</v>
      </c>
      <c r="AS132" s="203">
        <f t="shared" si="44"/>
        <v>29363.082000000002</v>
      </c>
    </row>
    <row r="133" spans="2:45" s="131" customFormat="1" ht="18" hidden="1" customHeight="1">
      <c r="B133" s="194" t="s">
        <v>1616</v>
      </c>
      <c r="C133" s="194">
        <v>293</v>
      </c>
      <c r="D133" s="217" t="s">
        <v>49</v>
      </c>
      <c r="E133" s="196">
        <v>29976</v>
      </c>
      <c r="F133" s="196">
        <v>5288.3</v>
      </c>
      <c r="G133" s="196">
        <v>2550</v>
      </c>
      <c r="H133" s="197">
        <v>2</v>
      </c>
      <c r="I133" s="196">
        <v>24</v>
      </c>
      <c r="J133" s="197">
        <v>26</v>
      </c>
      <c r="K133" s="198">
        <f t="shared" si="31"/>
        <v>1248</v>
      </c>
      <c r="L133" s="197">
        <v>4</v>
      </c>
      <c r="M133" s="196">
        <v>16</v>
      </c>
      <c r="N133" s="197">
        <v>16</v>
      </c>
      <c r="O133" s="198">
        <f t="shared" si="32"/>
        <v>1024</v>
      </c>
      <c r="P133" s="199">
        <f t="shared" si="33"/>
        <v>2272</v>
      </c>
      <c r="Q133" s="197">
        <v>2</v>
      </c>
      <c r="R133" s="196">
        <v>42.5</v>
      </c>
      <c r="S133" s="197">
        <v>26</v>
      </c>
      <c r="T133" s="198">
        <f t="shared" si="34"/>
        <v>2210</v>
      </c>
      <c r="U133" s="197">
        <v>4</v>
      </c>
      <c r="V133" s="196">
        <v>42.5</v>
      </c>
      <c r="W133" s="197">
        <v>16</v>
      </c>
      <c r="X133" s="198">
        <f t="shared" si="35"/>
        <v>2720</v>
      </c>
      <c r="Y133" s="200">
        <f t="shared" si="36"/>
        <v>4930</v>
      </c>
      <c r="Z133" s="197">
        <v>2</v>
      </c>
      <c r="AA133" s="196">
        <v>80</v>
      </c>
      <c r="AB133" s="197">
        <v>2</v>
      </c>
      <c r="AC133" s="198">
        <f t="shared" si="37"/>
        <v>320</v>
      </c>
      <c r="AD133" s="197">
        <v>4</v>
      </c>
      <c r="AE133" s="196">
        <v>90</v>
      </c>
      <c r="AF133" s="196">
        <v>2</v>
      </c>
      <c r="AG133" s="198">
        <f t="shared" si="38"/>
        <v>720</v>
      </c>
      <c r="AH133" s="200">
        <f t="shared" si="39"/>
        <v>1040</v>
      </c>
      <c r="AI133" s="199">
        <f>F133+G133+P133+Y133+AH133</f>
        <v>16080.3</v>
      </c>
      <c r="AJ133" s="201">
        <f>AI133/E133</f>
        <v>0.5364391513210568</v>
      </c>
      <c r="AK133" s="200">
        <v>1528.527</v>
      </c>
      <c r="AL133" s="196">
        <v>299.76</v>
      </c>
      <c r="AM133" s="196">
        <v>299.76</v>
      </c>
      <c r="AN133" s="196">
        <v>899.28</v>
      </c>
      <c r="AO133" s="196">
        <v>194.84399999999999</v>
      </c>
      <c r="AP133" s="196">
        <v>1498.8000000000002</v>
      </c>
      <c r="AQ133" s="202">
        <f t="shared" ref="AQ133" si="46">SUM(AL133:AP133)</f>
        <v>3192.4440000000004</v>
      </c>
      <c r="AR133" s="202">
        <f t="shared" si="43"/>
        <v>4720.9710000000005</v>
      </c>
      <c r="AS133" s="203">
        <f t="shared" si="44"/>
        <v>25255.028999999999</v>
      </c>
    </row>
    <row r="134" spans="2:45" s="131" customFormat="1" ht="18" hidden="1" customHeight="1">
      <c r="B134" s="194" t="s">
        <v>1617</v>
      </c>
      <c r="C134" s="259">
        <v>294</v>
      </c>
      <c r="D134" s="195" t="s">
        <v>1694</v>
      </c>
      <c r="E134" s="260">
        <v>26963.738940033134</v>
      </c>
      <c r="F134" s="196">
        <v>2088.4794000000002</v>
      </c>
      <c r="G134" s="196">
        <v>0</v>
      </c>
      <c r="H134" s="197">
        <v>10</v>
      </c>
      <c r="I134" s="196">
        <v>11</v>
      </c>
      <c r="J134" s="197">
        <v>26</v>
      </c>
      <c r="K134" s="198">
        <f>H134*I134*J134</f>
        <v>2860</v>
      </c>
      <c r="L134" s="197">
        <v>0</v>
      </c>
      <c r="M134" s="196">
        <v>0</v>
      </c>
      <c r="N134" s="197">
        <v>0</v>
      </c>
      <c r="O134" s="198">
        <f>L134*M134*N134</f>
        <v>0</v>
      </c>
      <c r="P134" s="199">
        <f>K134+O134</f>
        <v>2860</v>
      </c>
      <c r="Q134" s="197">
        <v>0</v>
      </c>
      <c r="R134" s="196">
        <v>0</v>
      </c>
      <c r="S134" s="197">
        <v>0</v>
      </c>
      <c r="T134" s="198">
        <f>Q134*R134*S134</f>
        <v>0</v>
      </c>
      <c r="U134" s="196">
        <v>0</v>
      </c>
      <c r="V134" s="196">
        <v>0</v>
      </c>
      <c r="W134" s="197">
        <v>0</v>
      </c>
      <c r="X134" s="198">
        <f>U134*V134*W134</f>
        <v>0</v>
      </c>
      <c r="Y134" s="200">
        <f>T134+X134</f>
        <v>0</v>
      </c>
      <c r="Z134" s="197">
        <v>0</v>
      </c>
      <c r="AA134" s="196">
        <v>0</v>
      </c>
      <c r="AB134" s="197">
        <v>0</v>
      </c>
      <c r="AC134" s="198">
        <f>Z134*AA134*AB134</f>
        <v>0</v>
      </c>
      <c r="AD134" s="197">
        <v>0</v>
      </c>
      <c r="AE134" s="196">
        <v>0</v>
      </c>
      <c r="AF134" s="196">
        <v>0</v>
      </c>
      <c r="AG134" s="198">
        <f>AD134*AE134*AF134</f>
        <v>0</v>
      </c>
      <c r="AH134" s="200">
        <f>AC134+AG134</f>
        <v>0</v>
      </c>
      <c r="AI134" s="199">
        <f>F134+G134+P134+Y134+AH134</f>
        <v>4948.4794000000002</v>
      </c>
      <c r="AJ134" s="201">
        <f>AI134/E134</f>
        <v>0.18352348726581758</v>
      </c>
      <c r="AK134" s="200">
        <v>2421.6785494036449</v>
      </c>
      <c r="AL134" s="196">
        <v>269.63738940033136</v>
      </c>
      <c r="AM134" s="196">
        <v>269.63738940033136</v>
      </c>
      <c r="AN134" s="196">
        <v>808.91216820099396</v>
      </c>
      <c r="AO134" s="196">
        <v>175.26430311021537</v>
      </c>
      <c r="AP134" s="196">
        <v>1348.1869470016568</v>
      </c>
      <c r="AQ134" s="202">
        <f>SUM(AL134:AP134)</f>
        <v>2871.6381971135288</v>
      </c>
      <c r="AR134" s="202">
        <f>AK134+AQ134</f>
        <v>5293.3167465171737</v>
      </c>
      <c r="AS134" s="203">
        <f>E134-AR134</f>
        <v>21670.422193515958</v>
      </c>
    </row>
    <row r="135" spans="2:45" s="131" customFormat="1" ht="18" hidden="1" customHeight="1">
      <c r="B135" s="194" t="s">
        <v>1617</v>
      </c>
      <c r="C135" s="194">
        <v>295</v>
      </c>
      <c r="D135" s="195" t="s">
        <v>982</v>
      </c>
      <c r="E135" s="196">
        <v>5928</v>
      </c>
      <c r="F135" s="196">
        <v>950.61</v>
      </c>
      <c r="G135" s="196">
        <v>351.9</v>
      </c>
      <c r="H135" s="197">
        <v>1</v>
      </c>
      <c r="I135" s="196">
        <v>24</v>
      </c>
      <c r="J135" s="197">
        <v>26</v>
      </c>
      <c r="K135" s="198">
        <f t="shared" ref="K135:K142" si="47">H135*I135*J135</f>
        <v>624</v>
      </c>
      <c r="L135" s="197">
        <v>0</v>
      </c>
      <c r="M135" s="196">
        <v>0</v>
      </c>
      <c r="N135" s="197">
        <v>0</v>
      </c>
      <c r="O135" s="198">
        <f t="shared" ref="O135:O142" si="48">L135*M135*N135</f>
        <v>0</v>
      </c>
      <c r="P135" s="199">
        <f t="shared" ref="P135:P142" si="49">K135+O135</f>
        <v>624</v>
      </c>
      <c r="Q135" s="197">
        <v>1</v>
      </c>
      <c r="R135" s="196">
        <v>42.5</v>
      </c>
      <c r="S135" s="197">
        <v>26</v>
      </c>
      <c r="T135" s="198">
        <f t="shared" ref="T135:T142" si="50">Q135*R135*S135</f>
        <v>1105</v>
      </c>
      <c r="U135" s="196">
        <v>0</v>
      </c>
      <c r="V135" s="196">
        <v>0</v>
      </c>
      <c r="W135" s="197">
        <v>0</v>
      </c>
      <c r="X135" s="198">
        <f t="shared" ref="X135:X142" si="51">U135*V135*W135</f>
        <v>0</v>
      </c>
      <c r="Y135" s="200">
        <f t="shared" ref="Y135:Y142" si="52">T135+X135</f>
        <v>1105</v>
      </c>
      <c r="Z135" s="197">
        <v>1</v>
      </c>
      <c r="AA135" s="196">
        <v>80</v>
      </c>
      <c r="AB135" s="197">
        <v>2</v>
      </c>
      <c r="AC135" s="198">
        <f t="shared" ref="AC135:AC142" si="53">Z135*AA135*AB135</f>
        <v>160</v>
      </c>
      <c r="AD135" s="197">
        <v>0</v>
      </c>
      <c r="AE135" s="196">
        <v>0</v>
      </c>
      <c r="AF135" s="196">
        <v>0</v>
      </c>
      <c r="AG135" s="198">
        <f t="shared" ref="AG135:AG142" si="54">AD135*AE135*AF135</f>
        <v>0</v>
      </c>
      <c r="AH135" s="200">
        <f t="shared" ref="AH135:AH142" si="55">AC135+AG135</f>
        <v>160</v>
      </c>
      <c r="AI135" s="199">
        <f t="shared" ref="AI135:AI140" si="56">F135+G135+P135+Y135+AH135</f>
        <v>3191.51</v>
      </c>
      <c r="AJ135" s="201">
        <f>AI135/E135</f>
        <v>0.53837887989203781</v>
      </c>
      <c r="AK135" s="200">
        <v>301.01389999999998</v>
      </c>
      <c r="AL135" s="196">
        <v>59.28</v>
      </c>
      <c r="AM135" s="196">
        <v>59.28</v>
      </c>
      <c r="AN135" s="196">
        <v>177.84</v>
      </c>
      <c r="AO135" s="196">
        <v>38.531999999999996</v>
      </c>
      <c r="AP135" s="196">
        <v>296.40000000000003</v>
      </c>
      <c r="AQ135" s="202">
        <f t="shared" ref="AQ135" si="57">SUM(AL135:AP135)</f>
        <v>631.33199999999999</v>
      </c>
      <c r="AR135" s="202">
        <f t="shared" ref="AR135:AR142" si="58">AK135+AQ135</f>
        <v>932.34590000000003</v>
      </c>
      <c r="AS135" s="203">
        <f t="shared" ref="AS135:AS142" si="59">E135-AR135</f>
        <v>4995.6540999999997</v>
      </c>
    </row>
    <row r="136" spans="2:45" s="131" customFormat="1" ht="18" hidden="1" customHeight="1">
      <c r="B136" s="194" t="s">
        <v>1617</v>
      </c>
      <c r="C136" s="194">
        <v>296</v>
      </c>
      <c r="D136" s="195" t="s">
        <v>1003</v>
      </c>
      <c r="E136" s="196">
        <v>16252</v>
      </c>
      <c r="F136" s="196">
        <v>2550</v>
      </c>
      <c r="G136" s="196">
        <v>703.8</v>
      </c>
      <c r="H136" s="197">
        <v>1</v>
      </c>
      <c r="I136" s="196">
        <v>24</v>
      </c>
      <c r="J136" s="197">
        <v>26</v>
      </c>
      <c r="K136" s="198">
        <f t="shared" si="47"/>
        <v>624</v>
      </c>
      <c r="L136" s="197">
        <v>2</v>
      </c>
      <c r="M136" s="196">
        <v>16</v>
      </c>
      <c r="N136" s="197">
        <v>16</v>
      </c>
      <c r="O136" s="198">
        <f t="shared" si="48"/>
        <v>512</v>
      </c>
      <c r="P136" s="199">
        <f t="shared" si="49"/>
        <v>1136</v>
      </c>
      <c r="Q136" s="197">
        <v>1</v>
      </c>
      <c r="R136" s="196">
        <v>42.5</v>
      </c>
      <c r="S136" s="197">
        <v>26</v>
      </c>
      <c r="T136" s="198">
        <f t="shared" si="50"/>
        <v>1105</v>
      </c>
      <c r="U136" s="196">
        <v>2</v>
      </c>
      <c r="V136" s="196">
        <v>42.5</v>
      </c>
      <c r="W136" s="197">
        <v>16</v>
      </c>
      <c r="X136" s="198">
        <f t="shared" si="51"/>
        <v>1360</v>
      </c>
      <c r="Y136" s="200">
        <f t="shared" si="52"/>
        <v>2465</v>
      </c>
      <c r="Z136" s="197">
        <v>1</v>
      </c>
      <c r="AA136" s="196">
        <v>80</v>
      </c>
      <c r="AB136" s="197">
        <v>2</v>
      </c>
      <c r="AC136" s="198">
        <f t="shared" si="53"/>
        <v>160</v>
      </c>
      <c r="AD136" s="197">
        <v>2</v>
      </c>
      <c r="AE136" s="196">
        <v>80</v>
      </c>
      <c r="AF136" s="197">
        <v>2</v>
      </c>
      <c r="AG136" s="198">
        <f t="shared" si="54"/>
        <v>320</v>
      </c>
      <c r="AH136" s="200">
        <f t="shared" si="55"/>
        <v>480</v>
      </c>
      <c r="AI136" s="199">
        <f t="shared" si="56"/>
        <v>7334.8</v>
      </c>
      <c r="AJ136" s="201">
        <f t="shared" ref="AJ136:AJ139" si="60">AI136/E136</f>
        <v>0.45131676101402907</v>
      </c>
      <c r="AK136" s="200">
        <v>980.89200000000005</v>
      </c>
      <c r="AL136" s="196">
        <v>162.52000000000001</v>
      </c>
      <c r="AM136" s="196">
        <v>162.52000000000001</v>
      </c>
      <c r="AN136" s="196">
        <v>487.56</v>
      </c>
      <c r="AO136" s="196">
        <v>105.63799999999999</v>
      </c>
      <c r="AP136" s="196">
        <v>812.6</v>
      </c>
      <c r="AQ136" s="202">
        <f t="shared" ref="AQ136:AQ141" si="61">SUM(AL136:AP136)</f>
        <v>1730.8380000000002</v>
      </c>
      <c r="AR136" s="202">
        <f t="shared" si="58"/>
        <v>2711.7300000000005</v>
      </c>
      <c r="AS136" s="203">
        <f t="shared" si="59"/>
        <v>13540.27</v>
      </c>
    </row>
    <row r="137" spans="2:45" s="131" customFormat="1" ht="18" hidden="1" customHeight="1">
      <c r="B137" s="194" t="s">
        <v>1617</v>
      </c>
      <c r="C137" s="194">
        <v>297</v>
      </c>
      <c r="D137" s="195" t="s">
        <v>1082</v>
      </c>
      <c r="E137" s="196">
        <v>5562</v>
      </c>
      <c r="F137" s="196">
        <v>950.61</v>
      </c>
      <c r="G137" s="196">
        <v>351.9</v>
      </c>
      <c r="H137" s="197">
        <v>1</v>
      </c>
      <c r="I137" s="196">
        <v>24</v>
      </c>
      <c r="J137" s="197">
        <v>26</v>
      </c>
      <c r="K137" s="198">
        <f t="shared" si="47"/>
        <v>624</v>
      </c>
      <c r="L137" s="197">
        <v>0</v>
      </c>
      <c r="M137" s="196">
        <v>0</v>
      </c>
      <c r="N137" s="197">
        <v>0</v>
      </c>
      <c r="O137" s="198">
        <f t="shared" si="48"/>
        <v>0</v>
      </c>
      <c r="P137" s="199">
        <f t="shared" si="49"/>
        <v>624</v>
      </c>
      <c r="Q137" s="197">
        <v>1</v>
      </c>
      <c r="R137" s="196">
        <v>42.5</v>
      </c>
      <c r="S137" s="197">
        <v>26</v>
      </c>
      <c r="T137" s="198">
        <f t="shared" si="50"/>
        <v>1105</v>
      </c>
      <c r="U137" s="196">
        <v>0</v>
      </c>
      <c r="V137" s="196">
        <v>0</v>
      </c>
      <c r="W137" s="197">
        <v>0</v>
      </c>
      <c r="X137" s="198">
        <f t="shared" si="51"/>
        <v>0</v>
      </c>
      <c r="Y137" s="200">
        <f t="shared" si="52"/>
        <v>1105</v>
      </c>
      <c r="Z137" s="197">
        <v>1</v>
      </c>
      <c r="AA137" s="196">
        <v>80</v>
      </c>
      <c r="AB137" s="197">
        <v>2</v>
      </c>
      <c r="AC137" s="198">
        <f t="shared" si="53"/>
        <v>160</v>
      </c>
      <c r="AD137" s="197">
        <v>0</v>
      </c>
      <c r="AE137" s="196">
        <v>0</v>
      </c>
      <c r="AF137" s="196">
        <v>0</v>
      </c>
      <c r="AG137" s="198">
        <f t="shared" si="54"/>
        <v>0</v>
      </c>
      <c r="AH137" s="200">
        <f t="shared" si="55"/>
        <v>160</v>
      </c>
      <c r="AI137" s="199">
        <f t="shared" si="56"/>
        <v>3191.51</v>
      </c>
      <c r="AJ137" s="201">
        <f t="shared" si="60"/>
        <v>0.57380618482560231</v>
      </c>
      <c r="AK137" s="200">
        <v>260.75389999999999</v>
      </c>
      <c r="AL137" s="196">
        <v>55.620000000000005</v>
      </c>
      <c r="AM137" s="196">
        <v>55.620000000000005</v>
      </c>
      <c r="AN137" s="196">
        <v>166.85999999999999</v>
      </c>
      <c r="AO137" s="196">
        <v>36.152999999999999</v>
      </c>
      <c r="AP137" s="196">
        <v>278.10000000000002</v>
      </c>
      <c r="AQ137" s="202">
        <f t="shared" si="61"/>
        <v>592.35300000000007</v>
      </c>
      <c r="AR137" s="202">
        <f t="shared" si="58"/>
        <v>853.1069</v>
      </c>
      <c r="AS137" s="203">
        <f t="shared" si="59"/>
        <v>4708.8931000000002</v>
      </c>
    </row>
    <row r="138" spans="2:45" s="131" customFormat="1" ht="18" hidden="1" customHeight="1">
      <c r="B138" s="194" t="s">
        <v>1617</v>
      </c>
      <c r="C138" s="194">
        <v>298</v>
      </c>
      <c r="D138" s="195" t="s">
        <v>1081</v>
      </c>
      <c r="E138" s="196">
        <v>5810</v>
      </c>
      <c r="F138" s="196">
        <v>950.61</v>
      </c>
      <c r="G138" s="196">
        <v>351.9</v>
      </c>
      <c r="H138" s="197">
        <v>1</v>
      </c>
      <c r="I138" s="196">
        <v>24</v>
      </c>
      <c r="J138" s="197">
        <v>26</v>
      </c>
      <c r="K138" s="198">
        <f t="shared" si="47"/>
        <v>624</v>
      </c>
      <c r="L138" s="197">
        <v>0</v>
      </c>
      <c r="M138" s="196">
        <v>0</v>
      </c>
      <c r="N138" s="197">
        <v>0</v>
      </c>
      <c r="O138" s="198">
        <f t="shared" si="48"/>
        <v>0</v>
      </c>
      <c r="P138" s="199">
        <f t="shared" si="49"/>
        <v>624</v>
      </c>
      <c r="Q138" s="197">
        <v>1</v>
      </c>
      <c r="R138" s="196">
        <v>42.5</v>
      </c>
      <c r="S138" s="197">
        <v>26</v>
      </c>
      <c r="T138" s="198">
        <f t="shared" si="50"/>
        <v>1105</v>
      </c>
      <c r="U138" s="196">
        <v>0</v>
      </c>
      <c r="V138" s="196">
        <v>0</v>
      </c>
      <c r="W138" s="197">
        <v>0</v>
      </c>
      <c r="X138" s="198">
        <f t="shared" si="51"/>
        <v>0</v>
      </c>
      <c r="Y138" s="200">
        <f t="shared" si="52"/>
        <v>1105</v>
      </c>
      <c r="Z138" s="197">
        <v>1</v>
      </c>
      <c r="AA138" s="196">
        <v>80</v>
      </c>
      <c r="AB138" s="197">
        <v>2</v>
      </c>
      <c r="AC138" s="198">
        <f t="shared" si="53"/>
        <v>160</v>
      </c>
      <c r="AD138" s="197">
        <v>0</v>
      </c>
      <c r="AE138" s="196">
        <v>0</v>
      </c>
      <c r="AF138" s="196">
        <v>0</v>
      </c>
      <c r="AG138" s="198">
        <f t="shared" si="54"/>
        <v>0</v>
      </c>
      <c r="AH138" s="200">
        <f t="shared" si="55"/>
        <v>160</v>
      </c>
      <c r="AI138" s="199">
        <f t="shared" si="56"/>
        <v>3191.51</v>
      </c>
      <c r="AJ138" s="201">
        <f t="shared" si="60"/>
        <v>0.54931325301204825</v>
      </c>
      <c r="AK138" s="200">
        <v>288.03389999999996</v>
      </c>
      <c r="AL138" s="196">
        <v>58.1</v>
      </c>
      <c r="AM138" s="196">
        <v>58.1</v>
      </c>
      <c r="AN138" s="196">
        <v>174.29999999999998</v>
      </c>
      <c r="AO138" s="196">
        <v>37.765000000000001</v>
      </c>
      <c r="AP138" s="196">
        <v>290.5</v>
      </c>
      <c r="AQ138" s="202">
        <f t="shared" si="61"/>
        <v>618.76499999999999</v>
      </c>
      <c r="AR138" s="202">
        <f t="shared" si="58"/>
        <v>906.7989</v>
      </c>
      <c r="AS138" s="203">
        <f t="shared" si="59"/>
        <v>4903.2011000000002</v>
      </c>
    </row>
    <row r="139" spans="2:45" s="131" customFormat="1" ht="18" hidden="1" customHeight="1">
      <c r="B139" s="194" t="s">
        <v>1617</v>
      </c>
      <c r="C139" s="194">
        <v>299</v>
      </c>
      <c r="D139" s="195" t="s">
        <v>1426</v>
      </c>
      <c r="E139" s="196">
        <v>28588</v>
      </c>
      <c r="F139" s="196">
        <v>5288.3</v>
      </c>
      <c r="G139" s="196">
        <v>2550</v>
      </c>
      <c r="H139" s="197">
        <v>2</v>
      </c>
      <c r="I139" s="196">
        <v>24</v>
      </c>
      <c r="J139" s="197">
        <v>26</v>
      </c>
      <c r="K139" s="198">
        <f t="shared" si="47"/>
        <v>1248</v>
      </c>
      <c r="L139" s="197">
        <v>4</v>
      </c>
      <c r="M139" s="196">
        <v>16</v>
      </c>
      <c r="N139" s="197">
        <v>16</v>
      </c>
      <c r="O139" s="198">
        <f t="shared" si="48"/>
        <v>1024</v>
      </c>
      <c r="P139" s="199">
        <f t="shared" si="49"/>
        <v>2272</v>
      </c>
      <c r="Q139" s="197">
        <v>2</v>
      </c>
      <c r="R139" s="196">
        <v>42.5</v>
      </c>
      <c r="S139" s="197">
        <v>26</v>
      </c>
      <c r="T139" s="198">
        <f t="shared" si="50"/>
        <v>2210</v>
      </c>
      <c r="U139" s="197">
        <v>4</v>
      </c>
      <c r="V139" s="196">
        <v>42.5</v>
      </c>
      <c r="W139" s="197">
        <v>16</v>
      </c>
      <c r="X139" s="198">
        <f t="shared" si="51"/>
        <v>2720</v>
      </c>
      <c r="Y139" s="200">
        <f t="shared" si="52"/>
        <v>4930</v>
      </c>
      <c r="Z139" s="197">
        <v>2</v>
      </c>
      <c r="AA139" s="196">
        <v>80</v>
      </c>
      <c r="AB139" s="197">
        <v>2</v>
      </c>
      <c r="AC139" s="198">
        <f t="shared" si="53"/>
        <v>320</v>
      </c>
      <c r="AD139" s="197">
        <v>4</v>
      </c>
      <c r="AE139" s="196">
        <v>90</v>
      </c>
      <c r="AF139" s="196">
        <v>2</v>
      </c>
      <c r="AG139" s="198">
        <f t="shared" si="54"/>
        <v>720</v>
      </c>
      <c r="AH139" s="200">
        <f t="shared" si="55"/>
        <v>1040</v>
      </c>
      <c r="AI139" s="199">
        <f t="shared" si="56"/>
        <v>16080.3</v>
      </c>
      <c r="AJ139" s="201">
        <f t="shared" si="60"/>
        <v>0.56248425912970479</v>
      </c>
      <c r="AK139" s="200">
        <v>1375.847</v>
      </c>
      <c r="AL139" s="196">
        <v>285.88</v>
      </c>
      <c r="AM139" s="196">
        <v>285.88</v>
      </c>
      <c r="AN139" s="196">
        <v>857.64</v>
      </c>
      <c r="AO139" s="196">
        <v>185.822</v>
      </c>
      <c r="AP139" s="196">
        <v>1429.4</v>
      </c>
      <c r="AQ139" s="202">
        <f t="shared" si="61"/>
        <v>3044.6220000000003</v>
      </c>
      <c r="AR139" s="202">
        <f t="shared" si="58"/>
        <v>4420.4690000000001</v>
      </c>
      <c r="AS139" s="203">
        <f t="shared" si="59"/>
        <v>24167.530999999999</v>
      </c>
    </row>
    <row r="140" spans="2:45" s="131" customFormat="1" ht="18" hidden="1" customHeight="1">
      <c r="B140" s="194" t="s">
        <v>1617</v>
      </c>
      <c r="C140" s="259">
        <v>300</v>
      </c>
      <c r="D140" s="195" t="s">
        <v>1478</v>
      </c>
      <c r="E140" s="213">
        <v>5446</v>
      </c>
      <c r="F140" s="260">
        <v>911.65</v>
      </c>
      <c r="G140" s="260">
        <v>131.08000000000001</v>
      </c>
      <c r="H140" s="197">
        <v>1</v>
      </c>
      <c r="I140" s="196">
        <v>16</v>
      </c>
      <c r="J140" s="197">
        <v>26</v>
      </c>
      <c r="K140" s="198">
        <f t="shared" si="47"/>
        <v>416</v>
      </c>
      <c r="L140" s="197">
        <v>0</v>
      </c>
      <c r="M140" s="196">
        <v>0</v>
      </c>
      <c r="N140" s="197">
        <v>0</v>
      </c>
      <c r="O140" s="198">
        <f t="shared" si="48"/>
        <v>0</v>
      </c>
      <c r="P140" s="199">
        <f t="shared" si="49"/>
        <v>416</v>
      </c>
      <c r="Q140" s="197">
        <v>1</v>
      </c>
      <c r="R140" s="196">
        <v>42.5</v>
      </c>
      <c r="S140" s="197">
        <v>26</v>
      </c>
      <c r="T140" s="198">
        <f t="shared" si="50"/>
        <v>1105</v>
      </c>
      <c r="U140" s="196">
        <v>0</v>
      </c>
      <c r="V140" s="196">
        <v>0</v>
      </c>
      <c r="W140" s="197">
        <v>0</v>
      </c>
      <c r="X140" s="198">
        <f t="shared" si="51"/>
        <v>0</v>
      </c>
      <c r="Y140" s="200">
        <f t="shared" si="52"/>
        <v>1105</v>
      </c>
      <c r="Z140" s="197">
        <v>1</v>
      </c>
      <c r="AA140" s="196">
        <v>80</v>
      </c>
      <c r="AB140" s="197">
        <v>1</v>
      </c>
      <c r="AC140" s="198">
        <f t="shared" si="53"/>
        <v>80</v>
      </c>
      <c r="AD140" s="197">
        <v>0</v>
      </c>
      <c r="AE140" s="196">
        <v>0</v>
      </c>
      <c r="AF140" s="196">
        <v>0</v>
      </c>
      <c r="AG140" s="198">
        <f t="shared" si="54"/>
        <v>0</v>
      </c>
      <c r="AH140" s="200">
        <f t="shared" si="55"/>
        <v>80</v>
      </c>
      <c r="AI140" s="199">
        <f t="shared" si="56"/>
        <v>2643.73</v>
      </c>
      <c r="AJ140" s="201">
        <v>0.48544887930001196</v>
      </c>
      <c r="AK140" s="200">
        <v>308.24970000000002</v>
      </c>
      <c r="AL140" s="196">
        <v>54.46</v>
      </c>
      <c r="AM140" s="196">
        <v>54.46</v>
      </c>
      <c r="AN140" s="196">
        <v>163.38</v>
      </c>
      <c r="AO140" s="196">
        <v>35.399000000000001</v>
      </c>
      <c r="AP140" s="196">
        <v>272.3</v>
      </c>
      <c r="AQ140" s="202">
        <f t="shared" si="61"/>
        <v>579.99900000000002</v>
      </c>
      <c r="AR140" s="202">
        <f t="shared" si="58"/>
        <v>888.2487000000001</v>
      </c>
      <c r="AS140" s="203">
        <f t="shared" si="59"/>
        <v>4557.7512999999999</v>
      </c>
    </row>
    <row r="141" spans="2:45" s="131" customFormat="1" ht="18" hidden="1" customHeight="1">
      <c r="B141" s="194" t="s">
        <v>1617</v>
      </c>
      <c r="C141" s="194">
        <v>301</v>
      </c>
      <c r="D141" s="217" t="s">
        <v>1499</v>
      </c>
      <c r="E141" s="196">
        <v>34954</v>
      </c>
      <c r="F141" s="196">
        <v>5288.3</v>
      </c>
      <c r="G141" s="196">
        <v>2550</v>
      </c>
      <c r="H141" s="197">
        <v>3</v>
      </c>
      <c r="I141" s="196">
        <v>24</v>
      </c>
      <c r="J141" s="197">
        <v>26</v>
      </c>
      <c r="K141" s="198">
        <f t="shared" si="47"/>
        <v>1872</v>
      </c>
      <c r="L141" s="197">
        <v>4</v>
      </c>
      <c r="M141" s="196">
        <v>16</v>
      </c>
      <c r="N141" s="197">
        <v>16</v>
      </c>
      <c r="O141" s="198">
        <f t="shared" si="48"/>
        <v>1024</v>
      </c>
      <c r="P141" s="199">
        <f t="shared" si="49"/>
        <v>2896</v>
      </c>
      <c r="Q141" s="197">
        <v>3</v>
      </c>
      <c r="R141" s="196">
        <v>42.5</v>
      </c>
      <c r="S141" s="197">
        <v>26</v>
      </c>
      <c r="T141" s="198">
        <f t="shared" si="50"/>
        <v>3315</v>
      </c>
      <c r="U141" s="197">
        <v>4</v>
      </c>
      <c r="V141" s="196">
        <v>42.5</v>
      </c>
      <c r="W141" s="197">
        <v>16</v>
      </c>
      <c r="X141" s="198">
        <f t="shared" si="51"/>
        <v>2720</v>
      </c>
      <c r="Y141" s="200">
        <f t="shared" si="52"/>
        <v>6035</v>
      </c>
      <c r="Z141" s="197">
        <v>3</v>
      </c>
      <c r="AA141" s="196">
        <v>80</v>
      </c>
      <c r="AB141" s="197">
        <v>2</v>
      </c>
      <c r="AC141" s="198">
        <f t="shared" si="53"/>
        <v>480</v>
      </c>
      <c r="AD141" s="197">
        <v>4</v>
      </c>
      <c r="AE141" s="196">
        <v>90</v>
      </c>
      <c r="AF141" s="196">
        <v>2</v>
      </c>
      <c r="AG141" s="198">
        <f t="shared" si="54"/>
        <v>720</v>
      </c>
      <c r="AH141" s="200">
        <f t="shared" si="55"/>
        <v>1200</v>
      </c>
      <c r="AI141" s="199">
        <f>F141+G141+P141+Y141+AH141</f>
        <v>17969.3</v>
      </c>
      <c r="AJ141" s="201">
        <f>AI141/E141</f>
        <v>0.51408422498140416</v>
      </c>
      <c r="AK141" s="200">
        <v>1868.317</v>
      </c>
      <c r="AL141" s="196">
        <v>349.54</v>
      </c>
      <c r="AM141" s="196">
        <v>349.54</v>
      </c>
      <c r="AN141" s="196">
        <v>1048.6199999999999</v>
      </c>
      <c r="AO141" s="196">
        <v>227.20099999999999</v>
      </c>
      <c r="AP141" s="196">
        <v>1747.7</v>
      </c>
      <c r="AQ141" s="202">
        <f t="shared" si="61"/>
        <v>3722.6009999999997</v>
      </c>
      <c r="AR141" s="202">
        <f t="shared" si="58"/>
        <v>5590.9179999999997</v>
      </c>
      <c r="AS141" s="203">
        <f t="shared" si="59"/>
        <v>29363.082000000002</v>
      </c>
    </row>
    <row r="142" spans="2:45" s="131" customFormat="1" ht="18" hidden="1" customHeight="1">
      <c r="B142" s="194" t="s">
        <v>1617</v>
      </c>
      <c r="C142" s="194">
        <v>302</v>
      </c>
      <c r="D142" s="217" t="s">
        <v>49</v>
      </c>
      <c r="E142" s="196">
        <v>29976</v>
      </c>
      <c r="F142" s="196">
        <v>5288.3</v>
      </c>
      <c r="G142" s="196">
        <v>2550</v>
      </c>
      <c r="H142" s="197">
        <v>2</v>
      </c>
      <c r="I142" s="196">
        <v>24</v>
      </c>
      <c r="J142" s="197">
        <v>26</v>
      </c>
      <c r="K142" s="198">
        <f t="shared" si="47"/>
        <v>1248</v>
      </c>
      <c r="L142" s="197">
        <v>4</v>
      </c>
      <c r="M142" s="196">
        <v>16</v>
      </c>
      <c r="N142" s="197">
        <v>16</v>
      </c>
      <c r="O142" s="198">
        <f t="shared" si="48"/>
        <v>1024</v>
      </c>
      <c r="P142" s="199">
        <f t="shared" si="49"/>
        <v>2272</v>
      </c>
      <c r="Q142" s="197">
        <v>2</v>
      </c>
      <c r="R142" s="196">
        <v>42.5</v>
      </c>
      <c r="S142" s="197">
        <v>26</v>
      </c>
      <c r="T142" s="198">
        <f t="shared" si="50"/>
        <v>2210</v>
      </c>
      <c r="U142" s="197">
        <v>4</v>
      </c>
      <c r="V142" s="196">
        <v>42.5</v>
      </c>
      <c r="W142" s="197">
        <v>16</v>
      </c>
      <c r="X142" s="198">
        <f t="shared" si="51"/>
        <v>2720</v>
      </c>
      <c r="Y142" s="200">
        <f t="shared" si="52"/>
        <v>4930</v>
      </c>
      <c r="Z142" s="197">
        <v>2</v>
      </c>
      <c r="AA142" s="196">
        <v>80</v>
      </c>
      <c r="AB142" s="197">
        <v>2</v>
      </c>
      <c r="AC142" s="198">
        <f t="shared" si="53"/>
        <v>320</v>
      </c>
      <c r="AD142" s="197">
        <v>4</v>
      </c>
      <c r="AE142" s="196">
        <v>90</v>
      </c>
      <c r="AF142" s="196">
        <v>2</v>
      </c>
      <c r="AG142" s="198">
        <f t="shared" si="54"/>
        <v>720</v>
      </c>
      <c r="AH142" s="200">
        <f t="shared" si="55"/>
        <v>1040</v>
      </c>
      <c r="AI142" s="199">
        <f>F142+G142+P142+Y142+AH142</f>
        <v>16080.3</v>
      </c>
      <c r="AJ142" s="201">
        <f>AI142/E142</f>
        <v>0.5364391513210568</v>
      </c>
      <c r="AK142" s="200">
        <v>1528.527</v>
      </c>
      <c r="AL142" s="196">
        <v>299.76</v>
      </c>
      <c r="AM142" s="196">
        <v>299.76</v>
      </c>
      <c r="AN142" s="196">
        <v>899.28</v>
      </c>
      <c r="AO142" s="196">
        <v>194.84399999999999</v>
      </c>
      <c r="AP142" s="196">
        <v>1498.8000000000002</v>
      </c>
      <c r="AQ142" s="202">
        <f t="shared" ref="AQ142" si="62">SUM(AL142:AP142)</f>
        <v>3192.4440000000004</v>
      </c>
      <c r="AR142" s="202">
        <f t="shared" si="58"/>
        <v>4720.9710000000005</v>
      </c>
      <c r="AS142" s="203">
        <f t="shared" si="59"/>
        <v>25255.028999999999</v>
      </c>
    </row>
    <row r="143" spans="2:45" s="131" customFormat="1" ht="18" hidden="1" customHeight="1">
      <c r="B143" s="194" t="s">
        <v>1618</v>
      </c>
      <c r="C143" s="194">
        <v>303</v>
      </c>
      <c r="D143" s="195" t="s">
        <v>1694</v>
      </c>
      <c r="E143" s="196">
        <v>21514.983029343541</v>
      </c>
      <c r="F143" s="196">
        <v>2088.4794000000002</v>
      </c>
      <c r="G143" s="196">
        <v>0</v>
      </c>
      <c r="H143" s="197">
        <v>10</v>
      </c>
      <c r="I143" s="196">
        <v>11</v>
      </c>
      <c r="J143" s="197">
        <v>26</v>
      </c>
      <c r="K143" s="198">
        <f>H143*I143*J143</f>
        <v>2860</v>
      </c>
      <c r="L143" s="197">
        <v>0</v>
      </c>
      <c r="M143" s="196">
        <v>0</v>
      </c>
      <c r="N143" s="197">
        <v>0</v>
      </c>
      <c r="O143" s="198">
        <f>L143*M143*N143</f>
        <v>0</v>
      </c>
      <c r="P143" s="199">
        <f>K143+O143</f>
        <v>2860</v>
      </c>
      <c r="Q143" s="197">
        <v>0</v>
      </c>
      <c r="R143" s="196">
        <v>0</v>
      </c>
      <c r="S143" s="197">
        <v>0</v>
      </c>
      <c r="T143" s="198">
        <f>Q143*R143*S143</f>
        <v>0</v>
      </c>
      <c r="U143" s="196">
        <v>0</v>
      </c>
      <c r="V143" s="196">
        <v>0</v>
      </c>
      <c r="W143" s="197">
        <v>0</v>
      </c>
      <c r="X143" s="198">
        <f>U143*V143*W143</f>
        <v>0</v>
      </c>
      <c r="Y143" s="200">
        <f>T143+X143</f>
        <v>0</v>
      </c>
      <c r="Z143" s="197">
        <v>0</v>
      </c>
      <c r="AA143" s="196">
        <v>0</v>
      </c>
      <c r="AB143" s="197">
        <v>0</v>
      </c>
      <c r="AC143" s="198">
        <f>Z143*AA143*AB143</f>
        <v>0</v>
      </c>
      <c r="AD143" s="197">
        <v>0</v>
      </c>
      <c r="AE143" s="196">
        <v>0</v>
      </c>
      <c r="AF143" s="196">
        <v>0</v>
      </c>
      <c r="AG143" s="198">
        <f>AD143*AE143*AF143</f>
        <v>0</v>
      </c>
      <c r="AH143" s="200">
        <f>AC143+AG143</f>
        <v>0</v>
      </c>
      <c r="AI143" s="199">
        <f>F143+G143+P143+Y143+AH143</f>
        <v>4948.4794000000002</v>
      </c>
      <c r="AJ143" s="201">
        <f>AI143/E143</f>
        <v>0.23000154790970276</v>
      </c>
      <c r="AK143" s="200">
        <v>1822.3153992277894</v>
      </c>
      <c r="AL143" s="196">
        <v>215.1498302934354</v>
      </c>
      <c r="AM143" s="196">
        <v>215.1498302934354</v>
      </c>
      <c r="AN143" s="196">
        <v>645.44949088030614</v>
      </c>
      <c r="AO143" s="196">
        <v>139.847389690733</v>
      </c>
      <c r="AP143" s="196">
        <v>1075.7491514671772</v>
      </c>
      <c r="AQ143" s="202">
        <f>SUM(AL143:AP143)</f>
        <v>2291.3456926250874</v>
      </c>
      <c r="AR143" s="202">
        <f>AK143+AQ143</f>
        <v>4113.6610918528768</v>
      </c>
      <c r="AS143" s="203">
        <f>E143-AR143</f>
        <v>17401.321937490662</v>
      </c>
    </row>
    <row r="144" spans="2:45" s="131" customFormat="1" ht="18" hidden="1" customHeight="1">
      <c r="B144" s="194" t="s">
        <v>1618</v>
      </c>
      <c r="C144" s="194">
        <v>304</v>
      </c>
      <c r="D144" s="195" t="s">
        <v>982</v>
      </c>
      <c r="E144" s="196">
        <v>5928</v>
      </c>
      <c r="F144" s="196">
        <v>950.61</v>
      </c>
      <c r="G144" s="196">
        <v>351.9</v>
      </c>
      <c r="H144" s="197">
        <v>1</v>
      </c>
      <c r="I144" s="196">
        <v>24</v>
      </c>
      <c r="J144" s="197">
        <v>26</v>
      </c>
      <c r="K144" s="198">
        <f t="shared" ref="K144:K151" si="63">H144*I144*J144</f>
        <v>624</v>
      </c>
      <c r="L144" s="197">
        <v>0</v>
      </c>
      <c r="M144" s="196">
        <v>0</v>
      </c>
      <c r="N144" s="197">
        <v>0</v>
      </c>
      <c r="O144" s="198">
        <f t="shared" ref="O144:O151" si="64">L144*M144*N144</f>
        <v>0</v>
      </c>
      <c r="P144" s="199">
        <f t="shared" ref="P144:P151" si="65">K144+O144</f>
        <v>624</v>
      </c>
      <c r="Q144" s="197">
        <v>1</v>
      </c>
      <c r="R144" s="196">
        <v>42.5</v>
      </c>
      <c r="S144" s="197">
        <v>26</v>
      </c>
      <c r="T144" s="198">
        <f t="shared" ref="T144:T151" si="66">Q144*R144*S144</f>
        <v>1105</v>
      </c>
      <c r="U144" s="196">
        <v>0</v>
      </c>
      <c r="V144" s="196">
        <v>0</v>
      </c>
      <c r="W144" s="197">
        <v>0</v>
      </c>
      <c r="X144" s="198">
        <f t="shared" ref="X144:X151" si="67">U144*V144*W144</f>
        <v>0</v>
      </c>
      <c r="Y144" s="200">
        <f t="shared" ref="Y144:Y151" si="68">T144+X144</f>
        <v>1105</v>
      </c>
      <c r="Z144" s="197">
        <v>1</v>
      </c>
      <c r="AA144" s="196">
        <v>80</v>
      </c>
      <c r="AB144" s="197">
        <v>2</v>
      </c>
      <c r="AC144" s="198">
        <f t="shared" ref="AC144:AC151" si="69">Z144*AA144*AB144</f>
        <v>160</v>
      </c>
      <c r="AD144" s="197">
        <v>0</v>
      </c>
      <c r="AE144" s="196">
        <v>0</v>
      </c>
      <c r="AF144" s="196">
        <v>0</v>
      </c>
      <c r="AG144" s="198">
        <f t="shared" ref="AG144:AG151" si="70">AD144*AE144*AF144</f>
        <v>0</v>
      </c>
      <c r="AH144" s="200">
        <f t="shared" ref="AH144:AH151" si="71">AC144+AG144</f>
        <v>160</v>
      </c>
      <c r="AI144" s="199">
        <f t="shared" ref="AI144:AI149" si="72">F144+G144+P144+Y144+AH144</f>
        <v>3191.51</v>
      </c>
      <c r="AJ144" s="201">
        <f>AI144/E144</f>
        <v>0.53837887989203781</v>
      </c>
      <c r="AK144" s="200">
        <v>301.01389999999998</v>
      </c>
      <c r="AL144" s="196">
        <v>59.28</v>
      </c>
      <c r="AM144" s="196">
        <v>59.28</v>
      </c>
      <c r="AN144" s="196">
        <v>177.84</v>
      </c>
      <c r="AO144" s="196">
        <v>38.531999999999996</v>
      </c>
      <c r="AP144" s="196">
        <v>296.40000000000003</v>
      </c>
      <c r="AQ144" s="202">
        <f t="shared" ref="AQ144" si="73">SUM(AL144:AP144)</f>
        <v>631.33199999999999</v>
      </c>
      <c r="AR144" s="202">
        <f t="shared" ref="AR144:AR151" si="74">AK144+AQ144</f>
        <v>932.34590000000003</v>
      </c>
      <c r="AS144" s="203">
        <f t="shared" ref="AS144:AS151" si="75">E144-AR144</f>
        <v>4995.6540999999997</v>
      </c>
    </row>
    <row r="145" spans="2:45" s="131" customFormat="1" ht="18" hidden="1" customHeight="1">
      <c r="B145" s="194" t="s">
        <v>1618</v>
      </c>
      <c r="C145" s="194">
        <v>305</v>
      </c>
      <c r="D145" s="195" t="s">
        <v>1003</v>
      </c>
      <c r="E145" s="196">
        <v>16252</v>
      </c>
      <c r="F145" s="196">
        <v>2550</v>
      </c>
      <c r="G145" s="196">
        <v>703.8</v>
      </c>
      <c r="H145" s="197">
        <v>1</v>
      </c>
      <c r="I145" s="196">
        <v>24</v>
      </c>
      <c r="J145" s="197">
        <v>26</v>
      </c>
      <c r="K145" s="198">
        <f t="shared" si="63"/>
        <v>624</v>
      </c>
      <c r="L145" s="197">
        <v>2</v>
      </c>
      <c r="M145" s="196">
        <v>16</v>
      </c>
      <c r="N145" s="197">
        <v>16</v>
      </c>
      <c r="O145" s="198">
        <f t="shared" si="64"/>
        <v>512</v>
      </c>
      <c r="P145" s="199">
        <f t="shared" si="65"/>
        <v>1136</v>
      </c>
      <c r="Q145" s="197">
        <v>1</v>
      </c>
      <c r="R145" s="196">
        <v>42.5</v>
      </c>
      <c r="S145" s="197">
        <v>26</v>
      </c>
      <c r="T145" s="198">
        <f t="shared" si="66"/>
        <v>1105</v>
      </c>
      <c r="U145" s="196">
        <v>2</v>
      </c>
      <c r="V145" s="196">
        <v>42.5</v>
      </c>
      <c r="W145" s="197">
        <v>16</v>
      </c>
      <c r="X145" s="198">
        <f t="shared" si="67"/>
        <v>1360</v>
      </c>
      <c r="Y145" s="200">
        <f t="shared" si="68"/>
        <v>2465</v>
      </c>
      <c r="Z145" s="197">
        <v>1</v>
      </c>
      <c r="AA145" s="196">
        <v>80</v>
      </c>
      <c r="AB145" s="197">
        <v>2</v>
      </c>
      <c r="AC145" s="198">
        <f t="shared" si="69"/>
        <v>160</v>
      </c>
      <c r="AD145" s="197">
        <v>2</v>
      </c>
      <c r="AE145" s="196">
        <v>80</v>
      </c>
      <c r="AF145" s="197">
        <v>2</v>
      </c>
      <c r="AG145" s="198">
        <f t="shared" si="70"/>
        <v>320</v>
      </c>
      <c r="AH145" s="200">
        <f t="shared" si="71"/>
        <v>480</v>
      </c>
      <c r="AI145" s="199">
        <f t="shared" si="72"/>
        <v>7334.8</v>
      </c>
      <c r="AJ145" s="201">
        <f t="shared" ref="AJ145:AJ148" si="76">AI145/E145</f>
        <v>0.45131676101402907</v>
      </c>
      <c r="AK145" s="200">
        <v>980.89200000000005</v>
      </c>
      <c r="AL145" s="196">
        <v>162.52000000000001</v>
      </c>
      <c r="AM145" s="196">
        <v>162.52000000000001</v>
      </c>
      <c r="AN145" s="196">
        <v>487.56</v>
      </c>
      <c r="AO145" s="196">
        <v>105.63799999999999</v>
      </c>
      <c r="AP145" s="196">
        <v>812.6</v>
      </c>
      <c r="AQ145" s="202">
        <f t="shared" ref="AQ145:AQ150" si="77">SUM(AL145:AP145)</f>
        <v>1730.8380000000002</v>
      </c>
      <c r="AR145" s="202">
        <f t="shared" si="74"/>
        <v>2711.7300000000005</v>
      </c>
      <c r="AS145" s="203">
        <f t="shared" si="75"/>
        <v>13540.27</v>
      </c>
    </row>
    <row r="146" spans="2:45" s="131" customFormat="1" ht="18" hidden="1" customHeight="1">
      <c r="B146" s="194" t="s">
        <v>1618</v>
      </c>
      <c r="C146" s="194">
        <v>306</v>
      </c>
      <c r="D146" s="195" t="s">
        <v>1082</v>
      </c>
      <c r="E146" s="196">
        <v>5562</v>
      </c>
      <c r="F146" s="196">
        <v>950.61</v>
      </c>
      <c r="G146" s="196">
        <v>351.9</v>
      </c>
      <c r="H146" s="197">
        <v>1</v>
      </c>
      <c r="I146" s="196">
        <v>24</v>
      </c>
      <c r="J146" s="197">
        <v>26</v>
      </c>
      <c r="K146" s="198">
        <f t="shared" si="63"/>
        <v>624</v>
      </c>
      <c r="L146" s="197">
        <v>0</v>
      </c>
      <c r="M146" s="196">
        <v>0</v>
      </c>
      <c r="N146" s="197">
        <v>0</v>
      </c>
      <c r="O146" s="198">
        <f t="shared" si="64"/>
        <v>0</v>
      </c>
      <c r="P146" s="199">
        <f t="shared" si="65"/>
        <v>624</v>
      </c>
      <c r="Q146" s="197">
        <v>1</v>
      </c>
      <c r="R146" s="196">
        <v>42.5</v>
      </c>
      <c r="S146" s="197">
        <v>26</v>
      </c>
      <c r="T146" s="198">
        <f t="shared" si="66"/>
        <v>1105</v>
      </c>
      <c r="U146" s="196">
        <v>0</v>
      </c>
      <c r="V146" s="196">
        <v>0</v>
      </c>
      <c r="W146" s="197">
        <v>0</v>
      </c>
      <c r="X146" s="198">
        <f t="shared" si="67"/>
        <v>0</v>
      </c>
      <c r="Y146" s="200">
        <f t="shared" si="68"/>
        <v>1105</v>
      </c>
      <c r="Z146" s="197">
        <v>1</v>
      </c>
      <c r="AA146" s="196">
        <v>80</v>
      </c>
      <c r="AB146" s="197">
        <v>2</v>
      </c>
      <c r="AC146" s="198">
        <f t="shared" si="69"/>
        <v>160</v>
      </c>
      <c r="AD146" s="197">
        <v>0</v>
      </c>
      <c r="AE146" s="196">
        <v>0</v>
      </c>
      <c r="AF146" s="196">
        <v>0</v>
      </c>
      <c r="AG146" s="198">
        <f t="shared" si="70"/>
        <v>0</v>
      </c>
      <c r="AH146" s="200">
        <f t="shared" si="71"/>
        <v>160</v>
      </c>
      <c r="AI146" s="199">
        <f t="shared" si="72"/>
        <v>3191.51</v>
      </c>
      <c r="AJ146" s="201">
        <f t="shared" si="76"/>
        <v>0.57380618482560231</v>
      </c>
      <c r="AK146" s="200">
        <v>260.75389999999999</v>
      </c>
      <c r="AL146" s="196">
        <v>55.620000000000005</v>
      </c>
      <c r="AM146" s="196">
        <v>55.620000000000005</v>
      </c>
      <c r="AN146" s="196">
        <v>166.85999999999999</v>
      </c>
      <c r="AO146" s="196">
        <v>36.152999999999999</v>
      </c>
      <c r="AP146" s="196">
        <v>278.10000000000002</v>
      </c>
      <c r="AQ146" s="202">
        <f t="shared" si="77"/>
        <v>592.35300000000007</v>
      </c>
      <c r="AR146" s="202">
        <f t="shared" si="74"/>
        <v>853.1069</v>
      </c>
      <c r="AS146" s="203">
        <f t="shared" si="75"/>
        <v>4708.8931000000002</v>
      </c>
    </row>
    <row r="147" spans="2:45" s="131" customFormat="1" ht="18" hidden="1" customHeight="1">
      <c r="B147" s="194" t="s">
        <v>1618</v>
      </c>
      <c r="C147" s="194">
        <v>307</v>
      </c>
      <c r="D147" s="195" t="s">
        <v>1081</v>
      </c>
      <c r="E147" s="196">
        <v>5810</v>
      </c>
      <c r="F147" s="196">
        <v>950.61</v>
      </c>
      <c r="G147" s="196">
        <v>351.9</v>
      </c>
      <c r="H147" s="197">
        <v>1</v>
      </c>
      <c r="I147" s="196">
        <v>24</v>
      </c>
      <c r="J147" s="197">
        <v>26</v>
      </c>
      <c r="K147" s="198">
        <f t="shared" si="63"/>
        <v>624</v>
      </c>
      <c r="L147" s="197">
        <v>0</v>
      </c>
      <c r="M147" s="196">
        <v>0</v>
      </c>
      <c r="N147" s="197">
        <v>0</v>
      </c>
      <c r="O147" s="198">
        <f t="shared" si="64"/>
        <v>0</v>
      </c>
      <c r="P147" s="199">
        <f t="shared" si="65"/>
        <v>624</v>
      </c>
      <c r="Q147" s="197">
        <v>1</v>
      </c>
      <c r="R147" s="196">
        <v>42.5</v>
      </c>
      <c r="S147" s="197">
        <v>26</v>
      </c>
      <c r="T147" s="198">
        <f t="shared" si="66"/>
        <v>1105</v>
      </c>
      <c r="U147" s="196">
        <v>0</v>
      </c>
      <c r="V147" s="196">
        <v>0</v>
      </c>
      <c r="W147" s="197">
        <v>0</v>
      </c>
      <c r="X147" s="198">
        <f t="shared" si="67"/>
        <v>0</v>
      </c>
      <c r="Y147" s="200">
        <f t="shared" si="68"/>
        <v>1105</v>
      </c>
      <c r="Z147" s="197">
        <v>1</v>
      </c>
      <c r="AA147" s="196">
        <v>80</v>
      </c>
      <c r="AB147" s="197">
        <v>2</v>
      </c>
      <c r="AC147" s="198">
        <f t="shared" si="69"/>
        <v>160</v>
      </c>
      <c r="AD147" s="197">
        <v>0</v>
      </c>
      <c r="AE147" s="196">
        <v>0</v>
      </c>
      <c r="AF147" s="196">
        <v>0</v>
      </c>
      <c r="AG147" s="198">
        <f t="shared" si="70"/>
        <v>0</v>
      </c>
      <c r="AH147" s="200">
        <f t="shared" si="71"/>
        <v>160</v>
      </c>
      <c r="AI147" s="199">
        <f t="shared" si="72"/>
        <v>3191.51</v>
      </c>
      <c r="AJ147" s="201">
        <f t="shared" si="76"/>
        <v>0.54931325301204825</v>
      </c>
      <c r="AK147" s="200">
        <v>288.03389999999996</v>
      </c>
      <c r="AL147" s="196">
        <v>58.1</v>
      </c>
      <c r="AM147" s="196">
        <v>58.1</v>
      </c>
      <c r="AN147" s="196">
        <v>174.29999999999998</v>
      </c>
      <c r="AO147" s="196">
        <v>37.765000000000001</v>
      </c>
      <c r="AP147" s="196">
        <v>290.5</v>
      </c>
      <c r="AQ147" s="202">
        <f t="shared" si="77"/>
        <v>618.76499999999999</v>
      </c>
      <c r="AR147" s="202">
        <f t="shared" si="74"/>
        <v>906.7989</v>
      </c>
      <c r="AS147" s="203">
        <f t="shared" si="75"/>
        <v>4903.2011000000002</v>
      </c>
    </row>
    <row r="148" spans="2:45" s="131" customFormat="1" ht="18" hidden="1" customHeight="1">
      <c r="B148" s="194" t="s">
        <v>1618</v>
      </c>
      <c r="C148" s="194">
        <v>308</v>
      </c>
      <c r="D148" s="195" t="s">
        <v>1426</v>
      </c>
      <c r="E148" s="196">
        <v>28588</v>
      </c>
      <c r="F148" s="196">
        <v>5288.3</v>
      </c>
      <c r="G148" s="196">
        <v>2550</v>
      </c>
      <c r="H148" s="197">
        <v>2</v>
      </c>
      <c r="I148" s="196">
        <v>24</v>
      </c>
      <c r="J148" s="197">
        <v>26</v>
      </c>
      <c r="K148" s="198">
        <f t="shared" si="63"/>
        <v>1248</v>
      </c>
      <c r="L148" s="197">
        <v>4</v>
      </c>
      <c r="M148" s="196">
        <v>16</v>
      </c>
      <c r="N148" s="197">
        <v>16</v>
      </c>
      <c r="O148" s="198">
        <f t="shared" si="64"/>
        <v>1024</v>
      </c>
      <c r="P148" s="199">
        <f t="shared" si="65"/>
        <v>2272</v>
      </c>
      <c r="Q148" s="197">
        <v>2</v>
      </c>
      <c r="R148" s="196">
        <v>42.5</v>
      </c>
      <c r="S148" s="197">
        <v>26</v>
      </c>
      <c r="T148" s="198">
        <f t="shared" si="66"/>
        <v>2210</v>
      </c>
      <c r="U148" s="197">
        <v>4</v>
      </c>
      <c r="V148" s="196">
        <v>42.5</v>
      </c>
      <c r="W148" s="197">
        <v>16</v>
      </c>
      <c r="X148" s="198">
        <f t="shared" si="67"/>
        <v>2720</v>
      </c>
      <c r="Y148" s="200">
        <f t="shared" si="68"/>
        <v>4930</v>
      </c>
      <c r="Z148" s="197">
        <v>2</v>
      </c>
      <c r="AA148" s="196">
        <v>80</v>
      </c>
      <c r="AB148" s="197">
        <v>2</v>
      </c>
      <c r="AC148" s="198">
        <f t="shared" si="69"/>
        <v>320</v>
      </c>
      <c r="AD148" s="197">
        <v>4</v>
      </c>
      <c r="AE148" s="196">
        <v>90</v>
      </c>
      <c r="AF148" s="196">
        <v>2</v>
      </c>
      <c r="AG148" s="198">
        <f t="shared" si="70"/>
        <v>720</v>
      </c>
      <c r="AH148" s="200">
        <f t="shared" si="71"/>
        <v>1040</v>
      </c>
      <c r="AI148" s="199">
        <f t="shared" si="72"/>
        <v>16080.3</v>
      </c>
      <c r="AJ148" s="201">
        <f t="shared" si="76"/>
        <v>0.56248425912970479</v>
      </c>
      <c r="AK148" s="200">
        <v>1375.847</v>
      </c>
      <c r="AL148" s="196">
        <v>285.88</v>
      </c>
      <c r="AM148" s="196">
        <v>285.88</v>
      </c>
      <c r="AN148" s="196">
        <v>857.64</v>
      </c>
      <c r="AO148" s="196">
        <v>185.822</v>
      </c>
      <c r="AP148" s="196">
        <v>1429.4</v>
      </c>
      <c r="AQ148" s="202">
        <f t="shared" si="77"/>
        <v>3044.6220000000003</v>
      </c>
      <c r="AR148" s="202">
        <f t="shared" si="74"/>
        <v>4420.4690000000001</v>
      </c>
      <c r="AS148" s="203">
        <f t="shared" si="75"/>
        <v>24167.530999999999</v>
      </c>
    </row>
    <row r="149" spans="2:45" s="131" customFormat="1" ht="18" hidden="1" customHeight="1">
      <c r="B149" s="194" t="s">
        <v>1618</v>
      </c>
      <c r="C149" s="194">
        <v>309</v>
      </c>
      <c r="D149" s="195" t="s">
        <v>1478</v>
      </c>
      <c r="E149" s="213">
        <v>5446</v>
      </c>
      <c r="F149" s="196">
        <v>911.65</v>
      </c>
      <c r="G149" s="196">
        <v>131.08000000000001</v>
      </c>
      <c r="H149" s="197">
        <v>1</v>
      </c>
      <c r="I149" s="196">
        <v>16</v>
      </c>
      <c r="J149" s="197">
        <v>26</v>
      </c>
      <c r="K149" s="198">
        <f t="shared" si="63"/>
        <v>416</v>
      </c>
      <c r="L149" s="197">
        <v>0</v>
      </c>
      <c r="M149" s="196">
        <v>0</v>
      </c>
      <c r="N149" s="197">
        <v>0</v>
      </c>
      <c r="O149" s="198">
        <f t="shared" si="64"/>
        <v>0</v>
      </c>
      <c r="P149" s="199">
        <f t="shared" si="65"/>
        <v>416</v>
      </c>
      <c r="Q149" s="197">
        <v>1</v>
      </c>
      <c r="R149" s="196">
        <v>42.5</v>
      </c>
      <c r="S149" s="197">
        <v>26</v>
      </c>
      <c r="T149" s="198">
        <f t="shared" si="66"/>
        <v>1105</v>
      </c>
      <c r="U149" s="196">
        <v>0</v>
      </c>
      <c r="V149" s="196">
        <v>0</v>
      </c>
      <c r="W149" s="197">
        <v>0</v>
      </c>
      <c r="X149" s="198">
        <f t="shared" si="67"/>
        <v>0</v>
      </c>
      <c r="Y149" s="200">
        <f t="shared" si="68"/>
        <v>1105</v>
      </c>
      <c r="Z149" s="197">
        <v>1</v>
      </c>
      <c r="AA149" s="196">
        <v>80</v>
      </c>
      <c r="AB149" s="197">
        <v>1</v>
      </c>
      <c r="AC149" s="198">
        <f t="shared" si="69"/>
        <v>80</v>
      </c>
      <c r="AD149" s="197">
        <v>0</v>
      </c>
      <c r="AE149" s="196">
        <v>0</v>
      </c>
      <c r="AF149" s="196">
        <v>0</v>
      </c>
      <c r="AG149" s="198">
        <f t="shared" si="70"/>
        <v>0</v>
      </c>
      <c r="AH149" s="200">
        <f t="shared" si="71"/>
        <v>80</v>
      </c>
      <c r="AI149" s="199">
        <f t="shared" si="72"/>
        <v>2643.73</v>
      </c>
      <c r="AJ149" s="201">
        <v>0.48544887930001196</v>
      </c>
      <c r="AK149" s="200">
        <v>308.24970000000002</v>
      </c>
      <c r="AL149" s="196">
        <v>54.46</v>
      </c>
      <c r="AM149" s="196">
        <v>54.46</v>
      </c>
      <c r="AN149" s="196">
        <v>163.38</v>
      </c>
      <c r="AO149" s="196">
        <v>35.399000000000001</v>
      </c>
      <c r="AP149" s="196">
        <v>272.3</v>
      </c>
      <c r="AQ149" s="202">
        <f t="shared" si="77"/>
        <v>579.99900000000002</v>
      </c>
      <c r="AR149" s="202">
        <f t="shared" si="74"/>
        <v>888.2487000000001</v>
      </c>
      <c r="AS149" s="203">
        <f t="shared" si="75"/>
        <v>4557.7512999999999</v>
      </c>
    </row>
    <row r="150" spans="2:45" s="131" customFormat="1" ht="18" hidden="1" customHeight="1">
      <c r="B150" s="194" t="s">
        <v>1618</v>
      </c>
      <c r="C150" s="194">
        <v>310</v>
      </c>
      <c r="D150" s="217" t="s">
        <v>1499</v>
      </c>
      <c r="E150" s="196">
        <v>34954</v>
      </c>
      <c r="F150" s="196">
        <v>5288.3</v>
      </c>
      <c r="G150" s="196">
        <v>2550</v>
      </c>
      <c r="H150" s="197">
        <v>3</v>
      </c>
      <c r="I150" s="196">
        <v>24</v>
      </c>
      <c r="J150" s="197">
        <v>26</v>
      </c>
      <c r="K150" s="198">
        <f t="shared" si="63"/>
        <v>1872</v>
      </c>
      <c r="L150" s="197">
        <v>4</v>
      </c>
      <c r="M150" s="196">
        <v>16</v>
      </c>
      <c r="N150" s="197">
        <v>16</v>
      </c>
      <c r="O150" s="198">
        <f t="shared" si="64"/>
        <v>1024</v>
      </c>
      <c r="P150" s="199">
        <f t="shared" si="65"/>
        <v>2896</v>
      </c>
      <c r="Q150" s="197">
        <v>3</v>
      </c>
      <c r="R150" s="196">
        <v>42.5</v>
      </c>
      <c r="S150" s="197">
        <v>26</v>
      </c>
      <c r="T150" s="198">
        <f t="shared" si="66"/>
        <v>3315</v>
      </c>
      <c r="U150" s="197">
        <v>4</v>
      </c>
      <c r="V150" s="196">
        <v>42.5</v>
      </c>
      <c r="W150" s="197">
        <v>16</v>
      </c>
      <c r="X150" s="198">
        <f t="shared" si="67"/>
        <v>2720</v>
      </c>
      <c r="Y150" s="200">
        <f t="shared" si="68"/>
        <v>6035</v>
      </c>
      <c r="Z150" s="197">
        <v>3</v>
      </c>
      <c r="AA150" s="196">
        <v>80</v>
      </c>
      <c r="AB150" s="197">
        <v>2</v>
      </c>
      <c r="AC150" s="198">
        <f t="shared" si="69"/>
        <v>480</v>
      </c>
      <c r="AD150" s="197">
        <v>4</v>
      </c>
      <c r="AE150" s="196">
        <v>90</v>
      </c>
      <c r="AF150" s="196">
        <v>2</v>
      </c>
      <c r="AG150" s="198">
        <f t="shared" si="70"/>
        <v>720</v>
      </c>
      <c r="AH150" s="200">
        <f t="shared" si="71"/>
        <v>1200</v>
      </c>
      <c r="AI150" s="199">
        <f>F150+G150+P150+Y150+AH150</f>
        <v>17969.3</v>
      </c>
      <c r="AJ150" s="201">
        <f>AI150/E150</f>
        <v>0.51408422498140416</v>
      </c>
      <c r="AK150" s="200">
        <v>1868.317</v>
      </c>
      <c r="AL150" s="196">
        <v>349.54</v>
      </c>
      <c r="AM150" s="196">
        <v>349.54</v>
      </c>
      <c r="AN150" s="196">
        <v>1048.6199999999999</v>
      </c>
      <c r="AO150" s="196">
        <v>227.20099999999999</v>
      </c>
      <c r="AP150" s="196">
        <v>1747.7</v>
      </c>
      <c r="AQ150" s="202">
        <f t="shared" si="77"/>
        <v>3722.6009999999997</v>
      </c>
      <c r="AR150" s="202">
        <f t="shared" si="74"/>
        <v>5590.9179999999997</v>
      </c>
      <c r="AS150" s="203">
        <f t="shared" si="75"/>
        <v>29363.082000000002</v>
      </c>
    </row>
    <row r="151" spans="2:45" s="131" customFormat="1" ht="18" hidden="1" customHeight="1">
      <c r="B151" s="194" t="s">
        <v>1618</v>
      </c>
      <c r="C151" s="194">
        <v>311</v>
      </c>
      <c r="D151" s="217" t="s">
        <v>49</v>
      </c>
      <c r="E151" s="196">
        <v>29976</v>
      </c>
      <c r="F151" s="196">
        <v>5288.3</v>
      </c>
      <c r="G151" s="196">
        <v>2550</v>
      </c>
      <c r="H151" s="197">
        <v>2</v>
      </c>
      <c r="I151" s="196">
        <v>24</v>
      </c>
      <c r="J151" s="197">
        <v>26</v>
      </c>
      <c r="K151" s="198">
        <f t="shared" si="63"/>
        <v>1248</v>
      </c>
      <c r="L151" s="197">
        <v>4</v>
      </c>
      <c r="M151" s="196">
        <v>16</v>
      </c>
      <c r="N151" s="197">
        <v>16</v>
      </c>
      <c r="O151" s="198">
        <f t="shared" si="64"/>
        <v>1024</v>
      </c>
      <c r="P151" s="199">
        <f t="shared" si="65"/>
        <v>2272</v>
      </c>
      <c r="Q151" s="197">
        <v>2</v>
      </c>
      <c r="R151" s="196">
        <v>42.5</v>
      </c>
      <c r="S151" s="197">
        <v>26</v>
      </c>
      <c r="T151" s="198">
        <f t="shared" si="66"/>
        <v>2210</v>
      </c>
      <c r="U151" s="197">
        <v>4</v>
      </c>
      <c r="V151" s="196">
        <v>42.5</v>
      </c>
      <c r="W151" s="197">
        <v>16</v>
      </c>
      <c r="X151" s="198">
        <f t="shared" si="67"/>
        <v>2720</v>
      </c>
      <c r="Y151" s="200">
        <f t="shared" si="68"/>
        <v>4930</v>
      </c>
      <c r="Z151" s="197">
        <v>2</v>
      </c>
      <c r="AA151" s="196">
        <v>80</v>
      </c>
      <c r="AB151" s="197">
        <v>2</v>
      </c>
      <c r="AC151" s="198">
        <f t="shared" si="69"/>
        <v>320</v>
      </c>
      <c r="AD151" s="197">
        <v>4</v>
      </c>
      <c r="AE151" s="196">
        <v>90</v>
      </c>
      <c r="AF151" s="196">
        <v>2</v>
      </c>
      <c r="AG151" s="198">
        <f t="shared" si="70"/>
        <v>720</v>
      </c>
      <c r="AH151" s="200">
        <f t="shared" si="71"/>
        <v>1040</v>
      </c>
      <c r="AI151" s="199">
        <f>F151+G151+P151+Y151+AH151</f>
        <v>16080.3</v>
      </c>
      <c r="AJ151" s="201">
        <f>AI151/E151</f>
        <v>0.5364391513210568</v>
      </c>
      <c r="AK151" s="200">
        <v>1528.527</v>
      </c>
      <c r="AL151" s="196">
        <v>299.76</v>
      </c>
      <c r="AM151" s="196">
        <v>299.76</v>
      </c>
      <c r="AN151" s="196">
        <v>899.28</v>
      </c>
      <c r="AO151" s="196">
        <v>194.84399999999999</v>
      </c>
      <c r="AP151" s="196">
        <v>1498.8000000000002</v>
      </c>
      <c r="AQ151" s="202">
        <f t="shared" ref="AQ151" si="78">SUM(AL151:AP151)</f>
        <v>3192.4440000000004</v>
      </c>
      <c r="AR151" s="202">
        <f t="shared" si="74"/>
        <v>4720.9710000000005</v>
      </c>
      <c r="AS151" s="203">
        <f t="shared" si="75"/>
        <v>25255.028999999999</v>
      </c>
    </row>
    <row r="152" spans="2:45" s="131" customFormat="1" ht="18" hidden="1" customHeight="1">
      <c r="B152" s="769" t="s">
        <v>1699</v>
      </c>
      <c r="C152" s="371"/>
      <c r="D152" s="390"/>
      <c r="E152" s="391"/>
      <c r="F152" s="391"/>
      <c r="G152" s="391"/>
      <c r="H152" s="392"/>
      <c r="I152" s="391"/>
      <c r="J152" s="392"/>
      <c r="K152" s="393"/>
      <c r="L152" s="392"/>
      <c r="M152" s="391"/>
      <c r="N152" s="392"/>
      <c r="O152" s="393"/>
      <c r="P152" s="394"/>
      <c r="Q152" s="392"/>
      <c r="R152" s="391"/>
      <c r="S152" s="392"/>
      <c r="T152" s="393"/>
      <c r="U152" s="392"/>
      <c r="V152" s="391"/>
      <c r="W152" s="392"/>
      <c r="X152" s="393"/>
      <c r="Y152" s="393"/>
      <c r="Z152" s="392"/>
      <c r="AA152" s="391"/>
      <c r="AB152" s="392"/>
      <c r="AC152" s="393"/>
      <c r="AD152" s="392"/>
      <c r="AE152" s="391"/>
      <c r="AF152" s="391"/>
      <c r="AG152" s="393"/>
      <c r="AH152" s="393"/>
      <c r="AI152" s="394"/>
      <c r="AJ152" s="395"/>
      <c r="AK152" s="393"/>
      <c r="AL152" s="391"/>
      <c r="AM152" s="391"/>
      <c r="AN152" s="391"/>
      <c r="AO152" s="391"/>
      <c r="AP152" s="391"/>
      <c r="AQ152" s="396"/>
      <c r="AR152" s="396"/>
      <c r="AS152" s="397"/>
    </row>
    <row r="153" spans="2:45" s="131" customFormat="1" ht="18" hidden="1" customHeight="1">
      <c r="B153" s="194" t="s">
        <v>1805</v>
      </c>
      <c r="C153" s="194">
        <v>321</v>
      </c>
      <c r="D153" s="195" t="s">
        <v>1694</v>
      </c>
      <c r="E153" s="196">
        <v>25228.12</v>
      </c>
      <c r="F153" s="196">
        <v>3114</v>
      </c>
      <c r="G153" s="196">
        <v>0</v>
      </c>
      <c r="H153" s="197">
        <v>11</v>
      </c>
      <c r="I153" s="196">
        <v>11.85</v>
      </c>
      <c r="J153" s="197">
        <v>26</v>
      </c>
      <c r="K153" s="198">
        <f>H153*I153*J153</f>
        <v>3389.1</v>
      </c>
      <c r="L153" s="197">
        <v>0</v>
      </c>
      <c r="M153" s="196">
        <v>0</v>
      </c>
      <c r="N153" s="197">
        <v>0</v>
      </c>
      <c r="O153" s="198">
        <f>L153*M153*N153</f>
        <v>0</v>
      </c>
      <c r="P153" s="199">
        <f>K153+O153</f>
        <v>3389.1</v>
      </c>
      <c r="Q153" s="197">
        <v>0</v>
      </c>
      <c r="R153" s="196">
        <v>0</v>
      </c>
      <c r="S153" s="197">
        <v>0</v>
      </c>
      <c r="T153" s="198">
        <f>Q153*R153*S153</f>
        <v>0</v>
      </c>
      <c r="U153" s="196">
        <v>0</v>
      </c>
      <c r="V153" s="196">
        <v>0</v>
      </c>
      <c r="W153" s="197">
        <v>0</v>
      </c>
      <c r="X153" s="198">
        <f>U153*V153*W153</f>
        <v>0</v>
      </c>
      <c r="Y153" s="200">
        <f>T153+X153</f>
        <v>0</v>
      </c>
      <c r="Z153" s="197">
        <v>0</v>
      </c>
      <c r="AA153" s="196">
        <v>0</v>
      </c>
      <c r="AB153" s="197">
        <v>0</v>
      </c>
      <c r="AC153" s="198">
        <f>Z153*AA153*AB153</f>
        <v>0</v>
      </c>
      <c r="AD153" s="197">
        <v>0</v>
      </c>
      <c r="AE153" s="196">
        <v>0</v>
      </c>
      <c r="AF153" s="196">
        <v>0</v>
      </c>
      <c r="AG153" s="198">
        <f>AD153*AE153*AF153</f>
        <v>0</v>
      </c>
      <c r="AH153" s="200">
        <f>AC153+AG153</f>
        <v>0</v>
      </c>
      <c r="AI153" s="199">
        <f>F153+G153+P153+Y153+AH153</f>
        <v>6503.1</v>
      </c>
      <c r="AJ153" s="201">
        <f>AI153/E153</f>
        <v>0.25777188312089844</v>
      </c>
      <c r="AK153" s="200">
        <v>2059.7521999999994</v>
      </c>
      <c r="AL153" s="196">
        <v>252.28119999999998</v>
      </c>
      <c r="AM153" s="196">
        <v>252.28119999999998</v>
      </c>
      <c r="AN153" s="196">
        <v>756.84359999999992</v>
      </c>
      <c r="AO153" s="196">
        <v>163.98277999999999</v>
      </c>
      <c r="AP153" s="196">
        <v>1261.4059999999999</v>
      </c>
      <c r="AQ153" s="202">
        <f>SUM(AL153:AP153)</f>
        <v>2686.7947800000002</v>
      </c>
      <c r="AR153" s="202">
        <f>AK153+AQ153</f>
        <v>4746.5469799999992</v>
      </c>
      <c r="AS153" s="203">
        <f>E153-AR153</f>
        <v>20481.57302</v>
      </c>
    </row>
    <row r="154" spans="2:45" s="131" customFormat="1" ht="18" hidden="1" customHeight="1">
      <c r="B154" s="194" t="s">
        <v>1805</v>
      </c>
      <c r="C154" s="194">
        <v>312</v>
      </c>
      <c r="D154" s="324" t="s">
        <v>982</v>
      </c>
      <c r="E154" s="196">
        <v>5928</v>
      </c>
      <c r="F154" s="196">
        <v>950.61</v>
      </c>
      <c r="G154" s="196">
        <v>351.9</v>
      </c>
      <c r="H154" s="197">
        <v>1</v>
      </c>
      <c r="I154" s="196">
        <v>24</v>
      </c>
      <c r="J154" s="197">
        <v>26</v>
      </c>
      <c r="K154" s="198">
        <f t="shared" ref="K154:K161" si="79">H154*I154*J154</f>
        <v>624</v>
      </c>
      <c r="L154" s="197">
        <v>0</v>
      </c>
      <c r="M154" s="196">
        <v>0</v>
      </c>
      <c r="N154" s="197">
        <v>0</v>
      </c>
      <c r="O154" s="198">
        <f t="shared" ref="O154:O161" si="80">L154*M154*N154</f>
        <v>0</v>
      </c>
      <c r="P154" s="199">
        <f t="shared" ref="P154:P161" si="81">K154+O154</f>
        <v>624</v>
      </c>
      <c r="Q154" s="197">
        <v>1</v>
      </c>
      <c r="R154" s="196">
        <v>42.5</v>
      </c>
      <c r="S154" s="197">
        <v>26</v>
      </c>
      <c r="T154" s="198">
        <f t="shared" ref="T154:T161" si="82">Q154*R154*S154</f>
        <v>1105</v>
      </c>
      <c r="U154" s="196">
        <v>0</v>
      </c>
      <c r="V154" s="196">
        <v>0</v>
      </c>
      <c r="W154" s="197">
        <v>0</v>
      </c>
      <c r="X154" s="198">
        <f t="shared" ref="X154:X161" si="83">U154*V154*W154</f>
        <v>0</v>
      </c>
      <c r="Y154" s="200">
        <f t="shared" ref="Y154:Y161" si="84">T154+X154</f>
        <v>1105</v>
      </c>
      <c r="Z154" s="197">
        <v>1</v>
      </c>
      <c r="AA154" s="196">
        <v>80</v>
      </c>
      <c r="AB154" s="197">
        <v>2</v>
      </c>
      <c r="AC154" s="198">
        <f t="shared" ref="AC154:AC161" si="85">Z154*AA154*AB154</f>
        <v>160</v>
      </c>
      <c r="AD154" s="197">
        <v>0</v>
      </c>
      <c r="AE154" s="196">
        <v>0</v>
      </c>
      <c r="AF154" s="196">
        <v>0</v>
      </c>
      <c r="AG154" s="198">
        <f t="shared" ref="AG154:AG161" si="86">AD154*AE154*AF154</f>
        <v>0</v>
      </c>
      <c r="AH154" s="200">
        <f t="shared" ref="AH154:AH161" si="87">AC154+AG154</f>
        <v>160</v>
      </c>
      <c r="AI154" s="199">
        <f t="shared" ref="AI154:AI159" si="88">F154+G154+P154+Y154+AH154</f>
        <v>3191.51</v>
      </c>
      <c r="AJ154" s="201">
        <f>AI154/E154</f>
        <v>0.53837887989203781</v>
      </c>
      <c r="AK154" s="200">
        <v>301.01389999999998</v>
      </c>
      <c r="AL154" s="196">
        <v>59.28</v>
      </c>
      <c r="AM154" s="196">
        <v>59.28</v>
      </c>
      <c r="AN154" s="196">
        <v>177.84</v>
      </c>
      <c r="AO154" s="196">
        <v>38.531999999999996</v>
      </c>
      <c r="AP154" s="196">
        <v>296.40000000000003</v>
      </c>
      <c r="AQ154" s="202">
        <f t="shared" ref="AQ154" si="89">SUM(AL154:AP154)</f>
        <v>631.33199999999999</v>
      </c>
      <c r="AR154" s="202">
        <f t="shared" ref="AR154:AR161" si="90">AK154+AQ154</f>
        <v>932.34590000000003</v>
      </c>
      <c r="AS154" s="203">
        <f t="shared" ref="AS154:AS171" si="91">E154-AR154</f>
        <v>4995.6540999999997</v>
      </c>
    </row>
    <row r="155" spans="2:45" s="131" customFormat="1" ht="18" hidden="1" customHeight="1">
      <c r="B155" s="194" t="s">
        <v>1805</v>
      </c>
      <c r="C155" s="194">
        <v>313</v>
      </c>
      <c r="D155" s="324" t="s">
        <v>1003</v>
      </c>
      <c r="E155" s="196">
        <v>16252</v>
      </c>
      <c r="F155" s="196">
        <v>2550</v>
      </c>
      <c r="G155" s="196">
        <v>703.8</v>
      </c>
      <c r="H155" s="197">
        <v>1</v>
      </c>
      <c r="I155" s="196">
        <v>24</v>
      </c>
      <c r="J155" s="197">
        <v>26</v>
      </c>
      <c r="K155" s="198">
        <f t="shared" si="79"/>
        <v>624</v>
      </c>
      <c r="L155" s="197">
        <v>2</v>
      </c>
      <c r="M155" s="196">
        <v>16</v>
      </c>
      <c r="N155" s="197">
        <v>16</v>
      </c>
      <c r="O155" s="198">
        <f t="shared" si="80"/>
        <v>512</v>
      </c>
      <c r="P155" s="199">
        <f t="shared" si="81"/>
        <v>1136</v>
      </c>
      <c r="Q155" s="197">
        <v>1</v>
      </c>
      <c r="R155" s="196">
        <v>42.5</v>
      </c>
      <c r="S155" s="197">
        <v>26</v>
      </c>
      <c r="T155" s="198">
        <f t="shared" si="82"/>
        <v>1105</v>
      </c>
      <c r="U155" s="196">
        <v>2</v>
      </c>
      <c r="V155" s="196">
        <v>42.5</v>
      </c>
      <c r="W155" s="197">
        <v>16</v>
      </c>
      <c r="X155" s="198">
        <f t="shared" si="83"/>
        <v>1360</v>
      </c>
      <c r="Y155" s="200">
        <f t="shared" si="84"/>
        <v>2465</v>
      </c>
      <c r="Z155" s="197">
        <v>1</v>
      </c>
      <c r="AA155" s="196">
        <v>80</v>
      </c>
      <c r="AB155" s="197">
        <v>2</v>
      </c>
      <c r="AC155" s="198">
        <f t="shared" si="85"/>
        <v>160</v>
      </c>
      <c r="AD155" s="197">
        <v>2</v>
      </c>
      <c r="AE155" s="196">
        <v>80</v>
      </c>
      <c r="AF155" s="197">
        <v>2</v>
      </c>
      <c r="AG155" s="198">
        <f t="shared" si="86"/>
        <v>320</v>
      </c>
      <c r="AH155" s="200">
        <f t="shared" si="87"/>
        <v>480</v>
      </c>
      <c r="AI155" s="199">
        <f t="shared" si="88"/>
        <v>7334.8</v>
      </c>
      <c r="AJ155" s="201">
        <f t="shared" ref="AJ155:AJ158" si="92">AI155/E155</f>
        <v>0.45131676101402907</v>
      </c>
      <c r="AK155" s="200">
        <v>980.89200000000005</v>
      </c>
      <c r="AL155" s="196">
        <v>162.52000000000001</v>
      </c>
      <c r="AM155" s="196">
        <v>162.52000000000001</v>
      </c>
      <c r="AN155" s="196">
        <v>487.56</v>
      </c>
      <c r="AO155" s="196">
        <v>105.63799999999999</v>
      </c>
      <c r="AP155" s="196">
        <v>812.6</v>
      </c>
      <c r="AQ155" s="202">
        <f t="shared" ref="AQ155:AQ160" si="93">SUM(AL155:AP155)</f>
        <v>1730.8380000000002</v>
      </c>
      <c r="AR155" s="202">
        <f t="shared" si="90"/>
        <v>2711.7300000000005</v>
      </c>
      <c r="AS155" s="203">
        <f t="shared" si="91"/>
        <v>13540.27</v>
      </c>
    </row>
    <row r="156" spans="2:45" s="131" customFormat="1" ht="18" hidden="1" customHeight="1">
      <c r="B156" s="194" t="s">
        <v>1805</v>
      </c>
      <c r="C156" s="194">
        <v>314</v>
      </c>
      <c r="D156" s="195" t="s">
        <v>1082</v>
      </c>
      <c r="E156" s="196">
        <v>5562</v>
      </c>
      <c r="F156" s="196">
        <v>950.61</v>
      </c>
      <c r="G156" s="196">
        <v>351.9</v>
      </c>
      <c r="H156" s="197">
        <v>1</v>
      </c>
      <c r="I156" s="196">
        <v>24</v>
      </c>
      <c r="J156" s="197">
        <v>26</v>
      </c>
      <c r="K156" s="198">
        <f t="shared" si="79"/>
        <v>624</v>
      </c>
      <c r="L156" s="197">
        <v>0</v>
      </c>
      <c r="M156" s="196">
        <v>0</v>
      </c>
      <c r="N156" s="197">
        <v>0</v>
      </c>
      <c r="O156" s="198">
        <f t="shared" si="80"/>
        <v>0</v>
      </c>
      <c r="P156" s="199">
        <f t="shared" si="81"/>
        <v>624</v>
      </c>
      <c r="Q156" s="197">
        <v>1</v>
      </c>
      <c r="R156" s="196">
        <v>42.5</v>
      </c>
      <c r="S156" s="197">
        <v>26</v>
      </c>
      <c r="T156" s="198">
        <f t="shared" si="82"/>
        <v>1105</v>
      </c>
      <c r="U156" s="196">
        <v>0</v>
      </c>
      <c r="V156" s="196">
        <v>0</v>
      </c>
      <c r="W156" s="197">
        <v>0</v>
      </c>
      <c r="X156" s="198">
        <f t="shared" si="83"/>
        <v>0</v>
      </c>
      <c r="Y156" s="200">
        <f t="shared" si="84"/>
        <v>1105</v>
      </c>
      <c r="Z156" s="197">
        <v>1</v>
      </c>
      <c r="AA156" s="196">
        <v>80</v>
      </c>
      <c r="AB156" s="197">
        <v>2</v>
      </c>
      <c r="AC156" s="198">
        <f t="shared" si="85"/>
        <v>160</v>
      </c>
      <c r="AD156" s="197">
        <v>0</v>
      </c>
      <c r="AE156" s="196">
        <v>0</v>
      </c>
      <c r="AF156" s="196">
        <v>0</v>
      </c>
      <c r="AG156" s="198">
        <f t="shared" si="86"/>
        <v>0</v>
      </c>
      <c r="AH156" s="200">
        <f t="shared" si="87"/>
        <v>160</v>
      </c>
      <c r="AI156" s="199">
        <f t="shared" si="88"/>
        <v>3191.51</v>
      </c>
      <c r="AJ156" s="201">
        <f t="shared" si="92"/>
        <v>0.57380618482560231</v>
      </c>
      <c r="AK156" s="200">
        <v>260.75389999999999</v>
      </c>
      <c r="AL156" s="196">
        <v>55.620000000000005</v>
      </c>
      <c r="AM156" s="196">
        <v>55.620000000000005</v>
      </c>
      <c r="AN156" s="196">
        <v>166.85999999999999</v>
      </c>
      <c r="AO156" s="196">
        <v>36.152999999999999</v>
      </c>
      <c r="AP156" s="196">
        <v>278.10000000000002</v>
      </c>
      <c r="AQ156" s="202">
        <f t="shared" si="93"/>
        <v>592.35300000000007</v>
      </c>
      <c r="AR156" s="202">
        <f t="shared" si="90"/>
        <v>853.1069</v>
      </c>
      <c r="AS156" s="203">
        <f t="shared" si="91"/>
        <v>4708.8931000000002</v>
      </c>
    </row>
    <row r="157" spans="2:45" s="131" customFormat="1" ht="18" hidden="1" customHeight="1">
      <c r="B157" s="194" t="s">
        <v>1805</v>
      </c>
      <c r="C157" s="194">
        <v>315</v>
      </c>
      <c r="D157" s="195" t="s">
        <v>1081</v>
      </c>
      <c r="E157" s="196">
        <v>5810</v>
      </c>
      <c r="F157" s="196">
        <v>950.61</v>
      </c>
      <c r="G157" s="196">
        <v>351.9</v>
      </c>
      <c r="H157" s="197">
        <v>1</v>
      </c>
      <c r="I157" s="196">
        <v>24</v>
      </c>
      <c r="J157" s="197">
        <v>26</v>
      </c>
      <c r="K157" s="198">
        <f t="shared" si="79"/>
        <v>624</v>
      </c>
      <c r="L157" s="197">
        <v>0</v>
      </c>
      <c r="M157" s="196">
        <v>0</v>
      </c>
      <c r="N157" s="197">
        <v>0</v>
      </c>
      <c r="O157" s="198">
        <f t="shared" si="80"/>
        <v>0</v>
      </c>
      <c r="P157" s="199">
        <f t="shared" si="81"/>
        <v>624</v>
      </c>
      <c r="Q157" s="197">
        <v>1</v>
      </c>
      <c r="R157" s="196">
        <v>42.5</v>
      </c>
      <c r="S157" s="197">
        <v>26</v>
      </c>
      <c r="T157" s="198">
        <f t="shared" si="82"/>
        <v>1105</v>
      </c>
      <c r="U157" s="196">
        <v>0</v>
      </c>
      <c r="V157" s="196">
        <v>0</v>
      </c>
      <c r="W157" s="197">
        <v>0</v>
      </c>
      <c r="X157" s="198">
        <f t="shared" si="83"/>
        <v>0</v>
      </c>
      <c r="Y157" s="200">
        <f t="shared" si="84"/>
        <v>1105</v>
      </c>
      <c r="Z157" s="197">
        <v>1</v>
      </c>
      <c r="AA157" s="196">
        <v>80</v>
      </c>
      <c r="AB157" s="197">
        <v>2</v>
      </c>
      <c r="AC157" s="198">
        <f t="shared" si="85"/>
        <v>160</v>
      </c>
      <c r="AD157" s="197">
        <v>0</v>
      </c>
      <c r="AE157" s="196">
        <v>0</v>
      </c>
      <c r="AF157" s="196">
        <v>0</v>
      </c>
      <c r="AG157" s="198">
        <f t="shared" si="86"/>
        <v>0</v>
      </c>
      <c r="AH157" s="200">
        <f t="shared" si="87"/>
        <v>160</v>
      </c>
      <c r="AI157" s="199">
        <f t="shared" si="88"/>
        <v>3191.51</v>
      </c>
      <c r="AJ157" s="201">
        <f t="shared" si="92"/>
        <v>0.54931325301204825</v>
      </c>
      <c r="AK157" s="200">
        <v>288.03389999999996</v>
      </c>
      <c r="AL157" s="196">
        <v>58.1</v>
      </c>
      <c r="AM157" s="196">
        <v>58.1</v>
      </c>
      <c r="AN157" s="196">
        <v>174.29999999999998</v>
      </c>
      <c r="AO157" s="196">
        <v>37.765000000000001</v>
      </c>
      <c r="AP157" s="196">
        <v>290.5</v>
      </c>
      <c r="AQ157" s="202">
        <f t="shared" si="93"/>
        <v>618.76499999999999</v>
      </c>
      <c r="AR157" s="202">
        <f t="shared" si="90"/>
        <v>906.7989</v>
      </c>
      <c r="AS157" s="203">
        <f t="shared" si="91"/>
        <v>4903.2011000000002</v>
      </c>
    </row>
    <row r="158" spans="2:45" s="131" customFormat="1" ht="18" hidden="1" customHeight="1">
      <c r="B158" s="194" t="s">
        <v>1805</v>
      </c>
      <c r="C158" s="194">
        <v>316</v>
      </c>
      <c r="D158" s="195" t="s">
        <v>1426</v>
      </c>
      <c r="E158" s="196">
        <v>28588</v>
      </c>
      <c r="F158" s="196">
        <v>5288.3</v>
      </c>
      <c r="G158" s="196">
        <v>2550</v>
      </c>
      <c r="H158" s="197">
        <v>2</v>
      </c>
      <c r="I158" s="196">
        <v>24</v>
      </c>
      <c r="J158" s="197">
        <v>26</v>
      </c>
      <c r="K158" s="198">
        <f t="shared" si="79"/>
        <v>1248</v>
      </c>
      <c r="L158" s="197">
        <v>4</v>
      </c>
      <c r="M158" s="196">
        <v>16</v>
      </c>
      <c r="N158" s="197">
        <v>16</v>
      </c>
      <c r="O158" s="198">
        <f t="shared" si="80"/>
        <v>1024</v>
      </c>
      <c r="P158" s="199">
        <f t="shared" si="81"/>
        <v>2272</v>
      </c>
      <c r="Q158" s="197">
        <v>2</v>
      </c>
      <c r="R158" s="196">
        <v>42.5</v>
      </c>
      <c r="S158" s="197">
        <v>26</v>
      </c>
      <c r="T158" s="198">
        <f t="shared" si="82"/>
        <v>2210</v>
      </c>
      <c r="U158" s="197">
        <v>4</v>
      </c>
      <c r="V158" s="196">
        <v>42.5</v>
      </c>
      <c r="W158" s="197">
        <v>16</v>
      </c>
      <c r="X158" s="198">
        <f t="shared" si="83"/>
        <v>2720</v>
      </c>
      <c r="Y158" s="200">
        <f t="shared" si="84"/>
        <v>4930</v>
      </c>
      <c r="Z158" s="197">
        <v>2</v>
      </c>
      <c r="AA158" s="196">
        <v>80</v>
      </c>
      <c r="AB158" s="197">
        <v>2</v>
      </c>
      <c r="AC158" s="198">
        <f t="shared" si="85"/>
        <v>320</v>
      </c>
      <c r="AD158" s="197">
        <v>4</v>
      </c>
      <c r="AE158" s="196">
        <v>90</v>
      </c>
      <c r="AF158" s="196">
        <v>2</v>
      </c>
      <c r="AG158" s="198">
        <f t="shared" si="86"/>
        <v>720</v>
      </c>
      <c r="AH158" s="200">
        <f t="shared" si="87"/>
        <v>1040</v>
      </c>
      <c r="AI158" s="199">
        <f t="shared" si="88"/>
        <v>16080.3</v>
      </c>
      <c r="AJ158" s="201">
        <f t="shared" si="92"/>
        <v>0.56248425912970479</v>
      </c>
      <c r="AK158" s="200">
        <v>1375.847</v>
      </c>
      <c r="AL158" s="196">
        <v>285.88</v>
      </c>
      <c r="AM158" s="196">
        <v>285.88</v>
      </c>
      <c r="AN158" s="196">
        <v>857.64</v>
      </c>
      <c r="AO158" s="196">
        <v>185.822</v>
      </c>
      <c r="AP158" s="196">
        <v>1429.4</v>
      </c>
      <c r="AQ158" s="202">
        <f t="shared" si="93"/>
        <v>3044.6220000000003</v>
      </c>
      <c r="AR158" s="202">
        <f t="shared" si="90"/>
        <v>4420.4690000000001</v>
      </c>
      <c r="AS158" s="203">
        <f t="shared" si="91"/>
        <v>24167.530999999999</v>
      </c>
    </row>
    <row r="159" spans="2:45" s="131" customFormat="1" ht="18" hidden="1" customHeight="1">
      <c r="B159" s="194" t="s">
        <v>1805</v>
      </c>
      <c r="C159" s="194">
        <v>317</v>
      </c>
      <c r="D159" s="211" t="s">
        <v>1478</v>
      </c>
      <c r="E159" s="323">
        <v>5698</v>
      </c>
      <c r="F159" s="196">
        <v>911.65</v>
      </c>
      <c r="G159" s="196">
        <v>131.08000000000001</v>
      </c>
      <c r="H159" s="197">
        <v>1</v>
      </c>
      <c r="I159" s="196">
        <v>16</v>
      </c>
      <c r="J159" s="197">
        <v>26</v>
      </c>
      <c r="K159" s="198">
        <f t="shared" si="79"/>
        <v>416</v>
      </c>
      <c r="L159" s="197">
        <v>0</v>
      </c>
      <c r="M159" s="196">
        <v>0</v>
      </c>
      <c r="N159" s="197">
        <v>0</v>
      </c>
      <c r="O159" s="198">
        <f t="shared" si="80"/>
        <v>0</v>
      </c>
      <c r="P159" s="199">
        <f t="shared" si="81"/>
        <v>416</v>
      </c>
      <c r="Q159" s="197">
        <v>1</v>
      </c>
      <c r="R159" s="196">
        <v>42.5</v>
      </c>
      <c r="S159" s="197">
        <v>26</v>
      </c>
      <c r="T159" s="198">
        <f t="shared" si="82"/>
        <v>1105</v>
      </c>
      <c r="U159" s="196">
        <v>0</v>
      </c>
      <c r="V159" s="196">
        <v>0</v>
      </c>
      <c r="W159" s="197">
        <v>0</v>
      </c>
      <c r="X159" s="198">
        <f t="shared" si="83"/>
        <v>0</v>
      </c>
      <c r="Y159" s="200">
        <f t="shared" si="84"/>
        <v>1105</v>
      </c>
      <c r="Z159" s="197">
        <v>1</v>
      </c>
      <c r="AA159" s="196">
        <v>80</v>
      </c>
      <c r="AB159" s="197">
        <v>1</v>
      </c>
      <c r="AC159" s="198">
        <f t="shared" si="85"/>
        <v>80</v>
      </c>
      <c r="AD159" s="197">
        <v>0</v>
      </c>
      <c r="AE159" s="196">
        <v>0</v>
      </c>
      <c r="AF159" s="196">
        <v>0</v>
      </c>
      <c r="AG159" s="198">
        <f t="shared" si="86"/>
        <v>0</v>
      </c>
      <c r="AH159" s="200">
        <f t="shared" si="87"/>
        <v>80</v>
      </c>
      <c r="AI159" s="199">
        <f t="shared" si="88"/>
        <v>2643.73</v>
      </c>
      <c r="AJ159" s="201">
        <v>0.48544887930001196</v>
      </c>
      <c r="AK159" s="200">
        <v>335.96969999999999</v>
      </c>
      <c r="AL159" s="196">
        <v>56.980000000000004</v>
      </c>
      <c r="AM159" s="196">
        <v>56.980000000000004</v>
      </c>
      <c r="AN159" s="196">
        <v>170.94</v>
      </c>
      <c r="AO159" s="196">
        <v>37.036999999999999</v>
      </c>
      <c r="AP159" s="196">
        <v>284.90000000000003</v>
      </c>
      <c r="AQ159" s="202">
        <f t="shared" si="93"/>
        <v>606.83699999999999</v>
      </c>
      <c r="AR159" s="202">
        <f t="shared" si="90"/>
        <v>942.80669999999998</v>
      </c>
      <c r="AS159" s="203">
        <f t="shared" si="91"/>
        <v>4755.1932999999999</v>
      </c>
    </row>
    <row r="160" spans="2:45" s="131" customFormat="1" ht="18" hidden="1" customHeight="1">
      <c r="B160" s="194" t="s">
        <v>1805</v>
      </c>
      <c r="C160" s="194">
        <v>318</v>
      </c>
      <c r="D160" s="365" t="s">
        <v>1499</v>
      </c>
      <c r="E160" s="196">
        <v>34954</v>
      </c>
      <c r="F160" s="196">
        <v>5288.3</v>
      </c>
      <c r="G160" s="196">
        <v>2550</v>
      </c>
      <c r="H160" s="197">
        <v>3</v>
      </c>
      <c r="I160" s="196">
        <v>24</v>
      </c>
      <c r="J160" s="197">
        <v>26</v>
      </c>
      <c r="K160" s="198">
        <f t="shared" si="79"/>
        <v>1872</v>
      </c>
      <c r="L160" s="197">
        <v>4</v>
      </c>
      <c r="M160" s="196">
        <v>16</v>
      </c>
      <c r="N160" s="197">
        <v>16</v>
      </c>
      <c r="O160" s="198">
        <f t="shared" si="80"/>
        <v>1024</v>
      </c>
      <c r="P160" s="199">
        <f t="shared" si="81"/>
        <v>2896</v>
      </c>
      <c r="Q160" s="197">
        <v>3</v>
      </c>
      <c r="R160" s="196">
        <v>42.5</v>
      </c>
      <c r="S160" s="197">
        <v>26</v>
      </c>
      <c r="T160" s="198">
        <f t="shared" si="82"/>
        <v>3315</v>
      </c>
      <c r="U160" s="197">
        <v>4</v>
      </c>
      <c r="V160" s="196">
        <v>42.5</v>
      </c>
      <c r="W160" s="197">
        <v>16</v>
      </c>
      <c r="X160" s="198">
        <f t="shared" si="83"/>
        <v>2720</v>
      </c>
      <c r="Y160" s="200">
        <f t="shared" si="84"/>
        <v>6035</v>
      </c>
      <c r="Z160" s="197">
        <v>3</v>
      </c>
      <c r="AA160" s="196">
        <v>80</v>
      </c>
      <c r="AB160" s="197">
        <v>2</v>
      </c>
      <c r="AC160" s="198">
        <f t="shared" si="85"/>
        <v>480</v>
      </c>
      <c r="AD160" s="197">
        <v>4</v>
      </c>
      <c r="AE160" s="196">
        <v>90</v>
      </c>
      <c r="AF160" s="196">
        <v>2</v>
      </c>
      <c r="AG160" s="198">
        <f t="shared" si="86"/>
        <v>720</v>
      </c>
      <c r="AH160" s="200">
        <f t="shared" si="87"/>
        <v>1200</v>
      </c>
      <c r="AI160" s="199">
        <f>F160+G160+P160+Y160+AH160</f>
        <v>17969.3</v>
      </c>
      <c r="AJ160" s="201">
        <f>AI160/E160</f>
        <v>0.51408422498140416</v>
      </c>
      <c r="AK160" s="200">
        <v>1868.317</v>
      </c>
      <c r="AL160" s="196">
        <v>349.54</v>
      </c>
      <c r="AM160" s="196">
        <v>349.54</v>
      </c>
      <c r="AN160" s="196">
        <v>1048.6199999999999</v>
      </c>
      <c r="AO160" s="196">
        <v>227.20099999999999</v>
      </c>
      <c r="AP160" s="196">
        <v>1747.7</v>
      </c>
      <c r="AQ160" s="202">
        <f t="shared" si="93"/>
        <v>3722.6009999999997</v>
      </c>
      <c r="AR160" s="202">
        <f t="shared" si="90"/>
        <v>5590.9179999999997</v>
      </c>
      <c r="AS160" s="203">
        <f t="shared" si="91"/>
        <v>29363.082000000002</v>
      </c>
    </row>
    <row r="161" spans="2:45" s="131" customFormat="1" ht="18" hidden="1" customHeight="1">
      <c r="B161" s="194" t="s">
        <v>1805</v>
      </c>
      <c r="C161" s="194">
        <v>320</v>
      </c>
      <c r="D161" s="365" t="s">
        <v>49</v>
      </c>
      <c r="E161" s="196">
        <v>29976</v>
      </c>
      <c r="F161" s="196">
        <v>5288.3</v>
      </c>
      <c r="G161" s="196">
        <v>2550</v>
      </c>
      <c r="H161" s="197">
        <v>2</v>
      </c>
      <c r="I161" s="196">
        <v>24</v>
      </c>
      <c r="J161" s="197">
        <v>26</v>
      </c>
      <c r="K161" s="198">
        <f t="shared" si="79"/>
        <v>1248</v>
      </c>
      <c r="L161" s="197">
        <v>4</v>
      </c>
      <c r="M161" s="196">
        <v>16</v>
      </c>
      <c r="N161" s="197">
        <v>16</v>
      </c>
      <c r="O161" s="198">
        <f t="shared" si="80"/>
        <v>1024</v>
      </c>
      <c r="P161" s="199">
        <f t="shared" si="81"/>
        <v>2272</v>
      </c>
      <c r="Q161" s="197">
        <v>2</v>
      </c>
      <c r="R161" s="196">
        <v>42.5</v>
      </c>
      <c r="S161" s="197">
        <v>26</v>
      </c>
      <c r="T161" s="198">
        <f t="shared" si="82"/>
        <v>2210</v>
      </c>
      <c r="U161" s="197">
        <v>4</v>
      </c>
      <c r="V161" s="196">
        <v>42.5</v>
      </c>
      <c r="W161" s="197">
        <v>16</v>
      </c>
      <c r="X161" s="198">
        <f t="shared" si="83"/>
        <v>2720</v>
      </c>
      <c r="Y161" s="200">
        <f t="shared" si="84"/>
        <v>4930</v>
      </c>
      <c r="Z161" s="197">
        <v>2</v>
      </c>
      <c r="AA161" s="196">
        <v>80</v>
      </c>
      <c r="AB161" s="197">
        <v>2</v>
      </c>
      <c r="AC161" s="198">
        <f t="shared" si="85"/>
        <v>320</v>
      </c>
      <c r="AD161" s="197">
        <v>4</v>
      </c>
      <c r="AE161" s="196">
        <v>90</v>
      </c>
      <c r="AF161" s="196">
        <v>2</v>
      </c>
      <c r="AG161" s="198">
        <f t="shared" si="86"/>
        <v>720</v>
      </c>
      <c r="AH161" s="200">
        <f t="shared" si="87"/>
        <v>1040</v>
      </c>
      <c r="AI161" s="199">
        <f>F161+G161+P161+Y161+AH161</f>
        <v>16080.3</v>
      </c>
      <c r="AJ161" s="201">
        <f>AI161/E161</f>
        <v>0.5364391513210568</v>
      </c>
      <c r="AK161" s="200">
        <v>1528.527</v>
      </c>
      <c r="AL161" s="196">
        <v>299.76</v>
      </c>
      <c r="AM161" s="196">
        <v>299.76</v>
      </c>
      <c r="AN161" s="196">
        <v>899.28</v>
      </c>
      <c r="AO161" s="196">
        <v>194.84399999999999</v>
      </c>
      <c r="AP161" s="196">
        <v>1498.8000000000002</v>
      </c>
      <c r="AQ161" s="202">
        <f t="shared" ref="AQ161" si="94">SUM(AL161:AP161)</f>
        <v>3192.4440000000004</v>
      </c>
      <c r="AR161" s="202">
        <f t="shared" si="90"/>
        <v>4720.9710000000005</v>
      </c>
      <c r="AS161" s="203">
        <f t="shared" si="91"/>
        <v>25255.028999999999</v>
      </c>
    </row>
    <row r="162" spans="2:45" s="131" customFormat="1" ht="18" hidden="1" customHeight="1">
      <c r="B162" s="194" t="s">
        <v>1826</v>
      </c>
      <c r="C162" s="259">
        <v>330</v>
      </c>
      <c r="D162" s="366" t="s">
        <v>1694</v>
      </c>
      <c r="E162" s="260">
        <v>27354.400000000001</v>
      </c>
      <c r="F162" s="196">
        <v>2590</v>
      </c>
      <c r="G162" s="196">
        <v>0</v>
      </c>
      <c r="H162" s="335">
        <v>9</v>
      </c>
      <c r="I162" s="334">
        <v>12.488</v>
      </c>
      <c r="J162" s="335">
        <v>26</v>
      </c>
      <c r="K162" s="336">
        <f>H162*I162*J162</f>
        <v>2922.192</v>
      </c>
      <c r="L162" s="335">
        <v>0</v>
      </c>
      <c r="M162" s="334">
        <v>0</v>
      </c>
      <c r="N162" s="335">
        <v>0</v>
      </c>
      <c r="O162" s="336">
        <f>L162*M162*N162</f>
        <v>0</v>
      </c>
      <c r="P162" s="199">
        <f>K162+O162</f>
        <v>2922.192</v>
      </c>
      <c r="Q162" s="197">
        <v>0</v>
      </c>
      <c r="R162" s="196">
        <v>0</v>
      </c>
      <c r="S162" s="197">
        <v>0</v>
      </c>
      <c r="T162" s="198">
        <f>Q162*R162*S162</f>
        <v>0</v>
      </c>
      <c r="U162" s="196">
        <v>0</v>
      </c>
      <c r="V162" s="196">
        <v>0</v>
      </c>
      <c r="W162" s="197">
        <v>0</v>
      </c>
      <c r="X162" s="198">
        <f>U162*V162*W162</f>
        <v>0</v>
      </c>
      <c r="Y162" s="200">
        <f>T162+X162</f>
        <v>0</v>
      </c>
      <c r="Z162" s="197">
        <v>0</v>
      </c>
      <c r="AA162" s="196">
        <v>0</v>
      </c>
      <c r="AB162" s="197">
        <v>0</v>
      </c>
      <c r="AC162" s="198">
        <f>Z162*AA162*AB162</f>
        <v>0</v>
      </c>
      <c r="AD162" s="197">
        <v>0</v>
      </c>
      <c r="AE162" s="196">
        <v>0</v>
      </c>
      <c r="AF162" s="196">
        <v>0</v>
      </c>
      <c r="AG162" s="198">
        <f>AD162*AE162*AF162</f>
        <v>0</v>
      </c>
      <c r="AH162" s="200">
        <f>AC162+AG162</f>
        <v>0</v>
      </c>
      <c r="AI162" s="199">
        <f>F162+G162+P162+Y162+AH162</f>
        <v>5512.192</v>
      </c>
      <c r="AJ162" s="201">
        <f>AI162/E162</f>
        <v>0.2015102506360951</v>
      </c>
      <c r="AK162" s="200">
        <v>2402.6428800000003</v>
      </c>
      <c r="AL162" s="196">
        <v>273.54400000000004</v>
      </c>
      <c r="AM162" s="196">
        <v>273.54400000000004</v>
      </c>
      <c r="AN162" s="196">
        <v>820.63200000000006</v>
      </c>
      <c r="AO162" s="196">
        <v>177.80359999999999</v>
      </c>
      <c r="AP162" s="196">
        <v>1367.7200000000003</v>
      </c>
      <c r="AQ162" s="202">
        <f>SUM(AL162:AP162)</f>
        <v>2913.2436000000007</v>
      </c>
      <c r="AR162" s="202">
        <f>AK162+AQ162</f>
        <v>5315.886480000001</v>
      </c>
      <c r="AS162" s="203">
        <f>E162-AR162</f>
        <v>22038.51352</v>
      </c>
    </row>
    <row r="163" spans="2:45" s="131" customFormat="1" ht="18" hidden="1" customHeight="1">
      <c r="B163" s="194" t="s">
        <v>1826</v>
      </c>
      <c r="C163" s="368">
        <v>322</v>
      </c>
      <c r="D163" s="324" t="s">
        <v>982</v>
      </c>
      <c r="E163" s="196">
        <v>6405</v>
      </c>
      <c r="F163" s="196">
        <v>950.61</v>
      </c>
      <c r="G163" s="196">
        <v>351.9</v>
      </c>
      <c r="H163" s="335">
        <v>1</v>
      </c>
      <c r="I163" s="334">
        <v>24</v>
      </c>
      <c r="J163" s="335">
        <v>26</v>
      </c>
      <c r="K163" s="336">
        <f t="shared" ref="K163:K170" si="95">H163*I163*J163</f>
        <v>624</v>
      </c>
      <c r="L163" s="335">
        <v>0</v>
      </c>
      <c r="M163" s="334">
        <v>0</v>
      </c>
      <c r="N163" s="335">
        <v>0</v>
      </c>
      <c r="O163" s="336">
        <f t="shared" ref="O163:O170" si="96">L163*M163*N163</f>
        <v>0</v>
      </c>
      <c r="P163" s="220">
        <f t="shared" ref="P163:P170" si="97">K163+O163</f>
        <v>624</v>
      </c>
      <c r="Q163" s="197">
        <v>1</v>
      </c>
      <c r="R163" s="196">
        <v>44.3</v>
      </c>
      <c r="S163" s="197">
        <v>26</v>
      </c>
      <c r="T163" s="219">
        <f t="shared" ref="T163:T170" si="98">Q163*R163*S163</f>
        <v>1151.8</v>
      </c>
      <c r="U163" s="196">
        <v>0</v>
      </c>
      <c r="V163" s="196">
        <v>0</v>
      </c>
      <c r="W163" s="197">
        <v>0</v>
      </c>
      <c r="X163" s="219">
        <f t="shared" ref="X163:X170" si="99">U163*V163*W163</f>
        <v>0</v>
      </c>
      <c r="Y163" s="219">
        <f t="shared" ref="Y163:Y170" si="100">T163+X163</f>
        <v>1151.8</v>
      </c>
      <c r="Z163" s="197">
        <v>1</v>
      </c>
      <c r="AA163" s="196">
        <v>90</v>
      </c>
      <c r="AB163" s="197">
        <v>2</v>
      </c>
      <c r="AC163" s="219">
        <f t="shared" ref="AC163:AC170" si="101">Z163*AA163*AB163</f>
        <v>180</v>
      </c>
      <c r="AD163" s="197">
        <v>0</v>
      </c>
      <c r="AE163" s="196">
        <v>0</v>
      </c>
      <c r="AF163" s="196">
        <v>0</v>
      </c>
      <c r="AG163" s="219">
        <f t="shared" ref="AG163:AG170" si="102">AD163*AE163*AF163</f>
        <v>0</v>
      </c>
      <c r="AH163" s="219">
        <f t="shared" ref="AH163:AH170" si="103">AC163+AG163</f>
        <v>180</v>
      </c>
      <c r="AI163" s="199">
        <f t="shared" ref="AI163:AI168" si="104">F163+G163+P163+Y163+AH163</f>
        <v>3258.31</v>
      </c>
      <c r="AJ163" s="201">
        <f>AI163/E163</f>
        <v>0.5087135050741608</v>
      </c>
      <c r="AK163" s="219">
        <v>346.13589999999999</v>
      </c>
      <c r="AL163" s="196">
        <v>64.05</v>
      </c>
      <c r="AM163" s="196">
        <v>64.05</v>
      </c>
      <c r="AN163" s="196">
        <v>192.15</v>
      </c>
      <c r="AO163" s="196">
        <v>41.6325</v>
      </c>
      <c r="AP163" s="196">
        <v>320.25</v>
      </c>
      <c r="AQ163" s="367">
        <f t="shared" ref="AQ163" si="105">SUM(AL163:AP163)</f>
        <v>682.13249999999994</v>
      </c>
      <c r="AR163" s="367">
        <f t="shared" ref="AR163:AR170" si="106">AK163+AQ163</f>
        <v>1028.2683999999999</v>
      </c>
      <c r="AS163" s="203">
        <f t="shared" si="91"/>
        <v>5376.7316000000001</v>
      </c>
    </row>
    <row r="164" spans="2:45" s="131" customFormat="1" ht="18" hidden="1" customHeight="1">
      <c r="B164" s="194" t="s">
        <v>1826</v>
      </c>
      <c r="C164" s="369">
        <v>328</v>
      </c>
      <c r="D164" s="370" t="s">
        <v>1842</v>
      </c>
      <c r="E164" s="196">
        <v>16252</v>
      </c>
      <c r="F164" s="196">
        <v>2550</v>
      </c>
      <c r="G164" s="196">
        <v>703.8</v>
      </c>
      <c r="H164" s="335">
        <v>1</v>
      </c>
      <c r="I164" s="334">
        <v>24</v>
      </c>
      <c r="J164" s="335">
        <v>26</v>
      </c>
      <c r="K164" s="336">
        <f t="shared" si="95"/>
        <v>624</v>
      </c>
      <c r="L164" s="335">
        <v>2</v>
      </c>
      <c r="M164" s="334">
        <v>16</v>
      </c>
      <c r="N164" s="335">
        <v>16</v>
      </c>
      <c r="O164" s="336">
        <f t="shared" si="96"/>
        <v>512</v>
      </c>
      <c r="P164" s="220">
        <f t="shared" si="97"/>
        <v>1136</v>
      </c>
      <c r="Q164" s="197">
        <v>1</v>
      </c>
      <c r="R164" s="196">
        <v>42.5</v>
      </c>
      <c r="S164" s="197">
        <v>26</v>
      </c>
      <c r="T164" s="219">
        <f t="shared" si="98"/>
        <v>1105</v>
      </c>
      <c r="U164" s="196">
        <v>2</v>
      </c>
      <c r="V164" s="196">
        <v>42.5</v>
      </c>
      <c r="W164" s="197">
        <v>16</v>
      </c>
      <c r="X164" s="219">
        <f t="shared" si="99"/>
        <v>1360</v>
      </c>
      <c r="Y164" s="219">
        <f t="shared" si="100"/>
        <v>2465</v>
      </c>
      <c r="Z164" s="197">
        <v>1</v>
      </c>
      <c r="AA164" s="196">
        <v>80</v>
      </c>
      <c r="AB164" s="197">
        <v>2</v>
      </c>
      <c r="AC164" s="219">
        <f t="shared" si="101"/>
        <v>160</v>
      </c>
      <c r="AD164" s="197">
        <v>2</v>
      </c>
      <c r="AE164" s="196">
        <v>80</v>
      </c>
      <c r="AF164" s="197">
        <v>2</v>
      </c>
      <c r="AG164" s="219">
        <f t="shared" si="102"/>
        <v>320</v>
      </c>
      <c r="AH164" s="219">
        <f t="shared" si="103"/>
        <v>480</v>
      </c>
      <c r="AI164" s="199">
        <f t="shared" si="104"/>
        <v>7334.8</v>
      </c>
      <c r="AJ164" s="201">
        <f t="shared" ref="AJ164:AJ167" si="107">AI164/E164</f>
        <v>0.45131676101402907</v>
      </c>
      <c r="AK164" s="219">
        <v>980.89200000000005</v>
      </c>
      <c r="AL164" s="196">
        <v>162.52000000000001</v>
      </c>
      <c r="AM164" s="196">
        <v>162.52000000000001</v>
      </c>
      <c r="AN164" s="196">
        <v>487.56</v>
      </c>
      <c r="AO164" s="196">
        <v>105.63799999999999</v>
      </c>
      <c r="AP164" s="196">
        <v>812.6</v>
      </c>
      <c r="AQ164" s="367">
        <f t="shared" ref="AQ164:AQ169" si="108">SUM(AL164:AP164)</f>
        <v>1730.8380000000002</v>
      </c>
      <c r="AR164" s="367">
        <f t="shared" si="106"/>
        <v>2711.7300000000005</v>
      </c>
      <c r="AS164" s="203">
        <f t="shared" si="91"/>
        <v>13540.27</v>
      </c>
    </row>
    <row r="165" spans="2:45" s="131" customFormat="1" ht="18" hidden="1" customHeight="1">
      <c r="B165" s="194" t="s">
        <v>1826</v>
      </c>
      <c r="C165" s="368">
        <v>323</v>
      </c>
      <c r="D165" s="324" t="s">
        <v>1082</v>
      </c>
      <c r="E165" s="196">
        <v>6190</v>
      </c>
      <c r="F165" s="196">
        <v>950.61</v>
      </c>
      <c r="G165" s="196">
        <v>351.9</v>
      </c>
      <c r="H165" s="335">
        <v>1</v>
      </c>
      <c r="I165" s="334">
        <v>24</v>
      </c>
      <c r="J165" s="335">
        <v>26</v>
      </c>
      <c r="K165" s="336">
        <f t="shared" si="95"/>
        <v>624</v>
      </c>
      <c r="L165" s="335">
        <v>0</v>
      </c>
      <c r="M165" s="334">
        <v>0</v>
      </c>
      <c r="N165" s="335">
        <v>0</v>
      </c>
      <c r="O165" s="336">
        <f t="shared" si="96"/>
        <v>0</v>
      </c>
      <c r="P165" s="220">
        <f t="shared" si="97"/>
        <v>624</v>
      </c>
      <c r="Q165" s="197">
        <v>1</v>
      </c>
      <c r="R165" s="196">
        <v>44.3</v>
      </c>
      <c r="S165" s="197">
        <v>26</v>
      </c>
      <c r="T165" s="219">
        <f t="shared" si="98"/>
        <v>1151.8</v>
      </c>
      <c r="U165" s="196">
        <v>0</v>
      </c>
      <c r="V165" s="196">
        <v>0</v>
      </c>
      <c r="W165" s="197">
        <v>0</v>
      </c>
      <c r="X165" s="219">
        <f t="shared" si="99"/>
        <v>0</v>
      </c>
      <c r="Y165" s="219">
        <f t="shared" si="100"/>
        <v>1151.8</v>
      </c>
      <c r="Z165" s="197">
        <v>1</v>
      </c>
      <c r="AA165" s="196">
        <v>90</v>
      </c>
      <c r="AB165" s="197">
        <v>2</v>
      </c>
      <c r="AC165" s="219">
        <f t="shared" si="101"/>
        <v>180</v>
      </c>
      <c r="AD165" s="197">
        <v>0</v>
      </c>
      <c r="AE165" s="196">
        <v>0</v>
      </c>
      <c r="AF165" s="196">
        <v>0</v>
      </c>
      <c r="AG165" s="219">
        <f t="shared" si="102"/>
        <v>0</v>
      </c>
      <c r="AH165" s="219">
        <f t="shared" si="103"/>
        <v>180</v>
      </c>
      <c r="AI165" s="199">
        <f t="shared" si="104"/>
        <v>3258.31</v>
      </c>
      <c r="AJ165" s="201">
        <f t="shared" si="107"/>
        <v>0.52638287560581587</v>
      </c>
      <c r="AK165" s="219">
        <v>322.48590000000002</v>
      </c>
      <c r="AL165" s="196">
        <v>61.9</v>
      </c>
      <c r="AM165" s="196">
        <v>61.9</v>
      </c>
      <c r="AN165" s="196">
        <v>185.7</v>
      </c>
      <c r="AO165" s="196">
        <v>40.234999999999999</v>
      </c>
      <c r="AP165" s="196">
        <v>309.5</v>
      </c>
      <c r="AQ165" s="367">
        <f t="shared" si="108"/>
        <v>659.23500000000001</v>
      </c>
      <c r="AR165" s="367">
        <f t="shared" si="106"/>
        <v>981.72090000000003</v>
      </c>
      <c r="AS165" s="203">
        <f t="shared" si="91"/>
        <v>5208.2790999999997</v>
      </c>
    </row>
    <row r="166" spans="2:45" s="131" customFormat="1" ht="18" hidden="1" customHeight="1">
      <c r="B166" s="194" t="s">
        <v>1826</v>
      </c>
      <c r="C166" s="368">
        <v>324</v>
      </c>
      <c r="D166" s="324" t="s">
        <v>1081</v>
      </c>
      <c r="E166" s="196">
        <v>6403</v>
      </c>
      <c r="F166" s="196">
        <v>950.61</v>
      </c>
      <c r="G166" s="196">
        <v>351.9</v>
      </c>
      <c r="H166" s="335">
        <v>1</v>
      </c>
      <c r="I166" s="334">
        <v>24</v>
      </c>
      <c r="J166" s="335">
        <v>26</v>
      </c>
      <c r="K166" s="336">
        <f t="shared" si="95"/>
        <v>624</v>
      </c>
      <c r="L166" s="335">
        <v>0</v>
      </c>
      <c r="M166" s="334">
        <v>0</v>
      </c>
      <c r="N166" s="335">
        <v>0</v>
      </c>
      <c r="O166" s="336">
        <f t="shared" si="96"/>
        <v>0</v>
      </c>
      <c r="P166" s="220">
        <f t="shared" si="97"/>
        <v>624</v>
      </c>
      <c r="Q166" s="197">
        <v>1</v>
      </c>
      <c r="R166" s="196">
        <v>44.3</v>
      </c>
      <c r="S166" s="197">
        <v>26</v>
      </c>
      <c r="T166" s="219">
        <f t="shared" si="98"/>
        <v>1151.8</v>
      </c>
      <c r="U166" s="196">
        <v>0</v>
      </c>
      <c r="V166" s="196">
        <v>0</v>
      </c>
      <c r="W166" s="197">
        <v>0</v>
      </c>
      <c r="X166" s="219">
        <f t="shared" si="99"/>
        <v>0</v>
      </c>
      <c r="Y166" s="219">
        <f t="shared" si="100"/>
        <v>1151.8</v>
      </c>
      <c r="Z166" s="197">
        <v>1</v>
      </c>
      <c r="AA166" s="196">
        <v>90</v>
      </c>
      <c r="AB166" s="197">
        <v>2</v>
      </c>
      <c r="AC166" s="219">
        <f t="shared" si="101"/>
        <v>180</v>
      </c>
      <c r="AD166" s="197">
        <v>0</v>
      </c>
      <c r="AE166" s="196">
        <v>0</v>
      </c>
      <c r="AF166" s="196">
        <v>0</v>
      </c>
      <c r="AG166" s="219">
        <f t="shared" si="102"/>
        <v>0</v>
      </c>
      <c r="AH166" s="219">
        <f t="shared" si="103"/>
        <v>180</v>
      </c>
      <c r="AI166" s="199">
        <f t="shared" si="104"/>
        <v>3258.31</v>
      </c>
      <c r="AJ166" s="201">
        <f t="shared" si="107"/>
        <v>0.50887240356083085</v>
      </c>
      <c r="AK166" s="219">
        <v>345.91590000000002</v>
      </c>
      <c r="AL166" s="196">
        <v>64.03</v>
      </c>
      <c r="AM166" s="196">
        <v>64.03</v>
      </c>
      <c r="AN166" s="196">
        <v>192.09</v>
      </c>
      <c r="AO166" s="196">
        <v>41.619499999999995</v>
      </c>
      <c r="AP166" s="196">
        <v>320.15000000000003</v>
      </c>
      <c r="AQ166" s="367">
        <f t="shared" si="108"/>
        <v>681.91949999999997</v>
      </c>
      <c r="AR166" s="367">
        <f t="shared" si="106"/>
        <v>1027.8353999999999</v>
      </c>
      <c r="AS166" s="203">
        <f t="shared" si="91"/>
        <v>5375.1646000000001</v>
      </c>
    </row>
    <row r="167" spans="2:45" s="131" customFormat="1" ht="18" hidden="1" customHeight="1">
      <c r="B167" s="194" t="s">
        <v>1826</v>
      </c>
      <c r="C167" s="369">
        <v>327</v>
      </c>
      <c r="D167" s="370" t="s">
        <v>1843</v>
      </c>
      <c r="E167" s="196">
        <v>28588</v>
      </c>
      <c r="F167" s="196">
        <v>5288.3</v>
      </c>
      <c r="G167" s="196">
        <v>2550</v>
      </c>
      <c r="H167" s="335">
        <v>2</v>
      </c>
      <c r="I167" s="334">
        <v>24</v>
      </c>
      <c r="J167" s="335">
        <v>26</v>
      </c>
      <c r="K167" s="336">
        <f t="shared" si="95"/>
        <v>1248</v>
      </c>
      <c r="L167" s="335">
        <v>4</v>
      </c>
      <c r="M167" s="334">
        <v>16</v>
      </c>
      <c r="N167" s="335">
        <v>16</v>
      </c>
      <c r="O167" s="336">
        <f t="shared" si="96"/>
        <v>1024</v>
      </c>
      <c r="P167" s="220">
        <f t="shared" si="97"/>
        <v>2272</v>
      </c>
      <c r="Q167" s="197">
        <v>2</v>
      </c>
      <c r="R167" s="196">
        <v>42.5</v>
      </c>
      <c r="S167" s="197">
        <v>26</v>
      </c>
      <c r="T167" s="219">
        <f t="shared" si="98"/>
        <v>2210</v>
      </c>
      <c r="U167" s="197">
        <v>4</v>
      </c>
      <c r="V167" s="196">
        <v>42.5</v>
      </c>
      <c r="W167" s="197">
        <v>16</v>
      </c>
      <c r="X167" s="219">
        <f t="shared" si="99"/>
        <v>2720</v>
      </c>
      <c r="Y167" s="219">
        <f t="shared" si="100"/>
        <v>4930</v>
      </c>
      <c r="Z167" s="197">
        <v>2</v>
      </c>
      <c r="AA167" s="196">
        <v>80</v>
      </c>
      <c r="AB167" s="197">
        <v>2</v>
      </c>
      <c r="AC167" s="219">
        <f t="shared" si="101"/>
        <v>320</v>
      </c>
      <c r="AD167" s="197">
        <v>4</v>
      </c>
      <c r="AE167" s="196">
        <v>110</v>
      </c>
      <c r="AF167" s="196">
        <v>2</v>
      </c>
      <c r="AG167" s="219">
        <f t="shared" si="102"/>
        <v>880</v>
      </c>
      <c r="AH167" s="219">
        <f t="shared" si="103"/>
        <v>1200</v>
      </c>
      <c r="AI167" s="199">
        <f t="shared" si="104"/>
        <v>16240.3</v>
      </c>
      <c r="AJ167" s="201">
        <f t="shared" si="107"/>
        <v>0.56808101301245273</v>
      </c>
      <c r="AK167" s="219">
        <v>1358.2470000000001</v>
      </c>
      <c r="AL167" s="196">
        <v>285.88</v>
      </c>
      <c r="AM167" s="196">
        <v>285.88</v>
      </c>
      <c r="AN167" s="196">
        <v>857.64</v>
      </c>
      <c r="AO167" s="196">
        <v>185.822</v>
      </c>
      <c r="AP167" s="196">
        <v>1429.4</v>
      </c>
      <c r="AQ167" s="367">
        <f t="shared" si="108"/>
        <v>3044.6220000000003</v>
      </c>
      <c r="AR167" s="367">
        <f>AK167+AQ167</f>
        <v>4402.8690000000006</v>
      </c>
      <c r="AS167" s="203">
        <f t="shared" si="91"/>
        <v>24185.131000000001</v>
      </c>
    </row>
    <row r="168" spans="2:45" s="131" customFormat="1" ht="18" hidden="1" customHeight="1">
      <c r="B168" s="194" t="s">
        <v>1826</v>
      </c>
      <c r="C168" s="368">
        <v>325</v>
      </c>
      <c r="D168" s="324" t="s">
        <v>1478</v>
      </c>
      <c r="E168" s="213">
        <v>6098</v>
      </c>
      <c r="F168" s="196">
        <v>950.61</v>
      </c>
      <c r="G168" s="196">
        <v>351.9</v>
      </c>
      <c r="H168" s="335">
        <v>1</v>
      </c>
      <c r="I168" s="334">
        <v>24</v>
      </c>
      <c r="J168" s="335">
        <v>26</v>
      </c>
      <c r="K168" s="336">
        <f t="shared" si="95"/>
        <v>624</v>
      </c>
      <c r="L168" s="335">
        <v>0</v>
      </c>
      <c r="M168" s="334">
        <v>0</v>
      </c>
      <c r="N168" s="335">
        <v>0</v>
      </c>
      <c r="O168" s="336">
        <f t="shared" si="96"/>
        <v>0</v>
      </c>
      <c r="P168" s="220">
        <f t="shared" si="97"/>
        <v>624</v>
      </c>
      <c r="Q168" s="197">
        <v>1</v>
      </c>
      <c r="R168" s="196">
        <v>44.3</v>
      </c>
      <c r="S168" s="197">
        <v>26</v>
      </c>
      <c r="T168" s="219">
        <f t="shared" si="98"/>
        <v>1151.8</v>
      </c>
      <c r="U168" s="196">
        <v>0</v>
      </c>
      <c r="V168" s="196">
        <v>0</v>
      </c>
      <c r="W168" s="197">
        <v>0</v>
      </c>
      <c r="X168" s="219">
        <f t="shared" si="99"/>
        <v>0</v>
      </c>
      <c r="Y168" s="219">
        <f t="shared" si="100"/>
        <v>1151.8</v>
      </c>
      <c r="Z168" s="197">
        <v>1</v>
      </c>
      <c r="AA168" s="196">
        <v>90</v>
      </c>
      <c r="AB168" s="197">
        <v>2</v>
      </c>
      <c r="AC168" s="219">
        <f t="shared" si="101"/>
        <v>180</v>
      </c>
      <c r="AD168" s="197">
        <v>0</v>
      </c>
      <c r="AE168" s="196">
        <v>0</v>
      </c>
      <c r="AF168" s="196">
        <v>0</v>
      </c>
      <c r="AG168" s="219">
        <f t="shared" si="102"/>
        <v>0</v>
      </c>
      <c r="AH168" s="219">
        <f t="shared" si="103"/>
        <v>180</v>
      </c>
      <c r="AI168" s="199">
        <f t="shared" si="104"/>
        <v>3258.31</v>
      </c>
      <c r="AJ168" s="201">
        <v>0.48544887930001196</v>
      </c>
      <c r="AK168" s="219">
        <v>312.36590000000001</v>
      </c>
      <c r="AL168" s="196">
        <v>60.980000000000004</v>
      </c>
      <c r="AM168" s="196">
        <v>60.980000000000004</v>
      </c>
      <c r="AN168" s="196">
        <v>182.94</v>
      </c>
      <c r="AO168" s="196">
        <v>39.637</v>
      </c>
      <c r="AP168" s="196">
        <v>304.90000000000003</v>
      </c>
      <c r="AQ168" s="367">
        <f t="shared" si="108"/>
        <v>649.43700000000001</v>
      </c>
      <c r="AR168" s="367">
        <f t="shared" si="106"/>
        <v>961.80290000000002</v>
      </c>
      <c r="AS168" s="203">
        <f t="shared" si="91"/>
        <v>5136.1971000000003</v>
      </c>
    </row>
    <row r="169" spans="2:45" s="131" customFormat="1" ht="18" hidden="1" customHeight="1">
      <c r="B169" s="194" t="s">
        <v>1826</v>
      </c>
      <c r="C169" s="368">
        <v>326</v>
      </c>
      <c r="D169" s="365" t="s">
        <v>1499</v>
      </c>
      <c r="E169" s="196">
        <v>38394.230191242925</v>
      </c>
      <c r="F169" s="196">
        <v>2300</v>
      </c>
      <c r="G169" s="196">
        <v>1200</v>
      </c>
      <c r="H169" s="335">
        <v>3</v>
      </c>
      <c r="I169" s="334">
        <v>24</v>
      </c>
      <c r="J169" s="335">
        <v>26</v>
      </c>
      <c r="K169" s="336">
        <f t="shared" si="95"/>
        <v>1872</v>
      </c>
      <c r="L169" s="335">
        <v>4</v>
      </c>
      <c r="M169" s="334">
        <v>16</v>
      </c>
      <c r="N169" s="335">
        <v>16</v>
      </c>
      <c r="O169" s="336">
        <f t="shared" si="96"/>
        <v>1024</v>
      </c>
      <c r="P169" s="220">
        <f t="shared" si="97"/>
        <v>2896</v>
      </c>
      <c r="Q169" s="197">
        <v>3</v>
      </c>
      <c r="R169" s="196">
        <v>44.3</v>
      </c>
      <c r="S169" s="197">
        <v>26</v>
      </c>
      <c r="T169" s="219">
        <f t="shared" si="98"/>
        <v>3455.3999999999996</v>
      </c>
      <c r="U169" s="197">
        <v>4</v>
      </c>
      <c r="V169" s="196">
        <v>44.3</v>
      </c>
      <c r="W169" s="197">
        <v>16</v>
      </c>
      <c r="X169" s="219">
        <f t="shared" si="99"/>
        <v>2835.2</v>
      </c>
      <c r="Y169" s="219">
        <f t="shared" si="100"/>
        <v>6290.5999999999995</v>
      </c>
      <c r="Z169" s="197">
        <v>3</v>
      </c>
      <c r="AA169" s="196">
        <v>80</v>
      </c>
      <c r="AB169" s="197">
        <v>2</v>
      </c>
      <c r="AC169" s="219">
        <f t="shared" si="101"/>
        <v>480</v>
      </c>
      <c r="AD169" s="197">
        <v>4</v>
      </c>
      <c r="AE169" s="196">
        <v>110</v>
      </c>
      <c r="AF169" s="196">
        <v>2</v>
      </c>
      <c r="AG169" s="219">
        <f t="shared" si="102"/>
        <v>880</v>
      </c>
      <c r="AH169" s="219">
        <f t="shared" si="103"/>
        <v>1360</v>
      </c>
      <c r="AI169" s="199">
        <f>F169+G169+P169+Y169+AH169</f>
        <v>14046.599999999999</v>
      </c>
      <c r="AJ169" s="201">
        <f>AI169/E169</f>
        <v>0.36585184622880629</v>
      </c>
      <c r="AK169" s="219">
        <v>2678.2393210367218</v>
      </c>
      <c r="AL169" s="196">
        <v>383.94230191242923</v>
      </c>
      <c r="AM169" s="196">
        <v>383.94230191242923</v>
      </c>
      <c r="AN169" s="196">
        <v>1151.8269057372877</v>
      </c>
      <c r="AO169" s="196">
        <v>249.56249624307901</v>
      </c>
      <c r="AP169" s="196">
        <v>1919.7115095621464</v>
      </c>
      <c r="AQ169" s="367">
        <f t="shared" si="108"/>
        <v>4088.9855153673716</v>
      </c>
      <c r="AR169" s="367">
        <f t="shared" si="106"/>
        <v>6767.2248364040934</v>
      </c>
      <c r="AS169" s="203">
        <f t="shared" si="91"/>
        <v>31627.005354838831</v>
      </c>
    </row>
    <row r="170" spans="2:45" s="131" customFormat="1" ht="18" hidden="1" customHeight="1">
      <c r="B170" s="194" t="s">
        <v>1826</v>
      </c>
      <c r="C170" s="368">
        <v>327</v>
      </c>
      <c r="D170" s="365" t="s">
        <v>49</v>
      </c>
      <c r="E170" s="196">
        <v>33130</v>
      </c>
      <c r="F170" s="196">
        <v>5288.3</v>
      </c>
      <c r="G170" s="196">
        <v>2550</v>
      </c>
      <c r="H170" s="335">
        <v>2</v>
      </c>
      <c r="I170" s="334">
        <v>24</v>
      </c>
      <c r="J170" s="335">
        <v>26</v>
      </c>
      <c r="K170" s="336">
        <f t="shared" si="95"/>
        <v>1248</v>
      </c>
      <c r="L170" s="335">
        <v>4</v>
      </c>
      <c r="M170" s="334">
        <v>16</v>
      </c>
      <c r="N170" s="335">
        <v>16</v>
      </c>
      <c r="O170" s="336">
        <f t="shared" si="96"/>
        <v>1024</v>
      </c>
      <c r="P170" s="220">
        <f t="shared" si="97"/>
        <v>2272</v>
      </c>
      <c r="Q170" s="197">
        <v>2</v>
      </c>
      <c r="R170" s="196">
        <v>44.3</v>
      </c>
      <c r="S170" s="197">
        <v>26</v>
      </c>
      <c r="T170" s="219">
        <f t="shared" si="98"/>
        <v>2303.6</v>
      </c>
      <c r="U170" s="197">
        <v>4</v>
      </c>
      <c r="V170" s="196">
        <v>44.3</v>
      </c>
      <c r="W170" s="197">
        <v>16</v>
      </c>
      <c r="X170" s="219">
        <f t="shared" si="99"/>
        <v>2835.2</v>
      </c>
      <c r="Y170" s="219">
        <f t="shared" si="100"/>
        <v>5138.7999999999993</v>
      </c>
      <c r="Z170" s="197">
        <v>2</v>
      </c>
      <c r="AA170" s="196">
        <v>80</v>
      </c>
      <c r="AB170" s="197">
        <v>2</v>
      </c>
      <c r="AC170" s="219">
        <f t="shared" si="101"/>
        <v>320</v>
      </c>
      <c r="AD170" s="197">
        <v>4</v>
      </c>
      <c r="AE170" s="196">
        <v>110</v>
      </c>
      <c r="AF170" s="196">
        <v>2</v>
      </c>
      <c r="AG170" s="219">
        <f t="shared" si="102"/>
        <v>880</v>
      </c>
      <c r="AH170" s="219">
        <f t="shared" si="103"/>
        <v>1200</v>
      </c>
      <c r="AI170" s="199">
        <f>F170+G170+P170+Y170+AH170</f>
        <v>16449.099999999999</v>
      </c>
      <c r="AJ170" s="201">
        <f>AI170/E170</f>
        <v>0.49650166012677327</v>
      </c>
      <c r="AK170" s="219">
        <v>1834.8990000000001</v>
      </c>
      <c r="AL170" s="196">
        <v>331.3</v>
      </c>
      <c r="AM170" s="196">
        <v>331.3</v>
      </c>
      <c r="AN170" s="196">
        <v>993.9</v>
      </c>
      <c r="AO170" s="196">
        <v>215.345</v>
      </c>
      <c r="AP170" s="196">
        <v>1656.5</v>
      </c>
      <c r="AQ170" s="367">
        <f t="shared" ref="AQ170" si="109">SUM(AL170:AP170)</f>
        <v>3528.3450000000003</v>
      </c>
      <c r="AR170" s="367">
        <f t="shared" si="106"/>
        <v>5363.2440000000006</v>
      </c>
      <c r="AS170" s="203">
        <f t="shared" si="91"/>
        <v>27766.756000000001</v>
      </c>
    </row>
    <row r="171" spans="2:45" s="131" customFormat="1" ht="18" hidden="1" customHeight="1">
      <c r="B171" s="769" t="s">
        <v>1699</v>
      </c>
      <c r="C171" s="371"/>
      <c r="D171" s="390"/>
      <c r="E171" s="391"/>
      <c r="F171" s="391"/>
      <c r="G171" s="391"/>
      <c r="H171" s="392"/>
      <c r="I171" s="391"/>
      <c r="J171" s="392"/>
      <c r="K171" s="393"/>
      <c r="L171" s="392"/>
      <c r="M171" s="391"/>
      <c r="N171" s="392"/>
      <c r="O171" s="393"/>
      <c r="P171" s="394"/>
      <c r="Q171" s="392"/>
      <c r="R171" s="391"/>
      <c r="S171" s="392"/>
      <c r="T171" s="393"/>
      <c r="U171" s="392"/>
      <c r="V171" s="391"/>
      <c r="W171" s="392"/>
      <c r="X171" s="393"/>
      <c r="Y171" s="393"/>
      <c r="Z171" s="392"/>
      <c r="AA171" s="391"/>
      <c r="AB171" s="392"/>
      <c r="AC171" s="393"/>
      <c r="AD171" s="392"/>
      <c r="AE171" s="391"/>
      <c r="AF171" s="391"/>
      <c r="AG171" s="393"/>
      <c r="AH171" s="393"/>
      <c r="AI171" s="394"/>
      <c r="AJ171" s="395"/>
      <c r="AK171" s="393"/>
      <c r="AL171" s="391"/>
      <c r="AM171" s="391"/>
      <c r="AN171" s="391"/>
      <c r="AO171" s="391"/>
      <c r="AP171" s="391"/>
      <c r="AQ171" s="396"/>
      <c r="AR171" s="396"/>
      <c r="AS171" s="397">
        <f t="shared" si="91"/>
        <v>0</v>
      </c>
    </row>
    <row r="172" spans="2:45" s="131" customFormat="1" ht="18" hidden="1" customHeight="1">
      <c r="B172" s="194" t="s">
        <v>1844</v>
      </c>
      <c r="C172" s="194">
        <v>331</v>
      </c>
      <c r="D172" s="324" t="s">
        <v>1694</v>
      </c>
      <c r="E172" s="196">
        <v>26724.87</v>
      </c>
      <c r="F172" s="196">
        <v>2590</v>
      </c>
      <c r="G172" s="196">
        <v>0</v>
      </c>
      <c r="H172" s="335">
        <v>9</v>
      </c>
      <c r="I172" s="334">
        <v>12.488</v>
      </c>
      <c r="J172" s="335">
        <v>26</v>
      </c>
      <c r="K172" s="336">
        <f>H172*I172*J172</f>
        <v>2922.192</v>
      </c>
      <c r="L172" s="335">
        <v>0</v>
      </c>
      <c r="M172" s="334">
        <v>0</v>
      </c>
      <c r="N172" s="335">
        <v>0</v>
      </c>
      <c r="O172" s="336">
        <f>L172*M172*N172</f>
        <v>0</v>
      </c>
      <c r="P172" s="199">
        <f>K172+O172</f>
        <v>2922.192</v>
      </c>
      <c r="Q172" s="197">
        <v>0</v>
      </c>
      <c r="R172" s="196">
        <v>0</v>
      </c>
      <c r="S172" s="197">
        <v>0</v>
      </c>
      <c r="T172" s="198">
        <f>Q172*R172*S172</f>
        <v>0</v>
      </c>
      <c r="U172" s="196">
        <v>0</v>
      </c>
      <c r="V172" s="196">
        <v>0</v>
      </c>
      <c r="W172" s="197">
        <v>0</v>
      </c>
      <c r="X172" s="198">
        <f>U172*V172*W172</f>
        <v>0</v>
      </c>
      <c r="Y172" s="200">
        <f>T172+X172</f>
        <v>0</v>
      </c>
      <c r="Z172" s="197">
        <v>0</v>
      </c>
      <c r="AA172" s="196">
        <v>0</v>
      </c>
      <c r="AB172" s="197">
        <v>0</v>
      </c>
      <c r="AC172" s="198">
        <f>Z172*AA172*AB172</f>
        <v>0</v>
      </c>
      <c r="AD172" s="197">
        <v>0</v>
      </c>
      <c r="AE172" s="196">
        <v>0</v>
      </c>
      <c r="AF172" s="196">
        <v>0</v>
      </c>
      <c r="AG172" s="198">
        <f>AD172*AE172*AF172</f>
        <v>0</v>
      </c>
      <c r="AH172" s="200">
        <f>AC172+AG172</f>
        <v>0</v>
      </c>
      <c r="AI172" s="199">
        <f>F172+G172+P172+Y172+AH172</f>
        <v>5512.192</v>
      </c>
      <c r="AJ172" s="201">
        <f>AI172/E172</f>
        <v>0.20625701827548648</v>
      </c>
      <c r="AK172" s="200">
        <v>2333.3945800000001</v>
      </c>
      <c r="AL172" s="196">
        <v>267.24869999999999</v>
      </c>
      <c r="AM172" s="196">
        <v>267.24869999999999</v>
      </c>
      <c r="AN172" s="196">
        <v>801.74609999999996</v>
      </c>
      <c r="AO172" s="196">
        <v>173.71165499999998</v>
      </c>
      <c r="AP172" s="196">
        <v>1336.2435</v>
      </c>
      <c r="AQ172" s="202">
        <f>SUM(AL172:AP172)</f>
        <v>2846.1986550000001</v>
      </c>
      <c r="AR172" s="202">
        <f>AK172+AQ172</f>
        <v>5179.5932350000003</v>
      </c>
      <c r="AS172" s="203">
        <f>E172-AR172</f>
        <v>21545.276764999999</v>
      </c>
    </row>
    <row r="173" spans="2:45" s="131" customFormat="1" ht="18" hidden="1" customHeight="1">
      <c r="B173" s="194" t="s">
        <v>1844</v>
      </c>
      <c r="C173" s="194">
        <v>332</v>
      </c>
      <c r="D173" s="324" t="s">
        <v>982</v>
      </c>
      <c r="E173" s="196">
        <v>6405</v>
      </c>
      <c r="F173" s="196">
        <v>950.61</v>
      </c>
      <c r="G173" s="196">
        <v>351.9</v>
      </c>
      <c r="H173" s="335">
        <v>1</v>
      </c>
      <c r="I173" s="334">
        <v>24</v>
      </c>
      <c r="J173" s="335">
        <v>26</v>
      </c>
      <c r="K173" s="336">
        <f t="shared" ref="K173:K179" si="110">H173*I173*J173</f>
        <v>624</v>
      </c>
      <c r="L173" s="335">
        <v>0</v>
      </c>
      <c r="M173" s="334">
        <v>0</v>
      </c>
      <c r="N173" s="335">
        <v>0</v>
      </c>
      <c r="O173" s="336">
        <f t="shared" ref="O173:O179" si="111">L173*M173*N173</f>
        <v>0</v>
      </c>
      <c r="P173" s="220">
        <f t="shared" ref="P173:P179" si="112">K173+O173</f>
        <v>624</v>
      </c>
      <c r="Q173" s="197">
        <v>1</v>
      </c>
      <c r="R173" s="196">
        <v>44.3</v>
      </c>
      <c r="S173" s="197">
        <v>26</v>
      </c>
      <c r="T173" s="219">
        <f t="shared" ref="T173:T179" si="113">Q173*R173*S173</f>
        <v>1151.8</v>
      </c>
      <c r="U173" s="196">
        <v>0</v>
      </c>
      <c r="V173" s="196">
        <v>0</v>
      </c>
      <c r="W173" s="197">
        <v>0</v>
      </c>
      <c r="X173" s="219">
        <f t="shared" ref="X173:X179" si="114">U173*V173*W173</f>
        <v>0</v>
      </c>
      <c r="Y173" s="219">
        <f t="shared" ref="Y173:Y179" si="115">T173+X173</f>
        <v>1151.8</v>
      </c>
      <c r="Z173" s="197">
        <v>1</v>
      </c>
      <c r="AA173" s="196">
        <v>90</v>
      </c>
      <c r="AB173" s="197">
        <v>2</v>
      </c>
      <c r="AC173" s="219">
        <f t="shared" ref="AC173:AC179" si="116">Z173*AA173*AB173</f>
        <v>180</v>
      </c>
      <c r="AD173" s="197">
        <v>0</v>
      </c>
      <c r="AE173" s="196">
        <v>0</v>
      </c>
      <c r="AF173" s="196">
        <v>0</v>
      </c>
      <c r="AG173" s="219">
        <f t="shared" ref="AG173:AG179" si="117">AD173*AE173*AF173</f>
        <v>0</v>
      </c>
      <c r="AH173" s="219">
        <f t="shared" ref="AH173:AH179" si="118">AC173+AG173</f>
        <v>180</v>
      </c>
      <c r="AI173" s="199">
        <f t="shared" ref="AI173:AI177" si="119">F173+G173+P173+Y173+AH173</f>
        <v>3258.31</v>
      </c>
      <c r="AJ173" s="201">
        <f>AI173/E173</f>
        <v>0.5087135050741608</v>
      </c>
      <c r="AK173" s="219">
        <v>346.13589999999999</v>
      </c>
      <c r="AL173" s="196">
        <v>64.05</v>
      </c>
      <c r="AM173" s="196">
        <v>64.05</v>
      </c>
      <c r="AN173" s="196">
        <v>192.15</v>
      </c>
      <c r="AO173" s="196">
        <v>41.6325</v>
      </c>
      <c r="AP173" s="196">
        <v>320.25</v>
      </c>
      <c r="AQ173" s="367">
        <f t="shared" ref="AQ173" si="120">SUM(AL173:AP173)</f>
        <v>682.13249999999994</v>
      </c>
      <c r="AR173" s="367">
        <f t="shared" ref="AR173:AR175" si="121">AK173+AQ173</f>
        <v>1028.2683999999999</v>
      </c>
      <c r="AS173" s="203">
        <f t="shared" ref="AS173:AS180" si="122">E173-AR173</f>
        <v>5376.7316000000001</v>
      </c>
    </row>
    <row r="174" spans="2:45" s="131" customFormat="1" ht="18" hidden="1" customHeight="1">
      <c r="B174" s="194" t="s">
        <v>1844</v>
      </c>
      <c r="C174" s="194">
        <v>333</v>
      </c>
      <c r="D174" s="324" t="s">
        <v>1865</v>
      </c>
      <c r="E174" s="196">
        <v>18185</v>
      </c>
      <c r="F174" s="196">
        <v>2854</v>
      </c>
      <c r="G174" s="196">
        <v>1240</v>
      </c>
      <c r="H174" s="335">
        <v>1</v>
      </c>
      <c r="I174" s="334">
        <v>24</v>
      </c>
      <c r="J174" s="335">
        <v>26</v>
      </c>
      <c r="K174" s="336">
        <f t="shared" si="110"/>
        <v>624</v>
      </c>
      <c r="L174" s="335">
        <v>2</v>
      </c>
      <c r="M174" s="334">
        <v>16</v>
      </c>
      <c r="N174" s="335">
        <v>16</v>
      </c>
      <c r="O174" s="336">
        <f t="shared" si="111"/>
        <v>512</v>
      </c>
      <c r="P174" s="220">
        <f t="shared" si="112"/>
        <v>1136</v>
      </c>
      <c r="Q174" s="197">
        <v>1</v>
      </c>
      <c r="R174" s="196">
        <v>44.3</v>
      </c>
      <c r="S174" s="197">
        <v>26</v>
      </c>
      <c r="T174" s="219">
        <f t="shared" si="113"/>
        <v>1151.8</v>
      </c>
      <c r="U174" s="196">
        <v>2</v>
      </c>
      <c r="V174" s="196">
        <v>44.3</v>
      </c>
      <c r="W174" s="197">
        <v>16</v>
      </c>
      <c r="X174" s="219">
        <f t="shared" si="114"/>
        <v>1417.6</v>
      </c>
      <c r="Y174" s="219">
        <f t="shared" si="115"/>
        <v>2569.3999999999996</v>
      </c>
      <c r="Z174" s="197">
        <v>1</v>
      </c>
      <c r="AA174" s="196">
        <v>90</v>
      </c>
      <c r="AB174" s="197">
        <v>2</v>
      </c>
      <c r="AC174" s="219">
        <f t="shared" si="116"/>
        <v>180</v>
      </c>
      <c r="AD174" s="197">
        <v>2</v>
      </c>
      <c r="AE174" s="196">
        <v>90</v>
      </c>
      <c r="AF174" s="197">
        <v>2</v>
      </c>
      <c r="AG174" s="219">
        <f t="shared" si="117"/>
        <v>360</v>
      </c>
      <c r="AH174" s="219">
        <f t="shared" si="118"/>
        <v>540</v>
      </c>
      <c r="AI174" s="199">
        <f t="shared" si="119"/>
        <v>8339.4</v>
      </c>
      <c r="AJ174" s="201">
        <f t="shared" ref="AJ174:AJ176" si="123">AI174/E174</f>
        <v>0.45858674731921911</v>
      </c>
      <c r="AK174" s="219">
        <v>1083.0160000000001</v>
      </c>
      <c r="AL174" s="196">
        <v>181.85</v>
      </c>
      <c r="AM174" s="196">
        <v>181.85</v>
      </c>
      <c r="AN174" s="196">
        <v>545.54999999999995</v>
      </c>
      <c r="AO174" s="196">
        <v>118.2025</v>
      </c>
      <c r="AP174" s="196">
        <v>909.25</v>
      </c>
      <c r="AQ174" s="367">
        <f t="shared" ref="AQ174:AQ178" si="124">SUM(AL174:AP174)</f>
        <v>1936.7025000000001</v>
      </c>
      <c r="AR174" s="367">
        <f t="shared" si="121"/>
        <v>3019.7184999999999</v>
      </c>
      <c r="AS174" s="203">
        <f t="shared" si="122"/>
        <v>15165.281500000001</v>
      </c>
    </row>
    <row r="175" spans="2:45" s="131" customFormat="1" ht="18" hidden="1" customHeight="1">
      <c r="B175" s="194" t="s">
        <v>1844</v>
      </c>
      <c r="C175" s="194">
        <v>334</v>
      </c>
      <c r="D175" s="324" t="s">
        <v>1081</v>
      </c>
      <c r="E175" s="196">
        <v>6403</v>
      </c>
      <c r="F175" s="196">
        <v>950.61</v>
      </c>
      <c r="G175" s="196">
        <v>351.9</v>
      </c>
      <c r="H175" s="335">
        <v>1</v>
      </c>
      <c r="I175" s="334">
        <v>24</v>
      </c>
      <c r="J175" s="335">
        <v>26</v>
      </c>
      <c r="K175" s="336">
        <f t="shared" si="110"/>
        <v>624</v>
      </c>
      <c r="L175" s="335">
        <v>0</v>
      </c>
      <c r="M175" s="334">
        <v>0</v>
      </c>
      <c r="N175" s="335">
        <v>0</v>
      </c>
      <c r="O175" s="336">
        <f t="shared" si="111"/>
        <v>0</v>
      </c>
      <c r="P175" s="220">
        <f t="shared" si="112"/>
        <v>624</v>
      </c>
      <c r="Q175" s="197">
        <v>1</v>
      </c>
      <c r="R175" s="196">
        <v>44.3</v>
      </c>
      <c r="S175" s="197">
        <v>26</v>
      </c>
      <c r="T175" s="219">
        <f t="shared" si="113"/>
        <v>1151.8</v>
      </c>
      <c r="U175" s="196">
        <v>0</v>
      </c>
      <c r="V175" s="196">
        <v>0</v>
      </c>
      <c r="W175" s="197">
        <v>0</v>
      </c>
      <c r="X175" s="219">
        <f t="shared" si="114"/>
        <v>0</v>
      </c>
      <c r="Y175" s="219">
        <f t="shared" si="115"/>
        <v>1151.8</v>
      </c>
      <c r="Z175" s="197">
        <v>1</v>
      </c>
      <c r="AA175" s="196">
        <v>90</v>
      </c>
      <c r="AB175" s="197">
        <v>2</v>
      </c>
      <c r="AC175" s="219">
        <f t="shared" si="116"/>
        <v>180</v>
      </c>
      <c r="AD175" s="197">
        <v>0</v>
      </c>
      <c r="AE175" s="196">
        <v>0</v>
      </c>
      <c r="AF175" s="196">
        <v>0</v>
      </c>
      <c r="AG175" s="219">
        <f t="shared" si="117"/>
        <v>0</v>
      </c>
      <c r="AH175" s="219">
        <f t="shared" si="118"/>
        <v>180</v>
      </c>
      <c r="AI175" s="199">
        <f t="shared" si="119"/>
        <v>3258.31</v>
      </c>
      <c r="AJ175" s="201">
        <f t="shared" si="123"/>
        <v>0.50887240356083085</v>
      </c>
      <c r="AK175" s="219">
        <v>345.91590000000002</v>
      </c>
      <c r="AL175" s="196">
        <v>64.03</v>
      </c>
      <c r="AM175" s="196">
        <v>64.03</v>
      </c>
      <c r="AN175" s="196">
        <v>192.09</v>
      </c>
      <c r="AO175" s="196">
        <v>41.619499999999995</v>
      </c>
      <c r="AP175" s="196">
        <v>320.15000000000003</v>
      </c>
      <c r="AQ175" s="367">
        <f t="shared" si="124"/>
        <v>681.91949999999997</v>
      </c>
      <c r="AR175" s="367">
        <f t="shared" si="121"/>
        <v>1027.8353999999999</v>
      </c>
      <c r="AS175" s="203">
        <f t="shared" si="122"/>
        <v>5375.1646000000001</v>
      </c>
    </row>
    <row r="176" spans="2:45" s="131" customFormat="1" ht="18" hidden="1" customHeight="1">
      <c r="B176" s="194" t="s">
        <v>1844</v>
      </c>
      <c r="C176" s="194">
        <v>335</v>
      </c>
      <c r="D176" s="324" t="s">
        <v>1866</v>
      </c>
      <c r="E176" s="196">
        <v>31952</v>
      </c>
      <c r="F176" s="196">
        <v>5792</v>
      </c>
      <c r="G176" s="196">
        <v>2793</v>
      </c>
      <c r="H176" s="335">
        <v>2</v>
      </c>
      <c r="I176" s="334">
        <v>24</v>
      </c>
      <c r="J176" s="335">
        <v>26</v>
      </c>
      <c r="K176" s="336">
        <f t="shared" si="110"/>
        <v>1248</v>
      </c>
      <c r="L176" s="335">
        <v>4</v>
      </c>
      <c r="M176" s="334">
        <v>16</v>
      </c>
      <c r="N176" s="335">
        <v>16</v>
      </c>
      <c r="O176" s="336">
        <f t="shared" si="111"/>
        <v>1024</v>
      </c>
      <c r="P176" s="220">
        <f t="shared" si="112"/>
        <v>2272</v>
      </c>
      <c r="Q176" s="197">
        <v>2</v>
      </c>
      <c r="R176" s="196">
        <v>44.3</v>
      </c>
      <c r="S176" s="197">
        <v>26</v>
      </c>
      <c r="T176" s="219">
        <f t="shared" si="113"/>
        <v>2303.6</v>
      </c>
      <c r="U176" s="197">
        <v>4</v>
      </c>
      <c r="V176" s="196">
        <v>44.3</v>
      </c>
      <c r="W176" s="197">
        <v>16</v>
      </c>
      <c r="X176" s="219">
        <f t="shared" si="114"/>
        <v>2835.2</v>
      </c>
      <c r="Y176" s="219">
        <f t="shared" si="115"/>
        <v>5138.7999999999993</v>
      </c>
      <c r="Z176" s="197">
        <v>2</v>
      </c>
      <c r="AA176" s="196">
        <v>90</v>
      </c>
      <c r="AB176" s="197">
        <v>2</v>
      </c>
      <c r="AC176" s="219">
        <f t="shared" si="116"/>
        <v>360</v>
      </c>
      <c r="AD176" s="197">
        <v>4</v>
      </c>
      <c r="AE176" s="196">
        <v>110</v>
      </c>
      <c r="AF176" s="196">
        <v>2</v>
      </c>
      <c r="AG176" s="219">
        <f t="shared" si="117"/>
        <v>880</v>
      </c>
      <c r="AH176" s="219">
        <f t="shared" si="118"/>
        <v>1240</v>
      </c>
      <c r="AI176" s="199">
        <f t="shared" si="119"/>
        <v>17235.8</v>
      </c>
      <c r="AJ176" s="201">
        <f t="shared" si="123"/>
        <v>0.53942789183775663</v>
      </c>
      <c r="AK176" s="219">
        <v>1618.7820000000002</v>
      </c>
      <c r="AL176" s="196">
        <v>319.52</v>
      </c>
      <c r="AM176" s="196">
        <v>319.52</v>
      </c>
      <c r="AN176" s="196">
        <v>958.56</v>
      </c>
      <c r="AO176" s="196">
        <v>207.68799999999999</v>
      </c>
      <c r="AP176" s="196">
        <v>1597.6000000000001</v>
      </c>
      <c r="AQ176" s="367">
        <f t="shared" si="124"/>
        <v>3402.8879999999999</v>
      </c>
      <c r="AR176" s="367">
        <f>AK176+AQ176</f>
        <v>5021.67</v>
      </c>
      <c r="AS176" s="203">
        <f t="shared" si="122"/>
        <v>26930.33</v>
      </c>
    </row>
    <row r="177" spans="2:50" s="131" customFormat="1" ht="18" hidden="1" customHeight="1">
      <c r="B177" s="194" t="s">
        <v>1844</v>
      </c>
      <c r="C177" s="194">
        <v>336</v>
      </c>
      <c r="D177" s="324" t="s">
        <v>1478</v>
      </c>
      <c r="E177" s="213">
        <v>6098</v>
      </c>
      <c r="F177" s="196">
        <v>950.61</v>
      </c>
      <c r="G177" s="196">
        <v>351.9</v>
      </c>
      <c r="H177" s="335">
        <v>1</v>
      </c>
      <c r="I177" s="334">
        <v>24</v>
      </c>
      <c r="J177" s="335">
        <v>26</v>
      </c>
      <c r="K177" s="336">
        <f t="shared" si="110"/>
        <v>624</v>
      </c>
      <c r="L177" s="335">
        <v>0</v>
      </c>
      <c r="M177" s="334">
        <v>0</v>
      </c>
      <c r="N177" s="335">
        <v>0</v>
      </c>
      <c r="O177" s="336">
        <f t="shared" si="111"/>
        <v>0</v>
      </c>
      <c r="P177" s="220">
        <f t="shared" si="112"/>
        <v>624</v>
      </c>
      <c r="Q177" s="197">
        <v>1</v>
      </c>
      <c r="R177" s="196">
        <v>44.3</v>
      </c>
      <c r="S177" s="197">
        <v>26</v>
      </c>
      <c r="T177" s="219">
        <f t="shared" si="113"/>
        <v>1151.8</v>
      </c>
      <c r="U177" s="196">
        <v>0</v>
      </c>
      <c r="V177" s="196">
        <v>0</v>
      </c>
      <c r="W177" s="197">
        <v>0</v>
      </c>
      <c r="X177" s="219">
        <f t="shared" si="114"/>
        <v>0</v>
      </c>
      <c r="Y177" s="219">
        <f t="shared" si="115"/>
        <v>1151.8</v>
      </c>
      <c r="Z177" s="197">
        <v>1</v>
      </c>
      <c r="AA177" s="196">
        <v>90</v>
      </c>
      <c r="AB177" s="197">
        <v>2</v>
      </c>
      <c r="AC177" s="219">
        <f t="shared" si="116"/>
        <v>180</v>
      </c>
      <c r="AD177" s="197">
        <v>0</v>
      </c>
      <c r="AE177" s="196">
        <v>0</v>
      </c>
      <c r="AF177" s="196">
        <v>0</v>
      </c>
      <c r="AG177" s="219">
        <f t="shared" si="117"/>
        <v>0</v>
      </c>
      <c r="AH177" s="219">
        <f t="shared" si="118"/>
        <v>180</v>
      </c>
      <c r="AI177" s="199">
        <f t="shared" si="119"/>
        <v>3258.31</v>
      </c>
      <c r="AJ177" s="201">
        <v>0.48544887930001196</v>
      </c>
      <c r="AK177" s="219">
        <v>312.36590000000001</v>
      </c>
      <c r="AL177" s="196">
        <v>60.980000000000004</v>
      </c>
      <c r="AM177" s="196">
        <v>60.980000000000004</v>
      </c>
      <c r="AN177" s="196">
        <v>182.94</v>
      </c>
      <c r="AO177" s="196">
        <v>39.637</v>
      </c>
      <c r="AP177" s="196">
        <v>304.90000000000003</v>
      </c>
      <c r="AQ177" s="367">
        <f t="shared" si="124"/>
        <v>649.43700000000001</v>
      </c>
      <c r="AR177" s="367">
        <f t="shared" ref="AR177:AR179" si="125">AK177+AQ177</f>
        <v>961.80290000000002</v>
      </c>
      <c r="AS177" s="203">
        <f t="shared" si="122"/>
        <v>5136.1971000000003</v>
      </c>
    </row>
    <row r="178" spans="2:50" s="131" customFormat="1" ht="18" hidden="1" customHeight="1">
      <c r="B178" s="194" t="s">
        <v>1844</v>
      </c>
      <c r="C178" s="194">
        <v>337</v>
      </c>
      <c r="D178" s="365" t="s">
        <v>1499</v>
      </c>
      <c r="E178" s="196">
        <v>38394.230191242925</v>
      </c>
      <c r="F178" s="196">
        <v>2300</v>
      </c>
      <c r="G178" s="196">
        <v>1200</v>
      </c>
      <c r="H178" s="335">
        <v>3</v>
      </c>
      <c r="I178" s="334">
        <v>24</v>
      </c>
      <c r="J178" s="335">
        <v>26</v>
      </c>
      <c r="K178" s="336">
        <f t="shared" si="110"/>
        <v>1872</v>
      </c>
      <c r="L178" s="335">
        <v>4</v>
      </c>
      <c r="M178" s="334">
        <v>16</v>
      </c>
      <c r="N178" s="335">
        <v>16</v>
      </c>
      <c r="O178" s="336">
        <f t="shared" si="111"/>
        <v>1024</v>
      </c>
      <c r="P178" s="220">
        <f t="shared" si="112"/>
        <v>2896</v>
      </c>
      <c r="Q178" s="197">
        <v>3</v>
      </c>
      <c r="R178" s="196">
        <v>44.3</v>
      </c>
      <c r="S178" s="197">
        <v>26</v>
      </c>
      <c r="T178" s="219">
        <f t="shared" si="113"/>
        <v>3455.3999999999996</v>
      </c>
      <c r="U178" s="197">
        <v>4</v>
      </c>
      <c r="V178" s="196">
        <v>44.3</v>
      </c>
      <c r="W178" s="197">
        <v>16</v>
      </c>
      <c r="X178" s="219">
        <f t="shared" si="114"/>
        <v>2835.2</v>
      </c>
      <c r="Y178" s="219">
        <f t="shared" si="115"/>
        <v>6290.5999999999995</v>
      </c>
      <c r="Z178" s="197">
        <v>3</v>
      </c>
      <c r="AA178" s="196">
        <v>80</v>
      </c>
      <c r="AB178" s="197">
        <v>2</v>
      </c>
      <c r="AC178" s="219">
        <f t="shared" si="116"/>
        <v>480</v>
      </c>
      <c r="AD178" s="197">
        <v>4</v>
      </c>
      <c r="AE178" s="196">
        <v>110</v>
      </c>
      <c r="AF178" s="196">
        <v>2</v>
      </c>
      <c r="AG178" s="219">
        <f t="shared" si="117"/>
        <v>880</v>
      </c>
      <c r="AH178" s="219">
        <f t="shared" si="118"/>
        <v>1360</v>
      </c>
      <c r="AI178" s="199">
        <f>F178+G178+P178+Y178+AH178</f>
        <v>14046.599999999999</v>
      </c>
      <c r="AJ178" s="201">
        <f>AI178/E178</f>
        <v>0.36585184622880629</v>
      </c>
      <c r="AK178" s="219">
        <v>2678.2393210367218</v>
      </c>
      <c r="AL178" s="196">
        <v>383.94230191242923</v>
      </c>
      <c r="AM178" s="196">
        <v>383.94230191242923</v>
      </c>
      <c r="AN178" s="196">
        <v>1151.8269057372877</v>
      </c>
      <c r="AO178" s="196">
        <v>249.56249624307901</v>
      </c>
      <c r="AP178" s="196">
        <v>1919.7115095621464</v>
      </c>
      <c r="AQ178" s="367">
        <f t="shared" si="124"/>
        <v>4088.9855153673716</v>
      </c>
      <c r="AR178" s="367">
        <f t="shared" si="125"/>
        <v>6767.2248364040934</v>
      </c>
      <c r="AS178" s="203">
        <f t="shared" si="122"/>
        <v>31627.005354838831</v>
      </c>
    </row>
    <row r="179" spans="2:50" s="131" customFormat="1" ht="18" hidden="1" customHeight="1">
      <c r="B179" s="194" t="s">
        <v>1844</v>
      </c>
      <c r="C179" s="194">
        <v>338</v>
      </c>
      <c r="D179" s="365" t="s">
        <v>49</v>
      </c>
      <c r="E179" s="196">
        <v>33130</v>
      </c>
      <c r="F179" s="196">
        <v>5288.3</v>
      </c>
      <c r="G179" s="196">
        <v>2550</v>
      </c>
      <c r="H179" s="335">
        <v>2</v>
      </c>
      <c r="I179" s="334">
        <v>24</v>
      </c>
      <c r="J179" s="335">
        <v>26</v>
      </c>
      <c r="K179" s="336">
        <f t="shared" si="110"/>
        <v>1248</v>
      </c>
      <c r="L179" s="335">
        <v>4</v>
      </c>
      <c r="M179" s="334">
        <v>16</v>
      </c>
      <c r="N179" s="335">
        <v>16</v>
      </c>
      <c r="O179" s="336">
        <f t="shared" si="111"/>
        <v>1024</v>
      </c>
      <c r="P179" s="220">
        <f t="shared" si="112"/>
        <v>2272</v>
      </c>
      <c r="Q179" s="197">
        <v>2</v>
      </c>
      <c r="R179" s="196">
        <v>44.3</v>
      </c>
      <c r="S179" s="197">
        <v>26</v>
      </c>
      <c r="T179" s="219">
        <f t="shared" si="113"/>
        <v>2303.6</v>
      </c>
      <c r="U179" s="197">
        <v>4</v>
      </c>
      <c r="V179" s="196">
        <v>44.3</v>
      </c>
      <c r="W179" s="197">
        <v>16</v>
      </c>
      <c r="X179" s="219">
        <f t="shared" si="114"/>
        <v>2835.2</v>
      </c>
      <c r="Y179" s="219">
        <f t="shared" si="115"/>
        <v>5138.7999999999993</v>
      </c>
      <c r="Z179" s="197">
        <v>2</v>
      </c>
      <c r="AA179" s="196">
        <v>80</v>
      </c>
      <c r="AB179" s="197">
        <v>2</v>
      </c>
      <c r="AC179" s="219">
        <f t="shared" si="116"/>
        <v>320</v>
      </c>
      <c r="AD179" s="197">
        <v>4</v>
      </c>
      <c r="AE179" s="196">
        <v>110</v>
      </c>
      <c r="AF179" s="196">
        <v>2</v>
      </c>
      <c r="AG179" s="219">
        <f t="shared" si="117"/>
        <v>880</v>
      </c>
      <c r="AH179" s="219">
        <f t="shared" si="118"/>
        <v>1200</v>
      </c>
      <c r="AI179" s="199">
        <f>F179+G179+P179+Y179+AH179</f>
        <v>16449.099999999999</v>
      </c>
      <c r="AJ179" s="201">
        <f>AI179/E179</f>
        <v>0.49650166012677327</v>
      </c>
      <c r="AK179" s="219">
        <v>1834.8990000000001</v>
      </c>
      <c r="AL179" s="196">
        <v>331.3</v>
      </c>
      <c r="AM179" s="196">
        <v>331.3</v>
      </c>
      <c r="AN179" s="196">
        <v>993.9</v>
      </c>
      <c r="AO179" s="196">
        <v>215.345</v>
      </c>
      <c r="AP179" s="196">
        <v>1656.5</v>
      </c>
      <c r="AQ179" s="367">
        <f t="shared" ref="AQ179" si="126">SUM(AL179:AP179)</f>
        <v>3528.3450000000003</v>
      </c>
      <c r="AR179" s="367">
        <f t="shared" si="125"/>
        <v>5363.2440000000006</v>
      </c>
      <c r="AS179" s="203">
        <f t="shared" si="122"/>
        <v>27766.756000000001</v>
      </c>
    </row>
    <row r="180" spans="2:50" s="131" customFormat="1" ht="18" hidden="1" customHeight="1">
      <c r="B180" s="769" t="s">
        <v>1699</v>
      </c>
      <c r="C180" s="371"/>
      <c r="D180" s="390"/>
      <c r="E180" s="391"/>
      <c r="F180" s="391"/>
      <c r="G180" s="391"/>
      <c r="H180" s="392"/>
      <c r="I180" s="391"/>
      <c r="J180" s="392"/>
      <c r="K180" s="393"/>
      <c r="L180" s="392"/>
      <c r="M180" s="391"/>
      <c r="N180" s="392"/>
      <c r="O180" s="393"/>
      <c r="P180" s="394"/>
      <c r="Q180" s="392"/>
      <c r="R180" s="391"/>
      <c r="S180" s="392"/>
      <c r="T180" s="393"/>
      <c r="U180" s="392"/>
      <c r="V180" s="391"/>
      <c r="W180" s="392"/>
      <c r="X180" s="393"/>
      <c r="Y180" s="393"/>
      <c r="Z180" s="392"/>
      <c r="AA180" s="391"/>
      <c r="AB180" s="392"/>
      <c r="AC180" s="393"/>
      <c r="AD180" s="392"/>
      <c r="AE180" s="391"/>
      <c r="AF180" s="391"/>
      <c r="AG180" s="393"/>
      <c r="AH180" s="393"/>
      <c r="AI180" s="394"/>
      <c r="AJ180" s="395"/>
      <c r="AK180" s="393"/>
      <c r="AL180" s="391"/>
      <c r="AM180" s="391"/>
      <c r="AN180" s="391"/>
      <c r="AO180" s="391"/>
      <c r="AP180" s="391"/>
      <c r="AQ180" s="396"/>
      <c r="AR180" s="396"/>
      <c r="AS180" s="397">
        <f t="shared" si="122"/>
        <v>0</v>
      </c>
    </row>
    <row r="181" spans="2:50" s="131" customFormat="1" ht="18" hidden="1" customHeight="1">
      <c r="B181" s="194" t="s">
        <v>1862</v>
      </c>
      <c r="C181" s="194" t="s">
        <v>1108</v>
      </c>
      <c r="D181" s="324" t="s">
        <v>1694</v>
      </c>
      <c r="E181" s="196">
        <v>13649.99</v>
      </c>
      <c r="F181" s="208">
        <v>2590</v>
      </c>
      <c r="G181" s="196">
        <v>0</v>
      </c>
      <c r="H181" s="335">
        <v>6</v>
      </c>
      <c r="I181" s="334">
        <v>12.488</v>
      </c>
      <c r="J181" s="335">
        <v>26</v>
      </c>
      <c r="K181" s="336">
        <f>H181*I181*J181</f>
        <v>1948.1279999999999</v>
      </c>
      <c r="L181" s="335">
        <v>0</v>
      </c>
      <c r="M181" s="334">
        <v>0</v>
      </c>
      <c r="N181" s="335">
        <v>0</v>
      </c>
      <c r="O181" s="336">
        <f>L181*M181*N181</f>
        <v>0</v>
      </c>
      <c r="P181" s="199">
        <f>K181+O181</f>
        <v>1948.1279999999999</v>
      </c>
      <c r="Q181" s="197">
        <v>0</v>
      </c>
      <c r="R181" s="196">
        <v>0</v>
      </c>
      <c r="S181" s="197">
        <v>0</v>
      </c>
      <c r="T181" s="198">
        <f>Q181*R181*S181</f>
        <v>0</v>
      </c>
      <c r="U181" s="196">
        <v>0</v>
      </c>
      <c r="V181" s="196">
        <v>0</v>
      </c>
      <c r="W181" s="197">
        <v>0</v>
      </c>
      <c r="X181" s="198">
        <f>U181*V181*W181</f>
        <v>0</v>
      </c>
      <c r="Y181" s="200">
        <f>T181+X181</f>
        <v>0</v>
      </c>
      <c r="Z181" s="197">
        <v>0</v>
      </c>
      <c r="AA181" s="196">
        <v>0</v>
      </c>
      <c r="AB181" s="197">
        <v>0</v>
      </c>
      <c r="AC181" s="198">
        <f>Z181*AA181*AB181</f>
        <v>0</v>
      </c>
      <c r="AD181" s="197">
        <v>0</v>
      </c>
      <c r="AE181" s="196">
        <v>0</v>
      </c>
      <c r="AF181" s="196">
        <v>0</v>
      </c>
      <c r="AG181" s="198">
        <f>AD181*AE181*AF181</f>
        <v>0</v>
      </c>
      <c r="AH181" s="200">
        <f>AC181+AG181</f>
        <v>0</v>
      </c>
      <c r="AI181" s="199">
        <f>F181+G181+P181+Y181+AH181</f>
        <v>4538.1279999999997</v>
      </c>
      <c r="AJ181" s="201">
        <f>AI181/E181</f>
        <v>0.3324638333068376</v>
      </c>
      <c r="AK181" s="200">
        <v>1002.3048200000001</v>
      </c>
      <c r="AL181" s="196">
        <v>136.4999</v>
      </c>
      <c r="AM181" s="196">
        <v>136.4999</v>
      </c>
      <c r="AN181" s="196">
        <v>409.49969999999996</v>
      </c>
      <c r="AO181" s="196">
        <v>88.724934999999988</v>
      </c>
      <c r="AP181" s="196">
        <v>682.49950000000001</v>
      </c>
      <c r="AQ181" s="202">
        <f>SUM(AL181:AP181)</f>
        <v>1453.723935</v>
      </c>
      <c r="AR181" s="202">
        <f>AK181+AQ181</f>
        <v>2456.0287550000003</v>
      </c>
      <c r="AS181" s="203">
        <f>E181-AR181</f>
        <v>11193.961244999999</v>
      </c>
    </row>
    <row r="182" spans="2:50" s="131" customFormat="1" ht="18" hidden="1" customHeight="1">
      <c r="B182" s="194" t="s">
        <v>1862</v>
      </c>
      <c r="C182" s="194">
        <v>340</v>
      </c>
      <c r="D182" s="324" t="s">
        <v>1886</v>
      </c>
      <c r="E182" s="196">
        <f>6405+477</f>
        <v>6882</v>
      </c>
      <c r="F182" s="208">
        <v>950.61</v>
      </c>
      <c r="G182" s="208">
        <v>351.9</v>
      </c>
      <c r="H182" s="335">
        <v>1</v>
      </c>
      <c r="I182" s="334">
        <v>24</v>
      </c>
      <c r="J182" s="335">
        <v>26</v>
      </c>
      <c r="K182" s="336">
        <f t="shared" ref="K182:K188" si="127">H182*I182*J182</f>
        <v>624</v>
      </c>
      <c r="L182" s="335">
        <v>0</v>
      </c>
      <c r="M182" s="334">
        <v>0</v>
      </c>
      <c r="N182" s="335">
        <v>0</v>
      </c>
      <c r="O182" s="336">
        <f t="shared" ref="O182:O188" si="128">L182*M182*N182</f>
        <v>0</v>
      </c>
      <c r="P182" s="285">
        <f t="shared" ref="P182:P188" si="129">K182+O182</f>
        <v>624</v>
      </c>
      <c r="Q182" s="197">
        <v>1</v>
      </c>
      <c r="R182" s="196">
        <v>44.3</v>
      </c>
      <c r="S182" s="197">
        <v>26</v>
      </c>
      <c r="T182" s="219">
        <f t="shared" ref="T182:T188" si="130">Q182*R182*S182</f>
        <v>1151.8</v>
      </c>
      <c r="U182" s="196">
        <v>0</v>
      </c>
      <c r="V182" s="196">
        <v>0</v>
      </c>
      <c r="W182" s="197">
        <v>0</v>
      </c>
      <c r="X182" s="219">
        <f t="shared" ref="X182:X188" si="131">U182*V182*W182</f>
        <v>0</v>
      </c>
      <c r="Y182" s="271">
        <f t="shared" ref="Y182:Y188" si="132">T182+X182</f>
        <v>1151.8</v>
      </c>
      <c r="Z182" s="197">
        <v>1</v>
      </c>
      <c r="AA182" s="196">
        <v>90</v>
      </c>
      <c r="AB182" s="197">
        <v>2</v>
      </c>
      <c r="AC182" s="219">
        <f t="shared" ref="AC182:AC188" si="133">Z182*AA182*AB182</f>
        <v>180</v>
      </c>
      <c r="AD182" s="197">
        <v>0</v>
      </c>
      <c r="AE182" s="196">
        <v>0</v>
      </c>
      <c r="AF182" s="196">
        <v>0</v>
      </c>
      <c r="AG182" s="219">
        <f t="shared" ref="AG182:AG188" si="134">AD182*AE182*AF182</f>
        <v>0</v>
      </c>
      <c r="AH182" s="271">
        <f t="shared" ref="AH182:AH188" si="135">AC182+AG182</f>
        <v>180</v>
      </c>
      <c r="AI182" s="199">
        <f t="shared" ref="AI182:AI186" si="136">F182+G182+P182+Y182+AH182</f>
        <v>3258.31</v>
      </c>
      <c r="AJ182" s="201">
        <f>AI182/E182</f>
        <v>0.47345393780877654</v>
      </c>
      <c r="AK182" s="219">
        <v>398.60590000000002</v>
      </c>
      <c r="AL182" s="196">
        <v>68.820000000000007</v>
      </c>
      <c r="AM182" s="196">
        <v>68.820000000000007</v>
      </c>
      <c r="AN182" s="196">
        <v>206.45999999999998</v>
      </c>
      <c r="AO182" s="196">
        <v>44.732999999999997</v>
      </c>
      <c r="AP182" s="196">
        <v>344.1</v>
      </c>
      <c r="AQ182" s="367">
        <f t="shared" ref="AQ182" si="137">SUM(AL182:AP182)</f>
        <v>732.93299999999999</v>
      </c>
      <c r="AR182" s="367">
        <f t="shared" ref="AR182:AR184" si="138">AK182+AQ182</f>
        <v>1131.5389</v>
      </c>
      <c r="AS182" s="203">
        <f t="shared" ref="AS182:AS189" si="139">E182-AR182</f>
        <v>5750.4611000000004</v>
      </c>
    </row>
    <row r="183" spans="2:50" s="131" customFormat="1" ht="18" hidden="1" customHeight="1">
      <c r="B183" s="194" t="s">
        <v>1862</v>
      </c>
      <c r="C183" s="194">
        <v>345</v>
      </c>
      <c r="D183" s="325" t="s">
        <v>1891</v>
      </c>
      <c r="E183" s="196">
        <f>18185+3866</f>
        <v>22051</v>
      </c>
      <c r="F183" s="196">
        <v>2854</v>
      </c>
      <c r="G183" s="196">
        <v>1240</v>
      </c>
      <c r="H183" s="335">
        <v>1</v>
      </c>
      <c r="I183" s="334">
        <v>24</v>
      </c>
      <c r="J183" s="335">
        <v>26</v>
      </c>
      <c r="K183" s="336">
        <f t="shared" si="127"/>
        <v>624</v>
      </c>
      <c r="L183" s="335">
        <v>2</v>
      </c>
      <c r="M183" s="334">
        <v>16</v>
      </c>
      <c r="N183" s="335">
        <v>16</v>
      </c>
      <c r="O183" s="336">
        <f t="shared" si="128"/>
        <v>512</v>
      </c>
      <c r="P183" s="220">
        <f t="shared" si="129"/>
        <v>1136</v>
      </c>
      <c r="Q183" s="197">
        <v>1</v>
      </c>
      <c r="R183" s="196">
        <v>44.3</v>
      </c>
      <c r="S183" s="197">
        <v>26</v>
      </c>
      <c r="T183" s="219">
        <f t="shared" si="130"/>
        <v>1151.8</v>
      </c>
      <c r="U183" s="196">
        <v>2</v>
      </c>
      <c r="V183" s="196">
        <v>44.3</v>
      </c>
      <c r="W183" s="197">
        <v>16</v>
      </c>
      <c r="X183" s="219">
        <f t="shared" si="131"/>
        <v>1417.6</v>
      </c>
      <c r="Y183" s="219">
        <f t="shared" si="132"/>
        <v>2569.3999999999996</v>
      </c>
      <c r="Z183" s="197">
        <v>1</v>
      </c>
      <c r="AA183" s="196">
        <v>90</v>
      </c>
      <c r="AB183" s="197">
        <v>2</v>
      </c>
      <c r="AC183" s="219">
        <f t="shared" si="133"/>
        <v>180</v>
      </c>
      <c r="AD183" s="197">
        <v>2</v>
      </c>
      <c r="AE183" s="196">
        <v>90</v>
      </c>
      <c r="AF183" s="197">
        <v>2</v>
      </c>
      <c r="AG183" s="219">
        <f t="shared" si="134"/>
        <v>360</v>
      </c>
      <c r="AH183" s="219">
        <f t="shared" si="135"/>
        <v>540</v>
      </c>
      <c r="AI183" s="199">
        <f t="shared" si="136"/>
        <v>8339.4</v>
      </c>
      <c r="AJ183" s="201">
        <f t="shared" ref="AJ183:AJ185" si="140">AI183/E183</f>
        <v>0.37818693029794564</v>
      </c>
      <c r="AK183" s="219">
        <v>1508.2760000000001</v>
      </c>
      <c r="AL183" s="196">
        <v>220.51</v>
      </c>
      <c r="AM183" s="196">
        <v>220.51</v>
      </c>
      <c r="AN183" s="196">
        <v>661.53</v>
      </c>
      <c r="AO183" s="196">
        <v>143.33150000000001</v>
      </c>
      <c r="AP183" s="196">
        <v>1102.55</v>
      </c>
      <c r="AQ183" s="367">
        <f t="shared" ref="AQ183:AQ187" si="141">SUM(AL183:AP183)</f>
        <v>2348.4314999999997</v>
      </c>
      <c r="AR183" s="367">
        <f t="shared" si="138"/>
        <v>3856.7074999999995</v>
      </c>
      <c r="AS183" s="203">
        <f t="shared" si="139"/>
        <v>18194.2925</v>
      </c>
    </row>
    <row r="184" spans="2:50" s="131" customFormat="1" ht="18" hidden="1" customHeight="1">
      <c r="B184" s="194" t="s">
        <v>1862</v>
      </c>
      <c r="C184" s="194">
        <v>344</v>
      </c>
      <c r="D184" s="324" t="s">
        <v>1890</v>
      </c>
      <c r="E184" s="196">
        <f>6403+593</f>
        <v>6996</v>
      </c>
      <c r="F184" s="196">
        <v>950.61</v>
      </c>
      <c r="G184" s="196">
        <v>351.9</v>
      </c>
      <c r="H184" s="335">
        <v>1</v>
      </c>
      <c r="I184" s="334">
        <v>24</v>
      </c>
      <c r="J184" s="335">
        <v>26</v>
      </c>
      <c r="K184" s="336">
        <f t="shared" si="127"/>
        <v>624</v>
      </c>
      <c r="L184" s="335">
        <v>0</v>
      </c>
      <c r="M184" s="334">
        <v>0</v>
      </c>
      <c r="N184" s="335">
        <v>0</v>
      </c>
      <c r="O184" s="336">
        <f t="shared" si="128"/>
        <v>0</v>
      </c>
      <c r="P184" s="220">
        <f t="shared" si="129"/>
        <v>624</v>
      </c>
      <c r="Q184" s="197">
        <v>1</v>
      </c>
      <c r="R184" s="196">
        <v>44.3</v>
      </c>
      <c r="S184" s="197">
        <v>26</v>
      </c>
      <c r="T184" s="219">
        <f t="shared" si="130"/>
        <v>1151.8</v>
      </c>
      <c r="U184" s="196">
        <v>0</v>
      </c>
      <c r="V184" s="196">
        <v>0</v>
      </c>
      <c r="W184" s="197">
        <v>0</v>
      </c>
      <c r="X184" s="219">
        <f t="shared" si="131"/>
        <v>0</v>
      </c>
      <c r="Y184" s="219">
        <f t="shared" si="132"/>
        <v>1151.8</v>
      </c>
      <c r="Z184" s="197">
        <v>1</v>
      </c>
      <c r="AA184" s="196">
        <v>90</v>
      </c>
      <c r="AB184" s="197">
        <v>2</v>
      </c>
      <c r="AC184" s="219">
        <f t="shared" si="133"/>
        <v>180</v>
      </c>
      <c r="AD184" s="197">
        <v>0</v>
      </c>
      <c r="AE184" s="196">
        <v>0</v>
      </c>
      <c r="AF184" s="196">
        <v>0</v>
      </c>
      <c r="AG184" s="219">
        <f t="shared" si="134"/>
        <v>0</v>
      </c>
      <c r="AH184" s="219">
        <f t="shared" si="135"/>
        <v>180</v>
      </c>
      <c r="AI184" s="199">
        <f t="shared" si="136"/>
        <v>3258.31</v>
      </c>
      <c r="AJ184" s="201">
        <f t="shared" si="140"/>
        <v>0.46573899371069183</v>
      </c>
      <c r="AK184" s="219">
        <v>411.14589999999998</v>
      </c>
      <c r="AL184" s="196">
        <v>69.960000000000008</v>
      </c>
      <c r="AM184" s="196">
        <v>69.960000000000008</v>
      </c>
      <c r="AN184" s="196">
        <v>209.88</v>
      </c>
      <c r="AO184" s="196">
        <v>45.473999999999997</v>
      </c>
      <c r="AP184" s="196">
        <v>349.8</v>
      </c>
      <c r="AQ184" s="367">
        <f t="shared" si="141"/>
        <v>745.07400000000007</v>
      </c>
      <c r="AR184" s="367">
        <f t="shared" si="138"/>
        <v>1156.2199000000001</v>
      </c>
      <c r="AS184" s="203">
        <f t="shared" si="139"/>
        <v>5839.7800999999999</v>
      </c>
    </row>
    <row r="185" spans="2:50" s="131" customFormat="1" ht="18" hidden="1" customHeight="1">
      <c r="B185" s="194" t="s">
        <v>1862</v>
      </c>
      <c r="C185" s="194">
        <v>348</v>
      </c>
      <c r="D185" s="324" t="s">
        <v>1892</v>
      </c>
      <c r="E185" s="196">
        <f>(30732.1+2144.1+2144.1)-1219.9</f>
        <v>33800.399999999994</v>
      </c>
      <c r="F185" s="196">
        <v>5792</v>
      </c>
      <c r="G185" s="196">
        <v>2793</v>
      </c>
      <c r="H185" s="335">
        <v>2</v>
      </c>
      <c r="I185" s="334">
        <v>24</v>
      </c>
      <c r="J185" s="335">
        <v>26</v>
      </c>
      <c r="K185" s="336">
        <f t="shared" si="127"/>
        <v>1248</v>
      </c>
      <c r="L185" s="335">
        <v>4</v>
      </c>
      <c r="M185" s="334">
        <v>16</v>
      </c>
      <c r="N185" s="335">
        <v>16</v>
      </c>
      <c r="O185" s="336">
        <f t="shared" si="128"/>
        <v>1024</v>
      </c>
      <c r="P185" s="220">
        <f t="shared" si="129"/>
        <v>2272</v>
      </c>
      <c r="Q185" s="197">
        <v>2</v>
      </c>
      <c r="R185" s="196">
        <v>44.3</v>
      </c>
      <c r="S185" s="197">
        <v>26</v>
      </c>
      <c r="T185" s="219">
        <f t="shared" si="130"/>
        <v>2303.6</v>
      </c>
      <c r="U185" s="197">
        <v>4</v>
      </c>
      <c r="V185" s="196">
        <v>44.3</v>
      </c>
      <c r="W185" s="197">
        <v>16</v>
      </c>
      <c r="X185" s="219">
        <f t="shared" si="131"/>
        <v>2835.2</v>
      </c>
      <c r="Y185" s="219">
        <f t="shared" si="132"/>
        <v>5138.7999999999993</v>
      </c>
      <c r="Z185" s="197">
        <v>2</v>
      </c>
      <c r="AA185" s="196">
        <v>90</v>
      </c>
      <c r="AB185" s="197">
        <v>2</v>
      </c>
      <c r="AC185" s="219">
        <f t="shared" si="133"/>
        <v>360</v>
      </c>
      <c r="AD185" s="197">
        <v>4</v>
      </c>
      <c r="AE185" s="196">
        <v>110</v>
      </c>
      <c r="AF185" s="196">
        <v>2</v>
      </c>
      <c r="AG185" s="219">
        <f t="shared" si="134"/>
        <v>880</v>
      </c>
      <c r="AH185" s="219">
        <f t="shared" si="135"/>
        <v>1240</v>
      </c>
      <c r="AI185" s="199">
        <f t="shared" si="136"/>
        <v>17235.8</v>
      </c>
      <c r="AJ185" s="201">
        <f t="shared" si="140"/>
        <v>0.50992887658134234</v>
      </c>
      <c r="AK185" s="219">
        <v>1822.1059999999995</v>
      </c>
      <c r="AL185" s="196">
        <v>338.00399999999996</v>
      </c>
      <c r="AM185" s="196">
        <v>338.00399999999996</v>
      </c>
      <c r="AN185" s="196">
        <v>1014.0119999999998</v>
      </c>
      <c r="AO185" s="196">
        <v>219.70259999999996</v>
      </c>
      <c r="AP185" s="196">
        <v>1690.0199999999998</v>
      </c>
      <c r="AQ185" s="367">
        <f t="shared" si="141"/>
        <v>3599.7425999999996</v>
      </c>
      <c r="AR185" s="367">
        <f>AK185+AQ185</f>
        <v>5421.8485999999994</v>
      </c>
      <c r="AS185" s="203">
        <f>(E185-AR185)</f>
        <v>28378.551399999997</v>
      </c>
    </row>
    <row r="186" spans="2:50" s="131" customFormat="1" ht="18" hidden="1" customHeight="1">
      <c r="B186" s="194" t="s">
        <v>1862</v>
      </c>
      <c r="C186" s="194">
        <v>342</v>
      </c>
      <c r="D186" s="324" t="s">
        <v>1888</v>
      </c>
      <c r="E186" s="213">
        <f>6098+400</f>
        <v>6498</v>
      </c>
      <c r="F186" s="196">
        <v>950.61</v>
      </c>
      <c r="G186" s="196">
        <v>351.9</v>
      </c>
      <c r="H186" s="335">
        <v>1</v>
      </c>
      <c r="I186" s="334">
        <v>24</v>
      </c>
      <c r="J186" s="335">
        <v>26</v>
      </c>
      <c r="K186" s="336">
        <f t="shared" si="127"/>
        <v>624</v>
      </c>
      <c r="L186" s="335">
        <v>0</v>
      </c>
      <c r="M186" s="334">
        <v>0</v>
      </c>
      <c r="N186" s="335">
        <v>0</v>
      </c>
      <c r="O186" s="336">
        <f t="shared" si="128"/>
        <v>0</v>
      </c>
      <c r="P186" s="220">
        <f t="shared" si="129"/>
        <v>624</v>
      </c>
      <c r="Q186" s="197">
        <v>1</v>
      </c>
      <c r="R186" s="196">
        <v>44.3</v>
      </c>
      <c r="S186" s="197">
        <v>26</v>
      </c>
      <c r="T186" s="219">
        <f t="shared" si="130"/>
        <v>1151.8</v>
      </c>
      <c r="U186" s="196">
        <v>0</v>
      </c>
      <c r="V186" s="196">
        <v>0</v>
      </c>
      <c r="W186" s="197">
        <v>0</v>
      </c>
      <c r="X186" s="219">
        <f t="shared" si="131"/>
        <v>0</v>
      </c>
      <c r="Y186" s="219">
        <f t="shared" si="132"/>
        <v>1151.8</v>
      </c>
      <c r="Z186" s="197">
        <v>1</v>
      </c>
      <c r="AA186" s="196">
        <v>90</v>
      </c>
      <c r="AB186" s="197">
        <v>2</v>
      </c>
      <c r="AC186" s="219">
        <f t="shared" si="133"/>
        <v>180</v>
      </c>
      <c r="AD186" s="197">
        <v>0</v>
      </c>
      <c r="AE186" s="196">
        <v>0</v>
      </c>
      <c r="AF186" s="196">
        <v>0</v>
      </c>
      <c r="AG186" s="219">
        <f t="shared" si="134"/>
        <v>0</v>
      </c>
      <c r="AH186" s="219">
        <f t="shared" si="135"/>
        <v>180</v>
      </c>
      <c r="AI186" s="199">
        <f t="shared" si="136"/>
        <v>3258.31</v>
      </c>
      <c r="AJ186" s="201">
        <v>0.48544887930001196</v>
      </c>
      <c r="AK186" s="219">
        <v>356.36590000000001</v>
      </c>
      <c r="AL186" s="196">
        <v>64.98</v>
      </c>
      <c r="AM186" s="196">
        <v>64.98</v>
      </c>
      <c r="AN186" s="196">
        <v>194.94</v>
      </c>
      <c r="AO186" s="196">
        <v>42.236999999999995</v>
      </c>
      <c r="AP186" s="196">
        <v>324.90000000000003</v>
      </c>
      <c r="AQ186" s="367">
        <f t="shared" si="141"/>
        <v>692.03700000000003</v>
      </c>
      <c r="AR186" s="367">
        <f t="shared" ref="AR186:AR188" si="142">AK186+AQ186</f>
        <v>1048.4029</v>
      </c>
      <c r="AS186" s="203">
        <f t="shared" si="139"/>
        <v>5449.5971</v>
      </c>
    </row>
    <row r="187" spans="2:50" s="131" customFormat="1" ht="18" hidden="1" customHeight="1">
      <c r="B187" s="194" t="s">
        <v>1862</v>
      </c>
      <c r="C187" s="194">
        <v>341</v>
      </c>
      <c r="D187" s="365" t="s">
        <v>1887</v>
      </c>
      <c r="E187" s="196">
        <f>38394.2301912429+3440.23</f>
        <v>41834.460191242906</v>
      </c>
      <c r="F187" s="196">
        <v>2300</v>
      </c>
      <c r="G187" s="196">
        <v>1200</v>
      </c>
      <c r="H187" s="335">
        <v>3</v>
      </c>
      <c r="I187" s="334">
        <v>24</v>
      </c>
      <c r="J187" s="335">
        <v>26</v>
      </c>
      <c r="K187" s="336">
        <f t="shared" si="127"/>
        <v>1872</v>
      </c>
      <c r="L187" s="335">
        <v>4</v>
      </c>
      <c r="M187" s="334">
        <v>16</v>
      </c>
      <c r="N187" s="335">
        <v>16</v>
      </c>
      <c r="O187" s="336">
        <f t="shared" si="128"/>
        <v>1024</v>
      </c>
      <c r="P187" s="220">
        <f t="shared" si="129"/>
        <v>2896</v>
      </c>
      <c r="Q187" s="197">
        <v>3</v>
      </c>
      <c r="R187" s="196">
        <v>44.3</v>
      </c>
      <c r="S187" s="197">
        <v>26</v>
      </c>
      <c r="T187" s="219">
        <f t="shared" si="130"/>
        <v>3455.3999999999996</v>
      </c>
      <c r="U187" s="197">
        <v>4</v>
      </c>
      <c r="V187" s="196">
        <v>44.3</v>
      </c>
      <c r="W187" s="197">
        <v>16</v>
      </c>
      <c r="X187" s="219">
        <f t="shared" si="131"/>
        <v>2835.2</v>
      </c>
      <c r="Y187" s="219">
        <f t="shared" si="132"/>
        <v>6290.5999999999995</v>
      </c>
      <c r="Z187" s="197">
        <v>3</v>
      </c>
      <c r="AA187" s="196">
        <v>80</v>
      </c>
      <c r="AB187" s="197">
        <v>2</v>
      </c>
      <c r="AC187" s="219">
        <f t="shared" si="133"/>
        <v>480</v>
      </c>
      <c r="AD187" s="197">
        <v>4</v>
      </c>
      <c r="AE187" s="196">
        <v>110</v>
      </c>
      <c r="AF187" s="196">
        <v>2</v>
      </c>
      <c r="AG187" s="219">
        <f t="shared" si="134"/>
        <v>880</v>
      </c>
      <c r="AH187" s="219">
        <f t="shared" si="135"/>
        <v>1360</v>
      </c>
      <c r="AI187" s="199">
        <f>F187+G187+P187+Y187+AH187</f>
        <v>14046.599999999999</v>
      </c>
      <c r="AJ187" s="201">
        <f>AI187/E187</f>
        <v>0.33576625432208479</v>
      </c>
      <c r="AK187" s="219">
        <v>3056.6646210367198</v>
      </c>
      <c r="AL187" s="196">
        <v>418.34460191242908</v>
      </c>
      <c r="AM187" s="196">
        <v>418.34460191242908</v>
      </c>
      <c r="AN187" s="196">
        <v>1255.0338057372871</v>
      </c>
      <c r="AO187" s="196">
        <v>271.92399124307889</v>
      </c>
      <c r="AP187" s="196">
        <v>2091.7230095621453</v>
      </c>
      <c r="AQ187" s="367">
        <f t="shared" si="141"/>
        <v>4455.3700103673691</v>
      </c>
      <c r="AR187" s="367">
        <f t="shared" si="142"/>
        <v>7512.0346314040889</v>
      </c>
      <c r="AS187" s="203">
        <f t="shared" si="139"/>
        <v>34322.425559838819</v>
      </c>
    </row>
    <row r="188" spans="2:50" s="131" customFormat="1" ht="18" hidden="1" customHeight="1">
      <c r="B188" s="194" t="s">
        <v>1862</v>
      </c>
      <c r="C188" s="194">
        <v>343</v>
      </c>
      <c r="D188" s="365" t="s">
        <v>1889</v>
      </c>
      <c r="E188" s="196">
        <f>33130+3154</f>
        <v>36284</v>
      </c>
      <c r="F188" s="196">
        <v>5288.3</v>
      </c>
      <c r="G188" s="196">
        <v>2550</v>
      </c>
      <c r="H188" s="335">
        <v>2</v>
      </c>
      <c r="I188" s="334">
        <v>24</v>
      </c>
      <c r="J188" s="335">
        <v>26</v>
      </c>
      <c r="K188" s="336">
        <f t="shared" si="127"/>
        <v>1248</v>
      </c>
      <c r="L188" s="335">
        <v>4</v>
      </c>
      <c r="M188" s="334">
        <v>16</v>
      </c>
      <c r="N188" s="335">
        <v>16</v>
      </c>
      <c r="O188" s="336">
        <f t="shared" si="128"/>
        <v>1024</v>
      </c>
      <c r="P188" s="220">
        <f t="shared" si="129"/>
        <v>2272</v>
      </c>
      <c r="Q188" s="197">
        <v>2</v>
      </c>
      <c r="R188" s="196">
        <v>44.3</v>
      </c>
      <c r="S188" s="197">
        <v>26</v>
      </c>
      <c r="T188" s="219">
        <f t="shared" si="130"/>
        <v>2303.6</v>
      </c>
      <c r="U188" s="197">
        <v>4</v>
      </c>
      <c r="V188" s="196">
        <v>44.3</v>
      </c>
      <c r="W188" s="197">
        <v>16</v>
      </c>
      <c r="X188" s="219">
        <f t="shared" si="131"/>
        <v>2835.2</v>
      </c>
      <c r="Y188" s="219">
        <f t="shared" si="132"/>
        <v>5138.7999999999993</v>
      </c>
      <c r="Z188" s="197">
        <v>2</v>
      </c>
      <c r="AA188" s="196">
        <v>80</v>
      </c>
      <c r="AB188" s="197">
        <v>2</v>
      </c>
      <c r="AC188" s="219">
        <f t="shared" si="133"/>
        <v>320</v>
      </c>
      <c r="AD188" s="197">
        <v>4</v>
      </c>
      <c r="AE188" s="196">
        <v>110</v>
      </c>
      <c r="AF188" s="196">
        <v>2</v>
      </c>
      <c r="AG188" s="219">
        <f t="shared" si="134"/>
        <v>880</v>
      </c>
      <c r="AH188" s="219">
        <f t="shared" si="135"/>
        <v>1200</v>
      </c>
      <c r="AI188" s="199">
        <f>F188+G188+P188+Y188+AH188</f>
        <v>16449.099999999999</v>
      </c>
      <c r="AJ188" s="201">
        <f>AI188/E188</f>
        <v>0.45334307132620433</v>
      </c>
      <c r="AK188" s="219">
        <v>2181.8390000000004</v>
      </c>
      <c r="AL188" s="196">
        <v>362.84000000000003</v>
      </c>
      <c r="AM188" s="196">
        <v>362.84000000000003</v>
      </c>
      <c r="AN188" s="196">
        <v>1088.52</v>
      </c>
      <c r="AO188" s="196">
        <v>235.84599999999998</v>
      </c>
      <c r="AP188" s="196">
        <v>1814.2</v>
      </c>
      <c r="AQ188" s="367">
        <f t="shared" ref="AQ188" si="143">SUM(AL188:AP188)</f>
        <v>3864.2460000000001</v>
      </c>
      <c r="AR188" s="367">
        <f t="shared" si="142"/>
        <v>6046.0850000000009</v>
      </c>
      <c r="AS188" s="203">
        <f t="shared" si="139"/>
        <v>30237.915000000001</v>
      </c>
    </row>
    <row r="189" spans="2:50" s="131" customFormat="1" ht="18" hidden="1" customHeight="1">
      <c r="B189" s="769" t="s">
        <v>1699</v>
      </c>
      <c r="C189" s="371"/>
      <c r="D189" s="390"/>
      <c r="E189" s="391"/>
      <c r="F189" s="391"/>
      <c r="G189" s="391"/>
      <c r="H189" s="392"/>
      <c r="I189" s="391"/>
      <c r="J189" s="392"/>
      <c r="K189" s="393"/>
      <c r="L189" s="392"/>
      <c r="M189" s="391"/>
      <c r="N189" s="392"/>
      <c r="O189" s="393"/>
      <c r="P189" s="394"/>
      <c r="Q189" s="392"/>
      <c r="R189" s="391"/>
      <c r="S189" s="392"/>
      <c r="T189" s="393"/>
      <c r="U189" s="392"/>
      <c r="V189" s="391"/>
      <c r="W189" s="392"/>
      <c r="X189" s="393"/>
      <c r="Y189" s="393"/>
      <c r="Z189" s="392"/>
      <c r="AA189" s="391"/>
      <c r="AB189" s="392"/>
      <c r="AC189" s="393"/>
      <c r="AD189" s="392"/>
      <c r="AE189" s="391"/>
      <c r="AF189" s="391"/>
      <c r="AG189" s="393"/>
      <c r="AH189" s="393"/>
      <c r="AI189" s="394"/>
      <c r="AJ189" s="395"/>
      <c r="AK189" s="393"/>
      <c r="AL189" s="391"/>
      <c r="AM189" s="391"/>
      <c r="AN189" s="391"/>
      <c r="AO189" s="391"/>
      <c r="AP189" s="391"/>
      <c r="AQ189" s="396"/>
      <c r="AR189" s="396"/>
      <c r="AS189" s="397">
        <f t="shared" si="139"/>
        <v>0</v>
      </c>
    </row>
    <row r="190" spans="2:50" s="131" customFormat="1" ht="18" hidden="1" customHeight="1">
      <c r="B190" s="194" t="s">
        <v>1885</v>
      </c>
      <c r="C190" s="194">
        <v>349</v>
      </c>
      <c r="D190" s="324" t="s">
        <v>1694</v>
      </c>
      <c r="E190" s="196">
        <v>1253.67</v>
      </c>
      <c r="F190" s="196">
        <v>237.87602042199299</v>
      </c>
      <c r="G190" s="196">
        <v>0</v>
      </c>
      <c r="H190" s="335">
        <v>3</v>
      </c>
      <c r="I190" s="334">
        <v>12.488</v>
      </c>
      <c r="J190" s="335">
        <v>4</v>
      </c>
      <c r="K190" s="336">
        <f>H190*I190*J190</f>
        <v>149.85599999999999</v>
      </c>
      <c r="L190" s="335">
        <v>0</v>
      </c>
      <c r="M190" s="334">
        <v>0</v>
      </c>
      <c r="N190" s="335">
        <v>0</v>
      </c>
      <c r="O190" s="336">
        <f>L190*M190*N190</f>
        <v>0</v>
      </c>
      <c r="P190" s="199">
        <f>K190+O190</f>
        <v>149.85599999999999</v>
      </c>
      <c r="Q190" s="197">
        <v>0</v>
      </c>
      <c r="R190" s="196">
        <v>0</v>
      </c>
      <c r="S190" s="197">
        <v>0</v>
      </c>
      <c r="T190" s="198">
        <f>Q190*R190*S190</f>
        <v>0</v>
      </c>
      <c r="U190" s="196">
        <v>0</v>
      </c>
      <c r="V190" s="196">
        <v>0</v>
      </c>
      <c r="W190" s="197">
        <v>0</v>
      </c>
      <c r="X190" s="198">
        <f>U190*V190*W190</f>
        <v>0</v>
      </c>
      <c r="Y190" s="200">
        <f>T190+X190</f>
        <v>0</v>
      </c>
      <c r="Z190" s="197">
        <v>0</v>
      </c>
      <c r="AA190" s="196">
        <v>0</v>
      </c>
      <c r="AB190" s="197">
        <v>0</v>
      </c>
      <c r="AC190" s="198">
        <f>Z190*AA190*AB190</f>
        <v>0</v>
      </c>
      <c r="AD190" s="197">
        <v>0</v>
      </c>
      <c r="AE190" s="196">
        <v>0</v>
      </c>
      <c r="AF190" s="196">
        <v>0</v>
      </c>
      <c r="AG190" s="198">
        <f>AD190*AE190*AF190</f>
        <v>0</v>
      </c>
      <c r="AH190" s="200">
        <f>AC190+AG190</f>
        <v>0</v>
      </c>
      <c r="AI190" s="199">
        <f>F190+G190+P190+Y190+AH190</f>
        <v>387.73202042199296</v>
      </c>
      <c r="AJ190" s="201">
        <f>AI190/E190</f>
        <v>0.30927757737043476</v>
      </c>
      <c r="AK190" s="200">
        <v>95.253177753580786</v>
      </c>
      <c r="AL190" s="196">
        <v>12.536700000000002</v>
      </c>
      <c r="AM190" s="196">
        <v>12.536700000000002</v>
      </c>
      <c r="AN190" s="196">
        <v>37.610100000000003</v>
      </c>
      <c r="AO190" s="196">
        <v>8.1488549999999993</v>
      </c>
      <c r="AP190" s="196">
        <v>62.683500000000009</v>
      </c>
      <c r="AQ190" s="202">
        <f>SUM(AL190:AP190)</f>
        <v>133.51585500000002</v>
      </c>
      <c r="AR190" s="202">
        <f>AK190+AQ190</f>
        <v>228.7690327535808</v>
      </c>
      <c r="AS190" s="203">
        <f>E190-AR190</f>
        <v>1024.9009672464192</v>
      </c>
      <c r="AT190" s="131" t="s">
        <v>1698</v>
      </c>
    </row>
    <row r="191" spans="2:50" s="131" customFormat="1" ht="18" hidden="1" customHeight="1">
      <c r="B191" s="194" t="s">
        <v>1885</v>
      </c>
      <c r="C191" s="194">
        <v>350</v>
      </c>
      <c r="D191" s="324" t="s">
        <v>982</v>
      </c>
      <c r="E191" s="196">
        <f>6405</f>
        <v>6405</v>
      </c>
      <c r="F191" s="196">
        <v>950.61</v>
      </c>
      <c r="G191" s="196">
        <v>351.9</v>
      </c>
      <c r="H191" s="335">
        <v>1</v>
      </c>
      <c r="I191" s="334">
        <v>24</v>
      </c>
      <c r="J191" s="335">
        <v>26</v>
      </c>
      <c r="K191" s="336">
        <f t="shared" ref="K191:K196" si="144">H191*I191*J191</f>
        <v>624</v>
      </c>
      <c r="L191" s="335">
        <v>0</v>
      </c>
      <c r="M191" s="334">
        <v>0</v>
      </c>
      <c r="N191" s="335">
        <v>0</v>
      </c>
      <c r="O191" s="336">
        <f t="shared" ref="O191:O196" si="145">L191*M191*N191</f>
        <v>0</v>
      </c>
      <c r="P191" s="285">
        <f t="shared" ref="P191:P196" si="146">K191+O191</f>
        <v>624</v>
      </c>
      <c r="Q191" s="197">
        <v>1</v>
      </c>
      <c r="R191" s="196">
        <v>44.3</v>
      </c>
      <c r="S191" s="197">
        <v>26</v>
      </c>
      <c r="T191" s="219">
        <f t="shared" ref="T191:T196" si="147">Q191*R191*S191</f>
        <v>1151.8</v>
      </c>
      <c r="U191" s="196">
        <v>0</v>
      </c>
      <c r="V191" s="196">
        <v>0</v>
      </c>
      <c r="W191" s="197">
        <v>0</v>
      </c>
      <c r="X191" s="219">
        <f t="shared" ref="X191:X196" si="148">U191*V191*W191</f>
        <v>0</v>
      </c>
      <c r="Y191" s="271">
        <f t="shared" ref="Y191:Y196" si="149">T191+X191</f>
        <v>1151.8</v>
      </c>
      <c r="Z191" s="197">
        <v>1</v>
      </c>
      <c r="AA191" s="196">
        <v>90</v>
      </c>
      <c r="AB191" s="197">
        <v>2</v>
      </c>
      <c r="AC191" s="219">
        <f t="shared" ref="AC191:AC196" si="150">Z191*AA191*AB191</f>
        <v>180</v>
      </c>
      <c r="AD191" s="197">
        <v>0</v>
      </c>
      <c r="AE191" s="196">
        <v>0</v>
      </c>
      <c r="AF191" s="196">
        <v>0</v>
      </c>
      <c r="AG191" s="219">
        <f t="shared" ref="AG191:AG196" si="151">AD191*AE191*AF191</f>
        <v>0</v>
      </c>
      <c r="AH191" s="219">
        <f t="shared" ref="AH191:AH196" si="152">AC191+AG191</f>
        <v>180</v>
      </c>
      <c r="AI191" s="199">
        <f t="shared" ref="AI191:AI193" si="153">F191+G191+P191+Y191+AH191</f>
        <v>3258.31</v>
      </c>
      <c r="AJ191" s="201">
        <f>AI191/E191</f>
        <v>0.5087135050741608</v>
      </c>
      <c r="AK191" s="219">
        <v>346.13589999999999</v>
      </c>
      <c r="AL191" s="196">
        <v>64.05</v>
      </c>
      <c r="AM191" s="196">
        <v>64.05</v>
      </c>
      <c r="AN191" s="196">
        <v>192.15</v>
      </c>
      <c r="AO191" s="196">
        <v>41.6325</v>
      </c>
      <c r="AP191" s="196">
        <v>320.25</v>
      </c>
      <c r="AQ191" s="367">
        <f t="shared" ref="AQ191" si="154">SUM(AL191:AP191)</f>
        <v>682.13249999999994</v>
      </c>
      <c r="AR191" s="367">
        <f t="shared" ref="AR191:AR193" si="155">AK191+AQ191</f>
        <v>1028.2683999999999</v>
      </c>
      <c r="AS191" s="203">
        <f t="shared" ref="AS191:AS193" si="156">E191-AR191</f>
        <v>5376.7316000000001</v>
      </c>
    </row>
    <row r="192" spans="2:50" s="131" customFormat="1" ht="18" hidden="1" customHeight="1">
      <c r="B192" s="194" t="s">
        <v>1885</v>
      </c>
      <c r="C192" s="194">
        <v>352</v>
      </c>
      <c r="D192" s="324" t="s">
        <v>1913</v>
      </c>
      <c r="E192" s="196">
        <f>18185</f>
        <v>18185</v>
      </c>
      <c r="F192" s="196">
        <v>2854</v>
      </c>
      <c r="G192" s="196">
        <v>1240</v>
      </c>
      <c r="H192" s="335">
        <v>1</v>
      </c>
      <c r="I192" s="334">
        <v>24</v>
      </c>
      <c r="J192" s="335">
        <v>26</v>
      </c>
      <c r="K192" s="336">
        <f t="shared" si="144"/>
        <v>624</v>
      </c>
      <c r="L192" s="335">
        <v>2</v>
      </c>
      <c r="M192" s="334">
        <v>16</v>
      </c>
      <c r="N192" s="335">
        <v>16</v>
      </c>
      <c r="O192" s="336">
        <f t="shared" si="145"/>
        <v>512</v>
      </c>
      <c r="P192" s="220">
        <f t="shared" si="146"/>
        <v>1136</v>
      </c>
      <c r="Q192" s="197">
        <v>1</v>
      </c>
      <c r="R192" s="196">
        <v>44.3</v>
      </c>
      <c r="S192" s="197">
        <v>26</v>
      </c>
      <c r="T192" s="219">
        <f t="shared" si="147"/>
        <v>1151.8</v>
      </c>
      <c r="U192" s="196">
        <v>2</v>
      </c>
      <c r="V192" s="196">
        <v>44.3</v>
      </c>
      <c r="W192" s="197">
        <v>16</v>
      </c>
      <c r="X192" s="219">
        <f t="shared" si="148"/>
        <v>1417.6</v>
      </c>
      <c r="Y192" s="219">
        <f t="shared" si="149"/>
        <v>2569.3999999999996</v>
      </c>
      <c r="Z192" s="197">
        <v>1</v>
      </c>
      <c r="AA192" s="196">
        <v>90</v>
      </c>
      <c r="AB192" s="197">
        <v>2</v>
      </c>
      <c r="AC192" s="219">
        <f t="shared" si="150"/>
        <v>180</v>
      </c>
      <c r="AD192" s="197">
        <v>2</v>
      </c>
      <c r="AE192" s="196">
        <v>90</v>
      </c>
      <c r="AF192" s="197">
        <v>2</v>
      </c>
      <c r="AG192" s="219">
        <f t="shared" si="151"/>
        <v>360</v>
      </c>
      <c r="AH192" s="219">
        <f t="shared" si="152"/>
        <v>540</v>
      </c>
      <c r="AI192" s="199">
        <f t="shared" si="153"/>
        <v>8339.4</v>
      </c>
      <c r="AJ192" s="201">
        <f t="shared" ref="AJ192:AJ193" si="157">AI192/E192</f>
        <v>0.45858674731921911</v>
      </c>
      <c r="AK192" s="219">
        <v>1083.0160000000001</v>
      </c>
      <c r="AL192" s="196">
        <v>181.85</v>
      </c>
      <c r="AM192" s="196">
        <v>181.85</v>
      </c>
      <c r="AN192" s="196">
        <v>545.54999999999995</v>
      </c>
      <c r="AO192" s="196">
        <v>118.2025</v>
      </c>
      <c r="AP192" s="196">
        <v>909.25</v>
      </c>
      <c r="AQ192" s="367">
        <f t="shared" ref="AQ192:AQ195" si="158">SUM(AL192:AP192)</f>
        <v>1936.7025000000001</v>
      </c>
      <c r="AR192" s="367">
        <f t="shared" si="155"/>
        <v>3019.7184999999999</v>
      </c>
      <c r="AS192" s="203">
        <f t="shared" si="156"/>
        <v>15165.281500000001</v>
      </c>
      <c r="AU192" s="204">
        <v>10000</v>
      </c>
      <c r="AV192" s="205">
        <f>AS192-AU192</f>
        <v>5165.281500000001</v>
      </c>
      <c r="AW192" s="205">
        <v>3019.72</v>
      </c>
      <c r="AX192" s="205">
        <f>SUM(AU192:AW192)</f>
        <v>18185.001500000002</v>
      </c>
    </row>
    <row r="193" spans="2:45" s="131" customFormat="1" ht="18" hidden="1" customHeight="1">
      <c r="B193" s="194" t="s">
        <v>1885</v>
      </c>
      <c r="C193" s="194">
        <v>353</v>
      </c>
      <c r="D193" s="324" t="s">
        <v>1914</v>
      </c>
      <c r="E193" s="196">
        <f>6403</f>
        <v>6403</v>
      </c>
      <c r="F193" s="196">
        <v>950.61</v>
      </c>
      <c r="G193" s="196">
        <v>351.9</v>
      </c>
      <c r="H193" s="335">
        <v>1</v>
      </c>
      <c r="I193" s="334">
        <v>24</v>
      </c>
      <c r="J193" s="335">
        <v>26</v>
      </c>
      <c r="K193" s="336">
        <f t="shared" si="144"/>
        <v>624</v>
      </c>
      <c r="L193" s="335">
        <v>0</v>
      </c>
      <c r="M193" s="334">
        <v>0</v>
      </c>
      <c r="N193" s="335">
        <v>0</v>
      </c>
      <c r="O193" s="336">
        <f t="shared" si="145"/>
        <v>0</v>
      </c>
      <c r="P193" s="220">
        <f t="shared" si="146"/>
        <v>624</v>
      </c>
      <c r="Q193" s="197">
        <v>1</v>
      </c>
      <c r="R193" s="196">
        <v>44.3</v>
      </c>
      <c r="S193" s="197">
        <v>26</v>
      </c>
      <c r="T193" s="219">
        <f t="shared" si="147"/>
        <v>1151.8</v>
      </c>
      <c r="U193" s="196">
        <v>0</v>
      </c>
      <c r="V193" s="196">
        <v>0</v>
      </c>
      <c r="W193" s="197">
        <v>0</v>
      </c>
      <c r="X193" s="219">
        <f t="shared" si="148"/>
        <v>0</v>
      </c>
      <c r="Y193" s="219">
        <f t="shared" si="149"/>
        <v>1151.8</v>
      </c>
      <c r="Z193" s="197">
        <v>1</v>
      </c>
      <c r="AA193" s="196">
        <v>90</v>
      </c>
      <c r="AB193" s="197">
        <v>2</v>
      </c>
      <c r="AC193" s="219">
        <f t="shared" si="150"/>
        <v>180</v>
      </c>
      <c r="AD193" s="197">
        <v>0</v>
      </c>
      <c r="AE193" s="196">
        <v>0</v>
      </c>
      <c r="AF193" s="196">
        <v>0</v>
      </c>
      <c r="AG193" s="219">
        <f t="shared" si="151"/>
        <v>0</v>
      </c>
      <c r="AH193" s="219">
        <f t="shared" si="152"/>
        <v>180</v>
      </c>
      <c r="AI193" s="199">
        <f t="shared" si="153"/>
        <v>3258.31</v>
      </c>
      <c r="AJ193" s="201">
        <f t="shared" si="157"/>
        <v>0.50887240356083085</v>
      </c>
      <c r="AK193" s="219">
        <v>345.91590000000002</v>
      </c>
      <c r="AL193" s="196">
        <v>64.03</v>
      </c>
      <c r="AM193" s="196">
        <v>64.03</v>
      </c>
      <c r="AN193" s="196">
        <v>192.09</v>
      </c>
      <c r="AO193" s="196">
        <v>41.619499999999995</v>
      </c>
      <c r="AP193" s="196">
        <v>320.15000000000003</v>
      </c>
      <c r="AQ193" s="367">
        <f t="shared" si="158"/>
        <v>681.91949999999997</v>
      </c>
      <c r="AR193" s="367">
        <f t="shared" si="155"/>
        <v>1027.8353999999999</v>
      </c>
      <c r="AS193" s="203">
        <f t="shared" si="156"/>
        <v>5375.1646000000001</v>
      </c>
    </row>
    <row r="194" spans="2:45" s="131" customFormat="1" ht="18" hidden="1" customHeight="1">
      <c r="B194" s="194" t="s">
        <v>1885</v>
      </c>
      <c r="C194" s="194">
        <v>354</v>
      </c>
      <c r="D194" s="324" t="s">
        <v>1426</v>
      </c>
      <c r="E194" s="196">
        <v>13960</v>
      </c>
      <c r="F194" s="196">
        <v>2392.1705068579072</v>
      </c>
      <c r="G194" s="196">
        <v>2793</v>
      </c>
      <c r="H194" s="335">
        <v>2</v>
      </c>
      <c r="I194" s="334">
        <v>24</v>
      </c>
      <c r="J194" s="335">
        <v>26</v>
      </c>
      <c r="K194" s="336">
        <f t="shared" ref="K194" si="159">H194*I194*J194</f>
        <v>1248</v>
      </c>
      <c r="L194" s="335">
        <v>0</v>
      </c>
      <c r="M194" s="334">
        <v>16</v>
      </c>
      <c r="N194" s="335">
        <v>16</v>
      </c>
      <c r="O194" s="336">
        <f t="shared" ref="O194" si="160">L194*M194*N194</f>
        <v>0</v>
      </c>
      <c r="P194" s="220">
        <f t="shared" ref="P194" si="161">K194+O194</f>
        <v>1248</v>
      </c>
      <c r="Q194" s="197">
        <v>2</v>
      </c>
      <c r="R194" s="196">
        <v>44.3</v>
      </c>
      <c r="S194" s="197">
        <v>26</v>
      </c>
      <c r="T194" s="219">
        <f t="shared" ref="T194" si="162">Q194*R194*S194</f>
        <v>2303.6</v>
      </c>
      <c r="U194" s="197">
        <v>0</v>
      </c>
      <c r="V194" s="196">
        <v>44.3</v>
      </c>
      <c r="W194" s="197">
        <v>16</v>
      </c>
      <c r="X194" s="219">
        <f t="shared" ref="X194" si="163">U194*V194*W194</f>
        <v>0</v>
      </c>
      <c r="Y194" s="219">
        <f t="shared" ref="Y194" si="164">T194+X194</f>
        <v>2303.6</v>
      </c>
      <c r="Z194" s="197">
        <v>2</v>
      </c>
      <c r="AA194" s="196">
        <v>90</v>
      </c>
      <c r="AB194" s="197">
        <v>2</v>
      </c>
      <c r="AC194" s="219">
        <f t="shared" ref="AC194" si="165">Z194*AA194*AB194</f>
        <v>360</v>
      </c>
      <c r="AD194" s="197">
        <v>4</v>
      </c>
      <c r="AE194" s="196">
        <v>110</v>
      </c>
      <c r="AF194" s="196">
        <v>2</v>
      </c>
      <c r="AG194" s="219">
        <f t="shared" ref="AG194" si="166">AD194*AE194*AF194</f>
        <v>880</v>
      </c>
      <c r="AH194" s="219">
        <f t="shared" ref="AH194" si="167">AC194+AG194</f>
        <v>1240</v>
      </c>
      <c r="AI194" s="199">
        <f t="shared" ref="AI194" si="168">F194+G194+P194+Y194+AH194</f>
        <v>9976.7705068579071</v>
      </c>
      <c r="AJ194" s="201">
        <f t="shared" ref="AJ194" si="169">AI194/E194</f>
        <v>0.71466837441675557</v>
      </c>
      <c r="AK194" s="219">
        <v>438.15524424563023</v>
      </c>
      <c r="AL194" s="196">
        <v>139.6</v>
      </c>
      <c r="AM194" s="196">
        <v>139.6</v>
      </c>
      <c r="AN194" s="196">
        <v>418.8</v>
      </c>
      <c r="AO194" s="196">
        <v>90.74</v>
      </c>
      <c r="AP194" s="196">
        <v>698</v>
      </c>
      <c r="AQ194" s="367">
        <f t="shared" ref="AQ194" si="170">SUM(AL194:AP194)</f>
        <v>1486.74</v>
      </c>
      <c r="AR194" s="367">
        <f>AK194+AQ194</f>
        <v>1924.8952442456302</v>
      </c>
      <c r="AS194" s="203">
        <f>(E194-AR194)</f>
        <v>12035.10475575437</v>
      </c>
    </row>
    <row r="195" spans="2:45" s="131" customFormat="1" ht="18" hidden="1" customHeight="1">
      <c r="B195" s="194" t="s">
        <v>1885</v>
      </c>
      <c r="C195" s="194">
        <v>355</v>
      </c>
      <c r="D195" s="365" t="s">
        <v>1767</v>
      </c>
      <c r="E195" s="196">
        <f>38394.2301912429</f>
        <v>38394.230191242903</v>
      </c>
      <c r="F195" s="196">
        <v>2300</v>
      </c>
      <c r="G195" s="196">
        <v>1200</v>
      </c>
      <c r="H195" s="335">
        <v>3</v>
      </c>
      <c r="I195" s="334">
        <v>24</v>
      </c>
      <c r="J195" s="335">
        <v>26</v>
      </c>
      <c r="K195" s="336">
        <f t="shared" si="144"/>
        <v>1872</v>
      </c>
      <c r="L195" s="335">
        <v>4</v>
      </c>
      <c r="M195" s="334">
        <v>16</v>
      </c>
      <c r="N195" s="335">
        <v>16</v>
      </c>
      <c r="O195" s="336">
        <f t="shared" si="145"/>
        <v>1024</v>
      </c>
      <c r="P195" s="220">
        <f t="shared" si="146"/>
        <v>2896</v>
      </c>
      <c r="Q195" s="197">
        <v>3</v>
      </c>
      <c r="R195" s="196">
        <v>44.3</v>
      </c>
      <c r="S195" s="197">
        <v>26</v>
      </c>
      <c r="T195" s="219">
        <f t="shared" si="147"/>
        <v>3455.3999999999996</v>
      </c>
      <c r="U195" s="197">
        <v>4</v>
      </c>
      <c r="V195" s="196">
        <v>44.3</v>
      </c>
      <c r="W195" s="197">
        <v>16</v>
      </c>
      <c r="X195" s="219">
        <f t="shared" si="148"/>
        <v>2835.2</v>
      </c>
      <c r="Y195" s="219">
        <f t="shared" si="149"/>
        <v>6290.5999999999995</v>
      </c>
      <c r="Z195" s="197">
        <v>3</v>
      </c>
      <c r="AA195" s="196">
        <v>80</v>
      </c>
      <c r="AB195" s="197">
        <v>2</v>
      </c>
      <c r="AC195" s="219">
        <f t="shared" si="150"/>
        <v>480</v>
      </c>
      <c r="AD195" s="197">
        <v>4</v>
      </c>
      <c r="AE195" s="196">
        <v>110</v>
      </c>
      <c r="AF195" s="196">
        <v>2</v>
      </c>
      <c r="AG195" s="219">
        <f t="shared" si="151"/>
        <v>880</v>
      </c>
      <c r="AH195" s="219">
        <f t="shared" si="152"/>
        <v>1360</v>
      </c>
      <c r="AI195" s="199">
        <f>F195+G195+P195+Y195+AH195</f>
        <v>14046.599999999999</v>
      </c>
      <c r="AJ195" s="201">
        <f>AI195/E195</f>
        <v>0.36585184622880651</v>
      </c>
      <c r="AK195" s="219">
        <v>2678.2393210367195</v>
      </c>
      <c r="AL195" s="196">
        <v>383.94230191242906</v>
      </c>
      <c r="AM195" s="196">
        <v>383.94230191242906</v>
      </c>
      <c r="AN195" s="196">
        <v>1151.826905737287</v>
      </c>
      <c r="AO195" s="196">
        <v>249.56249624307887</v>
      </c>
      <c r="AP195" s="196">
        <v>1919.7115095621452</v>
      </c>
      <c r="AQ195" s="367">
        <f t="shared" si="158"/>
        <v>4088.9855153673693</v>
      </c>
      <c r="AR195" s="367">
        <f t="shared" ref="AR195:AR196" si="171">AK195+AQ195</f>
        <v>6767.2248364040888</v>
      </c>
      <c r="AS195" s="203">
        <f t="shared" ref="AS195:AS197" si="172">E195-AR195</f>
        <v>31627.005354838813</v>
      </c>
    </row>
    <row r="196" spans="2:45" s="131" customFormat="1" ht="18" hidden="1" customHeight="1">
      <c r="B196" s="194" t="s">
        <v>1885</v>
      </c>
      <c r="C196" s="194">
        <v>356</v>
      </c>
      <c r="D196" s="365" t="s">
        <v>1915</v>
      </c>
      <c r="E196" s="196">
        <f>33130</f>
        <v>33130</v>
      </c>
      <c r="F196" s="196">
        <v>5288.3</v>
      </c>
      <c r="G196" s="196">
        <v>2550</v>
      </c>
      <c r="H196" s="335">
        <v>2</v>
      </c>
      <c r="I196" s="334">
        <v>24</v>
      </c>
      <c r="J196" s="335">
        <v>26</v>
      </c>
      <c r="K196" s="336">
        <f t="shared" si="144"/>
        <v>1248</v>
      </c>
      <c r="L196" s="335">
        <v>4</v>
      </c>
      <c r="M196" s="334">
        <v>16</v>
      </c>
      <c r="N196" s="335">
        <v>16</v>
      </c>
      <c r="O196" s="336">
        <f t="shared" si="145"/>
        <v>1024</v>
      </c>
      <c r="P196" s="220">
        <f t="shared" si="146"/>
        <v>2272</v>
      </c>
      <c r="Q196" s="197">
        <v>2</v>
      </c>
      <c r="R196" s="196">
        <v>44.3</v>
      </c>
      <c r="S196" s="197">
        <v>26</v>
      </c>
      <c r="T196" s="219">
        <f t="shared" si="147"/>
        <v>2303.6</v>
      </c>
      <c r="U196" s="197">
        <v>4</v>
      </c>
      <c r="V196" s="196">
        <v>44.3</v>
      </c>
      <c r="W196" s="197">
        <v>16</v>
      </c>
      <c r="X196" s="219">
        <f t="shared" si="148"/>
        <v>2835.2</v>
      </c>
      <c r="Y196" s="219">
        <f t="shared" si="149"/>
        <v>5138.7999999999993</v>
      </c>
      <c r="Z196" s="197">
        <v>2</v>
      </c>
      <c r="AA196" s="196">
        <v>80</v>
      </c>
      <c r="AB196" s="197">
        <v>2</v>
      </c>
      <c r="AC196" s="219">
        <f t="shared" si="150"/>
        <v>320</v>
      </c>
      <c r="AD196" s="197">
        <v>4</v>
      </c>
      <c r="AE196" s="196">
        <v>110</v>
      </c>
      <c r="AF196" s="196">
        <v>2</v>
      </c>
      <c r="AG196" s="219">
        <f t="shared" si="151"/>
        <v>880</v>
      </c>
      <c r="AH196" s="219">
        <f t="shared" si="152"/>
        <v>1200</v>
      </c>
      <c r="AI196" s="199">
        <f>F196+G196+P196+Y196+AH196</f>
        <v>16449.099999999999</v>
      </c>
      <c r="AJ196" s="201">
        <f>AI196/E196</f>
        <v>0.49650166012677327</v>
      </c>
      <c r="AK196" s="219">
        <v>1834.8990000000001</v>
      </c>
      <c r="AL196" s="196">
        <v>331.3</v>
      </c>
      <c r="AM196" s="196">
        <v>331.3</v>
      </c>
      <c r="AN196" s="196">
        <v>993.9</v>
      </c>
      <c r="AO196" s="196">
        <v>215.345</v>
      </c>
      <c r="AP196" s="196">
        <v>1656.5</v>
      </c>
      <c r="AQ196" s="367">
        <f t="shared" ref="AQ196" si="173">SUM(AL196:AP196)</f>
        <v>3528.3450000000003</v>
      </c>
      <c r="AR196" s="367">
        <f t="shared" si="171"/>
        <v>5363.2440000000006</v>
      </c>
      <c r="AS196" s="203">
        <f t="shared" si="172"/>
        <v>27766.756000000001</v>
      </c>
    </row>
    <row r="197" spans="2:45" s="131" customFormat="1" ht="18" hidden="1" customHeight="1">
      <c r="B197" s="769" t="s">
        <v>1699</v>
      </c>
      <c r="C197" s="371"/>
      <c r="D197" s="390"/>
      <c r="E197" s="391"/>
      <c r="F197" s="391"/>
      <c r="G197" s="391"/>
      <c r="H197" s="392"/>
      <c r="I197" s="391"/>
      <c r="J197" s="392"/>
      <c r="K197" s="393"/>
      <c r="L197" s="392"/>
      <c r="M197" s="391"/>
      <c r="N197" s="392"/>
      <c r="O197" s="393"/>
      <c r="P197" s="394"/>
      <c r="Q197" s="392"/>
      <c r="R197" s="391"/>
      <c r="S197" s="392"/>
      <c r="T197" s="393"/>
      <c r="U197" s="392"/>
      <c r="V197" s="391"/>
      <c r="W197" s="392"/>
      <c r="X197" s="393"/>
      <c r="Y197" s="393"/>
      <c r="Z197" s="392"/>
      <c r="AA197" s="391"/>
      <c r="AB197" s="392"/>
      <c r="AC197" s="393"/>
      <c r="AD197" s="392"/>
      <c r="AE197" s="391"/>
      <c r="AF197" s="391"/>
      <c r="AG197" s="393"/>
      <c r="AH197" s="393"/>
      <c r="AI197" s="394"/>
      <c r="AJ197" s="395"/>
      <c r="AK197" s="393"/>
      <c r="AL197" s="391"/>
      <c r="AM197" s="391"/>
      <c r="AN197" s="391"/>
      <c r="AO197" s="391"/>
      <c r="AP197" s="391"/>
      <c r="AQ197" s="396"/>
      <c r="AR197" s="396"/>
      <c r="AS197" s="397">
        <f t="shared" si="172"/>
        <v>0</v>
      </c>
    </row>
    <row r="198" spans="2:45" s="131" customFormat="1" ht="18" hidden="1" customHeight="1">
      <c r="B198" s="194" t="s">
        <v>1926</v>
      </c>
      <c r="C198" s="194">
        <v>357</v>
      </c>
      <c r="D198" s="324" t="s">
        <v>982</v>
      </c>
      <c r="E198" s="196">
        <f>6405</f>
        <v>6405</v>
      </c>
      <c r="F198" s="196">
        <v>950.61</v>
      </c>
      <c r="G198" s="196">
        <v>351.9</v>
      </c>
      <c r="H198" s="197">
        <v>1</v>
      </c>
      <c r="I198" s="196">
        <v>24</v>
      </c>
      <c r="J198" s="197">
        <v>26</v>
      </c>
      <c r="K198" s="219">
        <f t="shared" ref="K198:K202" si="174">H198*I198*J198</f>
        <v>624</v>
      </c>
      <c r="L198" s="197">
        <v>0</v>
      </c>
      <c r="M198" s="196">
        <v>0</v>
      </c>
      <c r="N198" s="197">
        <v>0</v>
      </c>
      <c r="O198" s="219">
        <f t="shared" ref="O198:O202" si="175">L198*M198*N198</f>
        <v>0</v>
      </c>
      <c r="P198" s="220">
        <f t="shared" ref="P198:P202" si="176">K198+O198</f>
        <v>624</v>
      </c>
      <c r="Q198" s="197">
        <v>1</v>
      </c>
      <c r="R198" s="196">
        <v>44.3</v>
      </c>
      <c r="S198" s="197">
        <v>26</v>
      </c>
      <c r="T198" s="219">
        <f t="shared" ref="T198:T202" si="177">Q198*R198*S198</f>
        <v>1151.8</v>
      </c>
      <c r="U198" s="196">
        <v>0</v>
      </c>
      <c r="V198" s="196">
        <v>0</v>
      </c>
      <c r="W198" s="197">
        <v>0</v>
      </c>
      <c r="X198" s="219">
        <f t="shared" ref="X198:X202" si="178">U198*V198*W198</f>
        <v>0</v>
      </c>
      <c r="Y198" s="219">
        <f t="shared" ref="Y198:Y202" si="179">T198+X198</f>
        <v>1151.8</v>
      </c>
      <c r="Z198" s="197">
        <v>1</v>
      </c>
      <c r="AA198" s="196">
        <v>90</v>
      </c>
      <c r="AB198" s="197">
        <v>2</v>
      </c>
      <c r="AC198" s="219">
        <f t="shared" ref="AC198:AC202" si="180">Z198*AA198*AB198</f>
        <v>180</v>
      </c>
      <c r="AD198" s="197">
        <v>0</v>
      </c>
      <c r="AE198" s="196">
        <v>0</v>
      </c>
      <c r="AF198" s="196">
        <v>0</v>
      </c>
      <c r="AG198" s="219">
        <f t="shared" ref="AG198:AG202" si="181">AD198*AE198*AF198</f>
        <v>0</v>
      </c>
      <c r="AH198" s="219">
        <f t="shared" ref="AH198:AH202" si="182">AC198+AG198</f>
        <v>180</v>
      </c>
      <c r="AI198" s="199">
        <f t="shared" ref="AI198:AI200" si="183">F198+G198+P198+Y198+AH198</f>
        <v>3258.31</v>
      </c>
      <c r="AJ198" s="201">
        <f>AI198/E198</f>
        <v>0.5087135050741608</v>
      </c>
      <c r="AK198" s="219">
        <v>346.13589999999999</v>
      </c>
      <c r="AL198" s="196">
        <v>64.05</v>
      </c>
      <c r="AM198" s="196">
        <v>64.05</v>
      </c>
      <c r="AN198" s="196">
        <v>192.15</v>
      </c>
      <c r="AO198" s="196">
        <v>41.6325</v>
      </c>
      <c r="AP198" s="196">
        <v>320.25</v>
      </c>
      <c r="AQ198" s="367">
        <f t="shared" ref="AQ198" si="184">SUM(AL198:AP198)</f>
        <v>682.13249999999994</v>
      </c>
      <c r="AR198" s="367">
        <f t="shared" ref="AR198:AR199" si="185">AK198+AQ198</f>
        <v>1028.2683999999999</v>
      </c>
      <c r="AS198" s="203">
        <f t="shared" ref="AS198:AS199" si="186">E198-AR198</f>
        <v>5376.7316000000001</v>
      </c>
    </row>
    <row r="199" spans="2:45" s="131" customFormat="1" ht="18" hidden="1" customHeight="1">
      <c r="B199" s="194" t="s">
        <v>1926</v>
      </c>
      <c r="C199" s="194">
        <v>358</v>
      </c>
      <c r="D199" s="324" t="s">
        <v>1914</v>
      </c>
      <c r="E199" s="196">
        <f>6403</f>
        <v>6403</v>
      </c>
      <c r="F199" s="196">
        <v>950.61</v>
      </c>
      <c r="G199" s="196">
        <v>351.9</v>
      </c>
      <c r="H199" s="335">
        <v>1</v>
      </c>
      <c r="I199" s="334">
        <v>24</v>
      </c>
      <c r="J199" s="335">
        <v>26</v>
      </c>
      <c r="K199" s="336">
        <f t="shared" si="174"/>
        <v>624</v>
      </c>
      <c r="L199" s="335">
        <v>0</v>
      </c>
      <c r="M199" s="334">
        <v>0</v>
      </c>
      <c r="N199" s="335">
        <v>0</v>
      </c>
      <c r="O199" s="336">
        <f t="shared" si="175"/>
        <v>0</v>
      </c>
      <c r="P199" s="220">
        <f t="shared" si="176"/>
        <v>624</v>
      </c>
      <c r="Q199" s="197">
        <v>1</v>
      </c>
      <c r="R199" s="196">
        <v>44.3</v>
      </c>
      <c r="S199" s="197">
        <v>26</v>
      </c>
      <c r="T199" s="219">
        <f t="shared" si="177"/>
        <v>1151.8</v>
      </c>
      <c r="U199" s="196">
        <v>0</v>
      </c>
      <c r="V199" s="196">
        <v>0</v>
      </c>
      <c r="W199" s="197">
        <v>0</v>
      </c>
      <c r="X199" s="219">
        <f t="shared" si="178"/>
        <v>0</v>
      </c>
      <c r="Y199" s="219">
        <f t="shared" si="179"/>
        <v>1151.8</v>
      </c>
      <c r="Z199" s="197">
        <v>1</v>
      </c>
      <c r="AA199" s="196">
        <v>90</v>
      </c>
      <c r="AB199" s="197">
        <v>2</v>
      </c>
      <c r="AC199" s="219">
        <f t="shared" si="180"/>
        <v>180</v>
      </c>
      <c r="AD199" s="197">
        <v>0</v>
      </c>
      <c r="AE199" s="196">
        <v>0</v>
      </c>
      <c r="AF199" s="196">
        <v>0</v>
      </c>
      <c r="AG199" s="219">
        <f t="shared" si="181"/>
        <v>0</v>
      </c>
      <c r="AH199" s="219">
        <f t="shared" si="182"/>
        <v>180</v>
      </c>
      <c r="AI199" s="199">
        <f t="shared" si="183"/>
        <v>3258.31</v>
      </c>
      <c r="AJ199" s="201">
        <f t="shared" ref="AJ199:AJ200" si="187">AI199/E199</f>
        <v>0.50887240356083085</v>
      </c>
      <c r="AK199" s="219">
        <v>345.91590000000002</v>
      </c>
      <c r="AL199" s="196">
        <v>64.03</v>
      </c>
      <c r="AM199" s="196">
        <v>64.03</v>
      </c>
      <c r="AN199" s="196">
        <v>192.09</v>
      </c>
      <c r="AO199" s="196">
        <v>41.619499999999995</v>
      </c>
      <c r="AP199" s="196">
        <v>320.15000000000003</v>
      </c>
      <c r="AQ199" s="367">
        <f t="shared" ref="AQ199" si="188">SUM(AL199:AP199)</f>
        <v>681.91949999999997</v>
      </c>
      <c r="AR199" s="367">
        <f t="shared" si="185"/>
        <v>1027.8353999999999</v>
      </c>
      <c r="AS199" s="203">
        <f t="shared" si="186"/>
        <v>5375.1646000000001</v>
      </c>
    </row>
    <row r="200" spans="2:45" s="131" customFormat="1" ht="18" hidden="1" customHeight="1">
      <c r="B200" s="194" t="s">
        <v>1926</v>
      </c>
      <c r="C200" s="194">
        <v>359</v>
      </c>
      <c r="D200" s="324" t="s">
        <v>1426</v>
      </c>
      <c r="E200" s="196">
        <v>13960</v>
      </c>
      <c r="F200" s="196">
        <v>2392.1705068579072</v>
      </c>
      <c r="G200" s="196">
        <v>2793</v>
      </c>
      <c r="H200" s="335">
        <v>2</v>
      </c>
      <c r="I200" s="334">
        <v>24</v>
      </c>
      <c r="J200" s="335">
        <v>26</v>
      </c>
      <c r="K200" s="336">
        <f t="shared" si="174"/>
        <v>1248</v>
      </c>
      <c r="L200" s="335">
        <v>0</v>
      </c>
      <c r="M200" s="334">
        <v>16</v>
      </c>
      <c r="N200" s="335">
        <v>16</v>
      </c>
      <c r="O200" s="336">
        <f t="shared" si="175"/>
        <v>0</v>
      </c>
      <c r="P200" s="220">
        <f t="shared" si="176"/>
        <v>1248</v>
      </c>
      <c r="Q200" s="197">
        <v>2</v>
      </c>
      <c r="R200" s="196">
        <v>44.3</v>
      </c>
      <c r="S200" s="197">
        <v>26</v>
      </c>
      <c r="T200" s="219">
        <f t="shared" si="177"/>
        <v>2303.6</v>
      </c>
      <c r="U200" s="197">
        <v>0</v>
      </c>
      <c r="V200" s="196">
        <v>44.3</v>
      </c>
      <c r="W200" s="197">
        <v>16</v>
      </c>
      <c r="X200" s="219">
        <f t="shared" si="178"/>
        <v>0</v>
      </c>
      <c r="Y200" s="219">
        <f t="shared" si="179"/>
        <v>2303.6</v>
      </c>
      <c r="Z200" s="197">
        <v>2</v>
      </c>
      <c r="AA200" s="196">
        <v>90</v>
      </c>
      <c r="AB200" s="197">
        <v>2</v>
      </c>
      <c r="AC200" s="219">
        <f t="shared" si="180"/>
        <v>360</v>
      </c>
      <c r="AD200" s="197">
        <v>4</v>
      </c>
      <c r="AE200" s="196">
        <v>110</v>
      </c>
      <c r="AF200" s="196">
        <v>2</v>
      </c>
      <c r="AG200" s="219">
        <f t="shared" si="181"/>
        <v>880</v>
      </c>
      <c r="AH200" s="219">
        <f t="shared" si="182"/>
        <v>1240</v>
      </c>
      <c r="AI200" s="199">
        <f t="shared" si="183"/>
        <v>9976.7705068579071</v>
      </c>
      <c r="AJ200" s="201">
        <f t="shared" si="187"/>
        <v>0.71466837441675557</v>
      </c>
      <c r="AK200" s="271">
        <v>438.15524424563023</v>
      </c>
      <c r="AL200" s="196">
        <v>139.6</v>
      </c>
      <c r="AM200" s="196">
        <v>139.6</v>
      </c>
      <c r="AN200" s="196">
        <v>418.8</v>
      </c>
      <c r="AO200" s="196">
        <v>90.74</v>
      </c>
      <c r="AP200" s="196">
        <v>698</v>
      </c>
      <c r="AQ200" s="367">
        <f t="shared" ref="AQ200" si="189">SUM(AL200:AP200)</f>
        <v>1486.74</v>
      </c>
      <c r="AR200" s="367">
        <f>AK200+AQ200</f>
        <v>1924.8952442456302</v>
      </c>
      <c r="AS200" s="203">
        <f>(E200-AR200)</f>
        <v>12035.10475575437</v>
      </c>
    </row>
    <row r="201" spans="2:45" s="131" customFormat="1" ht="18" hidden="1" customHeight="1">
      <c r="B201" s="194" t="s">
        <v>1926</v>
      </c>
      <c r="C201" s="194">
        <v>360</v>
      </c>
      <c r="D201" s="365" t="s">
        <v>1767</v>
      </c>
      <c r="E201" s="196">
        <f>38394.2301912429</f>
        <v>38394.230191242903</v>
      </c>
      <c r="F201" s="196">
        <v>2300</v>
      </c>
      <c r="G201" s="196">
        <v>1200</v>
      </c>
      <c r="H201" s="335">
        <v>3</v>
      </c>
      <c r="I201" s="334">
        <v>24</v>
      </c>
      <c r="J201" s="335">
        <v>26</v>
      </c>
      <c r="K201" s="336">
        <f t="shared" si="174"/>
        <v>1872</v>
      </c>
      <c r="L201" s="335">
        <v>4</v>
      </c>
      <c r="M201" s="334">
        <v>16</v>
      </c>
      <c r="N201" s="335">
        <v>16</v>
      </c>
      <c r="O201" s="336">
        <f t="shared" si="175"/>
        <v>1024</v>
      </c>
      <c r="P201" s="220">
        <f t="shared" si="176"/>
        <v>2896</v>
      </c>
      <c r="Q201" s="197">
        <v>3</v>
      </c>
      <c r="R201" s="196">
        <v>44.3</v>
      </c>
      <c r="S201" s="197">
        <v>26</v>
      </c>
      <c r="T201" s="219">
        <f t="shared" si="177"/>
        <v>3455.3999999999996</v>
      </c>
      <c r="U201" s="197">
        <v>4</v>
      </c>
      <c r="V201" s="196">
        <v>44.3</v>
      </c>
      <c r="W201" s="197">
        <v>16</v>
      </c>
      <c r="X201" s="219">
        <f t="shared" si="178"/>
        <v>2835.2</v>
      </c>
      <c r="Y201" s="219">
        <f t="shared" si="179"/>
        <v>6290.5999999999995</v>
      </c>
      <c r="Z201" s="197">
        <v>3</v>
      </c>
      <c r="AA201" s="196">
        <v>80</v>
      </c>
      <c r="AB201" s="197">
        <v>2</v>
      </c>
      <c r="AC201" s="219">
        <f t="shared" si="180"/>
        <v>480</v>
      </c>
      <c r="AD201" s="197">
        <v>4</v>
      </c>
      <c r="AE201" s="196">
        <v>110</v>
      </c>
      <c r="AF201" s="196">
        <v>2</v>
      </c>
      <c r="AG201" s="219">
        <f t="shared" si="181"/>
        <v>880</v>
      </c>
      <c r="AH201" s="219">
        <f t="shared" si="182"/>
        <v>1360</v>
      </c>
      <c r="AI201" s="199">
        <f>F201+G201+P201+Y201+AH201</f>
        <v>14046.599999999999</v>
      </c>
      <c r="AJ201" s="201">
        <f>AI201/E201</f>
        <v>0.36585184622880651</v>
      </c>
      <c r="AK201" s="219">
        <v>2678.2393210367195</v>
      </c>
      <c r="AL201" s="196">
        <v>383.94230191242906</v>
      </c>
      <c r="AM201" s="196">
        <v>383.94230191242906</v>
      </c>
      <c r="AN201" s="196">
        <v>1151.826905737287</v>
      </c>
      <c r="AO201" s="196">
        <v>249.56249624307887</v>
      </c>
      <c r="AP201" s="196">
        <v>1919.7115095621452</v>
      </c>
      <c r="AQ201" s="367">
        <f t="shared" ref="AQ201" si="190">SUM(AL201:AP201)</f>
        <v>4088.9855153673693</v>
      </c>
      <c r="AR201" s="367">
        <f t="shared" ref="AR201:AR202" si="191">AK201+AQ201</f>
        <v>6767.2248364040888</v>
      </c>
      <c r="AS201" s="203">
        <f t="shared" ref="AS201:AS205" si="192">E201-AR201</f>
        <v>31627.005354838813</v>
      </c>
    </row>
    <row r="202" spans="2:45" s="131" customFormat="1" ht="18" hidden="1" customHeight="1">
      <c r="B202" s="194" t="s">
        <v>1926</v>
      </c>
      <c r="C202" s="194">
        <v>361</v>
      </c>
      <c r="D202" s="365" t="s">
        <v>1915</v>
      </c>
      <c r="E202" s="196">
        <f>33130</f>
        <v>33130</v>
      </c>
      <c r="F202" s="196">
        <v>5288.3</v>
      </c>
      <c r="G202" s="196">
        <v>2550</v>
      </c>
      <c r="H202" s="335">
        <v>2</v>
      </c>
      <c r="I202" s="334">
        <v>24</v>
      </c>
      <c r="J202" s="335">
        <v>26</v>
      </c>
      <c r="K202" s="336">
        <f t="shared" si="174"/>
        <v>1248</v>
      </c>
      <c r="L202" s="335">
        <v>4</v>
      </c>
      <c r="M202" s="334">
        <v>16</v>
      </c>
      <c r="N202" s="335">
        <v>16</v>
      </c>
      <c r="O202" s="336">
        <f t="shared" si="175"/>
        <v>1024</v>
      </c>
      <c r="P202" s="220">
        <f t="shared" si="176"/>
        <v>2272</v>
      </c>
      <c r="Q202" s="197">
        <v>2</v>
      </c>
      <c r="R202" s="196">
        <v>44.3</v>
      </c>
      <c r="S202" s="197">
        <v>26</v>
      </c>
      <c r="T202" s="219">
        <f t="shared" si="177"/>
        <v>2303.6</v>
      </c>
      <c r="U202" s="197">
        <v>4</v>
      </c>
      <c r="V202" s="196">
        <v>44.3</v>
      </c>
      <c r="W202" s="197">
        <v>16</v>
      </c>
      <c r="X202" s="219">
        <f t="shared" si="178"/>
        <v>2835.2</v>
      </c>
      <c r="Y202" s="219">
        <f t="shared" si="179"/>
        <v>5138.7999999999993</v>
      </c>
      <c r="Z202" s="197">
        <v>2</v>
      </c>
      <c r="AA202" s="196">
        <v>80</v>
      </c>
      <c r="AB202" s="197">
        <v>2</v>
      </c>
      <c r="AC202" s="219">
        <f t="shared" si="180"/>
        <v>320</v>
      </c>
      <c r="AD202" s="197">
        <v>4</v>
      </c>
      <c r="AE202" s="196">
        <v>110</v>
      </c>
      <c r="AF202" s="196">
        <v>2</v>
      </c>
      <c r="AG202" s="219">
        <f t="shared" si="181"/>
        <v>880</v>
      </c>
      <c r="AH202" s="219">
        <f t="shared" si="182"/>
        <v>1200</v>
      </c>
      <c r="AI202" s="199">
        <f>F202+G202+P202+Y202+AH202</f>
        <v>16449.099999999999</v>
      </c>
      <c r="AJ202" s="201">
        <f>AI202/E202</f>
        <v>0.49650166012677327</v>
      </c>
      <c r="AK202" s="219">
        <v>1834.8990000000001</v>
      </c>
      <c r="AL202" s="196">
        <v>331.3</v>
      </c>
      <c r="AM202" s="196">
        <v>331.3</v>
      </c>
      <c r="AN202" s="196">
        <v>993.9</v>
      </c>
      <c r="AO202" s="196">
        <v>215.345</v>
      </c>
      <c r="AP202" s="196">
        <v>1656.5</v>
      </c>
      <c r="AQ202" s="367">
        <f t="shared" ref="AQ202" si="193">SUM(AL202:AP202)</f>
        <v>3528.3450000000003</v>
      </c>
      <c r="AR202" s="367">
        <f t="shared" si="191"/>
        <v>5363.2440000000006</v>
      </c>
      <c r="AS202" s="203">
        <f t="shared" si="192"/>
        <v>27766.756000000001</v>
      </c>
    </row>
    <row r="203" spans="2:45" s="131" customFormat="1" ht="18" hidden="1" customHeight="1">
      <c r="B203" s="769" t="s">
        <v>1699</v>
      </c>
      <c r="C203" s="371"/>
      <c r="D203" s="390"/>
      <c r="E203" s="391"/>
      <c r="F203" s="391"/>
      <c r="G203" s="391"/>
      <c r="H203" s="392"/>
      <c r="I203" s="391"/>
      <c r="J203" s="392"/>
      <c r="K203" s="393"/>
      <c r="L203" s="392"/>
      <c r="M203" s="391"/>
      <c r="N203" s="392"/>
      <c r="O203" s="393"/>
      <c r="P203" s="394"/>
      <c r="Q203" s="392"/>
      <c r="R203" s="391"/>
      <c r="S203" s="392"/>
      <c r="T203" s="393"/>
      <c r="U203" s="392"/>
      <c r="V203" s="391"/>
      <c r="W203" s="392"/>
      <c r="X203" s="393"/>
      <c r="Y203" s="393"/>
      <c r="Z203" s="392"/>
      <c r="AA203" s="391"/>
      <c r="AB203" s="392"/>
      <c r="AC203" s="393"/>
      <c r="AD203" s="392"/>
      <c r="AE203" s="391"/>
      <c r="AF203" s="391"/>
      <c r="AG203" s="393"/>
      <c r="AH203" s="393"/>
      <c r="AI203" s="394"/>
      <c r="AJ203" s="395"/>
      <c r="AK203" s="393"/>
      <c r="AL203" s="391"/>
      <c r="AM203" s="391"/>
      <c r="AN203" s="391"/>
      <c r="AO203" s="391"/>
      <c r="AP203" s="391"/>
      <c r="AQ203" s="396"/>
      <c r="AR203" s="396"/>
      <c r="AS203" s="397">
        <f t="shared" si="192"/>
        <v>0</v>
      </c>
    </row>
    <row r="204" spans="2:45" s="131" customFormat="1" ht="18" hidden="1" customHeight="1">
      <c r="B204" s="194" t="s">
        <v>1975</v>
      </c>
      <c r="C204" s="194">
        <v>362</v>
      </c>
      <c r="D204" s="324" t="s">
        <v>982</v>
      </c>
      <c r="E204" s="196">
        <f>6405</f>
        <v>6405</v>
      </c>
      <c r="F204" s="196">
        <v>950.61</v>
      </c>
      <c r="G204" s="196">
        <v>351.9</v>
      </c>
      <c r="H204" s="197">
        <v>1</v>
      </c>
      <c r="I204" s="196">
        <v>24</v>
      </c>
      <c r="J204" s="197">
        <v>26</v>
      </c>
      <c r="K204" s="219">
        <f t="shared" ref="K204:K208" si="194">H204*I204*J204</f>
        <v>624</v>
      </c>
      <c r="L204" s="197">
        <v>0</v>
      </c>
      <c r="M204" s="196">
        <v>0</v>
      </c>
      <c r="N204" s="197">
        <v>0</v>
      </c>
      <c r="O204" s="219">
        <f t="shared" ref="O204:O208" si="195">L204*M204*N204</f>
        <v>0</v>
      </c>
      <c r="P204" s="220">
        <f t="shared" ref="P204:P208" si="196">K204+O204</f>
        <v>624</v>
      </c>
      <c r="Q204" s="197">
        <v>1</v>
      </c>
      <c r="R204" s="196">
        <v>44.3</v>
      </c>
      <c r="S204" s="197">
        <v>26</v>
      </c>
      <c r="T204" s="219">
        <f t="shared" ref="T204:T208" si="197">Q204*R204*S204</f>
        <v>1151.8</v>
      </c>
      <c r="U204" s="196">
        <v>0</v>
      </c>
      <c r="V204" s="196">
        <v>0</v>
      </c>
      <c r="W204" s="197">
        <v>0</v>
      </c>
      <c r="X204" s="219">
        <f t="shared" ref="X204:X208" si="198">U204*V204*W204</f>
        <v>0</v>
      </c>
      <c r="Y204" s="219">
        <f t="shared" ref="Y204:Y208" si="199">T204+X204</f>
        <v>1151.8</v>
      </c>
      <c r="Z204" s="197">
        <v>1</v>
      </c>
      <c r="AA204" s="196">
        <v>90</v>
      </c>
      <c r="AB204" s="197">
        <v>2</v>
      </c>
      <c r="AC204" s="219">
        <f t="shared" ref="AC204:AC208" si="200">Z204*AA204*AB204</f>
        <v>180</v>
      </c>
      <c r="AD204" s="197">
        <v>0</v>
      </c>
      <c r="AE204" s="196">
        <v>0</v>
      </c>
      <c r="AF204" s="196">
        <v>0</v>
      </c>
      <c r="AG204" s="219">
        <f t="shared" ref="AG204:AG208" si="201">AD204*AE204*AF204</f>
        <v>0</v>
      </c>
      <c r="AH204" s="219">
        <f t="shared" ref="AH204:AH208" si="202">AC204+AG204</f>
        <v>180</v>
      </c>
      <c r="AI204" s="199">
        <f t="shared" ref="AI204:AI206" si="203">F204+G204+P204+Y204+AH204</f>
        <v>3258.31</v>
      </c>
      <c r="AJ204" s="201">
        <f>AI204/E204</f>
        <v>0.5087135050741608</v>
      </c>
      <c r="AK204" s="219">
        <v>346.13589999999999</v>
      </c>
      <c r="AL204" s="196">
        <v>64.05</v>
      </c>
      <c r="AM204" s="196">
        <v>64.05</v>
      </c>
      <c r="AN204" s="196">
        <v>192.15</v>
      </c>
      <c r="AO204" s="196">
        <v>41.6325</v>
      </c>
      <c r="AP204" s="196">
        <v>320.25</v>
      </c>
      <c r="AQ204" s="367">
        <f t="shared" ref="AQ204" si="204">SUM(AL204:AP204)</f>
        <v>682.13249999999994</v>
      </c>
      <c r="AR204" s="367">
        <f t="shared" ref="AR204:AR205" si="205">AK204+AQ204</f>
        <v>1028.2683999999999</v>
      </c>
      <c r="AS204" s="203">
        <f t="shared" si="192"/>
        <v>5376.7316000000001</v>
      </c>
    </row>
    <row r="205" spans="2:45" s="131" customFormat="1" ht="18" hidden="1" customHeight="1">
      <c r="B205" s="194" t="s">
        <v>1975</v>
      </c>
      <c r="C205" s="194">
        <v>363</v>
      </c>
      <c r="D205" s="324" t="s">
        <v>1914</v>
      </c>
      <c r="E205" s="196">
        <f>6403</f>
        <v>6403</v>
      </c>
      <c r="F205" s="196">
        <v>950.61</v>
      </c>
      <c r="G205" s="196">
        <v>351.9</v>
      </c>
      <c r="H205" s="335">
        <v>1</v>
      </c>
      <c r="I205" s="334">
        <v>24</v>
      </c>
      <c r="J205" s="335">
        <v>26</v>
      </c>
      <c r="K205" s="336">
        <f t="shared" si="194"/>
        <v>624</v>
      </c>
      <c r="L205" s="335">
        <v>0</v>
      </c>
      <c r="M205" s="334">
        <v>0</v>
      </c>
      <c r="N205" s="335">
        <v>0</v>
      </c>
      <c r="O205" s="336">
        <f t="shared" si="195"/>
        <v>0</v>
      </c>
      <c r="P205" s="220">
        <f t="shared" si="196"/>
        <v>624</v>
      </c>
      <c r="Q205" s="197">
        <v>1</v>
      </c>
      <c r="R205" s="196">
        <v>44.3</v>
      </c>
      <c r="S205" s="197">
        <v>26</v>
      </c>
      <c r="T205" s="219">
        <f t="shared" si="197"/>
        <v>1151.8</v>
      </c>
      <c r="U205" s="196">
        <v>0</v>
      </c>
      <c r="V205" s="196">
        <v>0</v>
      </c>
      <c r="W205" s="197">
        <v>0</v>
      </c>
      <c r="X205" s="219">
        <f t="shared" si="198"/>
        <v>0</v>
      </c>
      <c r="Y205" s="219">
        <f t="shared" si="199"/>
        <v>1151.8</v>
      </c>
      <c r="Z205" s="197">
        <v>1</v>
      </c>
      <c r="AA205" s="196">
        <v>90</v>
      </c>
      <c r="AB205" s="197">
        <v>2</v>
      </c>
      <c r="AC205" s="219">
        <f t="shared" si="200"/>
        <v>180</v>
      </c>
      <c r="AD205" s="197">
        <v>0</v>
      </c>
      <c r="AE205" s="196">
        <v>0</v>
      </c>
      <c r="AF205" s="196">
        <v>0</v>
      </c>
      <c r="AG205" s="219">
        <f t="shared" si="201"/>
        <v>0</v>
      </c>
      <c r="AH205" s="219">
        <f t="shared" si="202"/>
        <v>180</v>
      </c>
      <c r="AI205" s="199">
        <f t="shared" si="203"/>
        <v>3258.31</v>
      </c>
      <c r="AJ205" s="201">
        <f t="shared" ref="AJ205:AJ206" si="206">AI205/E205</f>
        <v>0.50887240356083085</v>
      </c>
      <c r="AK205" s="219">
        <v>345.91590000000002</v>
      </c>
      <c r="AL205" s="196">
        <v>64.03</v>
      </c>
      <c r="AM205" s="196">
        <v>64.03</v>
      </c>
      <c r="AN205" s="196">
        <v>192.09</v>
      </c>
      <c r="AO205" s="196">
        <v>41.619499999999995</v>
      </c>
      <c r="AP205" s="196">
        <v>320.15000000000003</v>
      </c>
      <c r="AQ205" s="367">
        <f t="shared" ref="AQ205" si="207">SUM(AL205:AP205)</f>
        <v>681.91949999999997</v>
      </c>
      <c r="AR205" s="367">
        <f t="shared" si="205"/>
        <v>1027.8353999999999</v>
      </c>
      <c r="AS205" s="203">
        <f t="shared" si="192"/>
        <v>5375.1646000000001</v>
      </c>
    </row>
    <row r="206" spans="2:45" s="131" customFormat="1" ht="18" hidden="1" customHeight="1">
      <c r="B206" s="194" t="s">
        <v>1975</v>
      </c>
      <c r="C206" s="194">
        <v>364</v>
      </c>
      <c r="D206" s="324" t="s">
        <v>1426</v>
      </c>
      <c r="E206" s="196">
        <v>13960</v>
      </c>
      <c r="F206" s="196">
        <v>2392.1705068579072</v>
      </c>
      <c r="G206" s="196">
        <v>2793</v>
      </c>
      <c r="H206" s="335">
        <v>2</v>
      </c>
      <c r="I206" s="334">
        <v>24</v>
      </c>
      <c r="J206" s="335">
        <v>26</v>
      </c>
      <c r="K206" s="336">
        <f t="shared" si="194"/>
        <v>1248</v>
      </c>
      <c r="L206" s="335">
        <v>0</v>
      </c>
      <c r="M206" s="334">
        <v>16</v>
      </c>
      <c r="N206" s="335">
        <v>16</v>
      </c>
      <c r="O206" s="336">
        <f t="shared" si="195"/>
        <v>0</v>
      </c>
      <c r="P206" s="220">
        <f t="shared" si="196"/>
        <v>1248</v>
      </c>
      <c r="Q206" s="197">
        <v>2</v>
      </c>
      <c r="R206" s="196">
        <v>44.3</v>
      </c>
      <c r="S206" s="197">
        <v>26</v>
      </c>
      <c r="T206" s="219">
        <f t="shared" si="197"/>
        <v>2303.6</v>
      </c>
      <c r="U206" s="197">
        <v>0</v>
      </c>
      <c r="V206" s="196">
        <v>44.3</v>
      </c>
      <c r="W206" s="197">
        <v>16</v>
      </c>
      <c r="X206" s="219">
        <f t="shared" si="198"/>
        <v>0</v>
      </c>
      <c r="Y206" s="219">
        <f t="shared" si="199"/>
        <v>2303.6</v>
      </c>
      <c r="Z206" s="197">
        <v>2</v>
      </c>
      <c r="AA206" s="196">
        <v>90</v>
      </c>
      <c r="AB206" s="197">
        <v>2</v>
      </c>
      <c r="AC206" s="219">
        <f t="shared" si="200"/>
        <v>360</v>
      </c>
      <c r="AD206" s="197">
        <v>4</v>
      </c>
      <c r="AE206" s="196">
        <v>110</v>
      </c>
      <c r="AF206" s="196">
        <v>2</v>
      </c>
      <c r="AG206" s="219">
        <f t="shared" si="201"/>
        <v>880</v>
      </c>
      <c r="AH206" s="219">
        <f t="shared" si="202"/>
        <v>1240</v>
      </c>
      <c r="AI206" s="199">
        <f t="shared" si="203"/>
        <v>9976.7705068579071</v>
      </c>
      <c r="AJ206" s="201">
        <f t="shared" si="206"/>
        <v>0.71466837441675557</v>
      </c>
      <c r="AK206" s="271">
        <v>438.15524424563023</v>
      </c>
      <c r="AL206" s="196">
        <v>139.6</v>
      </c>
      <c r="AM206" s="196">
        <v>139.6</v>
      </c>
      <c r="AN206" s="196">
        <v>418.8</v>
      </c>
      <c r="AO206" s="196">
        <v>90.74</v>
      </c>
      <c r="AP206" s="196">
        <v>698</v>
      </c>
      <c r="AQ206" s="367">
        <f t="shared" ref="AQ206:AQ208" si="208">SUM(AL206:AP206)</f>
        <v>1486.74</v>
      </c>
      <c r="AR206" s="367">
        <f>AK206+AQ206</f>
        <v>1924.8952442456302</v>
      </c>
      <c r="AS206" s="203">
        <f>(E206-AR206)</f>
        <v>12035.10475575437</v>
      </c>
    </row>
    <row r="207" spans="2:45" s="131" customFormat="1" ht="18" hidden="1" customHeight="1">
      <c r="B207" s="194" t="s">
        <v>1975</v>
      </c>
      <c r="C207" s="194">
        <v>365</v>
      </c>
      <c r="D207" s="365" t="s">
        <v>1767</v>
      </c>
      <c r="E207" s="196">
        <f>38394.2301912429</f>
        <v>38394.230191242903</v>
      </c>
      <c r="F207" s="196">
        <v>2300</v>
      </c>
      <c r="G207" s="196">
        <v>1200</v>
      </c>
      <c r="H207" s="335">
        <v>3</v>
      </c>
      <c r="I207" s="334">
        <v>24</v>
      </c>
      <c r="J207" s="335">
        <v>26</v>
      </c>
      <c r="K207" s="336">
        <f t="shared" si="194"/>
        <v>1872</v>
      </c>
      <c r="L207" s="335">
        <v>4</v>
      </c>
      <c r="M207" s="334">
        <v>16</v>
      </c>
      <c r="N207" s="335">
        <v>16</v>
      </c>
      <c r="O207" s="336">
        <f t="shared" si="195"/>
        <v>1024</v>
      </c>
      <c r="P207" s="220">
        <f t="shared" si="196"/>
        <v>2896</v>
      </c>
      <c r="Q207" s="197">
        <v>3</v>
      </c>
      <c r="R207" s="196">
        <v>44.3</v>
      </c>
      <c r="S207" s="197">
        <v>26</v>
      </c>
      <c r="T207" s="219">
        <f t="shared" si="197"/>
        <v>3455.3999999999996</v>
      </c>
      <c r="U207" s="197">
        <v>4</v>
      </c>
      <c r="V207" s="196">
        <v>44.3</v>
      </c>
      <c r="W207" s="197">
        <v>16</v>
      </c>
      <c r="X207" s="219">
        <f t="shared" si="198"/>
        <v>2835.2</v>
      </c>
      <c r="Y207" s="219">
        <f t="shared" si="199"/>
        <v>6290.5999999999995</v>
      </c>
      <c r="Z207" s="197">
        <v>3</v>
      </c>
      <c r="AA207" s="196">
        <v>80</v>
      </c>
      <c r="AB207" s="197">
        <v>2</v>
      </c>
      <c r="AC207" s="219">
        <f t="shared" si="200"/>
        <v>480</v>
      </c>
      <c r="AD207" s="197">
        <v>4</v>
      </c>
      <c r="AE207" s="196">
        <v>110</v>
      </c>
      <c r="AF207" s="196">
        <v>2</v>
      </c>
      <c r="AG207" s="219">
        <f t="shared" si="201"/>
        <v>880</v>
      </c>
      <c r="AH207" s="219">
        <f t="shared" si="202"/>
        <v>1360</v>
      </c>
      <c r="AI207" s="199">
        <f>F207+G207+P207+Y207+AH207</f>
        <v>14046.599999999999</v>
      </c>
      <c r="AJ207" s="201">
        <f>AI207/E207</f>
        <v>0.36585184622880651</v>
      </c>
      <c r="AK207" s="219">
        <v>2678.2393210367195</v>
      </c>
      <c r="AL207" s="196">
        <v>383.94230191242906</v>
      </c>
      <c r="AM207" s="196">
        <v>383.94230191242906</v>
      </c>
      <c r="AN207" s="196">
        <v>1151.826905737287</v>
      </c>
      <c r="AO207" s="196">
        <v>249.56249624307887</v>
      </c>
      <c r="AP207" s="196">
        <v>1919.7115095621452</v>
      </c>
      <c r="AQ207" s="367">
        <f t="shared" si="208"/>
        <v>4088.9855153673693</v>
      </c>
      <c r="AR207" s="367">
        <f t="shared" ref="AR207:AR208" si="209">AK207+AQ207</f>
        <v>6767.2248364040888</v>
      </c>
      <c r="AS207" s="203">
        <f t="shared" ref="AS207:AS211" si="210">E207-AR207</f>
        <v>31627.005354838813</v>
      </c>
    </row>
    <row r="208" spans="2:45" s="131" customFormat="1" ht="18" hidden="1" customHeight="1">
      <c r="B208" s="194" t="s">
        <v>1975</v>
      </c>
      <c r="C208" s="194">
        <v>366</v>
      </c>
      <c r="D208" s="365" t="s">
        <v>1915</v>
      </c>
      <c r="E208" s="196">
        <f>33130</f>
        <v>33130</v>
      </c>
      <c r="F208" s="196">
        <v>5288.3</v>
      </c>
      <c r="G208" s="196">
        <v>2550</v>
      </c>
      <c r="H208" s="335">
        <v>2</v>
      </c>
      <c r="I208" s="334">
        <v>24</v>
      </c>
      <c r="J208" s="335">
        <v>26</v>
      </c>
      <c r="K208" s="336">
        <f t="shared" si="194"/>
        <v>1248</v>
      </c>
      <c r="L208" s="335">
        <v>4</v>
      </c>
      <c r="M208" s="334">
        <v>16</v>
      </c>
      <c r="N208" s="335">
        <v>16</v>
      </c>
      <c r="O208" s="336">
        <f t="shared" si="195"/>
        <v>1024</v>
      </c>
      <c r="P208" s="220">
        <f t="shared" si="196"/>
        <v>2272</v>
      </c>
      <c r="Q208" s="197">
        <v>2</v>
      </c>
      <c r="R208" s="196">
        <v>44.3</v>
      </c>
      <c r="S208" s="197">
        <v>26</v>
      </c>
      <c r="T208" s="219">
        <f t="shared" si="197"/>
        <v>2303.6</v>
      </c>
      <c r="U208" s="197">
        <v>4</v>
      </c>
      <c r="V208" s="196">
        <v>44.3</v>
      </c>
      <c r="W208" s="197">
        <v>16</v>
      </c>
      <c r="X208" s="219">
        <f t="shared" si="198"/>
        <v>2835.2</v>
      </c>
      <c r="Y208" s="219">
        <f t="shared" si="199"/>
        <v>5138.7999999999993</v>
      </c>
      <c r="Z208" s="197">
        <v>2</v>
      </c>
      <c r="AA208" s="196">
        <v>80</v>
      </c>
      <c r="AB208" s="197">
        <v>2</v>
      </c>
      <c r="AC208" s="219">
        <f t="shared" si="200"/>
        <v>320</v>
      </c>
      <c r="AD208" s="197">
        <v>4</v>
      </c>
      <c r="AE208" s="196">
        <v>110</v>
      </c>
      <c r="AF208" s="196">
        <v>2</v>
      </c>
      <c r="AG208" s="219">
        <f t="shared" si="201"/>
        <v>880</v>
      </c>
      <c r="AH208" s="219">
        <f t="shared" si="202"/>
        <v>1200</v>
      </c>
      <c r="AI208" s="199">
        <f>F208+G208+P208+Y208+AH208</f>
        <v>16449.099999999999</v>
      </c>
      <c r="AJ208" s="201">
        <f>AI208/E208</f>
        <v>0.49650166012677327</v>
      </c>
      <c r="AK208" s="219">
        <v>1834.8990000000001</v>
      </c>
      <c r="AL208" s="196">
        <v>331.3</v>
      </c>
      <c r="AM208" s="196">
        <v>331.3</v>
      </c>
      <c r="AN208" s="196">
        <v>993.9</v>
      </c>
      <c r="AO208" s="196">
        <v>215.345</v>
      </c>
      <c r="AP208" s="196">
        <v>1656.5</v>
      </c>
      <c r="AQ208" s="367">
        <f t="shared" si="208"/>
        <v>3528.3450000000003</v>
      </c>
      <c r="AR208" s="367">
        <f t="shared" si="209"/>
        <v>5363.2440000000006</v>
      </c>
      <c r="AS208" s="203">
        <f t="shared" si="210"/>
        <v>27766.756000000001</v>
      </c>
    </row>
    <row r="209" spans="2:46" s="131" customFormat="1" ht="18" hidden="1" customHeight="1">
      <c r="B209" s="769" t="s">
        <v>1699</v>
      </c>
      <c r="C209" s="371"/>
      <c r="D209" s="390"/>
      <c r="E209" s="391"/>
      <c r="F209" s="391"/>
      <c r="G209" s="391"/>
      <c r="H209" s="392"/>
      <c r="I209" s="391"/>
      <c r="J209" s="392"/>
      <c r="K209" s="393"/>
      <c r="L209" s="392"/>
      <c r="M209" s="391"/>
      <c r="N209" s="392"/>
      <c r="O209" s="393"/>
      <c r="P209" s="394"/>
      <c r="Q209" s="392"/>
      <c r="R209" s="391"/>
      <c r="S209" s="392"/>
      <c r="T209" s="393"/>
      <c r="U209" s="392"/>
      <c r="V209" s="391"/>
      <c r="W209" s="392"/>
      <c r="X209" s="393"/>
      <c r="Y209" s="393"/>
      <c r="Z209" s="392"/>
      <c r="AA209" s="391"/>
      <c r="AB209" s="392"/>
      <c r="AC209" s="393"/>
      <c r="AD209" s="392"/>
      <c r="AE209" s="391"/>
      <c r="AF209" s="391"/>
      <c r="AG209" s="393"/>
      <c r="AH209" s="393"/>
      <c r="AI209" s="394"/>
      <c r="AJ209" s="395"/>
      <c r="AK209" s="393"/>
      <c r="AL209" s="391"/>
      <c r="AM209" s="391"/>
      <c r="AN209" s="391"/>
      <c r="AO209" s="391"/>
      <c r="AP209" s="391"/>
      <c r="AQ209" s="396"/>
      <c r="AR209" s="396"/>
      <c r="AS209" s="397">
        <f t="shared" si="210"/>
        <v>0</v>
      </c>
    </row>
    <row r="210" spans="2:46" s="131" customFormat="1" ht="18" hidden="1" customHeight="1">
      <c r="B210" s="194" t="s">
        <v>2007</v>
      </c>
      <c r="C210" s="194">
        <v>367</v>
      </c>
      <c r="D210" s="324" t="s">
        <v>982</v>
      </c>
      <c r="E210" s="196">
        <f>6405</f>
        <v>6405</v>
      </c>
      <c r="F210" s="196">
        <v>950.61</v>
      </c>
      <c r="G210" s="196">
        <v>351.9</v>
      </c>
      <c r="H210" s="197">
        <v>1</v>
      </c>
      <c r="I210" s="196">
        <v>24</v>
      </c>
      <c r="J210" s="197">
        <v>26</v>
      </c>
      <c r="K210" s="219">
        <f t="shared" ref="K210:K213" si="211">H210*I210*J210</f>
        <v>624</v>
      </c>
      <c r="L210" s="197">
        <v>0</v>
      </c>
      <c r="M210" s="196">
        <v>0</v>
      </c>
      <c r="N210" s="197">
        <v>0</v>
      </c>
      <c r="O210" s="219">
        <f t="shared" ref="O210:O213" si="212">L210*M210*N210</f>
        <v>0</v>
      </c>
      <c r="P210" s="220">
        <f t="shared" ref="P210:P213" si="213">K210+O210</f>
        <v>624</v>
      </c>
      <c r="Q210" s="197">
        <v>1</v>
      </c>
      <c r="R210" s="196">
        <v>44.3</v>
      </c>
      <c r="S210" s="197">
        <v>26</v>
      </c>
      <c r="T210" s="219">
        <f t="shared" ref="T210:T213" si="214">Q210*R210*S210</f>
        <v>1151.8</v>
      </c>
      <c r="U210" s="196">
        <v>0</v>
      </c>
      <c r="V210" s="196">
        <v>0</v>
      </c>
      <c r="W210" s="197">
        <v>0</v>
      </c>
      <c r="X210" s="219">
        <f t="shared" ref="X210:X213" si="215">U210*V210*W210</f>
        <v>0</v>
      </c>
      <c r="Y210" s="219">
        <f t="shared" ref="Y210:Y213" si="216">T210+X210</f>
        <v>1151.8</v>
      </c>
      <c r="Z210" s="197">
        <v>1</v>
      </c>
      <c r="AA210" s="196">
        <v>90</v>
      </c>
      <c r="AB210" s="197">
        <v>2</v>
      </c>
      <c r="AC210" s="219">
        <f t="shared" ref="AC210:AC213" si="217">Z210*AA210*AB210</f>
        <v>180</v>
      </c>
      <c r="AD210" s="197">
        <v>0</v>
      </c>
      <c r="AE210" s="196">
        <v>0</v>
      </c>
      <c r="AF210" s="196">
        <v>0</v>
      </c>
      <c r="AG210" s="219">
        <f t="shared" ref="AG210:AG213" si="218">AD210*AE210*AF210</f>
        <v>0</v>
      </c>
      <c r="AH210" s="219">
        <f t="shared" ref="AH210:AH213" si="219">AC210+AG210</f>
        <v>180</v>
      </c>
      <c r="AI210" s="199">
        <f t="shared" ref="AI210:AI212" si="220">F210+G210+P210+Y210+AH210</f>
        <v>3258.31</v>
      </c>
      <c r="AJ210" s="201">
        <f>AI210/E210</f>
        <v>0.5087135050741608</v>
      </c>
      <c r="AK210" s="219">
        <v>346.13589999999999</v>
      </c>
      <c r="AL210" s="196">
        <v>64.05</v>
      </c>
      <c r="AM210" s="196">
        <v>64.05</v>
      </c>
      <c r="AN210" s="196">
        <v>192.15</v>
      </c>
      <c r="AO210" s="196">
        <v>41.6325</v>
      </c>
      <c r="AP210" s="196">
        <v>320.25</v>
      </c>
      <c r="AQ210" s="367">
        <f t="shared" ref="AQ210" si="221">SUM(AL210:AP210)</f>
        <v>682.13249999999994</v>
      </c>
      <c r="AR210" s="367">
        <f t="shared" ref="AR210:AR211" si="222">AK210+AQ210</f>
        <v>1028.2683999999999</v>
      </c>
      <c r="AS210" s="203">
        <f t="shared" si="210"/>
        <v>5376.7316000000001</v>
      </c>
    </row>
    <row r="211" spans="2:46" s="131" customFormat="1" ht="18" hidden="1" customHeight="1">
      <c r="B211" s="194" t="s">
        <v>2007</v>
      </c>
      <c r="C211" s="194">
        <v>368</v>
      </c>
      <c r="D211" s="324" t="s">
        <v>1914</v>
      </c>
      <c r="E211" s="196">
        <f>6403</f>
        <v>6403</v>
      </c>
      <c r="F211" s="196">
        <v>950.61</v>
      </c>
      <c r="G211" s="196">
        <v>351.9</v>
      </c>
      <c r="H211" s="335">
        <v>1</v>
      </c>
      <c r="I211" s="334">
        <v>24</v>
      </c>
      <c r="J211" s="335">
        <v>26</v>
      </c>
      <c r="K211" s="336">
        <f t="shared" si="211"/>
        <v>624</v>
      </c>
      <c r="L211" s="335">
        <v>0</v>
      </c>
      <c r="M211" s="334">
        <v>0</v>
      </c>
      <c r="N211" s="335">
        <v>0</v>
      </c>
      <c r="O211" s="336">
        <f t="shared" si="212"/>
        <v>0</v>
      </c>
      <c r="P211" s="220">
        <f t="shared" si="213"/>
        <v>624</v>
      </c>
      <c r="Q211" s="197">
        <v>1</v>
      </c>
      <c r="R211" s="196">
        <v>44.3</v>
      </c>
      <c r="S211" s="197">
        <v>26</v>
      </c>
      <c r="T211" s="219">
        <f t="shared" si="214"/>
        <v>1151.8</v>
      </c>
      <c r="U211" s="196">
        <v>0</v>
      </c>
      <c r="V211" s="196">
        <v>0</v>
      </c>
      <c r="W211" s="197">
        <v>0</v>
      </c>
      <c r="X211" s="219">
        <f t="shared" si="215"/>
        <v>0</v>
      </c>
      <c r="Y211" s="219">
        <f t="shared" si="216"/>
        <v>1151.8</v>
      </c>
      <c r="Z211" s="197">
        <v>1</v>
      </c>
      <c r="AA211" s="196">
        <v>90</v>
      </c>
      <c r="AB211" s="197">
        <v>2</v>
      </c>
      <c r="AC211" s="219">
        <f t="shared" si="217"/>
        <v>180</v>
      </c>
      <c r="AD211" s="197">
        <v>0</v>
      </c>
      <c r="AE211" s="196">
        <v>0</v>
      </c>
      <c r="AF211" s="196">
        <v>0</v>
      </c>
      <c r="AG211" s="219">
        <f t="shared" si="218"/>
        <v>0</v>
      </c>
      <c r="AH211" s="219">
        <f t="shared" si="219"/>
        <v>180</v>
      </c>
      <c r="AI211" s="199">
        <f t="shared" si="220"/>
        <v>3258.31</v>
      </c>
      <c r="AJ211" s="201">
        <f t="shared" ref="AJ211:AJ212" si="223">AI211/E211</f>
        <v>0.50887240356083085</v>
      </c>
      <c r="AK211" s="219">
        <v>345.91590000000002</v>
      </c>
      <c r="AL211" s="196">
        <v>64.03</v>
      </c>
      <c r="AM211" s="196">
        <v>64.03</v>
      </c>
      <c r="AN211" s="196">
        <v>192.09</v>
      </c>
      <c r="AO211" s="196">
        <v>41.619499999999995</v>
      </c>
      <c r="AP211" s="196">
        <v>320.15000000000003</v>
      </c>
      <c r="AQ211" s="367">
        <f t="shared" ref="AQ211" si="224">SUM(AL211:AP211)</f>
        <v>681.91949999999997</v>
      </c>
      <c r="AR211" s="367">
        <f t="shared" si="222"/>
        <v>1027.8353999999999</v>
      </c>
      <c r="AS211" s="203">
        <f t="shared" si="210"/>
        <v>5375.1646000000001</v>
      </c>
    </row>
    <row r="212" spans="2:46" s="131" customFormat="1" ht="18" hidden="1" customHeight="1">
      <c r="B212" s="194" t="s">
        <v>2007</v>
      </c>
      <c r="C212" s="194">
        <v>369</v>
      </c>
      <c r="D212" s="324" t="s">
        <v>1426</v>
      </c>
      <c r="E212" s="196">
        <v>13960</v>
      </c>
      <c r="F212" s="196">
        <v>2392.1705068579072</v>
      </c>
      <c r="G212" s="196">
        <v>2793</v>
      </c>
      <c r="H212" s="335">
        <v>2</v>
      </c>
      <c r="I212" s="334">
        <v>24</v>
      </c>
      <c r="J212" s="335">
        <v>26</v>
      </c>
      <c r="K212" s="336">
        <f t="shared" si="211"/>
        <v>1248</v>
      </c>
      <c r="L212" s="335">
        <v>0</v>
      </c>
      <c r="M212" s="334">
        <v>16</v>
      </c>
      <c r="N212" s="335">
        <v>16</v>
      </c>
      <c r="O212" s="336">
        <f t="shared" si="212"/>
        <v>0</v>
      </c>
      <c r="P212" s="220">
        <f t="shared" si="213"/>
        <v>1248</v>
      </c>
      <c r="Q212" s="197">
        <v>2</v>
      </c>
      <c r="R212" s="196">
        <v>44.3</v>
      </c>
      <c r="S212" s="197">
        <v>26</v>
      </c>
      <c r="T212" s="219">
        <f t="shared" si="214"/>
        <v>2303.6</v>
      </c>
      <c r="U212" s="197">
        <v>0</v>
      </c>
      <c r="V212" s="196">
        <v>44.3</v>
      </c>
      <c r="W212" s="197">
        <v>16</v>
      </c>
      <c r="X212" s="219">
        <f t="shared" si="215"/>
        <v>0</v>
      </c>
      <c r="Y212" s="219">
        <f t="shared" si="216"/>
        <v>2303.6</v>
      </c>
      <c r="Z212" s="197">
        <v>2</v>
      </c>
      <c r="AA212" s="196">
        <v>90</v>
      </c>
      <c r="AB212" s="197">
        <v>2</v>
      </c>
      <c r="AC212" s="219">
        <f t="shared" si="217"/>
        <v>360</v>
      </c>
      <c r="AD212" s="197">
        <v>4</v>
      </c>
      <c r="AE212" s="196">
        <v>110</v>
      </c>
      <c r="AF212" s="196">
        <v>2</v>
      </c>
      <c r="AG212" s="219">
        <f t="shared" si="218"/>
        <v>880</v>
      </c>
      <c r="AH212" s="219">
        <f t="shared" si="219"/>
        <v>1240</v>
      </c>
      <c r="AI212" s="199">
        <f t="shared" si="220"/>
        <v>9976.7705068579071</v>
      </c>
      <c r="AJ212" s="201">
        <f t="shared" si="223"/>
        <v>0.71466837441675557</v>
      </c>
      <c r="AK212" s="271">
        <v>438.15524424563023</v>
      </c>
      <c r="AL212" s="196">
        <v>139.6</v>
      </c>
      <c r="AM212" s="196">
        <v>139.6</v>
      </c>
      <c r="AN212" s="196">
        <v>418.8</v>
      </c>
      <c r="AO212" s="196">
        <v>90.74</v>
      </c>
      <c r="AP212" s="196">
        <v>698</v>
      </c>
      <c r="AQ212" s="367">
        <f t="shared" ref="AQ212:AQ213" si="225">SUM(AL212:AP212)</f>
        <v>1486.74</v>
      </c>
      <c r="AR212" s="367">
        <f>AK212+AQ212</f>
        <v>1924.8952442456302</v>
      </c>
      <c r="AS212" s="203">
        <f>(E212-AR212)</f>
        <v>12035.10475575437</v>
      </c>
    </row>
    <row r="213" spans="2:46" s="131" customFormat="1" ht="18" hidden="1" customHeight="1">
      <c r="B213" s="194" t="s">
        <v>2007</v>
      </c>
      <c r="C213" s="194">
        <v>370</v>
      </c>
      <c r="D213" s="365" t="s">
        <v>1767</v>
      </c>
      <c r="E213" s="196">
        <f>38394.2301912429</f>
        <v>38394.230191242903</v>
      </c>
      <c r="F213" s="196">
        <v>2300</v>
      </c>
      <c r="G213" s="196">
        <v>1200</v>
      </c>
      <c r="H213" s="335">
        <v>3</v>
      </c>
      <c r="I213" s="334">
        <v>24</v>
      </c>
      <c r="J213" s="335">
        <v>26</v>
      </c>
      <c r="K213" s="336">
        <f t="shared" si="211"/>
        <v>1872</v>
      </c>
      <c r="L213" s="335">
        <v>4</v>
      </c>
      <c r="M213" s="334">
        <v>16</v>
      </c>
      <c r="N213" s="335">
        <v>16</v>
      </c>
      <c r="O213" s="336">
        <f t="shared" si="212"/>
        <v>1024</v>
      </c>
      <c r="P213" s="220">
        <f t="shared" si="213"/>
        <v>2896</v>
      </c>
      <c r="Q213" s="197">
        <v>3</v>
      </c>
      <c r="R213" s="196">
        <v>44.3</v>
      </c>
      <c r="S213" s="197">
        <v>26</v>
      </c>
      <c r="T213" s="219">
        <f t="shared" si="214"/>
        <v>3455.3999999999996</v>
      </c>
      <c r="U213" s="197">
        <v>4</v>
      </c>
      <c r="V213" s="196">
        <v>44.3</v>
      </c>
      <c r="W213" s="197">
        <v>16</v>
      </c>
      <c r="X213" s="219">
        <f t="shared" si="215"/>
        <v>2835.2</v>
      </c>
      <c r="Y213" s="219">
        <f t="shared" si="216"/>
        <v>6290.5999999999995</v>
      </c>
      <c r="Z213" s="197">
        <v>3</v>
      </c>
      <c r="AA213" s="196">
        <v>80</v>
      </c>
      <c r="AB213" s="197">
        <v>2</v>
      </c>
      <c r="AC213" s="219">
        <f t="shared" si="217"/>
        <v>480</v>
      </c>
      <c r="AD213" s="197">
        <v>4</v>
      </c>
      <c r="AE213" s="196">
        <v>110</v>
      </c>
      <c r="AF213" s="196">
        <v>2</v>
      </c>
      <c r="AG213" s="219">
        <f t="shared" si="218"/>
        <v>880</v>
      </c>
      <c r="AH213" s="219">
        <f t="shared" si="219"/>
        <v>1360</v>
      </c>
      <c r="AI213" s="199">
        <f>F213+G213+P213+Y213+AH213</f>
        <v>14046.599999999999</v>
      </c>
      <c r="AJ213" s="201">
        <f>AI213/E213</f>
        <v>0.36585184622880651</v>
      </c>
      <c r="AK213" s="219">
        <v>2678.2393210367195</v>
      </c>
      <c r="AL213" s="196">
        <v>383.94230191242906</v>
      </c>
      <c r="AM213" s="196">
        <v>383.94230191242906</v>
      </c>
      <c r="AN213" s="196">
        <v>1151.826905737287</v>
      </c>
      <c r="AO213" s="196">
        <v>249.56249624307887</v>
      </c>
      <c r="AP213" s="196">
        <v>1919.7115095621452</v>
      </c>
      <c r="AQ213" s="367">
        <f t="shared" si="225"/>
        <v>4088.9855153673693</v>
      </c>
      <c r="AR213" s="367">
        <f t="shared" ref="AR213" si="226">AK213+AQ213</f>
        <v>6767.2248364040888</v>
      </c>
      <c r="AS213" s="203">
        <f t="shared" ref="AS213" si="227">E213-AR213</f>
        <v>31627.005354838813</v>
      </c>
    </row>
    <row r="214" spans="2:46" s="131" customFormat="1" ht="18" hidden="1" customHeight="1">
      <c r="B214" s="194" t="s">
        <v>2007</v>
      </c>
      <c r="C214" s="194">
        <v>371</v>
      </c>
      <c r="D214" s="365" t="s">
        <v>1915</v>
      </c>
      <c r="E214" s="196">
        <f>33130</f>
        <v>33130</v>
      </c>
      <c r="F214" s="196">
        <v>5288.3</v>
      </c>
      <c r="G214" s="196">
        <v>2550</v>
      </c>
      <c r="H214" s="335">
        <v>2</v>
      </c>
      <c r="I214" s="334">
        <v>24</v>
      </c>
      <c r="J214" s="335">
        <v>26</v>
      </c>
      <c r="K214" s="336">
        <f>H214*I214*J214</f>
        <v>1248</v>
      </c>
      <c r="L214" s="335">
        <v>4</v>
      </c>
      <c r="M214" s="334">
        <v>16</v>
      </c>
      <c r="N214" s="335">
        <v>16</v>
      </c>
      <c r="O214" s="336">
        <f>L214*M214*N214</f>
        <v>1024</v>
      </c>
      <c r="P214" s="220">
        <f>K214+O214</f>
        <v>2272</v>
      </c>
      <c r="Q214" s="197">
        <v>2</v>
      </c>
      <c r="R214" s="196">
        <v>44.3</v>
      </c>
      <c r="S214" s="197">
        <v>26</v>
      </c>
      <c r="T214" s="219">
        <f>Q214*R214*S214</f>
        <v>2303.6</v>
      </c>
      <c r="U214" s="197">
        <v>4</v>
      </c>
      <c r="V214" s="196">
        <v>44.3</v>
      </c>
      <c r="W214" s="197">
        <v>16</v>
      </c>
      <c r="X214" s="219">
        <f>U214*V214*W214</f>
        <v>2835.2</v>
      </c>
      <c r="Y214" s="219">
        <f>T214+X214</f>
        <v>5138.7999999999993</v>
      </c>
      <c r="Z214" s="197">
        <v>2</v>
      </c>
      <c r="AA214" s="196">
        <v>80</v>
      </c>
      <c r="AB214" s="197">
        <v>2</v>
      </c>
      <c r="AC214" s="219">
        <f>Z214*AA214*AB214</f>
        <v>320</v>
      </c>
      <c r="AD214" s="197">
        <v>4</v>
      </c>
      <c r="AE214" s="196">
        <v>110</v>
      </c>
      <c r="AF214" s="196">
        <v>2</v>
      </c>
      <c r="AG214" s="219">
        <f>AD214*AE214*AF214</f>
        <v>880</v>
      </c>
      <c r="AH214" s="219">
        <f>AC214+AG214</f>
        <v>1200</v>
      </c>
      <c r="AI214" s="199">
        <f>F214+G214+P214+Y214+AH214</f>
        <v>16449.099999999999</v>
      </c>
      <c r="AJ214" s="201">
        <f>AI214/E214</f>
        <v>0.49650166012677327</v>
      </c>
      <c r="AK214" s="219">
        <v>1834.8990000000001</v>
      </c>
      <c r="AL214" s="196">
        <v>331.3</v>
      </c>
      <c r="AM214" s="196">
        <v>331.3</v>
      </c>
      <c r="AN214" s="196">
        <v>993.9</v>
      </c>
      <c r="AO214" s="196">
        <v>215.345</v>
      </c>
      <c r="AP214" s="196">
        <v>1656.5</v>
      </c>
      <c r="AQ214" s="367">
        <f>SUM(AL214:AP214)</f>
        <v>3528.3450000000003</v>
      </c>
      <c r="AR214" s="367">
        <f>AK214+AQ214</f>
        <v>5363.2440000000006</v>
      </c>
      <c r="AS214" s="203">
        <f>E214-AR214</f>
        <v>27766.756000000001</v>
      </c>
    </row>
    <row r="215" spans="2:46" s="131" customFormat="1" ht="18" hidden="1" customHeight="1">
      <c r="B215" s="769" t="s">
        <v>1699</v>
      </c>
      <c r="C215" s="371"/>
      <c r="D215" s="390"/>
      <c r="E215" s="391"/>
      <c r="F215" s="391"/>
      <c r="G215" s="391"/>
      <c r="H215" s="392"/>
      <c r="I215" s="391"/>
      <c r="J215" s="392"/>
      <c r="K215" s="393"/>
      <c r="L215" s="392"/>
      <c r="M215" s="391"/>
      <c r="N215" s="392"/>
      <c r="O215" s="393"/>
      <c r="P215" s="394"/>
      <c r="Q215" s="392"/>
      <c r="R215" s="391"/>
      <c r="S215" s="392"/>
      <c r="T215" s="393"/>
      <c r="U215" s="392"/>
      <c r="V215" s="391"/>
      <c r="W215" s="392"/>
      <c r="X215" s="393"/>
      <c r="Y215" s="393"/>
      <c r="Z215" s="392"/>
      <c r="AA215" s="391"/>
      <c r="AB215" s="392"/>
      <c r="AC215" s="393"/>
      <c r="AD215" s="392"/>
      <c r="AE215" s="391"/>
      <c r="AF215" s="391"/>
      <c r="AG215" s="393"/>
      <c r="AH215" s="393"/>
      <c r="AI215" s="394"/>
      <c r="AJ215" s="395"/>
      <c r="AK215" s="393"/>
      <c r="AL215" s="391"/>
      <c r="AM215" s="391"/>
      <c r="AN215" s="391"/>
      <c r="AO215" s="391"/>
      <c r="AP215" s="391"/>
      <c r="AQ215" s="396"/>
      <c r="AR215" s="396"/>
      <c r="AS215" s="397">
        <f t="shared" ref="AS215:AS217" si="228">E215-AR215</f>
        <v>0</v>
      </c>
    </row>
    <row r="216" spans="2:46" s="131" customFormat="1" ht="18" hidden="1" customHeight="1">
      <c r="B216" s="194" t="s">
        <v>2024</v>
      </c>
      <c r="C216" s="194">
        <v>372</v>
      </c>
      <c r="D216" s="324" t="s">
        <v>982</v>
      </c>
      <c r="E216" s="196">
        <f>6405</f>
        <v>6405</v>
      </c>
      <c r="F216" s="196">
        <v>950.61</v>
      </c>
      <c r="G216" s="196">
        <v>351.9</v>
      </c>
      <c r="H216" s="197">
        <v>1</v>
      </c>
      <c r="I216" s="196">
        <v>24</v>
      </c>
      <c r="J216" s="197">
        <v>26</v>
      </c>
      <c r="K216" s="219">
        <f t="shared" ref="K216:K219" si="229">H216*I216*J216</f>
        <v>624</v>
      </c>
      <c r="L216" s="197">
        <v>0</v>
      </c>
      <c r="M216" s="196">
        <v>0</v>
      </c>
      <c r="N216" s="197">
        <v>0</v>
      </c>
      <c r="O216" s="219">
        <f t="shared" ref="O216:O219" si="230">L216*M216*N216</f>
        <v>0</v>
      </c>
      <c r="P216" s="220">
        <f t="shared" ref="P216:P219" si="231">K216+O216</f>
        <v>624</v>
      </c>
      <c r="Q216" s="197">
        <v>1</v>
      </c>
      <c r="R216" s="196">
        <v>44.3</v>
      </c>
      <c r="S216" s="197">
        <v>26</v>
      </c>
      <c r="T216" s="219">
        <f t="shared" ref="T216:T219" si="232">Q216*R216*S216</f>
        <v>1151.8</v>
      </c>
      <c r="U216" s="196">
        <v>0</v>
      </c>
      <c r="V216" s="196">
        <v>0</v>
      </c>
      <c r="W216" s="197">
        <v>0</v>
      </c>
      <c r="X216" s="219">
        <f t="shared" ref="X216:X219" si="233">U216*V216*W216</f>
        <v>0</v>
      </c>
      <c r="Y216" s="219">
        <f t="shared" ref="Y216:Y219" si="234">T216+X216</f>
        <v>1151.8</v>
      </c>
      <c r="Z216" s="197">
        <v>1</v>
      </c>
      <c r="AA216" s="196">
        <v>90</v>
      </c>
      <c r="AB216" s="197">
        <v>2</v>
      </c>
      <c r="AC216" s="219">
        <f t="shared" ref="AC216:AC219" si="235">Z216*AA216*AB216</f>
        <v>180</v>
      </c>
      <c r="AD216" s="197">
        <v>0</v>
      </c>
      <c r="AE216" s="196">
        <v>0</v>
      </c>
      <c r="AF216" s="196">
        <v>0</v>
      </c>
      <c r="AG216" s="219">
        <f t="shared" ref="AG216:AG219" si="236">AD216*AE216*AF216</f>
        <v>0</v>
      </c>
      <c r="AH216" s="219">
        <f t="shared" ref="AH216:AH219" si="237">AC216+AG216</f>
        <v>180</v>
      </c>
      <c r="AI216" s="199">
        <f t="shared" ref="AI216:AI218" si="238">F216+G216+P216+Y216+AH216</f>
        <v>3258.31</v>
      </c>
      <c r="AJ216" s="201">
        <f>AI216/E216</f>
        <v>0.5087135050741608</v>
      </c>
      <c r="AK216" s="219">
        <v>346.13589999999999</v>
      </c>
      <c r="AL216" s="196">
        <v>64.05</v>
      </c>
      <c r="AM216" s="196">
        <v>64.05</v>
      </c>
      <c r="AN216" s="196">
        <v>192.15</v>
      </c>
      <c r="AO216" s="196">
        <v>41.6325</v>
      </c>
      <c r="AP216" s="196">
        <v>320.25</v>
      </c>
      <c r="AQ216" s="367">
        <f t="shared" ref="AQ216" si="239">SUM(AL216:AP216)</f>
        <v>682.13249999999994</v>
      </c>
      <c r="AR216" s="367">
        <f t="shared" ref="AR216:AR217" si="240">AK216+AQ216</f>
        <v>1028.2683999999999</v>
      </c>
      <c r="AS216" s="203">
        <f t="shared" si="228"/>
        <v>5376.7316000000001</v>
      </c>
    </row>
    <row r="217" spans="2:46" s="131" customFormat="1" ht="18" hidden="1" customHeight="1">
      <c r="B217" s="194" t="s">
        <v>2024</v>
      </c>
      <c r="C217" s="194">
        <v>373</v>
      </c>
      <c r="D217" s="324" t="s">
        <v>1914</v>
      </c>
      <c r="E217" s="196">
        <f>6403</f>
        <v>6403</v>
      </c>
      <c r="F217" s="196">
        <v>950.61</v>
      </c>
      <c r="G217" s="196">
        <v>351.9</v>
      </c>
      <c r="H217" s="335">
        <v>1</v>
      </c>
      <c r="I217" s="334">
        <v>24</v>
      </c>
      <c r="J217" s="335">
        <v>26</v>
      </c>
      <c r="K217" s="336">
        <f t="shared" si="229"/>
        <v>624</v>
      </c>
      <c r="L217" s="335">
        <v>0</v>
      </c>
      <c r="M217" s="334">
        <v>0</v>
      </c>
      <c r="N217" s="335">
        <v>0</v>
      </c>
      <c r="O217" s="336">
        <f t="shared" si="230"/>
        <v>0</v>
      </c>
      <c r="P217" s="220">
        <f t="shared" si="231"/>
        <v>624</v>
      </c>
      <c r="Q217" s="197">
        <v>1</v>
      </c>
      <c r="R217" s="196">
        <v>44.3</v>
      </c>
      <c r="S217" s="197">
        <v>26</v>
      </c>
      <c r="T217" s="219">
        <f t="shared" si="232"/>
        <v>1151.8</v>
      </c>
      <c r="U217" s="196">
        <v>0</v>
      </c>
      <c r="V217" s="196">
        <v>0</v>
      </c>
      <c r="W217" s="197">
        <v>0</v>
      </c>
      <c r="X217" s="219">
        <f t="shared" si="233"/>
        <v>0</v>
      </c>
      <c r="Y217" s="219">
        <f t="shared" si="234"/>
        <v>1151.8</v>
      </c>
      <c r="Z217" s="197">
        <v>1</v>
      </c>
      <c r="AA217" s="196">
        <v>90</v>
      </c>
      <c r="AB217" s="197">
        <v>2</v>
      </c>
      <c r="AC217" s="219">
        <f t="shared" si="235"/>
        <v>180</v>
      </c>
      <c r="AD217" s="197">
        <v>0</v>
      </c>
      <c r="AE217" s="196">
        <v>0</v>
      </c>
      <c r="AF217" s="196">
        <v>0</v>
      </c>
      <c r="AG217" s="219">
        <f t="shared" si="236"/>
        <v>0</v>
      </c>
      <c r="AH217" s="219">
        <f t="shared" si="237"/>
        <v>180</v>
      </c>
      <c r="AI217" s="199">
        <f t="shared" si="238"/>
        <v>3258.31</v>
      </c>
      <c r="AJ217" s="201">
        <f t="shared" ref="AJ217:AJ218" si="241">AI217/E217</f>
        <v>0.50887240356083085</v>
      </c>
      <c r="AK217" s="219">
        <v>345.91590000000002</v>
      </c>
      <c r="AL217" s="196">
        <v>64.03</v>
      </c>
      <c r="AM217" s="196">
        <v>64.03</v>
      </c>
      <c r="AN217" s="196">
        <v>192.09</v>
      </c>
      <c r="AO217" s="196">
        <v>41.619499999999995</v>
      </c>
      <c r="AP217" s="196">
        <v>320.15000000000003</v>
      </c>
      <c r="AQ217" s="367">
        <f t="shared" ref="AQ217" si="242">SUM(AL217:AP217)</f>
        <v>681.91949999999997</v>
      </c>
      <c r="AR217" s="367">
        <f t="shared" si="240"/>
        <v>1027.8353999999999</v>
      </c>
      <c r="AS217" s="203">
        <f t="shared" si="228"/>
        <v>5375.1646000000001</v>
      </c>
    </row>
    <row r="218" spans="2:46" s="131" customFormat="1" ht="18" hidden="1" customHeight="1">
      <c r="B218" s="194" t="s">
        <v>2024</v>
      </c>
      <c r="C218" s="194">
        <v>374</v>
      </c>
      <c r="D218" s="324" t="s">
        <v>1426</v>
      </c>
      <c r="E218" s="196">
        <v>13960</v>
      </c>
      <c r="F218" s="196">
        <v>2392.1705068579072</v>
      </c>
      <c r="G218" s="196">
        <v>2793</v>
      </c>
      <c r="H218" s="335">
        <v>2</v>
      </c>
      <c r="I218" s="334">
        <v>24</v>
      </c>
      <c r="J218" s="335">
        <v>26</v>
      </c>
      <c r="K218" s="336">
        <f t="shared" si="229"/>
        <v>1248</v>
      </c>
      <c r="L218" s="335">
        <v>0</v>
      </c>
      <c r="M218" s="334">
        <v>16</v>
      </c>
      <c r="N218" s="335">
        <v>16</v>
      </c>
      <c r="O218" s="336">
        <f t="shared" si="230"/>
        <v>0</v>
      </c>
      <c r="P218" s="220">
        <f t="shared" si="231"/>
        <v>1248</v>
      </c>
      <c r="Q218" s="197">
        <v>2</v>
      </c>
      <c r="R218" s="196">
        <v>44.3</v>
      </c>
      <c r="S218" s="197">
        <v>26</v>
      </c>
      <c r="T218" s="219">
        <f t="shared" si="232"/>
        <v>2303.6</v>
      </c>
      <c r="U218" s="197">
        <v>0</v>
      </c>
      <c r="V218" s="196">
        <v>44.3</v>
      </c>
      <c r="W218" s="197">
        <v>16</v>
      </c>
      <c r="X218" s="219">
        <f t="shared" si="233"/>
        <v>0</v>
      </c>
      <c r="Y218" s="219">
        <f t="shared" si="234"/>
        <v>2303.6</v>
      </c>
      <c r="Z218" s="197">
        <v>2</v>
      </c>
      <c r="AA218" s="196">
        <v>90</v>
      </c>
      <c r="AB218" s="197">
        <v>2</v>
      </c>
      <c r="AC218" s="219">
        <f t="shared" si="235"/>
        <v>360</v>
      </c>
      <c r="AD218" s="197">
        <v>4</v>
      </c>
      <c r="AE218" s="196">
        <v>110</v>
      </c>
      <c r="AF218" s="196">
        <v>2</v>
      </c>
      <c r="AG218" s="219">
        <f t="shared" si="236"/>
        <v>880</v>
      </c>
      <c r="AH218" s="219">
        <f t="shared" si="237"/>
        <v>1240</v>
      </c>
      <c r="AI218" s="199">
        <f t="shared" si="238"/>
        <v>9976.7705068579071</v>
      </c>
      <c r="AJ218" s="201">
        <f t="shared" si="241"/>
        <v>0.71466837441675557</v>
      </c>
      <c r="AK218" s="271">
        <v>438.15524424563023</v>
      </c>
      <c r="AL218" s="196">
        <v>139.6</v>
      </c>
      <c r="AM218" s="196">
        <v>139.6</v>
      </c>
      <c r="AN218" s="196">
        <v>418.8</v>
      </c>
      <c r="AO218" s="196">
        <v>90.74</v>
      </c>
      <c r="AP218" s="196">
        <v>698</v>
      </c>
      <c r="AQ218" s="367">
        <f t="shared" ref="AQ218:AQ219" si="243">SUM(AL218:AP218)</f>
        <v>1486.74</v>
      </c>
      <c r="AR218" s="367">
        <f>AK218+AQ218</f>
        <v>1924.8952442456302</v>
      </c>
      <c r="AS218" s="203">
        <f>(E218-AR218)</f>
        <v>12035.10475575437</v>
      </c>
    </row>
    <row r="219" spans="2:46" s="131" customFormat="1" ht="18" hidden="1" customHeight="1">
      <c r="B219" s="194" t="s">
        <v>2024</v>
      </c>
      <c r="C219" s="194">
        <v>375</v>
      </c>
      <c r="D219" s="365" t="s">
        <v>1767</v>
      </c>
      <c r="E219" s="196">
        <f>38394.2301912429</f>
        <v>38394.230191242903</v>
      </c>
      <c r="F219" s="196">
        <v>2300</v>
      </c>
      <c r="G219" s="196">
        <v>1200</v>
      </c>
      <c r="H219" s="335">
        <v>3</v>
      </c>
      <c r="I219" s="334">
        <v>24</v>
      </c>
      <c r="J219" s="335">
        <v>26</v>
      </c>
      <c r="K219" s="336">
        <f t="shared" si="229"/>
        <v>1872</v>
      </c>
      <c r="L219" s="335">
        <v>4</v>
      </c>
      <c r="M219" s="334">
        <v>16</v>
      </c>
      <c r="N219" s="335">
        <v>16</v>
      </c>
      <c r="O219" s="336">
        <f t="shared" si="230"/>
        <v>1024</v>
      </c>
      <c r="P219" s="220">
        <f t="shared" si="231"/>
        <v>2896</v>
      </c>
      <c r="Q219" s="197">
        <v>3</v>
      </c>
      <c r="R219" s="196">
        <v>44.3</v>
      </c>
      <c r="S219" s="197">
        <v>26</v>
      </c>
      <c r="T219" s="219">
        <f t="shared" si="232"/>
        <v>3455.3999999999996</v>
      </c>
      <c r="U219" s="197">
        <v>4</v>
      </c>
      <c r="V219" s="196">
        <v>44.3</v>
      </c>
      <c r="W219" s="197">
        <v>16</v>
      </c>
      <c r="X219" s="219">
        <f t="shared" si="233"/>
        <v>2835.2</v>
      </c>
      <c r="Y219" s="219">
        <f t="shared" si="234"/>
        <v>6290.5999999999995</v>
      </c>
      <c r="Z219" s="197">
        <v>3</v>
      </c>
      <c r="AA219" s="196">
        <v>80</v>
      </c>
      <c r="AB219" s="197">
        <v>2</v>
      </c>
      <c r="AC219" s="219">
        <f t="shared" si="235"/>
        <v>480</v>
      </c>
      <c r="AD219" s="197">
        <v>4</v>
      </c>
      <c r="AE219" s="196">
        <v>110</v>
      </c>
      <c r="AF219" s="196">
        <v>2</v>
      </c>
      <c r="AG219" s="219">
        <f t="shared" si="236"/>
        <v>880</v>
      </c>
      <c r="AH219" s="219">
        <f t="shared" si="237"/>
        <v>1360</v>
      </c>
      <c r="AI219" s="199">
        <f>F219+G219+P219+Y219+AH219</f>
        <v>14046.599999999999</v>
      </c>
      <c r="AJ219" s="201">
        <f>AI219/E219</f>
        <v>0.36585184622880651</v>
      </c>
      <c r="AK219" s="219">
        <v>2678.2393210367195</v>
      </c>
      <c r="AL219" s="196">
        <v>383.94230191242906</v>
      </c>
      <c r="AM219" s="196">
        <v>383.94230191242906</v>
      </c>
      <c r="AN219" s="196">
        <v>1151.826905737287</v>
      </c>
      <c r="AO219" s="196">
        <v>249.56249624307887</v>
      </c>
      <c r="AP219" s="196">
        <v>1919.7115095621452</v>
      </c>
      <c r="AQ219" s="367">
        <f t="shared" si="243"/>
        <v>4088.9855153673693</v>
      </c>
      <c r="AR219" s="367">
        <f t="shared" ref="AR219" si="244">AK219+AQ219</f>
        <v>6767.2248364040888</v>
      </c>
      <c r="AS219" s="203">
        <f t="shared" ref="AS219" si="245">E219-AR219</f>
        <v>31627.005354838813</v>
      </c>
    </row>
    <row r="220" spans="2:46" s="131" customFormat="1" ht="18" hidden="1" customHeight="1">
      <c r="B220" s="194" t="s">
        <v>2024</v>
      </c>
      <c r="C220" s="194">
        <v>376</v>
      </c>
      <c r="D220" s="365" t="s">
        <v>1915</v>
      </c>
      <c r="E220" s="196">
        <f>33130</f>
        <v>33130</v>
      </c>
      <c r="F220" s="196">
        <v>5288.3</v>
      </c>
      <c r="G220" s="196">
        <v>2550</v>
      </c>
      <c r="H220" s="335">
        <v>2</v>
      </c>
      <c r="I220" s="334">
        <v>24</v>
      </c>
      <c r="J220" s="335">
        <v>26</v>
      </c>
      <c r="K220" s="336">
        <f>H220*I220*J220</f>
        <v>1248</v>
      </c>
      <c r="L220" s="335">
        <v>4</v>
      </c>
      <c r="M220" s="334">
        <v>16</v>
      </c>
      <c r="N220" s="335">
        <v>16</v>
      </c>
      <c r="O220" s="336">
        <f>L220*M220*N220</f>
        <v>1024</v>
      </c>
      <c r="P220" s="220">
        <f>K220+O220</f>
        <v>2272</v>
      </c>
      <c r="Q220" s="197">
        <v>2</v>
      </c>
      <c r="R220" s="196">
        <v>44.3</v>
      </c>
      <c r="S220" s="197">
        <v>26</v>
      </c>
      <c r="T220" s="219">
        <f>Q220*R220*S220</f>
        <v>2303.6</v>
      </c>
      <c r="U220" s="197">
        <v>4</v>
      </c>
      <c r="V220" s="196">
        <v>44.3</v>
      </c>
      <c r="W220" s="197">
        <v>16</v>
      </c>
      <c r="X220" s="219">
        <f>U220*V220*W220</f>
        <v>2835.2</v>
      </c>
      <c r="Y220" s="219">
        <f>T220+X220</f>
        <v>5138.7999999999993</v>
      </c>
      <c r="Z220" s="197">
        <v>2</v>
      </c>
      <c r="AA220" s="196">
        <v>80</v>
      </c>
      <c r="AB220" s="197">
        <v>2</v>
      </c>
      <c r="AC220" s="219">
        <f>Z220*AA220*AB220</f>
        <v>320</v>
      </c>
      <c r="AD220" s="197">
        <v>4</v>
      </c>
      <c r="AE220" s="196">
        <v>110</v>
      </c>
      <c r="AF220" s="196">
        <v>2</v>
      </c>
      <c r="AG220" s="219">
        <f>AD220*AE220*AF220</f>
        <v>880</v>
      </c>
      <c r="AH220" s="219">
        <f>AC220+AG220</f>
        <v>1200</v>
      </c>
      <c r="AI220" s="199">
        <f>F220+G220+P220+Y220+AH220</f>
        <v>16449.099999999999</v>
      </c>
      <c r="AJ220" s="201">
        <f>AI220/E220</f>
        <v>0.49650166012677327</v>
      </c>
      <c r="AK220" s="219">
        <v>1834.8990000000001</v>
      </c>
      <c r="AL220" s="196">
        <v>331.3</v>
      </c>
      <c r="AM220" s="196">
        <v>331.3</v>
      </c>
      <c r="AN220" s="196">
        <v>993.9</v>
      </c>
      <c r="AO220" s="196">
        <v>215.345</v>
      </c>
      <c r="AP220" s="196">
        <v>1656.5</v>
      </c>
      <c r="AQ220" s="367">
        <f>SUM(AL220:AP220)</f>
        <v>3528.3450000000003</v>
      </c>
      <c r="AR220" s="367">
        <f>AK220+AQ220</f>
        <v>5363.2440000000006</v>
      </c>
      <c r="AS220" s="203">
        <f>E220-AR220</f>
        <v>27766.756000000001</v>
      </c>
    </row>
    <row r="221" spans="2:46" s="131" customFormat="1" ht="18" hidden="1" customHeight="1">
      <c r="B221" s="769" t="s">
        <v>1699</v>
      </c>
      <c r="C221" s="371"/>
      <c r="D221" s="390"/>
      <c r="E221" s="391"/>
      <c r="F221" s="391"/>
      <c r="G221" s="391"/>
      <c r="H221" s="392"/>
      <c r="I221" s="391"/>
      <c r="J221" s="392"/>
      <c r="K221" s="393"/>
      <c r="L221" s="392"/>
      <c r="M221" s="391"/>
      <c r="N221" s="392"/>
      <c r="O221" s="393"/>
      <c r="P221" s="394"/>
      <c r="Q221" s="392"/>
      <c r="R221" s="391"/>
      <c r="S221" s="392"/>
      <c r="T221" s="393"/>
      <c r="U221" s="392"/>
      <c r="V221" s="391"/>
      <c r="W221" s="392"/>
      <c r="X221" s="393"/>
      <c r="Y221" s="393"/>
      <c r="Z221" s="392"/>
      <c r="AA221" s="391"/>
      <c r="AB221" s="392"/>
      <c r="AC221" s="393"/>
      <c r="AD221" s="392"/>
      <c r="AE221" s="391"/>
      <c r="AF221" s="391"/>
      <c r="AG221" s="393"/>
      <c r="AH221" s="393"/>
      <c r="AI221" s="394"/>
      <c r="AJ221" s="395"/>
      <c r="AK221" s="393"/>
      <c r="AL221" s="391"/>
      <c r="AM221" s="391"/>
      <c r="AN221" s="391"/>
      <c r="AO221" s="391"/>
      <c r="AP221" s="391"/>
      <c r="AQ221" s="396"/>
      <c r="AR221" s="396"/>
      <c r="AS221" s="397">
        <f t="shared" ref="AS221:AS223" si="246">E221-AR221</f>
        <v>0</v>
      </c>
    </row>
    <row r="222" spans="2:46" s="131" customFormat="1" ht="18" hidden="1" customHeight="1">
      <c r="B222" s="194" t="s">
        <v>2072</v>
      </c>
      <c r="C222" s="194">
        <v>381</v>
      </c>
      <c r="D222" s="324" t="s">
        <v>982</v>
      </c>
      <c r="E222" s="196">
        <f>6405</f>
        <v>6405</v>
      </c>
      <c r="F222" s="196">
        <v>950.61</v>
      </c>
      <c r="G222" s="196">
        <v>351.9</v>
      </c>
      <c r="H222" s="197">
        <v>1</v>
      </c>
      <c r="I222" s="196">
        <v>24</v>
      </c>
      <c r="J222" s="197">
        <v>26</v>
      </c>
      <c r="K222" s="219">
        <f t="shared" ref="K222:K226" si="247">H222*I222*J222</f>
        <v>624</v>
      </c>
      <c r="L222" s="197">
        <v>0</v>
      </c>
      <c r="M222" s="196">
        <v>0</v>
      </c>
      <c r="N222" s="197">
        <v>0</v>
      </c>
      <c r="O222" s="219">
        <f t="shared" ref="O222:O226" si="248">L222*M222*N222</f>
        <v>0</v>
      </c>
      <c r="P222" s="220">
        <f t="shared" ref="P222:P226" si="249">K222+O222</f>
        <v>624</v>
      </c>
      <c r="Q222" s="197">
        <v>1</v>
      </c>
      <c r="R222" s="196">
        <v>44.3</v>
      </c>
      <c r="S222" s="197">
        <v>26</v>
      </c>
      <c r="T222" s="219">
        <f t="shared" ref="T222:T226" si="250">Q222*R222*S222</f>
        <v>1151.8</v>
      </c>
      <c r="U222" s="196">
        <v>0</v>
      </c>
      <c r="V222" s="196">
        <v>0</v>
      </c>
      <c r="W222" s="197">
        <v>0</v>
      </c>
      <c r="X222" s="219">
        <f t="shared" ref="X222:X226" si="251">U222*V222*W222</f>
        <v>0</v>
      </c>
      <c r="Y222" s="219">
        <f t="shared" ref="Y222:Y226" si="252">T222+X222</f>
        <v>1151.8</v>
      </c>
      <c r="Z222" s="197">
        <v>1</v>
      </c>
      <c r="AA222" s="196">
        <v>90</v>
      </c>
      <c r="AB222" s="197">
        <v>2</v>
      </c>
      <c r="AC222" s="219">
        <f t="shared" ref="AC222:AC226" si="253">Z222*AA222*AB222</f>
        <v>180</v>
      </c>
      <c r="AD222" s="197">
        <v>0</v>
      </c>
      <c r="AE222" s="196">
        <v>0</v>
      </c>
      <c r="AF222" s="196">
        <v>0</v>
      </c>
      <c r="AG222" s="219">
        <f t="shared" ref="AG222:AG226" si="254">AD222*AE222*AF222</f>
        <v>0</v>
      </c>
      <c r="AH222" s="219">
        <f t="shared" ref="AH222:AH226" si="255">AC222+AG222</f>
        <v>180</v>
      </c>
      <c r="AI222" s="199">
        <f t="shared" ref="AI222:AI224" si="256">F222+G222+P222+Y222+AH222</f>
        <v>3258.31</v>
      </c>
      <c r="AJ222" s="201">
        <f>AI222/E222</f>
        <v>0.5087135050741608</v>
      </c>
      <c r="AK222" s="219">
        <v>346.13589999999999</v>
      </c>
      <c r="AL222" s="196">
        <v>64.05</v>
      </c>
      <c r="AM222" s="196">
        <v>64.05</v>
      </c>
      <c r="AN222" s="196">
        <v>192.15</v>
      </c>
      <c r="AO222" s="196">
        <v>41.6325</v>
      </c>
      <c r="AP222" s="196">
        <v>320.25</v>
      </c>
      <c r="AQ222" s="367">
        <f t="shared" ref="AQ222" si="257">SUM(AL222:AP222)</f>
        <v>682.13249999999994</v>
      </c>
      <c r="AR222" s="367">
        <f t="shared" ref="AR222:AR223" si="258">AK222+AQ222</f>
        <v>1028.2683999999999</v>
      </c>
      <c r="AS222" s="203">
        <f t="shared" si="246"/>
        <v>5376.7316000000001</v>
      </c>
    </row>
    <row r="223" spans="2:46" s="131" customFormat="1" ht="18" hidden="1" customHeight="1">
      <c r="B223" s="194" t="s">
        <v>2072</v>
      </c>
      <c r="C223" s="194">
        <v>380</v>
      </c>
      <c r="D223" s="324" t="s">
        <v>1914</v>
      </c>
      <c r="E223" s="196">
        <f>6403</f>
        <v>6403</v>
      </c>
      <c r="F223" s="196">
        <v>950.61</v>
      </c>
      <c r="G223" s="196">
        <v>351.9</v>
      </c>
      <c r="H223" s="335">
        <v>1</v>
      </c>
      <c r="I223" s="334">
        <v>24</v>
      </c>
      <c r="J223" s="335">
        <v>26</v>
      </c>
      <c r="K223" s="336">
        <f t="shared" si="247"/>
        <v>624</v>
      </c>
      <c r="L223" s="335">
        <v>0</v>
      </c>
      <c r="M223" s="334">
        <v>0</v>
      </c>
      <c r="N223" s="335">
        <v>0</v>
      </c>
      <c r="O223" s="336">
        <f t="shared" si="248"/>
        <v>0</v>
      </c>
      <c r="P223" s="220">
        <f t="shared" si="249"/>
        <v>624</v>
      </c>
      <c r="Q223" s="197">
        <v>1</v>
      </c>
      <c r="R223" s="196">
        <v>44.3</v>
      </c>
      <c r="S223" s="197">
        <v>26</v>
      </c>
      <c r="T223" s="219">
        <f t="shared" si="250"/>
        <v>1151.8</v>
      </c>
      <c r="U223" s="196">
        <v>0</v>
      </c>
      <c r="V223" s="196">
        <v>0</v>
      </c>
      <c r="W223" s="197">
        <v>0</v>
      </c>
      <c r="X223" s="219">
        <f t="shared" si="251"/>
        <v>0</v>
      </c>
      <c r="Y223" s="219">
        <f t="shared" si="252"/>
        <v>1151.8</v>
      </c>
      <c r="Z223" s="197">
        <v>1</v>
      </c>
      <c r="AA223" s="196">
        <v>90</v>
      </c>
      <c r="AB223" s="197">
        <v>2</v>
      </c>
      <c r="AC223" s="219">
        <f t="shared" si="253"/>
        <v>180</v>
      </c>
      <c r="AD223" s="197">
        <v>0</v>
      </c>
      <c r="AE223" s="196">
        <v>0</v>
      </c>
      <c r="AF223" s="196">
        <v>0</v>
      </c>
      <c r="AG223" s="219">
        <f t="shared" si="254"/>
        <v>0</v>
      </c>
      <c r="AH223" s="219">
        <f t="shared" si="255"/>
        <v>180</v>
      </c>
      <c r="AI223" s="199">
        <f t="shared" si="256"/>
        <v>3258.31</v>
      </c>
      <c r="AJ223" s="201">
        <f t="shared" ref="AJ223:AJ224" si="259">AI223/E223</f>
        <v>0.50887240356083085</v>
      </c>
      <c r="AK223" s="219">
        <v>345.91590000000002</v>
      </c>
      <c r="AL223" s="196">
        <v>64.03</v>
      </c>
      <c r="AM223" s="196">
        <v>64.03</v>
      </c>
      <c r="AN223" s="196">
        <v>192.09</v>
      </c>
      <c r="AO223" s="196">
        <v>41.619499999999995</v>
      </c>
      <c r="AP223" s="196">
        <v>320.15000000000003</v>
      </c>
      <c r="AQ223" s="367">
        <f t="shared" ref="AQ223" si="260">SUM(AL223:AP223)</f>
        <v>681.91949999999997</v>
      </c>
      <c r="AR223" s="367">
        <f t="shared" si="258"/>
        <v>1027.8353999999999</v>
      </c>
      <c r="AS223" s="203">
        <f t="shared" si="246"/>
        <v>5375.1646000000001</v>
      </c>
      <c r="AT223" s="131" t="s">
        <v>1698</v>
      </c>
    </row>
    <row r="224" spans="2:46" s="131" customFormat="1" ht="18" hidden="1" customHeight="1">
      <c r="B224" s="194" t="s">
        <v>2072</v>
      </c>
      <c r="C224" s="194">
        <v>377</v>
      </c>
      <c r="D224" s="325" t="s">
        <v>2075</v>
      </c>
      <c r="E224" s="208">
        <f>(13960/30)*6</f>
        <v>2792</v>
      </c>
      <c r="F224" s="196">
        <v>0</v>
      </c>
      <c r="G224" s="196">
        <v>0</v>
      </c>
      <c r="H224" s="335">
        <v>2</v>
      </c>
      <c r="I224" s="334">
        <v>24</v>
      </c>
      <c r="J224" s="335">
        <v>6</v>
      </c>
      <c r="K224" s="336">
        <f t="shared" si="247"/>
        <v>288</v>
      </c>
      <c r="L224" s="335">
        <v>0</v>
      </c>
      <c r="M224" s="334">
        <v>16</v>
      </c>
      <c r="N224" s="335">
        <v>16</v>
      </c>
      <c r="O224" s="336">
        <f t="shared" si="248"/>
        <v>0</v>
      </c>
      <c r="P224" s="220">
        <f t="shared" si="249"/>
        <v>288</v>
      </c>
      <c r="Q224" s="197">
        <v>2</v>
      </c>
      <c r="R224" s="196">
        <v>44.3</v>
      </c>
      <c r="S224" s="197">
        <v>6</v>
      </c>
      <c r="T224" s="219">
        <f t="shared" si="250"/>
        <v>531.59999999999991</v>
      </c>
      <c r="U224" s="197">
        <v>0</v>
      </c>
      <c r="V224" s="196">
        <v>44.3</v>
      </c>
      <c r="W224" s="197">
        <v>16</v>
      </c>
      <c r="X224" s="219">
        <f t="shared" si="251"/>
        <v>0</v>
      </c>
      <c r="Y224" s="219">
        <f t="shared" si="252"/>
        <v>531.59999999999991</v>
      </c>
      <c r="Z224" s="197">
        <v>2</v>
      </c>
      <c r="AA224" s="196">
        <v>90</v>
      </c>
      <c r="AB224" s="197">
        <v>2</v>
      </c>
      <c r="AC224" s="219">
        <f t="shared" si="253"/>
        <v>360</v>
      </c>
      <c r="AD224" s="197">
        <v>0</v>
      </c>
      <c r="AE224" s="196">
        <v>110</v>
      </c>
      <c r="AF224" s="196">
        <v>2</v>
      </c>
      <c r="AG224" s="219">
        <f t="shared" si="254"/>
        <v>0</v>
      </c>
      <c r="AH224" s="219">
        <f t="shared" si="255"/>
        <v>360</v>
      </c>
      <c r="AI224" s="199">
        <f t="shared" si="256"/>
        <v>1179.5999999999999</v>
      </c>
      <c r="AJ224" s="201">
        <f t="shared" si="259"/>
        <v>0.42249283667621773</v>
      </c>
      <c r="AK224" s="219">
        <v>177.364</v>
      </c>
      <c r="AL224" s="196">
        <v>27.92</v>
      </c>
      <c r="AM224" s="196">
        <v>27.92</v>
      </c>
      <c r="AN224" s="196">
        <v>83.759999999999991</v>
      </c>
      <c r="AO224" s="196">
        <v>18.148</v>
      </c>
      <c r="AP224" s="196">
        <v>139.6</v>
      </c>
      <c r="AQ224" s="367">
        <f t="shared" ref="AQ224:AQ226" si="261">SUM(AL224:AP224)</f>
        <v>297.34799999999996</v>
      </c>
      <c r="AR224" s="367">
        <f>AK224+AQ224</f>
        <v>474.71199999999999</v>
      </c>
      <c r="AS224" s="203">
        <f>(E224-AR224)</f>
        <v>2317.288</v>
      </c>
    </row>
    <row r="225" spans="2:46" s="131" customFormat="1" ht="18" hidden="1" customHeight="1">
      <c r="B225" s="194" t="s">
        <v>2072</v>
      </c>
      <c r="C225" s="194">
        <v>377</v>
      </c>
      <c r="D225" s="370" t="s">
        <v>2075</v>
      </c>
      <c r="E225" s="209">
        <f>(13960/30)*5</f>
        <v>2326.6666666666665</v>
      </c>
      <c r="F225" s="196">
        <v>0</v>
      </c>
      <c r="G225" s="196">
        <v>0</v>
      </c>
      <c r="H225" s="335">
        <v>2</v>
      </c>
      <c r="I225" s="334">
        <v>24</v>
      </c>
      <c r="J225" s="335">
        <v>6</v>
      </c>
      <c r="K225" s="336">
        <f t="shared" ref="K225" si="262">H225*I225*J225</f>
        <v>288</v>
      </c>
      <c r="L225" s="335">
        <v>0</v>
      </c>
      <c r="M225" s="334">
        <v>16</v>
      </c>
      <c r="N225" s="335">
        <v>16</v>
      </c>
      <c r="O225" s="336">
        <f t="shared" ref="O225" si="263">L225*M225*N225</f>
        <v>0</v>
      </c>
      <c r="P225" s="220">
        <f t="shared" ref="P225" si="264">K225+O225</f>
        <v>288</v>
      </c>
      <c r="Q225" s="197">
        <v>2</v>
      </c>
      <c r="R225" s="196">
        <v>44.3</v>
      </c>
      <c r="S225" s="197">
        <v>6</v>
      </c>
      <c r="T225" s="219">
        <f t="shared" ref="T225" si="265">Q225*R225*S225</f>
        <v>531.59999999999991</v>
      </c>
      <c r="U225" s="197">
        <v>0</v>
      </c>
      <c r="V225" s="196">
        <v>44.3</v>
      </c>
      <c r="W225" s="197">
        <v>16</v>
      </c>
      <c r="X225" s="219">
        <f t="shared" ref="X225" si="266">U225*V225*W225</f>
        <v>0</v>
      </c>
      <c r="Y225" s="219">
        <f t="shared" ref="Y225" si="267">T225+X225</f>
        <v>531.59999999999991</v>
      </c>
      <c r="Z225" s="197">
        <v>2</v>
      </c>
      <c r="AA225" s="196">
        <v>90</v>
      </c>
      <c r="AB225" s="197">
        <v>2</v>
      </c>
      <c r="AC225" s="219">
        <f t="shared" ref="AC225" si="268">Z225*AA225*AB225</f>
        <v>360</v>
      </c>
      <c r="AD225" s="197">
        <v>0</v>
      </c>
      <c r="AE225" s="196">
        <v>110</v>
      </c>
      <c r="AF225" s="196">
        <v>2</v>
      </c>
      <c r="AG225" s="219">
        <f t="shared" ref="AG225" si="269">AD225*AE225*AF225</f>
        <v>0</v>
      </c>
      <c r="AH225" s="219">
        <f t="shared" ref="AH225" si="270">AC225+AG225</f>
        <v>360</v>
      </c>
      <c r="AI225" s="199">
        <f t="shared" ref="AI225" si="271">F225+G225+P225+Y225+AH225</f>
        <v>1179.5999999999999</v>
      </c>
      <c r="AJ225" s="201">
        <f t="shared" ref="AJ225" si="272">AI225/E225</f>
        <v>0.50699140401146137</v>
      </c>
      <c r="AK225" s="219">
        <v>126.17733333333332</v>
      </c>
      <c r="AL225" s="196">
        <v>23.266666666666666</v>
      </c>
      <c r="AM225" s="196">
        <v>23.266666666666666</v>
      </c>
      <c r="AN225" s="196">
        <v>69.8</v>
      </c>
      <c r="AO225" s="196">
        <v>15.123333333333331</v>
      </c>
      <c r="AP225" s="196">
        <v>116.33333333333333</v>
      </c>
      <c r="AQ225" s="367">
        <f t="shared" ref="AQ225" si="273">SUM(AL225:AP225)</f>
        <v>247.78999999999996</v>
      </c>
      <c r="AR225" s="367">
        <f>AK225+AQ225</f>
        <v>373.96733333333327</v>
      </c>
      <c r="AS225" s="203">
        <f>(E225-AR225)</f>
        <v>1952.6993333333332</v>
      </c>
      <c r="AT225" s="205">
        <f>AS224-AS225</f>
        <v>364.58866666666677</v>
      </c>
    </row>
    <row r="226" spans="2:46" s="131" customFormat="1" ht="18" hidden="1" customHeight="1">
      <c r="B226" s="194" t="s">
        <v>2072</v>
      </c>
      <c r="C226" s="194">
        <v>379</v>
      </c>
      <c r="D226" s="365" t="s">
        <v>1767</v>
      </c>
      <c r="E226" s="196">
        <f>38394.2301912429</f>
        <v>38394.230191242903</v>
      </c>
      <c r="F226" s="196">
        <v>2300</v>
      </c>
      <c r="G226" s="196">
        <v>1200</v>
      </c>
      <c r="H226" s="335">
        <v>3</v>
      </c>
      <c r="I226" s="334">
        <v>24</v>
      </c>
      <c r="J226" s="335">
        <v>26</v>
      </c>
      <c r="K226" s="336">
        <f t="shared" si="247"/>
        <v>1872</v>
      </c>
      <c r="L226" s="335">
        <v>4</v>
      </c>
      <c r="M226" s="334">
        <v>16</v>
      </c>
      <c r="N226" s="335">
        <v>16</v>
      </c>
      <c r="O226" s="336">
        <f t="shared" si="248"/>
        <v>1024</v>
      </c>
      <c r="P226" s="220">
        <f t="shared" si="249"/>
        <v>2896</v>
      </c>
      <c r="Q226" s="197">
        <v>3</v>
      </c>
      <c r="R226" s="196">
        <v>44.3</v>
      </c>
      <c r="S226" s="197">
        <v>26</v>
      </c>
      <c r="T226" s="219">
        <f t="shared" si="250"/>
        <v>3455.3999999999996</v>
      </c>
      <c r="U226" s="197">
        <v>4</v>
      </c>
      <c r="V226" s="196">
        <v>44.3</v>
      </c>
      <c r="W226" s="197">
        <v>16</v>
      </c>
      <c r="X226" s="219">
        <f t="shared" si="251"/>
        <v>2835.2</v>
      </c>
      <c r="Y226" s="219">
        <f t="shared" si="252"/>
        <v>6290.5999999999995</v>
      </c>
      <c r="Z226" s="197">
        <v>3</v>
      </c>
      <c r="AA226" s="196">
        <v>80</v>
      </c>
      <c r="AB226" s="197">
        <v>2</v>
      </c>
      <c r="AC226" s="219">
        <f t="shared" si="253"/>
        <v>480</v>
      </c>
      <c r="AD226" s="197">
        <v>4</v>
      </c>
      <c r="AE226" s="196">
        <v>110</v>
      </c>
      <c r="AF226" s="196">
        <v>2</v>
      </c>
      <c r="AG226" s="219">
        <f t="shared" si="254"/>
        <v>880</v>
      </c>
      <c r="AH226" s="219">
        <f t="shared" si="255"/>
        <v>1360</v>
      </c>
      <c r="AI226" s="199">
        <f>F226+G226+P226+Y226+AH226</f>
        <v>14046.599999999999</v>
      </c>
      <c r="AJ226" s="201">
        <f>AI226/E226</f>
        <v>0.36585184622880651</v>
      </c>
      <c r="AK226" s="219">
        <v>2678.2393210367195</v>
      </c>
      <c r="AL226" s="196">
        <v>383.94230191242906</v>
      </c>
      <c r="AM226" s="196">
        <v>383.94230191242906</v>
      </c>
      <c r="AN226" s="196">
        <v>1151.826905737287</v>
      </c>
      <c r="AO226" s="196">
        <v>249.56249624307887</v>
      </c>
      <c r="AP226" s="196">
        <v>1919.7115095621452</v>
      </c>
      <c r="AQ226" s="367">
        <f t="shared" si="261"/>
        <v>4088.9855153673693</v>
      </c>
      <c r="AR226" s="367">
        <f t="shared" ref="AR226" si="274">AK226+AQ226</f>
        <v>6767.2248364040888</v>
      </c>
      <c r="AS226" s="203">
        <f t="shared" ref="AS226" si="275">E226-AR226</f>
        <v>31627.005354838813</v>
      </c>
      <c r="AT226" s="131">
        <v>2</v>
      </c>
    </row>
    <row r="227" spans="2:46" s="131" customFormat="1" ht="18" hidden="1" customHeight="1">
      <c r="B227" s="194" t="s">
        <v>2072</v>
      </c>
      <c r="C227" s="194">
        <v>378</v>
      </c>
      <c r="D227" s="365" t="s">
        <v>1915</v>
      </c>
      <c r="E227" s="196">
        <f>33130</f>
        <v>33130</v>
      </c>
      <c r="F227" s="196">
        <v>5288.3</v>
      </c>
      <c r="G227" s="196">
        <v>2550</v>
      </c>
      <c r="H227" s="335">
        <v>2</v>
      </c>
      <c r="I227" s="334">
        <v>24</v>
      </c>
      <c r="J227" s="335">
        <v>26</v>
      </c>
      <c r="K227" s="336">
        <f>H227*I227*J227</f>
        <v>1248</v>
      </c>
      <c r="L227" s="335">
        <v>4</v>
      </c>
      <c r="M227" s="334">
        <v>16</v>
      </c>
      <c r="N227" s="335">
        <v>16</v>
      </c>
      <c r="O227" s="336">
        <f>L227*M227*N227</f>
        <v>1024</v>
      </c>
      <c r="P227" s="220">
        <f>K227+O227</f>
        <v>2272</v>
      </c>
      <c r="Q227" s="197">
        <v>2</v>
      </c>
      <c r="R227" s="196">
        <v>44.3</v>
      </c>
      <c r="S227" s="197">
        <v>26</v>
      </c>
      <c r="T227" s="219">
        <f>Q227*R227*S227</f>
        <v>2303.6</v>
      </c>
      <c r="U227" s="197">
        <v>4</v>
      </c>
      <c r="V227" s="196">
        <v>44.3</v>
      </c>
      <c r="W227" s="197">
        <v>16</v>
      </c>
      <c r="X227" s="219">
        <f>U227*V227*W227</f>
        <v>2835.2</v>
      </c>
      <c r="Y227" s="219">
        <f>T227+X227</f>
        <v>5138.7999999999993</v>
      </c>
      <c r="Z227" s="197">
        <v>2</v>
      </c>
      <c r="AA227" s="196">
        <v>80</v>
      </c>
      <c r="AB227" s="197">
        <v>2</v>
      </c>
      <c r="AC227" s="219">
        <f>Z227*AA227*AB227</f>
        <v>320</v>
      </c>
      <c r="AD227" s="197">
        <v>4</v>
      </c>
      <c r="AE227" s="196">
        <v>110</v>
      </c>
      <c r="AF227" s="196">
        <v>2</v>
      </c>
      <c r="AG227" s="219">
        <f>AD227*AE227*AF227</f>
        <v>880</v>
      </c>
      <c r="AH227" s="219">
        <f>AC227+AG227</f>
        <v>1200</v>
      </c>
      <c r="AI227" s="199">
        <f>F227+G227+P227+Y227+AH227</f>
        <v>16449.099999999999</v>
      </c>
      <c r="AJ227" s="201">
        <f>AI227/E227</f>
        <v>0.49650166012677327</v>
      </c>
      <c r="AK227" s="219">
        <v>1834.8990000000001</v>
      </c>
      <c r="AL227" s="196">
        <v>331.3</v>
      </c>
      <c r="AM227" s="196">
        <v>331.3</v>
      </c>
      <c r="AN227" s="196">
        <v>993.9</v>
      </c>
      <c r="AO227" s="196">
        <v>215.345</v>
      </c>
      <c r="AP227" s="196">
        <v>1656.5</v>
      </c>
      <c r="AQ227" s="367">
        <f>SUM(AL227:AP227)</f>
        <v>3528.3450000000003</v>
      </c>
      <c r="AR227" s="367">
        <f>AK227+AQ227</f>
        <v>5363.2440000000006</v>
      </c>
      <c r="AS227" s="203">
        <f>E227-AR227</f>
        <v>27766.756000000001</v>
      </c>
      <c r="AT227" s="205">
        <f>AT225/AT226</f>
        <v>182.29433333333338</v>
      </c>
    </row>
    <row r="228" spans="2:46" s="131" customFormat="1" ht="18" hidden="1" customHeight="1">
      <c r="B228" s="769" t="s">
        <v>1699</v>
      </c>
      <c r="C228" s="371"/>
      <c r="D228" s="390"/>
      <c r="E228" s="391"/>
      <c r="F228" s="391"/>
      <c r="G228" s="391"/>
      <c r="H228" s="392"/>
      <c r="I228" s="391"/>
      <c r="J228" s="392"/>
      <c r="K228" s="393"/>
      <c r="L228" s="392"/>
      <c r="M228" s="391"/>
      <c r="N228" s="392"/>
      <c r="O228" s="393"/>
      <c r="P228" s="394"/>
      <c r="Q228" s="392"/>
      <c r="R228" s="391"/>
      <c r="S228" s="392"/>
      <c r="T228" s="393"/>
      <c r="U228" s="392"/>
      <c r="V228" s="391"/>
      <c r="W228" s="392"/>
      <c r="X228" s="393"/>
      <c r="Y228" s="393"/>
      <c r="Z228" s="392"/>
      <c r="AA228" s="391"/>
      <c r="AB228" s="392"/>
      <c r="AC228" s="393"/>
      <c r="AD228" s="392"/>
      <c r="AE228" s="391"/>
      <c r="AF228" s="391"/>
      <c r="AG228" s="393"/>
      <c r="AH228" s="393"/>
      <c r="AI228" s="394"/>
      <c r="AJ228" s="395"/>
      <c r="AK228" s="393"/>
      <c r="AL228" s="391"/>
      <c r="AM228" s="391"/>
      <c r="AN228" s="391"/>
      <c r="AO228" s="391"/>
      <c r="AP228" s="391"/>
      <c r="AQ228" s="396"/>
      <c r="AR228" s="396"/>
      <c r="AS228" s="397">
        <f t="shared" ref="AS228:AS230" si="276">E228-AR228</f>
        <v>0</v>
      </c>
      <c r="AT228" s="205">
        <f>AS224-AT227</f>
        <v>2134.9936666666667</v>
      </c>
    </row>
    <row r="229" spans="2:46" s="131" customFormat="1" ht="18" hidden="1" customHeight="1">
      <c r="B229" s="194" t="s">
        <v>2080</v>
      </c>
      <c r="C229" s="194">
        <v>382</v>
      </c>
      <c r="D229" s="324" t="s">
        <v>982</v>
      </c>
      <c r="E229" s="196">
        <f>6405</f>
        <v>6405</v>
      </c>
      <c r="F229" s="196">
        <v>950.61</v>
      </c>
      <c r="G229" s="196">
        <v>351.9</v>
      </c>
      <c r="H229" s="197">
        <v>1</v>
      </c>
      <c r="I229" s="196">
        <v>24</v>
      </c>
      <c r="J229" s="197">
        <v>26</v>
      </c>
      <c r="K229" s="219">
        <f t="shared" ref="K229:K231" si="277">H229*I229*J229</f>
        <v>624</v>
      </c>
      <c r="L229" s="197">
        <v>0</v>
      </c>
      <c r="M229" s="196">
        <v>0</v>
      </c>
      <c r="N229" s="197">
        <v>0</v>
      </c>
      <c r="O229" s="219">
        <f t="shared" ref="O229:O231" si="278">L229*M229*N229</f>
        <v>0</v>
      </c>
      <c r="P229" s="220">
        <f t="shared" ref="P229:P231" si="279">K229+O229</f>
        <v>624</v>
      </c>
      <c r="Q229" s="197">
        <v>1</v>
      </c>
      <c r="R229" s="196">
        <v>44.3</v>
      </c>
      <c r="S229" s="197">
        <v>26</v>
      </c>
      <c r="T229" s="219">
        <f t="shared" ref="T229:T231" si="280">Q229*R229*S229</f>
        <v>1151.8</v>
      </c>
      <c r="U229" s="196">
        <v>0</v>
      </c>
      <c r="V229" s="196">
        <v>0</v>
      </c>
      <c r="W229" s="197">
        <v>0</v>
      </c>
      <c r="X229" s="219">
        <f t="shared" ref="X229:X231" si="281">U229*V229*W229</f>
        <v>0</v>
      </c>
      <c r="Y229" s="219">
        <f t="shared" ref="Y229:Y231" si="282">T229+X229</f>
        <v>1151.8</v>
      </c>
      <c r="Z229" s="197">
        <v>1</v>
      </c>
      <c r="AA229" s="196">
        <v>90</v>
      </c>
      <c r="AB229" s="197">
        <v>2</v>
      </c>
      <c r="AC229" s="219">
        <f t="shared" ref="AC229:AC231" si="283">Z229*AA229*AB229</f>
        <v>180</v>
      </c>
      <c r="AD229" s="197">
        <v>0</v>
      </c>
      <c r="AE229" s="196">
        <v>0</v>
      </c>
      <c r="AF229" s="196">
        <v>0</v>
      </c>
      <c r="AG229" s="219">
        <f t="shared" ref="AG229:AG231" si="284">AD229*AE229*AF229</f>
        <v>0</v>
      </c>
      <c r="AH229" s="219">
        <f t="shared" ref="AH229:AH231" si="285">AC229+AG229</f>
        <v>180</v>
      </c>
      <c r="AI229" s="199">
        <f t="shared" ref="AI229:AI230" si="286">F229+G229+P229+Y229+AH229</f>
        <v>3258.31</v>
      </c>
      <c r="AJ229" s="201">
        <f>AI229/E229</f>
        <v>0.5087135050741608</v>
      </c>
      <c r="AK229" s="219">
        <v>346.13589999999999</v>
      </c>
      <c r="AL229" s="196">
        <v>64.05</v>
      </c>
      <c r="AM229" s="196">
        <v>64.05</v>
      </c>
      <c r="AN229" s="196">
        <v>192.15</v>
      </c>
      <c r="AO229" s="196">
        <v>41.6325</v>
      </c>
      <c r="AP229" s="196">
        <v>320.25</v>
      </c>
      <c r="AQ229" s="367">
        <f t="shared" ref="AQ229" si="287">SUM(AL229:AP229)</f>
        <v>682.13249999999994</v>
      </c>
      <c r="AR229" s="367">
        <f t="shared" ref="AR229:AR230" si="288">AK229+AQ229</f>
        <v>1028.2683999999999</v>
      </c>
      <c r="AS229" s="203">
        <f t="shared" si="276"/>
        <v>5376.7316000000001</v>
      </c>
    </row>
    <row r="230" spans="2:46" s="131" customFormat="1" ht="18" hidden="1" customHeight="1">
      <c r="B230" s="194" t="s">
        <v>2080</v>
      </c>
      <c r="C230" s="194">
        <v>383</v>
      </c>
      <c r="D230" s="324" t="s">
        <v>1914</v>
      </c>
      <c r="E230" s="196">
        <f>6403</f>
        <v>6403</v>
      </c>
      <c r="F230" s="196">
        <v>950.61</v>
      </c>
      <c r="G230" s="196">
        <v>351.9</v>
      </c>
      <c r="H230" s="197">
        <v>1</v>
      </c>
      <c r="I230" s="196">
        <v>24</v>
      </c>
      <c r="J230" s="197">
        <v>26</v>
      </c>
      <c r="K230" s="219">
        <f t="shared" si="277"/>
        <v>624</v>
      </c>
      <c r="L230" s="197">
        <v>0</v>
      </c>
      <c r="M230" s="196">
        <v>0</v>
      </c>
      <c r="N230" s="197">
        <v>0</v>
      </c>
      <c r="O230" s="219">
        <f t="shared" si="278"/>
        <v>0</v>
      </c>
      <c r="P230" s="220">
        <f t="shared" si="279"/>
        <v>624</v>
      </c>
      <c r="Q230" s="197">
        <v>1</v>
      </c>
      <c r="R230" s="196">
        <v>44.3</v>
      </c>
      <c r="S230" s="197">
        <v>26</v>
      </c>
      <c r="T230" s="219">
        <f t="shared" si="280"/>
        <v>1151.8</v>
      </c>
      <c r="U230" s="196">
        <v>0</v>
      </c>
      <c r="V230" s="196">
        <v>0</v>
      </c>
      <c r="W230" s="197">
        <v>0</v>
      </c>
      <c r="X230" s="219">
        <f t="shared" si="281"/>
        <v>0</v>
      </c>
      <c r="Y230" s="219">
        <f t="shared" si="282"/>
        <v>1151.8</v>
      </c>
      <c r="Z230" s="197">
        <v>1</v>
      </c>
      <c r="AA230" s="196">
        <v>90</v>
      </c>
      <c r="AB230" s="197">
        <v>2</v>
      </c>
      <c r="AC230" s="219">
        <f t="shared" si="283"/>
        <v>180</v>
      </c>
      <c r="AD230" s="197">
        <v>0</v>
      </c>
      <c r="AE230" s="196">
        <v>0</v>
      </c>
      <c r="AF230" s="196">
        <v>0</v>
      </c>
      <c r="AG230" s="219">
        <f t="shared" si="284"/>
        <v>0</v>
      </c>
      <c r="AH230" s="219">
        <f t="shared" si="285"/>
        <v>180</v>
      </c>
      <c r="AI230" s="199">
        <f t="shared" si="286"/>
        <v>3258.31</v>
      </c>
      <c r="AJ230" s="201">
        <f t="shared" ref="AJ230" si="289">AI230/E230</f>
        <v>0.50887240356083085</v>
      </c>
      <c r="AK230" s="219">
        <v>345.91590000000002</v>
      </c>
      <c r="AL230" s="196">
        <v>64.03</v>
      </c>
      <c r="AM230" s="196">
        <v>64.03</v>
      </c>
      <c r="AN230" s="196">
        <v>192.09</v>
      </c>
      <c r="AO230" s="196">
        <v>41.619499999999995</v>
      </c>
      <c r="AP230" s="196">
        <v>320.15000000000003</v>
      </c>
      <c r="AQ230" s="367">
        <f t="shared" ref="AQ230" si="290">SUM(AL230:AP230)</f>
        <v>681.91949999999997</v>
      </c>
      <c r="AR230" s="367">
        <f t="shared" si="288"/>
        <v>1027.8353999999999</v>
      </c>
      <c r="AS230" s="203">
        <f t="shared" si="276"/>
        <v>5375.1646000000001</v>
      </c>
    </row>
    <row r="231" spans="2:46" s="131" customFormat="1" ht="18" hidden="1" customHeight="1">
      <c r="B231" s="194" t="s">
        <v>2080</v>
      </c>
      <c r="C231" s="194">
        <v>384</v>
      </c>
      <c r="D231" s="365" t="s">
        <v>1767</v>
      </c>
      <c r="E231" s="196">
        <f>38394.2301912429</f>
        <v>38394.230191242903</v>
      </c>
      <c r="F231" s="196">
        <v>2300</v>
      </c>
      <c r="G231" s="196">
        <v>1200</v>
      </c>
      <c r="H231" s="197">
        <v>3</v>
      </c>
      <c r="I231" s="196">
        <v>24</v>
      </c>
      <c r="J231" s="197">
        <v>26</v>
      </c>
      <c r="K231" s="219">
        <f t="shared" si="277"/>
        <v>1872</v>
      </c>
      <c r="L231" s="197">
        <v>4</v>
      </c>
      <c r="M231" s="196">
        <v>16</v>
      </c>
      <c r="N231" s="197">
        <v>16</v>
      </c>
      <c r="O231" s="219">
        <f t="shared" si="278"/>
        <v>1024</v>
      </c>
      <c r="P231" s="220">
        <f t="shared" si="279"/>
        <v>2896</v>
      </c>
      <c r="Q231" s="197">
        <v>3</v>
      </c>
      <c r="R231" s="196">
        <v>44.3</v>
      </c>
      <c r="S231" s="197">
        <v>26</v>
      </c>
      <c r="T231" s="219">
        <f t="shared" si="280"/>
        <v>3455.3999999999996</v>
      </c>
      <c r="U231" s="197">
        <v>4</v>
      </c>
      <c r="V231" s="196">
        <v>44.3</v>
      </c>
      <c r="W231" s="197">
        <v>16</v>
      </c>
      <c r="X231" s="219">
        <f t="shared" si="281"/>
        <v>2835.2</v>
      </c>
      <c r="Y231" s="219">
        <f t="shared" si="282"/>
        <v>6290.5999999999995</v>
      </c>
      <c r="Z231" s="197">
        <v>3</v>
      </c>
      <c r="AA231" s="196">
        <v>80</v>
      </c>
      <c r="AB231" s="197">
        <v>2</v>
      </c>
      <c r="AC231" s="219">
        <f t="shared" si="283"/>
        <v>480</v>
      </c>
      <c r="AD231" s="197">
        <v>4</v>
      </c>
      <c r="AE231" s="196">
        <v>110</v>
      </c>
      <c r="AF231" s="196">
        <v>2</v>
      </c>
      <c r="AG231" s="219">
        <f t="shared" si="284"/>
        <v>880</v>
      </c>
      <c r="AH231" s="219">
        <f t="shared" si="285"/>
        <v>1360</v>
      </c>
      <c r="AI231" s="199">
        <f>F231+G231+P231+Y231+AH231</f>
        <v>14046.599999999999</v>
      </c>
      <c r="AJ231" s="201">
        <f>AI231/E231</f>
        <v>0.36585184622880651</v>
      </c>
      <c r="AK231" s="219">
        <v>2678.2393210367195</v>
      </c>
      <c r="AL231" s="196">
        <v>383.94230191242906</v>
      </c>
      <c r="AM231" s="196">
        <v>383.94230191242906</v>
      </c>
      <c r="AN231" s="196">
        <v>1151.826905737287</v>
      </c>
      <c r="AO231" s="196">
        <v>249.56249624307887</v>
      </c>
      <c r="AP231" s="196">
        <v>1919.7115095621452</v>
      </c>
      <c r="AQ231" s="367">
        <f t="shared" ref="AQ231" si="291">SUM(AL231:AP231)</f>
        <v>4088.9855153673693</v>
      </c>
      <c r="AR231" s="367">
        <f t="shared" ref="AR231" si="292">AK231+AQ231</f>
        <v>6767.2248364040888</v>
      </c>
      <c r="AS231" s="203">
        <f t="shared" ref="AS231:AS239" si="293">E231-AR231</f>
        <v>31627.005354838813</v>
      </c>
    </row>
    <row r="232" spans="2:46" s="131" customFormat="1" ht="18" hidden="1" customHeight="1">
      <c r="B232" s="194" t="s">
        <v>2080</v>
      </c>
      <c r="C232" s="194">
        <v>385</v>
      </c>
      <c r="D232" s="365" t="s">
        <v>1915</v>
      </c>
      <c r="E232" s="196">
        <f>33130</f>
        <v>33130</v>
      </c>
      <c r="F232" s="196">
        <v>5288.3</v>
      </c>
      <c r="G232" s="196">
        <v>2550</v>
      </c>
      <c r="H232" s="197">
        <v>2</v>
      </c>
      <c r="I232" s="196">
        <v>24</v>
      </c>
      <c r="J232" s="197">
        <v>26</v>
      </c>
      <c r="K232" s="219">
        <f>H232*I232*J232</f>
        <v>1248</v>
      </c>
      <c r="L232" s="197">
        <v>4</v>
      </c>
      <c r="M232" s="196">
        <v>16</v>
      </c>
      <c r="N232" s="197">
        <v>16</v>
      </c>
      <c r="O232" s="219">
        <f>L232*M232*N232</f>
        <v>1024</v>
      </c>
      <c r="P232" s="220">
        <f>K232+O232</f>
        <v>2272</v>
      </c>
      <c r="Q232" s="197">
        <v>2</v>
      </c>
      <c r="R232" s="196">
        <v>44.3</v>
      </c>
      <c r="S232" s="197">
        <v>26</v>
      </c>
      <c r="T232" s="219">
        <f>Q232*R232*S232</f>
        <v>2303.6</v>
      </c>
      <c r="U232" s="197">
        <v>4</v>
      </c>
      <c r="V232" s="196">
        <v>44.3</v>
      </c>
      <c r="W232" s="197">
        <v>16</v>
      </c>
      <c r="X232" s="219">
        <f>U232*V232*W232</f>
        <v>2835.2</v>
      </c>
      <c r="Y232" s="219">
        <f>T232+X232</f>
        <v>5138.7999999999993</v>
      </c>
      <c r="Z232" s="197">
        <v>2</v>
      </c>
      <c r="AA232" s="196">
        <v>80</v>
      </c>
      <c r="AB232" s="197">
        <v>2</v>
      </c>
      <c r="AC232" s="219">
        <f>Z232*AA232*AB232</f>
        <v>320</v>
      </c>
      <c r="AD232" s="197">
        <v>4</v>
      </c>
      <c r="AE232" s="196">
        <v>110</v>
      </c>
      <c r="AF232" s="196">
        <v>2</v>
      </c>
      <c r="AG232" s="219">
        <f>AD232*AE232*AF232</f>
        <v>880</v>
      </c>
      <c r="AH232" s="219">
        <f>AC232+AG232</f>
        <v>1200</v>
      </c>
      <c r="AI232" s="199">
        <f>F232+G232+P232+Y232+AH232</f>
        <v>16449.099999999999</v>
      </c>
      <c r="AJ232" s="201">
        <f>AI232/E232</f>
        <v>0.49650166012677327</v>
      </c>
      <c r="AK232" s="219">
        <v>1834.8990000000001</v>
      </c>
      <c r="AL232" s="196">
        <v>331.3</v>
      </c>
      <c r="AM232" s="196">
        <v>331.3</v>
      </c>
      <c r="AN232" s="196">
        <v>993.9</v>
      </c>
      <c r="AO232" s="196">
        <v>215.345</v>
      </c>
      <c r="AP232" s="196">
        <v>1656.5</v>
      </c>
      <c r="AQ232" s="367">
        <f>SUM(AL232:AP232)</f>
        <v>3528.3450000000003</v>
      </c>
      <c r="AR232" s="367">
        <f>AK232+AQ232</f>
        <v>5363.2440000000006</v>
      </c>
      <c r="AS232" s="203">
        <f t="shared" si="293"/>
        <v>27766.756000000001</v>
      </c>
    </row>
    <row r="233" spans="2:46" s="131" customFormat="1" ht="18" hidden="1" customHeight="1">
      <c r="B233" s="769" t="s">
        <v>1699</v>
      </c>
      <c r="C233" s="371"/>
      <c r="D233" s="390"/>
      <c r="E233" s="391"/>
      <c r="F233" s="391"/>
      <c r="G233" s="391"/>
      <c r="H233" s="392"/>
      <c r="I233" s="391"/>
      <c r="J233" s="392"/>
      <c r="K233" s="393"/>
      <c r="L233" s="392"/>
      <c r="M233" s="391"/>
      <c r="N233" s="392"/>
      <c r="O233" s="393"/>
      <c r="P233" s="394"/>
      <c r="Q233" s="392"/>
      <c r="R233" s="391"/>
      <c r="S233" s="392"/>
      <c r="T233" s="393"/>
      <c r="U233" s="392"/>
      <c r="V233" s="391"/>
      <c r="W233" s="392"/>
      <c r="X233" s="393"/>
      <c r="Y233" s="393"/>
      <c r="Z233" s="392"/>
      <c r="AA233" s="391"/>
      <c r="AB233" s="392"/>
      <c r="AC233" s="393"/>
      <c r="AD233" s="392"/>
      <c r="AE233" s="391"/>
      <c r="AF233" s="391"/>
      <c r="AG233" s="393"/>
      <c r="AH233" s="393"/>
      <c r="AI233" s="394"/>
      <c r="AJ233" s="395"/>
      <c r="AK233" s="393"/>
      <c r="AL233" s="391"/>
      <c r="AM233" s="391"/>
      <c r="AN233" s="391"/>
      <c r="AO233" s="391"/>
      <c r="AP233" s="391"/>
      <c r="AQ233" s="396"/>
      <c r="AR233" s="396"/>
      <c r="AS233" s="397">
        <f t="shared" si="293"/>
        <v>0</v>
      </c>
    </row>
    <row r="234" spans="2:46" s="131" customFormat="1" ht="18" hidden="1" customHeight="1">
      <c r="B234" s="194" t="s">
        <v>2104</v>
      </c>
      <c r="C234" s="194">
        <v>388</v>
      </c>
      <c r="D234" s="365" t="s">
        <v>2106</v>
      </c>
      <c r="E234" s="196">
        <v>6682.94</v>
      </c>
      <c r="F234" s="196">
        <v>0</v>
      </c>
      <c r="G234" s="196">
        <v>0</v>
      </c>
      <c r="H234" s="197">
        <v>3</v>
      </c>
      <c r="I234" s="196">
        <v>17.399999999999999</v>
      </c>
      <c r="J234" s="197">
        <v>6</v>
      </c>
      <c r="K234" s="219">
        <f>H234*I234*J234</f>
        <v>313.2</v>
      </c>
      <c r="L234" s="197">
        <v>0</v>
      </c>
      <c r="M234" s="196">
        <v>0</v>
      </c>
      <c r="N234" s="197">
        <v>0</v>
      </c>
      <c r="O234" s="219">
        <f>L234*M234*N234</f>
        <v>0</v>
      </c>
      <c r="P234" s="220">
        <f>K234+O234</f>
        <v>313.2</v>
      </c>
      <c r="Q234" s="197">
        <v>3</v>
      </c>
      <c r="R234" s="196">
        <v>33.4</v>
      </c>
      <c r="S234" s="197">
        <v>6</v>
      </c>
      <c r="T234" s="219">
        <f>Q234*R234*S234</f>
        <v>601.19999999999993</v>
      </c>
      <c r="U234" s="197">
        <v>0</v>
      </c>
      <c r="V234" s="196">
        <v>0</v>
      </c>
      <c r="W234" s="197">
        <v>0</v>
      </c>
      <c r="X234" s="219">
        <f>U234*V234*W234</f>
        <v>0</v>
      </c>
      <c r="Y234" s="219">
        <f>T234+X234</f>
        <v>601.19999999999993</v>
      </c>
      <c r="Z234" s="197">
        <v>3</v>
      </c>
      <c r="AA234" s="196">
        <v>80</v>
      </c>
      <c r="AB234" s="197">
        <v>2</v>
      </c>
      <c r="AC234" s="219">
        <f>Z234*AA234*AB234</f>
        <v>480</v>
      </c>
      <c r="AD234" s="197">
        <v>0</v>
      </c>
      <c r="AE234" s="196">
        <v>0</v>
      </c>
      <c r="AF234" s="196">
        <v>0</v>
      </c>
      <c r="AG234" s="219">
        <f>AD234*AE234*AF234</f>
        <v>0</v>
      </c>
      <c r="AH234" s="219">
        <f>AC234+AG234</f>
        <v>480</v>
      </c>
      <c r="AI234" s="199">
        <f>F234+G234+P234+Y234+AH234</f>
        <v>1394.3999999999999</v>
      </c>
      <c r="AJ234" s="201">
        <f>AI234/E234</f>
        <v>0.20865068368113435</v>
      </c>
      <c r="AK234" s="219">
        <v>581.73940000000005</v>
      </c>
      <c r="AL234" s="208">
        <v>0</v>
      </c>
      <c r="AM234" s="196">
        <v>66.829399999999993</v>
      </c>
      <c r="AN234" s="196">
        <v>200.48819999999998</v>
      </c>
      <c r="AO234" s="196">
        <v>43.439109999999992</v>
      </c>
      <c r="AP234" s="196">
        <v>334.14699999999999</v>
      </c>
      <c r="AQ234" s="367">
        <f>SUM(AL234:AP234)</f>
        <v>644.90370999999993</v>
      </c>
      <c r="AR234" s="367">
        <f>AK234+AQ234</f>
        <v>1226.64311</v>
      </c>
      <c r="AS234" s="203">
        <f t="shared" si="293"/>
        <v>5456.2968899999996</v>
      </c>
    </row>
    <row r="235" spans="2:46" s="131" customFormat="1" ht="18" hidden="1" customHeight="1">
      <c r="B235" s="194" t="s">
        <v>2104</v>
      </c>
      <c r="C235" s="194">
        <v>390</v>
      </c>
      <c r="D235" s="365" t="s">
        <v>2107</v>
      </c>
      <c r="E235" s="196">
        <v>22349.85</v>
      </c>
      <c r="F235" s="196">
        <v>0</v>
      </c>
      <c r="G235" s="196">
        <v>0</v>
      </c>
      <c r="H235" s="197">
        <v>5</v>
      </c>
      <c r="I235" s="196">
        <v>14.04</v>
      </c>
      <c r="J235" s="197">
        <v>22</v>
      </c>
      <c r="K235" s="219">
        <f>H235*I235*J235</f>
        <v>1544.3999999999996</v>
      </c>
      <c r="L235" s="197">
        <v>0</v>
      </c>
      <c r="M235" s="196">
        <v>0</v>
      </c>
      <c r="N235" s="197">
        <v>0</v>
      </c>
      <c r="O235" s="219">
        <f>L235*M235*N235</f>
        <v>0</v>
      </c>
      <c r="P235" s="220">
        <f>K235+O235</f>
        <v>1544.3999999999996</v>
      </c>
      <c r="Q235" s="197">
        <v>5</v>
      </c>
      <c r="R235" s="196">
        <v>33.4</v>
      </c>
      <c r="S235" s="197">
        <v>22</v>
      </c>
      <c r="T235" s="219">
        <f>Q235*R235*S235</f>
        <v>3674</v>
      </c>
      <c r="U235" s="197">
        <v>0</v>
      </c>
      <c r="V235" s="196">
        <v>0</v>
      </c>
      <c r="W235" s="197">
        <v>0</v>
      </c>
      <c r="X235" s="219">
        <f>U235*V235*W235</f>
        <v>0</v>
      </c>
      <c r="Y235" s="219">
        <f>T235+X235</f>
        <v>3674</v>
      </c>
      <c r="Z235" s="197">
        <v>5</v>
      </c>
      <c r="AA235" s="196">
        <v>80</v>
      </c>
      <c r="AB235" s="197">
        <v>2</v>
      </c>
      <c r="AC235" s="219">
        <f>Z235*AA235*AB235</f>
        <v>800</v>
      </c>
      <c r="AD235" s="197">
        <v>0</v>
      </c>
      <c r="AE235" s="196">
        <v>0</v>
      </c>
      <c r="AF235" s="196">
        <v>0</v>
      </c>
      <c r="AG235" s="219">
        <f>AD235*AE235*AF235</f>
        <v>0</v>
      </c>
      <c r="AH235" s="219">
        <f>AC235+AG235</f>
        <v>800</v>
      </c>
      <c r="AI235" s="199">
        <f>F235+G235+P235+Y235+AH235</f>
        <v>6018.4</v>
      </c>
      <c r="AJ235" s="201">
        <f>AI235/E235</f>
        <v>0.26928144931621467</v>
      </c>
      <c r="AK235" s="219">
        <v>1796.4594999999999</v>
      </c>
      <c r="AL235" s="208">
        <v>0</v>
      </c>
      <c r="AM235" s="196">
        <v>223.49849999999998</v>
      </c>
      <c r="AN235" s="196">
        <v>670.49549999999988</v>
      </c>
      <c r="AO235" s="196">
        <v>145.27402499999999</v>
      </c>
      <c r="AP235" s="196">
        <v>1117.4925000000001</v>
      </c>
      <c r="AQ235" s="367">
        <f>SUM(AL235:AP235)</f>
        <v>2156.7605249999997</v>
      </c>
      <c r="AR235" s="367">
        <f>AK235+AQ235</f>
        <v>3953.2200249999996</v>
      </c>
      <c r="AS235" s="203">
        <f t="shared" si="293"/>
        <v>18396.629975</v>
      </c>
    </row>
    <row r="236" spans="2:46" s="131" customFormat="1" ht="18" hidden="1" customHeight="1">
      <c r="B236" s="194" t="s">
        <v>2104</v>
      </c>
      <c r="C236" s="194">
        <v>391</v>
      </c>
      <c r="D236" s="324" t="s">
        <v>982</v>
      </c>
      <c r="E236" s="196">
        <f>6405</f>
        <v>6405</v>
      </c>
      <c r="F236" s="196">
        <v>950.61</v>
      </c>
      <c r="G236" s="196">
        <v>351.9</v>
      </c>
      <c r="H236" s="197">
        <v>1</v>
      </c>
      <c r="I236" s="196">
        <v>24</v>
      </c>
      <c r="J236" s="197">
        <v>26</v>
      </c>
      <c r="K236" s="219">
        <f t="shared" ref="K236:K238" si="294">H236*I236*J236</f>
        <v>624</v>
      </c>
      <c r="L236" s="197">
        <v>0</v>
      </c>
      <c r="M236" s="196">
        <v>0</v>
      </c>
      <c r="N236" s="197">
        <v>0</v>
      </c>
      <c r="O236" s="219">
        <f t="shared" ref="O236:O238" si="295">L236*M236*N236</f>
        <v>0</v>
      </c>
      <c r="P236" s="220">
        <f t="shared" ref="P236:P238" si="296">K236+O236</f>
        <v>624</v>
      </c>
      <c r="Q236" s="197">
        <v>1</v>
      </c>
      <c r="R236" s="196">
        <v>44.3</v>
      </c>
      <c r="S236" s="197">
        <v>26</v>
      </c>
      <c r="T236" s="219">
        <f t="shared" ref="T236:T238" si="297">Q236*R236*S236</f>
        <v>1151.8</v>
      </c>
      <c r="U236" s="196">
        <v>0</v>
      </c>
      <c r="V236" s="196">
        <v>0</v>
      </c>
      <c r="W236" s="197">
        <v>0</v>
      </c>
      <c r="X236" s="219">
        <f t="shared" ref="X236:X238" si="298">U236*V236*W236</f>
        <v>0</v>
      </c>
      <c r="Y236" s="219">
        <f t="shared" ref="Y236:Y238" si="299">T236+X236</f>
        <v>1151.8</v>
      </c>
      <c r="Z236" s="197">
        <v>1</v>
      </c>
      <c r="AA236" s="196">
        <v>90</v>
      </c>
      <c r="AB236" s="197">
        <v>2</v>
      </c>
      <c r="AC236" s="219">
        <f t="shared" ref="AC236:AC238" si="300">Z236*AA236*AB236</f>
        <v>180</v>
      </c>
      <c r="AD236" s="197">
        <v>0</v>
      </c>
      <c r="AE236" s="196">
        <v>0</v>
      </c>
      <c r="AF236" s="196">
        <v>0</v>
      </c>
      <c r="AG236" s="219">
        <f t="shared" ref="AG236:AG238" si="301">AD236*AE236*AF236</f>
        <v>0</v>
      </c>
      <c r="AH236" s="219">
        <f t="shared" ref="AH236:AH238" si="302">AC236+AG236</f>
        <v>180</v>
      </c>
      <c r="AI236" s="199">
        <f t="shared" ref="AI236:AI237" si="303">F236+G236+P236+Y236+AH236</f>
        <v>3258.31</v>
      </c>
      <c r="AJ236" s="201">
        <f>AI236/E236</f>
        <v>0.5087135050741608</v>
      </c>
      <c r="AK236" s="219">
        <v>346.13589999999999</v>
      </c>
      <c r="AL236" s="196">
        <v>64.05</v>
      </c>
      <c r="AM236" s="196">
        <v>64.05</v>
      </c>
      <c r="AN236" s="196">
        <v>192.15</v>
      </c>
      <c r="AO236" s="196">
        <v>41.6325</v>
      </c>
      <c r="AP236" s="196">
        <v>320.25</v>
      </c>
      <c r="AQ236" s="367">
        <f t="shared" ref="AQ236" si="304">SUM(AL236:AP236)</f>
        <v>682.13249999999994</v>
      </c>
      <c r="AR236" s="367">
        <f t="shared" ref="AR236:AR238" si="305">AK236+AQ236</f>
        <v>1028.2683999999999</v>
      </c>
      <c r="AS236" s="203">
        <f t="shared" si="293"/>
        <v>5376.7316000000001</v>
      </c>
    </row>
    <row r="237" spans="2:46" s="131" customFormat="1" ht="18" hidden="1" customHeight="1">
      <c r="B237" s="194" t="s">
        <v>2104</v>
      </c>
      <c r="C237" s="194">
        <v>392</v>
      </c>
      <c r="D237" s="324" t="s">
        <v>1914</v>
      </c>
      <c r="E237" s="196">
        <f>6403</f>
        <v>6403</v>
      </c>
      <c r="F237" s="196">
        <v>950.61</v>
      </c>
      <c r="G237" s="196">
        <v>351.9</v>
      </c>
      <c r="H237" s="197">
        <v>1</v>
      </c>
      <c r="I237" s="196">
        <v>24</v>
      </c>
      <c r="J237" s="197">
        <v>26</v>
      </c>
      <c r="K237" s="219">
        <f t="shared" si="294"/>
        <v>624</v>
      </c>
      <c r="L237" s="197">
        <v>0</v>
      </c>
      <c r="M237" s="196">
        <v>0</v>
      </c>
      <c r="N237" s="197">
        <v>0</v>
      </c>
      <c r="O237" s="219">
        <f t="shared" si="295"/>
        <v>0</v>
      </c>
      <c r="P237" s="220">
        <f t="shared" si="296"/>
        <v>624</v>
      </c>
      <c r="Q237" s="197">
        <v>1</v>
      </c>
      <c r="R237" s="196">
        <v>44.3</v>
      </c>
      <c r="S237" s="197">
        <v>26</v>
      </c>
      <c r="T237" s="219">
        <f t="shared" si="297"/>
        <v>1151.8</v>
      </c>
      <c r="U237" s="196">
        <v>0</v>
      </c>
      <c r="V237" s="196">
        <v>0</v>
      </c>
      <c r="W237" s="197">
        <v>0</v>
      </c>
      <c r="X237" s="219">
        <f t="shared" si="298"/>
        <v>0</v>
      </c>
      <c r="Y237" s="219">
        <f t="shared" si="299"/>
        <v>1151.8</v>
      </c>
      <c r="Z237" s="197">
        <v>1</v>
      </c>
      <c r="AA237" s="196">
        <v>90</v>
      </c>
      <c r="AB237" s="197">
        <v>2</v>
      </c>
      <c r="AC237" s="219">
        <f t="shared" si="300"/>
        <v>180</v>
      </c>
      <c r="AD237" s="197">
        <v>0</v>
      </c>
      <c r="AE237" s="196">
        <v>0</v>
      </c>
      <c r="AF237" s="196">
        <v>0</v>
      </c>
      <c r="AG237" s="219">
        <f t="shared" si="301"/>
        <v>0</v>
      </c>
      <c r="AH237" s="219">
        <f t="shared" si="302"/>
        <v>180</v>
      </c>
      <c r="AI237" s="199">
        <f t="shared" si="303"/>
        <v>3258.31</v>
      </c>
      <c r="AJ237" s="201">
        <f t="shared" ref="AJ237" si="306">AI237/E237</f>
        <v>0.50887240356083085</v>
      </c>
      <c r="AK237" s="219">
        <v>345.91590000000002</v>
      </c>
      <c r="AL237" s="196">
        <v>64.03</v>
      </c>
      <c r="AM237" s="196">
        <v>64.03</v>
      </c>
      <c r="AN237" s="196">
        <v>192.09</v>
      </c>
      <c r="AO237" s="196">
        <v>41.619499999999995</v>
      </c>
      <c r="AP237" s="196">
        <v>320.15000000000003</v>
      </c>
      <c r="AQ237" s="367">
        <f t="shared" ref="AQ237" si="307">SUM(AL237:AP237)</f>
        <v>681.91949999999997</v>
      </c>
      <c r="AR237" s="367">
        <f t="shared" si="305"/>
        <v>1027.8353999999999</v>
      </c>
      <c r="AS237" s="203">
        <f t="shared" si="293"/>
        <v>5375.1646000000001</v>
      </c>
    </row>
    <row r="238" spans="2:46" s="131" customFormat="1" ht="18" hidden="1" customHeight="1">
      <c r="B238" s="194" t="s">
        <v>2104</v>
      </c>
      <c r="C238" s="194">
        <v>393</v>
      </c>
      <c r="D238" s="365" t="s">
        <v>1767</v>
      </c>
      <c r="E238" s="196">
        <f>38394.2301912429</f>
        <v>38394.230191242903</v>
      </c>
      <c r="F238" s="196">
        <v>2300</v>
      </c>
      <c r="G238" s="196">
        <v>1200</v>
      </c>
      <c r="H238" s="197">
        <v>3</v>
      </c>
      <c r="I238" s="196">
        <v>24</v>
      </c>
      <c r="J238" s="197">
        <v>26</v>
      </c>
      <c r="K238" s="219">
        <f t="shared" si="294"/>
        <v>1872</v>
      </c>
      <c r="L238" s="197">
        <v>4</v>
      </c>
      <c r="M238" s="196">
        <v>16</v>
      </c>
      <c r="N238" s="197">
        <v>16</v>
      </c>
      <c r="O238" s="219">
        <f t="shared" si="295"/>
        <v>1024</v>
      </c>
      <c r="P238" s="220">
        <f t="shared" si="296"/>
        <v>2896</v>
      </c>
      <c r="Q238" s="197">
        <v>3</v>
      </c>
      <c r="R238" s="196">
        <v>44.3</v>
      </c>
      <c r="S238" s="197">
        <v>26</v>
      </c>
      <c r="T238" s="219">
        <f t="shared" si="297"/>
        <v>3455.3999999999996</v>
      </c>
      <c r="U238" s="197">
        <v>4</v>
      </c>
      <c r="V238" s="196">
        <v>44.3</v>
      </c>
      <c r="W238" s="197">
        <v>16</v>
      </c>
      <c r="X238" s="219">
        <f t="shared" si="298"/>
        <v>2835.2</v>
      </c>
      <c r="Y238" s="219">
        <f t="shared" si="299"/>
        <v>6290.5999999999995</v>
      </c>
      <c r="Z238" s="197">
        <v>3</v>
      </c>
      <c r="AA238" s="196">
        <v>80</v>
      </c>
      <c r="AB238" s="197">
        <v>2</v>
      </c>
      <c r="AC238" s="219">
        <f t="shared" si="300"/>
        <v>480</v>
      </c>
      <c r="AD238" s="197">
        <v>4</v>
      </c>
      <c r="AE238" s="196">
        <v>110</v>
      </c>
      <c r="AF238" s="196">
        <v>2</v>
      </c>
      <c r="AG238" s="219">
        <f t="shared" si="301"/>
        <v>880</v>
      </c>
      <c r="AH238" s="219">
        <f t="shared" si="302"/>
        <v>1360</v>
      </c>
      <c r="AI238" s="199">
        <f>F238+G238+P238+Y238+AH238</f>
        <v>14046.599999999999</v>
      </c>
      <c r="AJ238" s="201">
        <f>AI238/E238</f>
        <v>0.36585184622880651</v>
      </c>
      <c r="AK238" s="219">
        <v>2678.2393210367195</v>
      </c>
      <c r="AL238" s="196">
        <v>383.94230191242906</v>
      </c>
      <c r="AM238" s="196">
        <v>383.94230191242906</v>
      </c>
      <c r="AN238" s="196">
        <v>1151.826905737287</v>
      </c>
      <c r="AO238" s="196">
        <v>249.56249624307887</v>
      </c>
      <c r="AP238" s="196">
        <v>1919.7115095621452</v>
      </c>
      <c r="AQ238" s="367">
        <f t="shared" ref="AQ238" si="308">SUM(AL238:AP238)</f>
        <v>4088.9855153673693</v>
      </c>
      <c r="AR238" s="367">
        <f t="shared" si="305"/>
        <v>6767.2248364040888</v>
      </c>
      <c r="AS238" s="203">
        <f t="shared" si="293"/>
        <v>31627.005354838813</v>
      </c>
    </row>
    <row r="239" spans="2:46" s="131" customFormat="1" ht="18" hidden="1" customHeight="1">
      <c r="B239" s="194" t="s">
        <v>2104</v>
      </c>
      <c r="C239" s="194">
        <v>394</v>
      </c>
      <c r="D239" s="365" t="s">
        <v>1915</v>
      </c>
      <c r="E239" s="196">
        <f>33130</f>
        <v>33130</v>
      </c>
      <c r="F239" s="196">
        <v>5288.3</v>
      </c>
      <c r="G239" s="196">
        <v>2550</v>
      </c>
      <c r="H239" s="197">
        <v>2</v>
      </c>
      <c r="I239" s="196">
        <v>24</v>
      </c>
      <c r="J239" s="197">
        <v>26</v>
      </c>
      <c r="K239" s="219">
        <f>H239*I239*J239</f>
        <v>1248</v>
      </c>
      <c r="L239" s="197">
        <v>4</v>
      </c>
      <c r="M239" s="196">
        <v>16</v>
      </c>
      <c r="N239" s="197">
        <v>16</v>
      </c>
      <c r="O239" s="219">
        <f>L239*M239*N239</f>
        <v>1024</v>
      </c>
      <c r="P239" s="220">
        <f>K239+O239</f>
        <v>2272</v>
      </c>
      <c r="Q239" s="197">
        <v>2</v>
      </c>
      <c r="R239" s="196">
        <v>44.3</v>
      </c>
      <c r="S239" s="197">
        <v>26</v>
      </c>
      <c r="T239" s="219">
        <f>Q239*R239*S239</f>
        <v>2303.6</v>
      </c>
      <c r="U239" s="197">
        <v>4</v>
      </c>
      <c r="V239" s="196">
        <v>44.3</v>
      </c>
      <c r="W239" s="197">
        <v>16</v>
      </c>
      <c r="X239" s="219">
        <f>U239*V239*W239</f>
        <v>2835.2</v>
      </c>
      <c r="Y239" s="219">
        <f>T239+X239</f>
        <v>5138.7999999999993</v>
      </c>
      <c r="Z239" s="197">
        <v>2</v>
      </c>
      <c r="AA239" s="196">
        <v>80</v>
      </c>
      <c r="AB239" s="197">
        <v>2</v>
      </c>
      <c r="AC239" s="219">
        <f>Z239*AA239*AB239</f>
        <v>320</v>
      </c>
      <c r="AD239" s="197">
        <v>4</v>
      </c>
      <c r="AE239" s="196">
        <v>110</v>
      </c>
      <c r="AF239" s="196">
        <v>2</v>
      </c>
      <c r="AG239" s="219">
        <f>AD239*AE239*AF239</f>
        <v>880</v>
      </c>
      <c r="AH239" s="219">
        <f>AC239+AG239</f>
        <v>1200</v>
      </c>
      <c r="AI239" s="199">
        <f>F239+G239+P239+Y239+AH239</f>
        <v>16449.099999999999</v>
      </c>
      <c r="AJ239" s="201">
        <f>AI239/E239</f>
        <v>0.49650166012677327</v>
      </c>
      <c r="AK239" s="219">
        <v>1834.8990000000001</v>
      </c>
      <c r="AL239" s="196">
        <v>331.3</v>
      </c>
      <c r="AM239" s="196">
        <v>331.3</v>
      </c>
      <c r="AN239" s="196">
        <v>993.9</v>
      </c>
      <c r="AO239" s="196">
        <v>215.345</v>
      </c>
      <c r="AP239" s="196">
        <v>1656.5</v>
      </c>
      <c r="AQ239" s="367">
        <f>SUM(AL239:AP239)</f>
        <v>3528.3450000000003</v>
      </c>
      <c r="AR239" s="367">
        <f>AK239+AQ239</f>
        <v>5363.2440000000006</v>
      </c>
      <c r="AS239" s="203">
        <f t="shared" si="293"/>
        <v>27766.756000000001</v>
      </c>
      <c r="AT239" s="205">
        <f>AS239-E239</f>
        <v>-5363.2439999999988</v>
      </c>
    </row>
    <row r="240" spans="2:46" s="131" customFormat="1" ht="18" hidden="1" customHeight="1">
      <c r="B240" s="769" t="s">
        <v>1699</v>
      </c>
      <c r="C240" s="371"/>
      <c r="D240" s="390"/>
      <c r="E240" s="391"/>
      <c r="F240" s="391"/>
      <c r="G240" s="391"/>
      <c r="H240" s="392"/>
      <c r="I240" s="391"/>
      <c r="J240" s="392"/>
      <c r="K240" s="393"/>
      <c r="L240" s="392"/>
      <c r="M240" s="391"/>
      <c r="N240" s="392"/>
      <c r="O240" s="393"/>
      <c r="P240" s="394"/>
      <c r="Q240" s="392"/>
      <c r="R240" s="391"/>
      <c r="S240" s="392"/>
      <c r="T240" s="393"/>
      <c r="U240" s="392"/>
      <c r="V240" s="391"/>
      <c r="W240" s="392"/>
      <c r="X240" s="393"/>
      <c r="Y240" s="393"/>
      <c r="Z240" s="392"/>
      <c r="AA240" s="391"/>
      <c r="AB240" s="392"/>
      <c r="AC240" s="393"/>
      <c r="AD240" s="392"/>
      <c r="AE240" s="391"/>
      <c r="AF240" s="391"/>
      <c r="AG240" s="393"/>
      <c r="AH240" s="393"/>
      <c r="AI240" s="394"/>
      <c r="AJ240" s="395"/>
      <c r="AK240" s="393"/>
      <c r="AL240" s="391"/>
      <c r="AM240" s="391"/>
      <c r="AN240" s="391"/>
      <c r="AO240" s="391"/>
      <c r="AP240" s="391"/>
      <c r="AQ240" s="396"/>
      <c r="AR240" s="396"/>
      <c r="AS240" s="397">
        <f t="shared" ref="AS240" si="309">E240-AR240</f>
        <v>0</v>
      </c>
    </row>
    <row r="241" spans="2:47" s="131" customFormat="1" ht="18" hidden="1" customHeight="1">
      <c r="B241" s="769" t="s">
        <v>1699</v>
      </c>
      <c r="C241" s="371"/>
      <c r="D241" s="390"/>
      <c r="E241" s="391"/>
      <c r="F241" s="391"/>
      <c r="G241" s="391"/>
      <c r="H241" s="392"/>
      <c r="I241" s="391"/>
      <c r="J241" s="392"/>
      <c r="K241" s="393"/>
      <c r="L241" s="392"/>
      <c r="M241" s="391"/>
      <c r="N241" s="392"/>
      <c r="O241" s="393"/>
      <c r="P241" s="394"/>
      <c r="Q241" s="392"/>
      <c r="R241" s="391"/>
      <c r="S241" s="392"/>
      <c r="T241" s="393"/>
      <c r="U241" s="392"/>
      <c r="V241" s="391"/>
      <c r="W241" s="392"/>
      <c r="X241" s="393"/>
      <c r="Y241" s="393"/>
      <c r="Z241" s="392"/>
      <c r="AA241" s="391"/>
      <c r="AB241" s="392"/>
      <c r="AC241" s="393"/>
      <c r="AD241" s="392"/>
      <c r="AE241" s="391"/>
      <c r="AF241" s="391"/>
      <c r="AG241" s="393"/>
      <c r="AH241" s="393"/>
      <c r="AI241" s="394"/>
      <c r="AJ241" s="395"/>
      <c r="AK241" s="393"/>
      <c r="AL241" s="391"/>
      <c r="AM241" s="391"/>
      <c r="AN241" s="391"/>
      <c r="AO241" s="391"/>
      <c r="AP241" s="391"/>
      <c r="AQ241" s="396"/>
      <c r="AR241" s="396"/>
      <c r="AS241" s="397">
        <f t="shared" ref="AS241:AS245" si="310">E241-AR241</f>
        <v>0</v>
      </c>
    </row>
    <row r="242" spans="2:47" s="131" customFormat="1" ht="18" hidden="1" customHeight="1">
      <c r="B242" s="194" t="s">
        <v>2137</v>
      </c>
      <c r="C242" s="194">
        <v>398</v>
      </c>
      <c r="D242" s="324" t="s">
        <v>982</v>
      </c>
      <c r="E242" s="196">
        <v>7054</v>
      </c>
      <c r="F242" s="196">
        <v>950.61</v>
      </c>
      <c r="G242" s="196">
        <v>351.9</v>
      </c>
      <c r="H242" s="197">
        <v>1</v>
      </c>
      <c r="I242" s="196">
        <v>24</v>
      </c>
      <c r="J242" s="197">
        <v>26</v>
      </c>
      <c r="K242" s="219">
        <f t="shared" ref="K242:K244" si="311">H242*I242*J242</f>
        <v>624</v>
      </c>
      <c r="L242" s="197">
        <v>0</v>
      </c>
      <c r="M242" s="196">
        <v>0</v>
      </c>
      <c r="N242" s="197">
        <v>0</v>
      </c>
      <c r="O242" s="219">
        <f t="shared" ref="O242:O244" si="312">L242*M242*N242</f>
        <v>0</v>
      </c>
      <c r="P242" s="220">
        <f t="shared" ref="P242:P244" si="313">K242+O242</f>
        <v>624</v>
      </c>
      <c r="Q242" s="197">
        <v>1</v>
      </c>
      <c r="R242" s="196">
        <v>46.38</v>
      </c>
      <c r="S242" s="197">
        <v>26</v>
      </c>
      <c r="T242" s="219">
        <f t="shared" ref="T242:T244" si="314">Q242*R242*S242</f>
        <v>1205.8800000000001</v>
      </c>
      <c r="U242" s="196">
        <v>0</v>
      </c>
      <c r="V242" s="196">
        <v>0</v>
      </c>
      <c r="W242" s="197">
        <v>0</v>
      </c>
      <c r="X242" s="219">
        <f t="shared" ref="X242:X244" si="315">U242*V242*W242</f>
        <v>0</v>
      </c>
      <c r="Y242" s="219">
        <f t="shared" ref="Y242:Y244" si="316">T242+X242</f>
        <v>1205.8800000000001</v>
      </c>
      <c r="Z242" s="197">
        <v>1</v>
      </c>
      <c r="AA242" s="196">
        <v>40</v>
      </c>
      <c r="AB242" s="197">
        <v>2</v>
      </c>
      <c r="AC242" s="219">
        <f t="shared" ref="AC242:AC244" si="317">Z242*AA242*AB242</f>
        <v>80</v>
      </c>
      <c r="AD242" s="197">
        <v>0</v>
      </c>
      <c r="AE242" s="196">
        <v>0</v>
      </c>
      <c r="AF242" s="196">
        <v>0</v>
      </c>
      <c r="AG242" s="219">
        <f t="shared" ref="AG242:AG243" si="318">AD242*AE242*AF242</f>
        <v>0</v>
      </c>
      <c r="AH242" s="219">
        <f t="shared" ref="AH242:AH244" si="319">AC242+AG242</f>
        <v>80</v>
      </c>
      <c r="AI242" s="199">
        <f t="shared" ref="AI242:AI243" si="320">F242+G242+P242+Y242+AH242</f>
        <v>3212.3900000000003</v>
      </c>
      <c r="AJ242" s="201">
        <f>AI242/E242</f>
        <v>0.45539977317833857</v>
      </c>
      <c r="AK242" s="271">
        <f t="shared" ref="AK242:AK244" si="321">(E242-AI242)*$AK$15</f>
        <v>422.57709999999997</v>
      </c>
      <c r="AL242" s="208">
        <f>1%*E242</f>
        <v>70.540000000000006</v>
      </c>
      <c r="AM242" s="208">
        <f>1%*E242</f>
        <v>70.540000000000006</v>
      </c>
      <c r="AN242" s="208">
        <f>3%*E242</f>
        <v>211.62</v>
      </c>
      <c r="AO242" s="208">
        <f>0.65%*E242</f>
        <v>45.851000000000006</v>
      </c>
      <c r="AP242" s="208">
        <f>5%*E242</f>
        <v>352.70000000000005</v>
      </c>
      <c r="AQ242" s="367">
        <f t="shared" ref="AQ242" si="322">SUM(AL242:AP242)</f>
        <v>751.25100000000009</v>
      </c>
      <c r="AR242" s="367">
        <f t="shared" ref="AR242:AR243" si="323">AK242+AQ242</f>
        <v>1173.8281000000002</v>
      </c>
      <c r="AS242" s="203">
        <f t="shared" si="310"/>
        <v>5880.1718999999994</v>
      </c>
      <c r="AT242" s="131" t="s">
        <v>2252</v>
      </c>
    </row>
    <row r="243" spans="2:47" s="131" customFormat="1" ht="18" hidden="1" customHeight="1">
      <c r="B243" s="194" t="s">
        <v>2137</v>
      </c>
      <c r="C243" s="194">
        <v>396</v>
      </c>
      <c r="D243" s="324" t="s">
        <v>1914</v>
      </c>
      <c r="E243" s="196">
        <v>7388</v>
      </c>
      <c r="F243" s="196">
        <v>950.61</v>
      </c>
      <c r="G243" s="196">
        <v>351.9</v>
      </c>
      <c r="H243" s="197">
        <v>1</v>
      </c>
      <c r="I243" s="196">
        <v>24</v>
      </c>
      <c r="J243" s="197">
        <v>26</v>
      </c>
      <c r="K243" s="219">
        <f t="shared" si="311"/>
        <v>624</v>
      </c>
      <c r="L243" s="197">
        <v>0</v>
      </c>
      <c r="M243" s="196">
        <v>0</v>
      </c>
      <c r="N243" s="197">
        <v>0</v>
      </c>
      <c r="O243" s="219">
        <f t="shared" si="312"/>
        <v>0</v>
      </c>
      <c r="P243" s="220">
        <f t="shared" si="313"/>
        <v>624</v>
      </c>
      <c r="Q243" s="197">
        <v>1</v>
      </c>
      <c r="R243" s="196">
        <v>46.38</v>
      </c>
      <c r="S243" s="197">
        <v>26</v>
      </c>
      <c r="T243" s="219">
        <f t="shared" si="314"/>
        <v>1205.8800000000001</v>
      </c>
      <c r="U243" s="196">
        <v>0</v>
      </c>
      <c r="V243" s="196">
        <v>0</v>
      </c>
      <c r="W243" s="197">
        <v>0</v>
      </c>
      <c r="X243" s="219">
        <f t="shared" si="315"/>
        <v>0</v>
      </c>
      <c r="Y243" s="219">
        <f t="shared" si="316"/>
        <v>1205.8800000000001</v>
      </c>
      <c r="Z243" s="197">
        <v>1</v>
      </c>
      <c r="AA243" s="196">
        <v>40</v>
      </c>
      <c r="AB243" s="197">
        <v>2</v>
      </c>
      <c r="AC243" s="219">
        <f t="shared" si="317"/>
        <v>80</v>
      </c>
      <c r="AD243" s="197">
        <v>0</v>
      </c>
      <c r="AE243" s="196">
        <v>0</v>
      </c>
      <c r="AF243" s="196">
        <v>0</v>
      </c>
      <c r="AG243" s="219">
        <f t="shared" si="318"/>
        <v>0</v>
      </c>
      <c r="AH243" s="219">
        <f t="shared" si="319"/>
        <v>80</v>
      </c>
      <c r="AI243" s="199">
        <f t="shared" si="320"/>
        <v>3212.3900000000003</v>
      </c>
      <c r="AJ243" s="201">
        <f t="shared" ref="AJ243" si="324">AI243/E243</f>
        <v>0.43481185706551168</v>
      </c>
      <c r="AK243" s="271">
        <f t="shared" si="321"/>
        <v>459.31709999999998</v>
      </c>
      <c r="AL243" s="208">
        <f>1%*E243</f>
        <v>73.88</v>
      </c>
      <c r="AM243" s="208">
        <f>1%*E243</f>
        <v>73.88</v>
      </c>
      <c r="AN243" s="208">
        <f>3%*E243</f>
        <v>221.64</v>
      </c>
      <c r="AO243" s="208">
        <f>0.65%*E243</f>
        <v>48.022000000000006</v>
      </c>
      <c r="AP243" s="208">
        <f>5%*E243</f>
        <v>369.40000000000003</v>
      </c>
      <c r="AQ243" s="367">
        <f t="shared" ref="AQ243" si="325">SUM(AL243:AP243)</f>
        <v>786.822</v>
      </c>
      <c r="AR243" s="367">
        <f t="shared" si="323"/>
        <v>1246.1390999999999</v>
      </c>
      <c r="AS243" s="203">
        <f t="shared" si="310"/>
        <v>6141.8608999999997</v>
      </c>
      <c r="AT243" s="131" t="s">
        <v>2252</v>
      </c>
    </row>
    <row r="244" spans="2:47" s="131" customFormat="1" ht="18" hidden="1" customHeight="1">
      <c r="B244" s="194" t="s">
        <v>2137</v>
      </c>
      <c r="C244" s="194">
        <v>397</v>
      </c>
      <c r="D244" s="365" t="s">
        <v>1767</v>
      </c>
      <c r="E244" s="196">
        <v>41450</v>
      </c>
      <c r="F244" s="196">
        <v>2300</v>
      </c>
      <c r="G244" s="196">
        <v>1200</v>
      </c>
      <c r="H244" s="197">
        <v>3</v>
      </c>
      <c r="I244" s="196">
        <v>12</v>
      </c>
      <c r="J244" s="197">
        <v>26</v>
      </c>
      <c r="K244" s="219">
        <f t="shared" si="311"/>
        <v>936</v>
      </c>
      <c r="L244" s="197">
        <v>4</v>
      </c>
      <c r="M244" s="196">
        <v>12</v>
      </c>
      <c r="N244" s="197">
        <v>16</v>
      </c>
      <c r="O244" s="219">
        <f t="shared" si="312"/>
        <v>768</v>
      </c>
      <c r="P244" s="220">
        <f t="shared" si="313"/>
        <v>1704</v>
      </c>
      <c r="Q244" s="197">
        <v>3</v>
      </c>
      <c r="R244" s="196">
        <v>46.38</v>
      </c>
      <c r="S244" s="197">
        <v>26</v>
      </c>
      <c r="T244" s="219">
        <f t="shared" si="314"/>
        <v>3617.6400000000003</v>
      </c>
      <c r="U244" s="197">
        <v>4</v>
      </c>
      <c r="V244" s="196">
        <v>46.38</v>
      </c>
      <c r="W244" s="197">
        <v>16</v>
      </c>
      <c r="X244" s="219">
        <f t="shared" si="315"/>
        <v>2968.32</v>
      </c>
      <c r="Y244" s="219">
        <f t="shared" si="316"/>
        <v>6585.9600000000009</v>
      </c>
      <c r="Z244" s="197">
        <v>3</v>
      </c>
      <c r="AA244" s="196">
        <v>40</v>
      </c>
      <c r="AB244" s="197">
        <v>2</v>
      </c>
      <c r="AC244" s="219">
        <f t="shared" si="317"/>
        <v>240</v>
      </c>
      <c r="AD244" s="197">
        <v>4</v>
      </c>
      <c r="AE244" s="196">
        <v>92</v>
      </c>
      <c r="AF244" s="196">
        <v>2</v>
      </c>
      <c r="AG244" s="219">
        <f>AD244*AE244*AF244</f>
        <v>736</v>
      </c>
      <c r="AH244" s="219">
        <f t="shared" si="319"/>
        <v>976</v>
      </c>
      <c r="AI244" s="199">
        <f>F244+G244+P244+Y244+AH244</f>
        <v>12765.960000000001</v>
      </c>
      <c r="AJ244" s="201">
        <f>AI244/E244</f>
        <v>0.3079845597104946</v>
      </c>
      <c r="AK244" s="271">
        <f t="shared" si="321"/>
        <v>3155.2444</v>
      </c>
      <c r="AL244" s="208">
        <f>1%*E244</f>
        <v>414.5</v>
      </c>
      <c r="AM244" s="208">
        <f>1%*E244</f>
        <v>414.5</v>
      </c>
      <c r="AN244" s="208">
        <f>3%*E244</f>
        <v>1243.5</v>
      </c>
      <c r="AO244" s="208">
        <f>0.65%*E244</f>
        <v>269.42500000000001</v>
      </c>
      <c r="AP244" s="208">
        <f>5%*E244</f>
        <v>2072.5</v>
      </c>
      <c r="AQ244" s="367">
        <f>SUM(AL244:AP244)</f>
        <v>4414.4250000000002</v>
      </c>
      <c r="AR244" s="367">
        <f>AK244+AQ244</f>
        <v>7569.6694000000007</v>
      </c>
      <c r="AS244" s="203">
        <f t="shared" si="310"/>
        <v>33880.330600000001</v>
      </c>
      <c r="AT244" s="131" t="s">
        <v>2252</v>
      </c>
      <c r="AU244" s="1011"/>
    </row>
    <row r="245" spans="2:47" s="131" customFormat="1" ht="18" hidden="1" customHeight="1">
      <c r="B245" s="194" t="s">
        <v>2137</v>
      </c>
      <c r="C245" s="194">
        <v>395</v>
      </c>
      <c r="D245" s="365" t="s">
        <v>1915</v>
      </c>
      <c r="E245" s="196">
        <v>36427</v>
      </c>
      <c r="F245" s="196">
        <v>2212.001409090909</v>
      </c>
      <c r="G245" s="196">
        <v>2550</v>
      </c>
      <c r="H245" s="197">
        <v>2</v>
      </c>
      <c r="I245" s="196">
        <v>12</v>
      </c>
      <c r="J245" s="197">
        <v>26</v>
      </c>
      <c r="K245" s="219">
        <f>H245*I245*J245</f>
        <v>624</v>
      </c>
      <c r="L245" s="197">
        <v>4</v>
      </c>
      <c r="M245" s="196">
        <v>12</v>
      </c>
      <c r="N245" s="197">
        <v>16</v>
      </c>
      <c r="O245" s="219">
        <f>L245*M245*N245</f>
        <v>768</v>
      </c>
      <c r="P245" s="220">
        <f>K245+O245</f>
        <v>1392</v>
      </c>
      <c r="Q245" s="197">
        <v>2</v>
      </c>
      <c r="R245" s="196">
        <v>46.38</v>
      </c>
      <c r="S245" s="197">
        <v>26</v>
      </c>
      <c r="T245" s="219">
        <f>Q245*R245*S245</f>
        <v>2411.7600000000002</v>
      </c>
      <c r="U245" s="197">
        <v>4</v>
      </c>
      <c r="V245" s="196">
        <v>46.38</v>
      </c>
      <c r="W245" s="197">
        <v>16</v>
      </c>
      <c r="X245" s="219">
        <f>U245*V245*W245</f>
        <v>2968.32</v>
      </c>
      <c r="Y245" s="219">
        <f>T245+X245</f>
        <v>5380.08</v>
      </c>
      <c r="Z245" s="197">
        <v>2</v>
      </c>
      <c r="AA245" s="196">
        <v>40</v>
      </c>
      <c r="AB245" s="197">
        <v>2</v>
      </c>
      <c r="AC245" s="219">
        <f>Z245*AA245*AB245</f>
        <v>160</v>
      </c>
      <c r="AD245" s="197">
        <v>4</v>
      </c>
      <c r="AE245" s="196">
        <v>92</v>
      </c>
      <c r="AF245" s="196">
        <v>2</v>
      </c>
      <c r="AG245" s="219">
        <f>AD245*AE245*AF245</f>
        <v>736</v>
      </c>
      <c r="AH245" s="219">
        <f>AC245+AG245</f>
        <v>896</v>
      </c>
      <c r="AI245" s="199">
        <f>F245+G245+P245+Y245+AH245</f>
        <v>12430.081409090908</v>
      </c>
      <c r="AJ245" s="201">
        <f>AI245/E245</f>
        <v>0.34123264087327826</v>
      </c>
      <c r="AK245" s="1012">
        <f>(E245-AI245)*$AK$15</f>
        <v>2639.6610450000003</v>
      </c>
      <c r="AL245" s="208">
        <f>1%*E245</f>
        <v>364.27</v>
      </c>
      <c r="AM245" s="208">
        <f>1%*E245</f>
        <v>364.27</v>
      </c>
      <c r="AN245" s="208">
        <f>3%*E245</f>
        <v>1092.81</v>
      </c>
      <c r="AO245" s="208">
        <f>0.65%*E245</f>
        <v>236.77550000000002</v>
      </c>
      <c r="AP245" s="208">
        <f>5%*E245</f>
        <v>1821.3500000000001</v>
      </c>
      <c r="AQ245" s="367">
        <f>SUM(AL245:AP245)</f>
        <v>3879.4755000000005</v>
      </c>
      <c r="AR245" s="367">
        <f>AK245+AQ245</f>
        <v>6519.1365450000012</v>
      </c>
      <c r="AS245" s="203">
        <f t="shared" si="310"/>
        <v>29907.863454999999</v>
      </c>
      <c r="AT245" s="205" t="s">
        <v>2252</v>
      </c>
    </row>
    <row r="246" spans="2:47" s="131" customFormat="1" ht="18" hidden="1" customHeight="1">
      <c r="B246" s="769" t="s">
        <v>1699</v>
      </c>
      <c r="C246" s="371"/>
      <c r="D246" s="390"/>
      <c r="E246" s="391"/>
      <c r="F246" s="391"/>
      <c r="G246" s="391"/>
      <c r="H246" s="392"/>
      <c r="I246" s="391"/>
      <c r="J246" s="392"/>
      <c r="K246" s="393"/>
      <c r="L246" s="392"/>
      <c r="M246" s="391"/>
      <c r="N246" s="392"/>
      <c r="O246" s="393"/>
      <c r="P246" s="394"/>
      <c r="Q246" s="392"/>
      <c r="R246" s="391"/>
      <c r="S246" s="392"/>
      <c r="T246" s="393"/>
      <c r="U246" s="392"/>
      <c r="V246" s="391"/>
      <c r="W246" s="392"/>
      <c r="X246" s="393"/>
      <c r="Y246" s="393"/>
      <c r="Z246" s="392"/>
      <c r="AA246" s="391"/>
      <c r="AB246" s="392"/>
      <c r="AC246" s="393"/>
      <c r="AD246" s="392"/>
      <c r="AE246" s="391"/>
      <c r="AF246" s="391"/>
      <c r="AG246" s="393"/>
      <c r="AH246" s="393"/>
      <c r="AI246" s="394"/>
      <c r="AJ246" s="395"/>
      <c r="AK246" s="393"/>
      <c r="AL246" s="391"/>
      <c r="AM246" s="391"/>
      <c r="AN246" s="391"/>
      <c r="AO246" s="391"/>
      <c r="AP246" s="391"/>
      <c r="AQ246" s="396"/>
      <c r="AR246" s="396"/>
      <c r="AS246" s="397">
        <f t="shared" ref="AS246" si="326">E246-AR246</f>
        <v>0</v>
      </c>
    </row>
    <row r="247" spans="2:47" s="131" customFormat="1" ht="18" hidden="1" customHeight="1">
      <c r="B247" s="218" t="s">
        <v>2258</v>
      </c>
      <c r="C247" s="218">
        <v>400</v>
      </c>
      <c r="D247" s="956" t="s">
        <v>2268</v>
      </c>
      <c r="E247" s="196">
        <f>1434.61+13981.15</f>
        <v>15415.76</v>
      </c>
      <c r="F247" s="196">
        <v>0</v>
      </c>
      <c r="G247" s="196">
        <v>0</v>
      </c>
      <c r="H247" s="197">
        <v>3</v>
      </c>
      <c r="I247" s="196">
        <v>13.133333333333333</v>
      </c>
      <c r="J247" s="197">
        <v>19</v>
      </c>
      <c r="K247" s="219">
        <f>H247*I247*J247</f>
        <v>748.6</v>
      </c>
      <c r="L247" s="197">
        <v>0</v>
      </c>
      <c r="M247" s="196">
        <v>0</v>
      </c>
      <c r="N247" s="197">
        <v>0</v>
      </c>
      <c r="O247" s="219">
        <f>L247*M247*N247</f>
        <v>0</v>
      </c>
      <c r="P247" s="220">
        <f>K247+O247</f>
        <v>748.6</v>
      </c>
      <c r="Q247" s="197">
        <v>3</v>
      </c>
      <c r="R247" s="196">
        <v>33.4</v>
      </c>
      <c r="S247" s="197">
        <v>19</v>
      </c>
      <c r="T247" s="219">
        <f>Q247*R247*S247</f>
        <v>1903.7999999999997</v>
      </c>
      <c r="U247" s="197">
        <v>0</v>
      </c>
      <c r="V247" s="196">
        <v>0</v>
      </c>
      <c r="W247" s="197">
        <v>0</v>
      </c>
      <c r="X247" s="219">
        <f>U247*V247*W247</f>
        <v>0</v>
      </c>
      <c r="Y247" s="219">
        <f>T247+X247</f>
        <v>1903.7999999999997</v>
      </c>
      <c r="Z247" s="197">
        <v>5</v>
      </c>
      <c r="AA247" s="196">
        <v>80</v>
      </c>
      <c r="AB247" s="197">
        <v>2</v>
      </c>
      <c r="AC247" s="219">
        <f>Z247*AA247*AB247</f>
        <v>800</v>
      </c>
      <c r="AD247" s="197">
        <v>0</v>
      </c>
      <c r="AE247" s="196">
        <v>0</v>
      </c>
      <c r="AF247" s="196">
        <v>0</v>
      </c>
      <c r="AG247" s="219">
        <f>AD247*AE247*AF247</f>
        <v>0</v>
      </c>
      <c r="AH247" s="219">
        <f>AC247+AG247</f>
        <v>800</v>
      </c>
      <c r="AI247" s="199">
        <f>F247+G247+P247+Y247+AH247</f>
        <v>3452.3999999999996</v>
      </c>
      <c r="AJ247" s="201">
        <f>AI247/E247</f>
        <v>0.2239526302952303</v>
      </c>
      <c r="AK247" s="219">
        <f>(E247-AI247)*$AK$15</f>
        <v>1315.9696000000001</v>
      </c>
      <c r="AL247" s="208">
        <v>0</v>
      </c>
      <c r="AM247" s="196">
        <f>$AM$15*$E247</f>
        <v>154.1576</v>
      </c>
      <c r="AN247" s="196">
        <f>$AN$15*$E247</f>
        <v>462.47280000000001</v>
      </c>
      <c r="AO247" s="196">
        <f>$AO$15*$E247</f>
        <v>100.20244</v>
      </c>
      <c r="AP247" s="209">
        <f>2%*$E247</f>
        <v>308.3152</v>
      </c>
      <c r="AQ247" s="367">
        <f>SUM(AL247:AP247)</f>
        <v>1025.14804</v>
      </c>
      <c r="AR247" s="367">
        <f>AK247+AQ247</f>
        <v>2341.1176400000004</v>
      </c>
      <c r="AS247" s="203">
        <f>E247-AR247</f>
        <v>13074.64236</v>
      </c>
    </row>
    <row r="248" spans="2:47" s="131" customFormat="1" ht="18" hidden="1" customHeight="1">
      <c r="B248" s="194"/>
      <c r="C248" s="194"/>
      <c r="D248" s="365"/>
      <c r="E248" s="196"/>
      <c r="F248" s="196"/>
      <c r="G248" s="196"/>
      <c r="H248" s="197"/>
      <c r="I248" s="196"/>
      <c r="J248" s="197"/>
      <c r="K248" s="219"/>
      <c r="L248" s="197"/>
      <c r="M248" s="196"/>
      <c r="N248" s="197"/>
      <c r="O248" s="219"/>
      <c r="P248" s="220"/>
      <c r="Q248" s="197"/>
      <c r="R248" s="196"/>
      <c r="S248" s="197"/>
      <c r="T248" s="219"/>
      <c r="U248" s="197"/>
      <c r="V248" s="196"/>
      <c r="W248" s="197"/>
      <c r="X248" s="219"/>
      <c r="Y248" s="219"/>
      <c r="Z248" s="197"/>
      <c r="AA248" s="196"/>
      <c r="AB248" s="197"/>
      <c r="AC248" s="219"/>
      <c r="AD248" s="197"/>
      <c r="AE248" s="196"/>
      <c r="AF248" s="196"/>
      <c r="AG248" s="219"/>
      <c r="AH248" s="219"/>
      <c r="AI248" s="199"/>
      <c r="AJ248" s="201"/>
      <c r="AK248" s="1012"/>
      <c r="AL248" s="208"/>
      <c r="AM248" s="208"/>
      <c r="AN248" s="208"/>
      <c r="AO248" s="208"/>
      <c r="AP248" s="208"/>
      <c r="AQ248" s="367"/>
      <c r="AR248" s="367"/>
      <c r="AS248" s="203"/>
      <c r="AT248" s="205"/>
    </row>
    <row r="249" spans="2:47" s="131" customFormat="1" ht="18" customHeight="1">
      <c r="B249" s="194" t="s">
        <v>2258</v>
      </c>
      <c r="C249" s="194">
        <v>401</v>
      </c>
      <c r="D249" s="324" t="s">
        <v>982</v>
      </c>
      <c r="E249" s="196">
        <v>7054</v>
      </c>
      <c r="F249" s="196">
        <v>950.61</v>
      </c>
      <c r="G249" s="196">
        <v>351.9</v>
      </c>
      <c r="H249" s="197">
        <v>1</v>
      </c>
      <c r="I249" s="196">
        <v>24</v>
      </c>
      <c r="J249" s="197">
        <v>26</v>
      </c>
      <c r="K249" s="219">
        <f t="shared" ref="K249:K251" si="327">H249*I249*J249</f>
        <v>624</v>
      </c>
      <c r="L249" s="197">
        <v>0</v>
      </c>
      <c r="M249" s="196">
        <v>0</v>
      </c>
      <c r="N249" s="197">
        <v>0</v>
      </c>
      <c r="O249" s="219">
        <f t="shared" ref="O249:O251" si="328">L249*M249*N249</f>
        <v>0</v>
      </c>
      <c r="P249" s="220">
        <f t="shared" ref="P249:P251" si="329">K249+O249</f>
        <v>624</v>
      </c>
      <c r="Q249" s="197">
        <v>1</v>
      </c>
      <c r="R249" s="196">
        <v>46.38</v>
      </c>
      <c r="S249" s="197">
        <v>26</v>
      </c>
      <c r="T249" s="219">
        <f t="shared" ref="T249:T251" si="330">Q249*R249*S249</f>
        <v>1205.8800000000001</v>
      </c>
      <c r="U249" s="196">
        <v>0</v>
      </c>
      <c r="V249" s="196">
        <v>0</v>
      </c>
      <c r="W249" s="197">
        <v>0</v>
      </c>
      <c r="X249" s="219">
        <f t="shared" ref="X249:X251" si="331">U249*V249*W249</f>
        <v>0</v>
      </c>
      <c r="Y249" s="219">
        <f t="shared" ref="Y249:Y251" si="332">T249+X249</f>
        <v>1205.8800000000001</v>
      </c>
      <c r="Z249" s="197">
        <v>1</v>
      </c>
      <c r="AA249" s="196">
        <v>40</v>
      </c>
      <c r="AB249" s="197">
        <v>2</v>
      </c>
      <c r="AC249" s="219">
        <f t="shared" ref="AC249:AC251" si="333">Z249*AA249*AB249</f>
        <v>80</v>
      </c>
      <c r="AD249" s="197">
        <v>0</v>
      </c>
      <c r="AE249" s="196">
        <v>0</v>
      </c>
      <c r="AF249" s="196">
        <v>0</v>
      </c>
      <c r="AG249" s="219">
        <f t="shared" ref="AG249:AG250" si="334">AD249*AE249*AF249</f>
        <v>0</v>
      </c>
      <c r="AH249" s="219">
        <f t="shared" ref="AH249:AH251" si="335">AC249+AG249</f>
        <v>80</v>
      </c>
      <c r="AI249" s="199">
        <f t="shared" ref="AI249:AI250" si="336">F249+G249+P249+Y249+AH249</f>
        <v>3212.3900000000003</v>
      </c>
      <c r="AJ249" s="201">
        <f>AI249/E249</f>
        <v>0.45539977317833857</v>
      </c>
      <c r="AK249" s="271">
        <f t="shared" ref="AK249:AK251" si="337">(E249-AI249)*$AK$15</f>
        <v>422.57709999999997</v>
      </c>
      <c r="AL249" s="208">
        <f>1%*E249</f>
        <v>70.540000000000006</v>
      </c>
      <c r="AM249" s="208">
        <f>1%*E249</f>
        <v>70.540000000000006</v>
      </c>
      <c r="AN249" s="208">
        <f>3%*E249</f>
        <v>211.62</v>
      </c>
      <c r="AO249" s="208">
        <f>0.65%*E249</f>
        <v>45.851000000000006</v>
      </c>
      <c r="AP249" s="208">
        <f>5%*E249</f>
        <v>352.70000000000005</v>
      </c>
      <c r="AQ249" s="367">
        <f t="shared" ref="AQ249:AQ250" si="338">SUM(AL249:AP249)</f>
        <v>751.25100000000009</v>
      </c>
      <c r="AR249" s="367">
        <f t="shared" ref="AR249:AR250" si="339">AK249+AQ249</f>
        <v>1173.8281000000002</v>
      </c>
      <c r="AS249" s="203">
        <f t="shared" ref="AS249:AS252" si="340">E249-AR249</f>
        <v>5880.1718999999994</v>
      </c>
      <c r="AT249" s="205"/>
    </row>
    <row r="250" spans="2:47" s="131" customFormat="1" ht="18" customHeight="1">
      <c r="B250" s="194" t="s">
        <v>2258</v>
      </c>
      <c r="C250" s="194">
        <v>402</v>
      </c>
      <c r="D250" s="324" t="s">
        <v>1914</v>
      </c>
      <c r="E250" s="196">
        <v>7388</v>
      </c>
      <c r="F250" s="196">
        <v>950.61</v>
      </c>
      <c r="G250" s="196">
        <v>351.9</v>
      </c>
      <c r="H250" s="197">
        <v>1</v>
      </c>
      <c r="I250" s="196">
        <v>24</v>
      </c>
      <c r="J250" s="197">
        <v>26</v>
      </c>
      <c r="K250" s="219">
        <f t="shared" si="327"/>
        <v>624</v>
      </c>
      <c r="L250" s="197">
        <v>0</v>
      </c>
      <c r="M250" s="196">
        <v>0</v>
      </c>
      <c r="N250" s="197">
        <v>0</v>
      </c>
      <c r="O250" s="219">
        <f t="shared" si="328"/>
        <v>0</v>
      </c>
      <c r="P250" s="220">
        <f t="shared" si="329"/>
        <v>624</v>
      </c>
      <c r="Q250" s="197">
        <v>1</v>
      </c>
      <c r="R250" s="196">
        <v>46.38</v>
      </c>
      <c r="S250" s="197">
        <v>26</v>
      </c>
      <c r="T250" s="219">
        <f t="shared" si="330"/>
        <v>1205.8800000000001</v>
      </c>
      <c r="U250" s="196">
        <v>0</v>
      </c>
      <c r="V250" s="196">
        <v>0</v>
      </c>
      <c r="W250" s="197">
        <v>0</v>
      </c>
      <c r="X250" s="219">
        <f t="shared" si="331"/>
        <v>0</v>
      </c>
      <c r="Y250" s="219">
        <f t="shared" si="332"/>
        <v>1205.8800000000001</v>
      </c>
      <c r="Z250" s="197">
        <v>1</v>
      </c>
      <c r="AA250" s="196">
        <v>40</v>
      </c>
      <c r="AB250" s="197">
        <v>2</v>
      </c>
      <c r="AC250" s="219">
        <f t="shared" si="333"/>
        <v>80</v>
      </c>
      <c r="AD250" s="197">
        <v>0</v>
      </c>
      <c r="AE250" s="196">
        <v>0</v>
      </c>
      <c r="AF250" s="196">
        <v>0</v>
      </c>
      <c r="AG250" s="219">
        <f t="shared" si="334"/>
        <v>0</v>
      </c>
      <c r="AH250" s="219">
        <f t="shared" si="335"/>
        <v>80</v>
      </c>
      <c r="AI250" s="199">
        <f t="shared" si="336"/>
        <v>3212.3900000000003</v>
      </c>
      <c r="AJ250" s="201">
        <f t="shared" ref="AJ250" si="341">AI250/E250</f>
        <v>0.43481185706551168</v>
      </c>
      <c r="AK250" s="271">
        <f t="shared" si="337"/>
        <v>459.31709999999998</v>
      </c>
      <c r="AL250" s="208">
        <f>1%*E250</f>
        <v>73.88</v>
      </c>
      <c r="AM250" s="208">
        <f>1%*E250</f>
        <v>73.88</v>
      </c>
      <c r="AN250" s="208">
        <f>3%*E250</f>
        <v>221.64</v>
      </c>
      <c r="AO250" s="208">
        <f>0.65%*E250</f>
        <v>48.022000000000006</v>
      </c>
      <c r="AP250" s="208">
        <f>5%*E250</f>
        <v>369.40000000000003</v>
      </c>
      <c r="AQ250" s="367">
        <f t="shared" si="338"/>
        <v>786.822</v>
      </c>
      <c r="AR250" s="367">
        <f t="shared" si="339"/>
        <v>1246.1390999999999</v>
      </c>
      <c r="AS250" s="203">
        <f t="shared" si="340"/>
        <v>6141.8608999999997</v>
      </c>
    </row>
    <row r="251" spans="2:47" s="131" customFormat="1" ht="18" customHeight="1">
      <c r="B251" s="194" t="s">
        <v>2258</v>
      </c>
      <c r="C251" s="194">
        <v>403</v>
      </c>
      <c r="D251" s="365" t="s">
        <v>1767</v>
      </c>
      <c r="E251" s="196">
        <v>41450</v>
      </c>
      <c r="F251" s="196">
        <v>2300</v>
      </c>
      <c r="G251" s="196">
        <v>1200</v>
      </c>
      <c r="H251" s="197">
        <v>3</v>
      </c>
      <c r="I251" s="196">
        <v>12</v>
      </c>
      <c r="J251" s="197">
        <v>26</v>
      </c>
      <c r="K251" s="219">
        <f t="shared" si="327"/>
        <v>936</v>
      </c>
      <c r="L251" s="197">
        <v>4</v>
      </c>
      <c r="M251" s="196">
        <v>12</v>
      </c>
      <c r="N251" s="197">
        <v>16</v>
      </c>
      <c r="O251" s="219">
        <f t="shared" si="328"/>
        <v>768</v>
      </c>
      <c r="P251" s="220">
        <f t="shared" si="329"/>
        <v>1704</v>
      </c>
      <c r="Q251" s="197">
        <v>3</v>
      </c>
      <c r="R251" s="196">
        <v>46.38</v>
      </c>
      <c r="S251" s="197">
        <v>26</v>
      </c>
      <c r="T251" s="219">
        <f t="shared" si="330"/>
        <v>3617.6400000000003</v>
      </c>
      <c r="U251" s="197">
        <v>4</v>
      </c>
      <c r="V251" s="196">
        <v>46.38</v>
      </c>
      <c r="W251" s="197">
        <v>16</v>
      </c>
      <c r="X251" s="219">
        <f t="shared" si="331"/>
        <v>2968.32</v>
      </c>
      <c r="Y251" s="219">
        <f t="shared" si="332"/>
        <v>6585.9600000000009</v>
      </c>
      <c r="Z251" s="197">
        <v>3</v>
      </c>
      <c r="AA251" s="196">
        <v>40</v>
      </c>
      <c r="AB251" s="197">
        <v>2</v>
      </c>
      <c r="AC251" s="219">
        <f t="shared" si="333"/>
        <v>240</v>
      </c>
      <c r="AD251" s="197">
        <v>4</v>
      </c>
      <c r="AE251" s="196">
        <v>92</v>
      </c>
      <c r="AF251" s="196">
        <v>2</v>
      </c>
      <c r="AG251" s="219">
        <f>AD251*AE251*AF251</f>
        <v>736</v>
      </c>
      <c r="AH251" s="219">
        <f t="shared" si="335"/>
        <v>976</v>
      </c>
      <c r="AI251" s="199">
        <f>F251+G251+P251+Y251+AH251</f>
        <v>12765.960000000001</v>
      </c>
      <c r="AJ251" s="201">
        <f>AI251/E251</f>
        <v>0.3079845597104946</v>
      </c>
      <c r="AK251" s="271">
        <f t="shared" si="337"/>
        <v>3155.2444</v>
      </c>
      <c r="AL251" s="208">
        <f>1%*E251</f>
        <v>414.5</v>
      </c>
      <c r="AM251" s="208">
        <f>1%*E251</f>
        <v>414.5</v>
      </c>
      <c r="AN251" s="208">
        <f>3%*E251</f>
        <v>1243.5</v>
      </c>
      <c r="AO251" s="208">
        <f>0.65%*E251</f>
        <v>269.42500000000001</v>
      </c>
      <c r="AP251" s="208">
        <f>5%*E251</f>
        <v>2072.5</v>
      </c>
      <c r="AQ251" s="367">
        <f>SUM(AL251:AP251)</f>
        <v>4414.4250000000002</v>
      </c>
      <c r="AR251" s="367">
        <f>AK251+AQ251</f>
        <v>7569.6694000000007</v>
      </c>
      <c r="AS251" s="203">
        <f t="shared" si="340"/>
        <v>33880.330600000001</v>
      </c>
      <c r="AT251" s="131" t="s">
        <v>2252</v>
      </c>
    </row>
    <row r="252" spans="2:47" s="131" customFormat="1" ht="18" customHeight="1">
      <c r="B252" s="194" t="s">
        <v>2258</v>
      </c>
      <c r="C252" s="194">
        <v>404</v>
      </c>
      <c r="D252" s="365" t="s">
        <v>1915</v>
      </c>
      <c r="E252" s="196">
        <v>36427</v>
      </c>
      <c r="F252" s="196">
        <v>2212.001409090909</v>
      </c>
      <c r="G252" s="196">
        <v>2550</v>
      </c>
      <c r="H252" s="197">
        <v>2</v>
      </c>
      <c r="I252" s="196">
        <v>12</v>
      </c>
      <c r="J252" s="197">
        <v>26</v>
      </c>
      <c r="K252" s="219">
        <f>H252*I252*J252</f>
        <v>624</v>
      </c>
      <c r="L252" s="197">
        <v>4</v>
      </c>
      <c r="M252" s="196">
        <v>12</v>
      </c>
      <c r="N252" s="197">
        <v>16</v>
      </c>
      <c r="O252" s="219">
        <f>L252*M252*N252</f>
        <v>768</v>
      </c>
      <c r="P252" s="220">
        <f>K252+O252</f>
        <v>1392</v>
      </c>
      <c r="Q252" s="197">
        <v>2</v>
      </c>
      <c r="R252" s="196">
        <v>46.38</v>
      </c>
      <c r="S252" s="197">
        <v>26</v>
      </c>
      <c r="T252" s="219">
        <f>Q252*R252*S252</f>
        <v>2411.7600000000002</v>
      </c>
      <c r="U252" s="197">
        <v>4</v>
      </c>
      <c r="V252" s="196">
        <v>46.38</v>
      </c>
      <c r="W252" s="197">
        <v>16</v>
      </c>
      <c r="X252" s="219">
        <f>U252*V252*W252</f>
        <v>2968.32</v>
      </c>
      <c r="Y252" s="219">
        <f>T252+X252</f>
        <v>5380.08</v>
      </c>
      <c r="Z252" s="197">
        <v>2</v>
      </c>
      <c r="AA252" s="196">
        <v>40</v>
      </c>
      <c r="AB252" s="197">
        <v>2</v>
      </c>
      <c r="AC252" s="219">
        <f>Z252*AA252*AB252</f>
        <v>160</v>
      </c>
      <c r="AD252" s="197">
        <v>4</v>
      </c>
      <c r="AE252" s="196">
        <v>92</v>
      </c>
      <c r="AF252" s="196">
        <v>2</v>
      </c>
      <c r="AG252" s="219">
        <f>AD252*AE252*AF252</f>
        <v>736</v>
      </c>
      <c r="AH252" s="219">
        <f>AC252+AG252</f>
        <v>896</v>
      </c>
      <c r="AI252" s="199">
        <f>F252+G252+P252+Y252+AH252</f>
        <v>12430.081409090908</v>
      </c>
      <c r="AJ252" s="201">
        <f>AI252/E252</f>
        <v>0.34123264087327826</v>
      </c>
      <c r="AK252" s="1012">
        <f>(E252-AI252)*$AK$15</f>
        <v>2639.6610450000003</v>
      </c>
      <c r="AL252" s="208">
        <f>1%*E252</f>
        <v>364.27</v>
      </c>
      <c r="AM252" s="208">
        <f>1%*E252</f>
        <v>364.27</v>
      </c>
      <c r="AN252" s="208">
        <f>3%*E252</f>
        <v>1092.81</v>
      </c>
      <c r="AO252" s="208">
        <f>0.65%*E252</f>
        <v>236.77550000000002</v>
      </c>
      <c r="AP252" s="208">
        <f>5%*E252</f>
        <v>1821.3500000000001</v>
      </c>
      <c r="AQ252" s="367">
        <f>SUM(AL252:AP252)</f>
        <v>3879.4755000000005</v>
      </c>
      <c r="AR252" s="367">
        <f>AK252+AQ252</f>
        <v>6519.1365450000012</v>
      </c>
      <c r="AS252" s="203">
        <f t="shared" si="340"/>
        <v>29907.863454999999</v>
      </c>
    </row>
    <row r="253" spans="2:47" s="131" customFormat="1" ht="18" hidden="1" customHeight="1">
      <c r="B253" s="194"/>
      <c r="C253" s="194"/>
      <c r="D253" s="365"/>
      <c r="E253" s="196"/>
      <c r="F253" s="196"/>
      <c r="G253" s="196"/>
      <c r="H253" s="335"/>
      <c r="I253" s="334"/>
      <c r="J253" s="335"/>
      <c r="K253" s="336"/>
      <c r="L253" s="335"/>
      <c r="M253" s="334"/>
      <c r="N253" s="335"/>
      <c r="O253" s="336"/>
      <c r="P253" s="220"/>
      <c r="Q253" s="197"/>
      <c r="R253" s="196"/>
      <c r="S253" s="197"/>
      <c r="T253" s="219"/>
      <c r="U253" s="197"/>
      <c r="V253" s="196"/>
      <c r="W253" s="197"/>
      <c r="X253" s="219"/>
      <c r="Y253" s="219"/>
      <c r="Z253" s="197"/>
      <c r="AA253" s="196"/>
      <c r="AB253" s="197"/>
      <c r="AC253" s="219"/>
      <c r="AD253" s="197"/>
      <c r="AE253" s="196"/>
      <c r="AF253" s="196"/>
      <c r="AG253" s="219"/>
      <c r="AH253" s="219"/>
      <c r="AI253" s="199"/>
      <c r="AJ253" s="201"/>
      <c r="AK253" s="219"/>
      <c r="AL253" s="196"/>
      <c r="AM253" s="196"/>
      <c r="AN253" s="196"/>
      <c r="AO253" s="196"/>
      <c r="AP253" s="196"/>
      <c r="AQ253" s="367"/>
      <c r="AR253" s="367"/>
      <c r="AS253" s="203"/>
    </row>
    <row r="254" spans="2:47" s="230" customFormat="1" ht="18" customHeight="1">
      <c r="B254" s="223" t="s">
        <v>284</v>
      </c>
      <c r="C254" s="223" t="s">
        <v>1699</v>
      </c>
      <c r="D254" s="223" t="s">
        <v>1699</v>
      </c>
      <c r="E254" s="224">
        <f t="shared" ref="E254:L254" si="342">SUBTOTAL(9,E17:E253)</f>
        <v>92319</v>
      </c>
      <c r="F254" s="224">
        <f t="shared" si="342"/>
        <v>6413.2214090909092</v>
      </c>
      <c r="G254" s="224">
        <f t="shared" si="342"/>
        <v>4453.8</v>
      </c>
      <c r="H254" s="225">
        <f t="shared" si="342"/>
        <v>7</v>
      </c>
      <c r="I254" s="224">
        <f t="shared" si="342"/>
        <v>72</v>
      </c>
      <c r="J254" s="225">
        <f t="shared" si="342"/>
        <v>104</v>
      </c>
      <c r="K254" s="224">
        <f t="shared" si="342"/>
        <v>2808</v>
      </c>
      <c r="L254" s="225">
        <f t="shared" si="342"/>
        <v>8</v>
      </c>
      <c r="M254" s="223" t="s">
        <v>1699</v>
      </c>
      <c r="N254" s="223" t="s">
        <v>1699</v>
      </c>
      <c r="O254" s="224">
        <f>SUBTOTAL(9,O17:O253)</f>
        <v>1536</v>
      </c>
      <c r="P254" s="224">
        <f>SUBTOTAL(9,P17:P253)</f>
        <v>4344</v>
      </c>
      <c r="Q254" s="225">
        <f>SUBTOTAL(9,Q17:Q253)</f>
        <v>7</v>
      </c>
      <c r="R254" s="226" t="s">
        <v>1699</v>
      </c>
      <c r="S254" s="226" t="s">
        <v>1699</v>
      </c>
      <c r="T254" s="224">
        <f>SUBTOTAL(9,T17:T253)</f>
        <v>8441.16</v>
      </c>
      <c r="U254" s="225">
        <f>SUBTOTAL(9,U17:U253)</f>
        <v>8</v>
      </c>
      <c r="V254" s="226" t="s">
        <v>1699</v>
      </c>
      <c r="W254" s="226" t="s">
        <v>1699</v>
      </c>
      <c r="X254" s="626">
        <f>SUBTOTAL(9,X17:X253)</f>
        <v>5936.64</v>
      </c>
      <c r="Y254" s="224">
        <f>SUBTOTAL(9,Y17:Y253)</f>
        <v>14377.800000000001</v>
      </c>
      <c r="Z254" s="225">
        <f>SUBTOTAL(9,Z17:Z253)</f>
        <v>7</v>
      </c>
      <c r="AA254" s="226" t="s">
        <v>1699</v>
      </c>
      <c r="AB254" s="226" t="s">
        <v>1699</v>
      </c>
      <c r="AC254" s="224">
        <f>SUBTOTAL(9,AC17:AC253)</f>
        <v>560</v>
      </c>
      <c r="AD254" s="225">
        <f>SUBTOTAL(9,AD17:AD253)</f>
        <v>8</v>
      </c>
      <c r="AE254" s="226" t="s">
        <v>1699</v>
      </c>
      <c r="AF254" s="226" t="s">
        <v>1699</v>
      </c>
      <c r="AG254" s="224">
        <f>SUBTOTAL(9,AG17:AG253)</f>
        <v>1472</v>
      </c>
      <c r="AH254" s="224">
        <f>SUBTOTAL(9,AH17:AH253)</f>
        <v>2032</v>
      </c>
      <c r="AI254" s="224">
        <f>SUBTOTAL(9,AI17:AI253)</f>
        <v>31620.82140909091</v>
      </c>
      <c r="AJ254" s="226" t="s">
        <v>1699</v>
      </c>
      <c r="AK254" s="227">
        <f t="shared" ref="AK254:AS254" si="343">SUBTOTAL(9,AK17:AK253)</f>
        <v>6676.799645000001</v>
      </c>
      <c r="AL254" s="224">
        <f t="shared" si="343"/>
        <v>923.19</v>
      </c>
      <c r="AM254" s="224">
        <f t="shared" si="343"/>
        <v>923.19</v>
      </c>
      <c r="AN254" s="224">
        <f t="shared" si="343"/>
        <v>2769.5699999999997</v>
      </c>
      <c r="AO254" s="224">
        <f t="shared" si="343"/>
        <v>600.07349999999997</v>
      </c>
      <c r="AP254" s="224">
        <f t="shared" si="343"/>
        <v>4615.9500000000007</v>
      </c>
      <c r="AQ254" s="228">
        <f t="shared" si="343"/>
        <v>9831.9735000000001</v>
      </c>
      <c r="AR254" s="228">
        <f t="shared" si="343"/>
        <v>16508.773145000003</v>
      </c>
      <c r="AS254" s="229">
        <f t="shared" si="343"/>
        <v>75810.226855000001</v>
      </c>
    </row>
    <row r="255" spans="2:47" ht="5.0999999999999996" customHeight="1">
      <c r="D255" s="148"/>
      <c r="AS255" s="148"/>
    </row>
    <row r="256" spans="2:47" ht="21" customHeight="1">
      <c r="D256" s="148"/>
      <c r="E256" s="232"/>
      <c r="F256" s="340"/>
      <c r="G256" s="232"/>
      <c r="P256" s="252"/>
      <c r="AK256" s="232"/>
      <c r="AS256" s="148"/>
    </row>
    <row r="257" spans="2:45" s="230" customFormat="1" ht="21" customHeight="1">
      <c r="B257" s="233" t="s">
        <v>9</v>
      </c>
      <c r="C257" s="233"/>
      <c r="D257" s="251" t="s">
        <v>1700</v>
      </c>
      <c r="E257" s="251" t="s">
        <v>1701</v>
      </c>
      <c r="F257" s="251" t="s">
        <v>1702</v>
      </c>
      <c r="G257" s="251" t="s">
        <v>1703</v>
      </c>
      <c r="I257" s="357"/>
      <c r="K257" s="159"/>
      <c r="P257" s="231"/>
      <c r="Y257" s="231"/>
      <c r="AI257" s="231"/>
      <c r="AJ257" s="147"/>
      <c r="AR257" s="231"/>
      <c r="AS257" s="159"/>
    </row>
    <row r="258" spans="2:45" ht="21" customHeight="1">
      <c r="B258" s="235" t="s">
        <v>1704</v>
      </c>
      <c r="D258" s="236">
        <v>4.8000000000000001E-2</v>
      </c>
      <c r="E258" s="522">
        <f>D258*$E$254</f>
        <v>4431.3119999999999</v>
      </c>
      <c r="F258" s="232">
        <f>AL254</f>
        <v>923.19</v>
      </c>
      <c r="G258" s="594">
        <f>E258-F258</f>
        <v>3508.1219999999998</v>
      </c>
      <c r="I258" s="232"/>
      <c r="K258" s="232"/>
      <c r="P258" s="341">
        <v>1.2E-2</v>
      </c>
      <c r="Y258" s="232">
        <f>P258*E254</f>
        <v>1107.828</v>
      </c>
      <c r="AI258" s="232"/>
      <c r="AJ258" s="147"/>
      <c r="AM258" s="232"/>
      <c r="AN258" s="257"/>
      <c r="AS258" s="232"/>
    </row>
    <row r="259" spans="2:45" ht="21" customHeight="1">
      <c r="B259" s="235" t="s">
        <v>1705</v>
      </c>
      <c r="D259" s="236">
        <v>2.8799999999999999E-2</v>
      </c>
      <c r="E259" s="522">
        <f>D259*$E$254</f>
        <v>2658.7871999999998</v>
      </c>
      <c r="F259" s="232">
        <f>AM254</f>
        <v>923.19</v>
      </c>
      <c r="G259" s="594">
        <f t="shared" ref="G259:G263" si="344">E259-F259</f>
        <v>1735.5971999999997</v>
      </c>
      <c r="I259" s="232"/>
      <c r="K259" s="232"/>
      <c r="P259" s="232"/>
      <c r="Y259" s="157"/>
      <c r="AI259" s="254"/>
      <c r="AJ259" s="147"/>
      <c r="AM259" s="958"/>
      <c r="AO259" s="252"/>
      <c r="AS259" s="332"/>
    </row>
    <row r="260" spans="2:45" ht="21" customHeight="1">
      <c r="B260" s="235" t="s">
        <v>1706</v>
      </c>
      <c r="D260" s="236">
        <v>0.03</v>
      </c>
      <c r="E260" s="522">
        <f>D260*$E$254</f>
        <v>2769.5699999999997</v>
      </c>
      <c r="F260" s="232">
        <f>AN254</f>
        <v>2769.5699999999997</v>
      </c>
      <c r="G260" s="594">
        <f t="shared" si="344"/>
        <v>0</v>
      </c>
      <c r="Y260" s="232"/>
      <c r="AH260" s="232"/>
      <c r="AI260" s="232"/>
      <c r="AJ260" s="147"/>
    </row>
    <row r="261" spans="2:45" ht="21" customHeight="1">
      <c r="B261" s="235" t="s">
        <v>1707</v>
      </c>
      <c r="D261" s="236">
        <v>6.4999999999999997E-3</v>
      </c>
      <c r="E261" s="522">
        <f>D261*$E$254</f>
        <v>600.07349999999997</v>
      </c>
      <c r="F261" s="232">
        <f>AO254</f>
        <v>600.07349999999997</v>
      </c>
      <c r="G261" s="594">
        <f t="shared" si="344"/>
        <v>0</v>
      </c>
      <c r="K261" s="232"/>
      <c r="Y261" s="232"/>
      <c r="AH261" s="157"/>
      <c r="AI261" s="232"/>
      <c r="AJ261" s="147"/>
      <c r="AN261" s="341"/>
    </row>
    <row r="262" spans="2:45" ht="21" customHeight="1">
      <c r="B262" s="235" t="s">
        <v>1708</v>
      </c>
      <c r="D262" s="236">
        <v>0.05</v>
      </c>
      <c r="E262" s="522">
        <f>D262*$E$254</f>
        <v>4615.95</v>
      </c>
      <c r="F262" s="232">
        <f>AP254</f>
        <v>4615.9500000000007</v>
      </c>
      <c r="G262" s="594">
        <f t="shared" si="344"/>
        <v>0</v>
      </c>
      <c r="Y262" s="232"/>
      <c r="AH262" s="341"/>
      <c r="AJ262" s="147"/>
      <c r="AN262" s="232"/>
    </row>
    <row r="263" spans="2:45" ht="21" customHeight="1">
      <c r="B263" s="239" t="s">
        <v>1709</v>
      </c>
      <c r="C263" s="240"/>
      <c r="D263" s="362">
        <v>0</v>
      </c>
      <c r="E263" s="241">
        <f>D263*E254</f>
        <v>0</v>
      </c>
      <c r="F263" s="354">
        <f>AK254</f>
        <v>6676.799645000001</v>
      </c>
      <c r="G263" s="595">
        <f t="shared" si="344"/>
        <v>-6676.799645000001</v>
      </c>
      <c r="Y263" s="232"/>
      <c r="AH263" s="232"/>
      <c r="AI263" s="957"/>
      <c r="AJ263" s="147"/>
    </row>
    <row r="264" spans="2:45" ht="21" customHeight="1">
      <c r="B264" s="243" t="s">
        <v>284</v>
      </c>
      <c r="C264" s="243"/>
      <c r="D264" s="244">
        <f>SUM(D258:D263)</f>
        <v>0.1633</v>
      </c>
      <c r="E264" s="245">
        <f>SUM(E258:E263)</f>
        <v>15075.6927</v>
      </c>
      <c r="F264" s="245">
        <f>SUM(F258:F263)</f>
        <v>16508.773144999999</v>
      </c>
      <c r="G264" s="596">
        <f>SUM(G258:G263)</f>
        <v>-1433.0804450000014</v>
      </c>
      <c r="I264" s="160"/>
      <c r="J264" s="246"/>
      <c r="T264" s="232"/>
      <c r="V264" s="232"/>
      <c r="AC264" s="232"/>
      <c r="AH264" s="232"/>
      <c r="AJ264" s="147"/>
      <c r="AM264" s="232"/>
    </row>
    <row r="265" spans="2:45" ht="21" customHeight="1">
      <c r="D265" s="157"/>
      <c r="AH265" s="232"/>
      <c r="AJ265" s="147"/>
      <c r="AM265" s="232"/>
    </row>
    <row r="266" spans="2:45" ht="21" customHeight="1">
      <c r="D266" s="902"/>
      <c r="E266" s="521"/>
      <c r="AH266" s="232"/>
      <c r="AI266" s="523"/>
      <c r="AJ266" s="147"/>
      <c r="AK266" s="522"/>
      <c r="AL266" s="522"/>
      <c r="AM266" s="232"/>
    </row>
    <row r="267" spans="2:45" ht="21" customHeight="1">
      <c r="B267" s="147" t="s">
        <v>1841</v>
      </c>
      <c r="AH267" s="232"/>
      <c r="AI267" s="257"/>
      <c r="AJ267" s="147"/>
      <c r="AK267" s="257"/>
      <c r="AL267" s="522"/>
      <c r="AM267" s="232"/>
    </row>
    <row r="268" spans="2:45" ht="21" customHeight="1">
      <c r="B268" s="355" t="s">
        <v>87</v>
      </c>
      <c r="C268" s="355" t="s">
        <v>1788</v>
      </c>
      <c r="D268" s="355" t="s">
        <v>1839</v>
      </c>
      <c r="E268" s="355" t="s">
        <v>1840</v>
      </c>
      <c r="F268" s="355"/>
      <c r="G268" s="232"/>
      <c r="AH268" s="232"/>
      <c r="AI268" s="257"/>
      <c r="AJ268" s="147"/>
      <c r="AK268" s="522"/>
      <c r="AL268" s="522"/>
      <c r="AM268" s="232"/>
    </row>
    <row r="269" spans="2:45" ht="21" customHeight="1">
      <c r="B269" s="358"/>
      <c r="C269" s="359">
        <f>E254</f>
        <v>92319</v>
      </c>
      <c r="D269" s="356">
        <f>C269-F264</f>
        <v>75810.226855000001</v>
      </c>
      <c r="E269" s="359"/>
      <c r="F269" s="360"/>
      <c r="G269" s="232"/>
      <c r="AH269" s="232"/>
      <c r="AI269" s="257"/>
      <c r="AJ269" s="147"/>
      <c r="AK269" s="959"/>
      <c r="AL269" s="257"/>
    </row>
    <row r="270" spans="2:45" ht="21" customHeight="1">
      <c r="E270" s="232"/>
      <c r="G270" s="232"/>
      <c r="AI270" s="523"/>
      <c r="AJ270" s="147"/>
      <c r="AK270" s="232"/>
      <c r="AL270" s="257"/>
    </row>
    <row r="271" spans="2:45" ht="21" customHeight="1">
      <c r="E271" s="232"/>
      <c r="G271" s="232"/>
      <c r="AJ271" s="147"/>
      <c r="AK271" s="232"/>
      <c r="AN271" s="257"/>
    </row>
    <row r="272" spans="2:45" ht="21" customHeight="1">
      <c r="E272" s="232"/>
      <c r="G272" s="232"/>
      <c r="AI272" s="231"/>
      <c r="AJ272" s="147"/>
      <c r="AK272" s="232"/>
    </row>
    <row r="273" spans="2:36" ht="21" customHeight="1">
      <c r="C273" s="147" t="s">
        <v>1710</v>
      </c>
      <c r="AI273" s="254"/>
      <c r="AJ273" s="147"/>
    </row>
    <row r="274" spans="2:36" ht="21" customHeight="1">
      <c r="C274" s="147" t="s">
        <v>1711</v>
      </c>
      <c r="AI274" s="232"/>
      <c r="AJ274" s="147"/>
    </row>
    <row r="275" spans="2:36" ht="21" customHeight="1"/>
    <row r="276" spans="2:36" ht="21" customHeight="1">
      <c r="B276" s="147" t="s">
        <v>2245</v>
      </c>
    </row>
    <row r="277" spans="2:36" ht="21" customHeight="1">
      <c r="C277" s="147" t="s">
        <v>2246</v>
      </c>
    </row>
    <row r="278" spans="2:36">
      <c r="C278" s="147" t="s">
        <v>2247</v>
      </c>
    </row>
    <row r="279" spans="2:36">
      <c r="C279" s="147" t="s">
        <v>2248</v>
      </c>
    </row>
    <row r="280" spans="2:36">
      <c r="C280" s="147" t="s">
        <v>2249</v>
      </c>
    </row>
    <row r="281" spans="2:36">
      <c r="C281" s="147" t="s">
        <v>2250</v>
      </c>
    </row>
    <row r="290" spans="2:48"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</row>
    <row r="291" spans="2:48" s="161" customFormat="1">
      <c r="B291" s="147"/>
      <c r="C291" s="147"/>
      <c r="D291" s="14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</row>
  </sheetData>
  <autoFilter ref="B16:AS253" xr:uid="{6EEA3FBF-6D79-4C58-92F5-A2E3DA5DFE86}">
    <filterColumn colId="0">
      <filters>
        <filter val="02/26"/>
      </filters>
    </filterColumn>
    <filterColumn colId="1">
      <filters>
        <filter val="EMITIR"/>
      </filters>
    </filterColumn>
  </autoFilter>
  <mergeCells count="21">
    <mergeCell ref="F13:F15"/>
    <mergeCell ref="C11:D11"/>
    <mergeCell ref="B13:B15"/>
    <mergeCell ref="C13:C15"/>
    <mergeCell ref="D13:D15"/>
    <mergeCell ref="E13:E15"/>
    <mergeCell ref="AK13:AQ13"/>
    <mergeCell ref="AR13:AR14"/>
    <mergeCell ref="AS13:AS15"/>
    <mergeCell ref="H14:K14"/>
    <mergeCell ref="L14:O14"/>
    <mergeCell ref="Q14:T14"/>
    <mergeCell ref="U14:X14"/>
    <mergeCell ref="Z14:AC14"/>
    <mergeCell ref="AD14:AG14"/>
    <mergeCell ref="AJ13:AJ14"/>
    <mergeCell ref="G13:G15"/>
    <mergeCell ref="H13:P13"/>
    <mergeCell ref="Q13:Y13"/>
    <mergeCell ref="Z13:AH13"/>
    <mergeCell ref="AI13:AI15"/>
  </mergeCells>
  <phoneticPr fontId="26" type="noConversion"/>
  <pageMargins left="0.51181102362204722" right="0.51181102362204722" top="0.51181102362204722" bottom="0.43307086614173229" header="0.31496062992125984" footer="0.15748031496062992"/>
  <pageSetup paperSize="9" scale="82" orientation="landscape" horizontalDpi="300" verticalDpi="300" r:id="rId1"/>
  <headerFooter>
    <oddFooter>&amp;L&amp;10&amp;Z&amp;F</oddFooter>
  </headerFooter>
  <colBreaks count="1" manualBreakCount="1">
    <brk id="23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A2A9-9FE6-40AA-B21A-3701434060C3}">
  <sheetPr filterMode="1"/>
  <dimension ref="B1:AZ271"/>
  <sheetViews>
    <sheetView showGridLines="0" topLeftCell="A6" zoomScale="56" zoomScaleNormal="56" zoomScaleSheetLayoutView="85" workbookViewId="0">
      <pane ySplit="11" topLeftCell="A166" activePane="bottomLeft" state="frozen"/>
      <selection activeCell="A6" sqref="A6"/>
      <selection pane="bottomLeft" activeCell="B171" sqref="B171:D171"/>
    </sheetView>
  </sheetViews>
  <sheetFormatPr defaultColWidth="8.6640625" defaultRowHeight="18"/>
  <cols>
    <col min="1" max="1" width="1.109375" style="147" customWidth="1"/>
    <col min="2" max="2" width="18.33203125" style="147" customWidth="1"/>
    <col min="3" max="3" width="19.33203125" style="147" customWidth="1"/>
    <col min="4" max="4" width="36.33203125" style="147" customWidth="1"/>
    <col min="5" max="6" width="18.44140625" style="147" customWidth="1"/>
    <col min="7" max="7" width="21.33203125" style="147" customWidth="1"/>
    <col min="8" max="8" width="10.6640625" style="147" hidden="1" customWidth="1"/>
    <col min="9" max="9" width="14" style="147" hidden="1" customWidth="1"/>
    <col min="10" max="10" width="10.6640625" style="147" hidden="1" customWidth="1"/>
    <col min="11" max="11" width="14.6640625" style="147" hidden="1" customWidth="1"/>
    <col min="12" max="14" width="10.6640625" style="147" hidden="1" customWidth="1"/>
    <col min="15" max="15" width="15.33203125" style="147" hidden="1" customWidth="1"/>
    <col min="16" max="16" width="18.44140625" style="147" customWidth="1"/>
    <col min="17" max="19" width="10.6640625" style="147" hidden="1" customWidth="1"/>
    <col min="20" max="20" width="15.44140625" style="147" hidden="1" customWidth="1"/>
    <col min="21" max="23" width="10.6640625" style="147" hidden="1" customWidth="1"/>
    <col min="24" max="24" width="14.6640625" style="147" hidden="1" customWidth="1"/>
    <col min="25" max="25" width="18.44140625" style="147" customWidth="1"/>
    <col min="26" max="28" width="10.6640625" style="147" hidden="1" customWidth="1"/>
    <col min="29" max="29" width="13.109375" style="147" hidden="1" customWidth="1"/>
    <col min="30" max="32" width="10.6640625" style="147" hidden="1" customWidth="1"/>
    <col min="33" max="33" width="13.44140625" style="147" hidden="1" customWidth="1"/>
    <col min="34" max="35" width="18.44140625" style="147" customWidth="1"/>
    <col min="36" max="36" width="16.6640625" style="161" hidden="1" customWidth="1"/>
    <col min="37" max="37" width="16.33203125" style="147" customWidth="1"/>
    <col min="38" max="38" width="14.33203125" style="147" customWidth="1"/>
    <col min="39" max="39" width="14.6640625" style="147" customWidth="1"/>
    <col min="40" max="40" width="15.44140625" style="147" customWidth="1"/>
    <col min="41" max="42" width="13.109375" style="147" customWidth="1"/>
    <col min="43" max="43" width="15.44140625" style="147" customWidth="1"/>
    <col min="44" max="45" width="18.6640625" style="147" customWidth="1"/>
    <col min="46" max="46" width="19.5546875" style="147" customWidth="1"/>
    <col min="47" max="47" width="17.6640625" style="147" customWidth="1"/>
    <col min="48" max="49" width="16" style="147" bestFit="1" customWidth="1"/>
    <col min="50" max="50" width="14.5546875" style="147" bestFit="1" customWidth="1"/>
    <col min="51" max="51" width="10.6640625" style="147" bestFit="1" customWidth="1"/>
    <col min="52" max="52" width="16.5546875" style="147" customWidth="1"/>
    <col min="53" max="53" width="17.44140625" style="147" customWidth="1"/>
    <col min="54" max="54" width="13.6640625" style="147" customWidth="1"/>
    <col min="55" max="16384" width="8.6640625" style="147"/>
  </cols>
  <sheetData>
    <row r="1" spans="2:49" hidden="1">
      <c r="B1" s="147" t="s">
        <v>1266</v>
      </c>
      <c r="AJ1" s="147"/>
    </row>
    <row r="2" spans="2:49" hidden="1">
      <c r="B2" s="147" t="s">
        <v>90</v>
      </c>
      <c r="AJ2" s="147"/>
    </row>
    <row r="3" spans="2:49" ht="5.0999999999999996" hidden="1" customHeight="1">
      <c r="C3" s="148"/>
      <c r="AJ3" s="147"/>
    </row>
    <row r="4" spans="2:49" hidden="1">
      <c r="B4" s="149" t="s">
        <v>1665</v>
      </c>
      <c r="C4" s="149"/>
      <c r="D4" s="150" t="s">
        <v>1666</v>
      </c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</row>
    <row r="5" spans="2:49" hidden="1">
      <c r="B5" s="152" t="s">
        <v>1667</v>
      </c>
      <c r="C5" s="152"/>
      <c r="D5" s="153" t="s">
        <v>1668</v>
      </c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</row>
    <row r="6" spans="2:49" ht="5.0999999999999996" customHeight="1">
      <c r="C6" s="148"/>
      <c r="AJ6" s="147"/>
    </row>
    <row r="7" spans="2:49">
      <c r="B7" s="147" t="s">
        <v>17</v>
      </c>
      <c r="C7" s="155" t="s">
        <v>2133</v>
      </c>
      <c r="D7" s="156" t="s">
        <v>1751</v>
      </c>
      <c r="AJ7" s="147"/>
      <c r="AK7" s="157"/>
    </row>
    <row r="8" spans="2:49">
      <c r="B8" s="147" t="s">
        <v>1669</v>
      </c>
      <c r="C8" s="158" t="s">
        <v>1266</v>
      </c>
      <c r="E8" s="161" t="s">
        <v>1750</v>
      </c>
      <c r="F8" s="230" t="s">
        <v>382</v>
      </c>
      <c r="AJ8" s="147"/>
      <c r="AK8" s="157"/>
    </row>
    <row r="9" spans="2:49">
      <c r="B9" s="147" t="s">
        <v>1670</v>
      </c>
      <c r="C9" s="159" t="s">
        <v>1712</v>
      </c>
      <c r="AJ9" s="147"/>
    </row>
    <row r="10" spans="2:49">
      <c r="B10" s="147" t="s">
        <v>1671</v>
      </c>
      <c r="C10" s="158" t="s">
        <v>1190</v>
      </c>
      <c r="AJ10" s="160"/>
      <c r="AK10" s="157"/>
      <c r="AQ10" s="161"/>
      <c r="AR10" s="162"/>
      <c r="AS10" s="162"/>
    </row>
    <row r="11" spans="2:49">
      <c r="B11" s="147" t="s">
        <v>284</v>
      </c>
      <c r="C11" s="1378">
        <f>E179</f>
        <v>108198</v>
      </c>
      <c r="D11" s="1378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4"/>
      <c r="AK11" s="160"/>
    </row>
    <row r="12" spans="2:49">
      <c r="D12" s="165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6"/>
    </row>
    <row r="13" spans="2:49" ht="31.2" customHeight="1">
      <c r="B13" s="1379" t="s">
        <v>1672</v>
      </c>
      <c r="C13" s="1379" t="s">
        <v>1673</v>
      </c>
      <c r="D13" s="1382" t="s">
        <v>87</v>
      </c>
      <c r="E13" s="1385" t="s">
        <v>1674</v>
      </c>
      <c r="F13" s="1376" t="s">
        <v>1675</v>
      </c>
      <c r="G13" s="1350" t="s">
        <v>1676</v>
      </c>
      <c r="H13" s="1352" t="s">
        <v>25</v>
      </c>
      <c r="I13" s="1353"/>
      <c r="J13" s="1353"/>
      <c r="K13" s="1353"/>
      <c r="L13" s="1353"/>
      <c r="M13" s="1353"/>
      <c r="N13" s="1353"/>
      <c r="O13" s="1353"/>
      <c r="P13" s="1354"/>
      <c r="Q13" s="1355" t="s">
        <v>24</v>
      </c>
      <c r="R13" s="1356"/>
      <c r="S13" s="1356"/>
      <c r="T13" s="1356"/>
      <c r="U13" s="1356"/>
      <c r="V13" s="1356"/>
      <c r="W13" s="1356"/>
      <c r="X13" s="1356"/>
      <c r="Y13" s="1357"/>
      <c r="Z13" s="1390" t="s">
        <v>273</v>
      </c>
      <c r="AA13" s="1391"/>
      <c r="AB13" s="1391"/>
      <c r="AC13" s="1391"/>
      <c r="AD13" s="1391"/>
      <c r="AE13" s="1391"/>
      <c r="AF13" s="1391"/>
      <c r="AG13" s="1391"/>
      <c r="AH13" s="1392"/>
      <c r="AI13" s="1361" t="s">
        <v>2052</v>
      </c>
      <c r="AJ13" s="1361" t="s">
        <v>1677</v>
      </c>
      <c r="AK13" s="1363" t="s">
        <v>1678</v>
      </c>
      <c r="AL13" s="1364"/>
      <c r="AM13" s="1364"/>
      <c r="AN13" s="1364"/>
      <c r="AO13" s="1364"/>
      <c r="AP13" s="1364"/>
      <c r="AQ13" s="1364"/>
      <c r="AR13" s="1365"/>
      <c r="AS13" s="1366" t="s">
        <v>1679</v>
      </c>
      <c r="AT13" s="1368" t="s">
        <v>1680</v>
      </c>
    </row>
    <row r="14" spans="2:49" s="172" customFormat="1">
      <c r="B14" s="1380"/>
      <c r="C14" s="1380"/>
      <c r="D14" s="1383"/>
      <c r="E14" s="1386"/>
      <c r="F14" s="1377"/>
      <c r="G14" s="1351"/>
      <c r="H14" s="1370" t="s">
        <v>1681</v>
      </c>
      <c r="I14" s="1371"/>
      <c r="J14" s="1371"/>
      <c r="K14" s="1372"/>
      <c r="L14" s="1370" t="s">
        <v>1682</v>
      </c>
      <c r="M14" s="1371"/>
      <c r="N14" s="1371"/>
      <c r="O14" s="1372"/>
      <c r="P14" s="169" t="s">
        <v>284</v>
      </c>
      <c r="Q14" s="1373" t="s">
        <v>1681</v>
      </c>
      <c r="R14" s="1374"/>
      <c r="S14" s="1374"/>
      <c r="T14" s="1375"/>
      <c r="U14" s="1373" t="s">
        <v>1682</v>
      </c>
      <c r="V14" s="1374"/>
      <c r="W14" s="1374"/>
      <c r="X14" s="1375"/>
      <c r="Y14" s="169" t="s">
        <v>284</v>
      </c>
      <c r="Z14" s="1358" t="s">
        <v>1681</v>
      </c>
      <c r="AA14" s="1359"/>
      <c r="AB14" s="1359"/>
      <c r="AC14" s="1360"/>
      <c r="AD14" s="1358" t="s">
        <v>1682</v>
      </c>
      <c r="AE14" s="1359"/>
      <c r="AF14" s="1359"/>
      <c r="AG14" s="1360"/>
      <c r="AH14" s="167" t="s">
        <v>284</v>
      </c>
      <c r="AI14" s="1362"/>
      <c r="AJ14" s="1362"/>
      <c r="AK14" s="170" t="s">
        <v>1789</v>
      </c>
      <c r="AL14" s="170" t="s">
        <v>1713</v>
      </c>
      <c r="AM14" s="170" t="s">
        <v>1714</v>
      </c>
      <c r="AN14" s="170" t="s">
        <v>1715</v>
      </c>
      <c r="AO14" s="170" t="s">
        <v>1716</v>
      </c>
      <c r="AP14" s="1388" t="s">
        <v>1688</v>
      </c>
      <c r="AQ14" s="1389"/>
      <c r="AR14" s="171" t="s">
        <v>284</v>
      </c>
      <c r="AS14" s="1367"/>
      <c r="AT14" s="1369"/>
      <c r="AV14" s="147"/>
      <c r="AW14" s="147"/>
    </row>
    <row r="15" spans="2:49" s="172" customFormat="1">
      <c r="B15" s="1381"/>
      <c r="C15" s="1381"/>
      <c r="D15" s="1384"/>
      <c r="E15" s="1387"/>
      <c r="F15" s="1377"/>
      <c r="G15" s="1351"/>
      <c r="H15" s="168" t="s">
        <v>1689</v>
      </c>
      <c r="I15" s="173" t="s">
        <v>1690</v>
      </c>
      <c r="J15" s="173" t="s">
        <v>1691</v>
      </c>
      <c r="K15" s="174" t="s">
        <v>284</v>
      </c>
      <c r="L15" s="173" t="s">
        <v>1689</v>
      </c>
      <c r="M15" s="173" t="s">
        <v>1690</v>
      </c>
      <c r="N15" s="173" t="s">
        <v>1691</v>
      </c>
      <c r="O15" s="174" t="s">
        <v>284</v>
      </c>
      <c r="P15" s="169"/>
      <c r="Q15" s="175" t="s">
        <v>1689</v>
      </c>
      <c r="R15" s="175" t="s">
        <v>1690</v>
      </c>
      <c r="S15" s="175" t="s">
        <v>1691</v>
      </c>
      <c r="T15" s="174" t="s">
        <v>284</v>
      </c>
      <c r="U15" s="175" t="s">
        <v>1689</v>
      </c>
      <c r="V15" s="175" t="s">
        <v>1690</v>
      </c>
      <c r="W15" s="175" t="s">
        <v>1691</v>
      </c>
      <c r="X15" s="174" t="s">
        <v>284</v>
      </c>
      <c r="Y15" s="169"/>
      <c r="Z15" s="176" t="s">
        <v>1689</v>
      </c>
      <c r="AA15" s="176" t="s">
        <v>1690</v>
      </c>
      <c r="AB15" s="176" t="s">
        <v>1692</v>
      </c>
      <c r="AC15" s="177" t="s">
        <v>284</v>
      </c>
      <c r="AD15" s="176" t="s">
        <v>1689</v>
      </c>
      <c r="AE15" s="176" t="s">
        <v>1690</v>
      </c>
      <c r="AF15" s="176" t="s">
        <v>1692</v>
      </c>
      <c r="AG15" s="177" t="s">
        <v>284</v>
      </c>
      <c r="AH15" s="178"/>
      <c r="AI15" s="1362"/>
      <c r="AJ15" s="178" t="s">
        <v>1693</v>
      </c>
      <c r="AK15" s="179">
        <v>0.11</v>
      </c>
      <c r="AL15" s="180">
        <v>0</v>
      </c>
      <c r="AM15" s="180">
        <v>0</v>
      </c>
      <c r="AN15" s="180">
        <v>0</v>
      </c>
      <c r="AO15" s="180">
        <v>0</v>
      </c>
      <c r="AP15" s="180" t="s">
        <v>1693</v>
      </c>
      <c r="AQ15" s="180" t="s">
        <v>1717</v>
      </c>
      <c r="AR15" s="181">
        <f>SUBTOTAL(9,AL15:AQ15)</f>
        <v>0</v>
      </c>
      <c r="AS15" s="182">
        <f>AK15+AR15</f>
        <v>0.11</v>
      </c>
      <c r="AT15" s="1369"/>
      <c r="AV15" s="147"/>
      <c r="AW15" s="147"/>
    </row>
    <row r="16" spans="2:49" s="172" customFormat="1" ht="11.4" customHeight="1">
      <c r="B16" s="183"/>
      <c r="C16" s="183"/>
      <c r="D16" s="184"/>
      <c r="E16" s="185"/>
      <c r="F16" s="186"/>
      <c r="G16" s="187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9"/>
      <c r="AJ16" s="188"/>
      <c r="AK16" s="190"/>
      <c r="AL16" s="191"/>
      <c r="AM16" s="191"/>
      <c r="AN16" s="191"/>
      <c r="AO16" s="191"/>
      <c r="AP16" s="191"/>
      <c r="AQ16" s="191"/>
      <c r="AR16" s="202">
        <f t="shared" ref="AR16:AR34" si="0">AL16+AM16+AN16+AO16+AQ16</f>
        <v>0</v>
      </c>
      <c r="AS16" s="193"/>
      <c r="AT16" s="188"/>
      <c r="AV16" s="147"/>
    </row>
    <row r="17" spans="2:50" s="131" customFormat="1" ht="18" hidden="1" customHeight="1">
      <c r="B17" s="194" t="s">
        <v>1143</v>
      </c>
      <c r="C17" s="194" t="s">
        <v>1718</v>
      </c>
      <c r="D17" s="195" t="s">
        <v>49</v>
      </c>
      <c r="E17" s="196">
        <v>27970</v>
      </c>
      <c r="F17" s="196">
        <v>4247</v>
      </c>
      <c r="G17" s="196">
        <v>2550</v>
      </c>
      <c r="H17" s="197">
        <v>2</v>
      </c>
      <c r="I17" s="196">
        <v>24</v>
      </c>
      <c r="J17" s="197">
        <v>26</v>
      </c>
      <c r="K17" s="198">
        <f t="shared" ref="K17:K38" si="1">H17*I17*J17</f>
        <v>1248</v>
      </c>
      <c r="L17" s="197">
        <v>4</v>
      </c>
      <c r="M17" s="196">
        <v>16</v>
      </c>
      <c r="N17" s="197">
        <v>16</v>
      </c>
      <c r="O17" s="198">
        <f t="shared" ref="O17:O38" si="2">L17*M17*N17</f>
        <v>1024</v>
      </c>
      <c r="P17" s="199">
        <f t="shared" ref="P17:P38" si="3">K17+O17</f>
        <v>2272</v>
      </c>
      <c r="Q17" s="197">
        <v>2</v>
      </c>
      <c r="R17" s="196">
        <v>42.5</v>
      </c>
      <c r="S17" s="197">
        <v>26</v>
      </c>
      <c r="T17" s="198">
        <f t="shared" ref="T17:T38" si="4">Q17*R17*S17</f>
        <v>2210</v>
      </c>
      <c r="U17" s="197">
        <v>4</v>
      </c>
      <c r="V17" s="196">
        <v>42.5</v>
      </c>
      <c r="W17" s="207">
        <v>16</v>
      </c>
      <c r="X17" s="198">
        <f t="shared" ref="X17:X38" si="5">U17*V17*W17</f>
        <v>2720</v>
      </c>
      <c r="Y17" s="200">
        <f t="shared" ref="Y17:Y38" si="6">T17+X17</f>
        <v>4930</v>
      </c>
      <c r="Z17" s="197">
        <v>2</v>
      </c>
      <c r="AA17" s="196">
        <v>80</v>
      </c>
      <c r="AB17" s="197">
        <v>1</v>
      </c>
      <c r="AC17" s="198">
        <f t="shared" ref="AC17:AC38" si="7">Z17*AA17*AB17</f>
        <v>160</v>
      </c>
      <c r="AD17" s="197">
        <v>4</v>
      </c>
      <c r="AE17" s="196">
        <v>90</v>
      </c>
      <c r="AF17" s="197">
        <v>1</v>
      </c>
      <c r="AG17" s="198">
        <f t="shared" ref="AG17:AG38" si="8">AD17*AE17*AF17</f>
        <v>360</v>
      </c>
      <c r="AH17" s="200">
        <f t="shared" ref="AH17:AH38" si="9">AC17+AG17</f>
        <v>520</v>
      </c>
      <c r="AI17" s="199">
        <f t="shared" ref="AI17:AI37" si="10">F17+G17+P17+Y17+AH17</f>
        <v>14519</v>
      </c>
      <c r="AJ17" s="201">
        <f t="shared" ref="AJ17:AJ36" si="11">AI17/E17</f>
        <v>0.51909188416160168</v>
      </c>
      <c r="AK17" s="196">
        <f>(E17-AI17)*$AK$15</f>
        <v>1479.61</v>
      </c>
      <c r="AL17" s="196">
        <v>0</v>
      </c>
      <c r="AM17" s="196">
        <v>0</v>
      </c>
      <c r="AN17" s="196">
        <v>0</v>
      </c>
      <c r="AO17" s="196">
        <v>0</v>
      </c>
      <c r="AP17" s="247">
        <v>0.05</v>
      </c>
      <c r="AQ17" s="196">
        <f t="shared" ref="AQ17:AQ34" si="12">AP17*E17</f>
        <v>1398.5</v>
      </c>
      <c r="AR17" s="202">
        <f t="shared" si="0"/>
        <v>1398.5</v>
      </c>
      <c r="AS17" s="202">
        <f t="shared" ref="AS17:AS38" si="13">AK17+AR17</f>
        <v>2878.1099999999997</v>
      </c>
      <c r="AT17" s="203">
        <f t="shared" ref="AT17:AT38" si="14">E17-AS17</f>
        <v>25091.89</v>
      </c>
      <c r="AV17" s="204"/>
    </row>
    <row r="18" spans="2:50" s="131" customFormat="1" ht="18" hidden="1" customHeight="1">
      <c r="B18" s="194" t="s">
        <v>1143</v>
      </c>
      <c r="C18" s="194" t="s">
        <v>1719</v>
      </c>
      <c r="D18" s="195" t="s">
        <v>1720</v>
      </c>
      <c r="E18" s="196">
        <v>28630</v>
      </c>
      <c r="F18" s="196">
        <v>4563.5</v>
      </c>
      <c r="G18" s="196">
        <v>2550</v>
      </c>
      <c r="H18" s="197">
        <v>2</v>
      </c>
      <c r="I18" s="196">
        <v>24</v>
      </c>
      <c r="J18" s="197">
        <v>26</v>
      </c>
      <c r="K18" s="198">
        <f t="shared" si="1"/>
        <v>1248</v>
      </c>
      <c r="L18" s="197">
        <v>4</v>
      </c>
      <c r="M18" s="196">
        <v>16</v>
      </c>
      <c r="N18" s="197">
        <v>16</v>
      </c>
      <c r="O18" s="198">
        <f t="shared" si="2"/>
        <v>1024</v>
      </c>
      <c r="P18" s="199">
        <f t="shared" si="3"/>
        <v>2272</v>
      </c>
      <c r="Q18" s="197">
        <v>2</v>
      </c>
      <c r="R18" s="196">
        <v>42.5</v>
      </c>
      <c r="S18" s="197">
        <v>26</v>
      </c>
      <c r="T18" s="198">
        <f t="shared" si="4"/>
        <v>2210</v>
      </c>
      <c r="U18" s="197">
        <v>4</v>
      </c>
      <c r="V18" s="196">
        <v>42.5</v>
      </c>
      <c r="W18" s="207">
        <v>16</v>
      </c>
      <c r="X18" s="198">
        <f t="shared" si="5"/>
        <v>2720</v>
      </c>
      <c r="Y18" s="200">
        <f t="shared" si="6"/>
        <v>4930</v>
      </c>
      <c r="Z18" s="197">
        <v>2</v>
      </c>
      <c r="AA18" s="196">
        <v>80</v>
      </c>
      <c r="AB18" s="197">
        <v>1</v>
      </c>
      <c r="AC18" s="198">
        <f t="shared" si="7"/>
        <v>160</v>
      </c>
      <c r="AD18" s="197">
        <v>4</v>
      </c>
      <c r="AE18" s="196">
        <v>90</v>
      </c>
      <c r="AF18" s="197">
        <v>1</v>
      </c>
      <c r="AG18" s="198">
        <f t="shared" si="8"/>
        <v>360</v>
      </c>
      <c r="AH18" s="200">
        <f t="shared" si="9"/>
        <v>520</v>
      </c>
      <c r="AI18" s="199">
        <f t="shared" si="10"/>
        <v>14835.5</v>
      </c>
      <c r="AJ18" s="201">
        <f t="shared" si="11"/>
        <v>0.51818023052741879</v>
      </c>
      <c r="AK18" s="196">
        <f t="shared" ref="AK18:AK35" si="15">(E18-AI18)*$AK$15</f>
        <v>1517.395</v>
      </c>
      <c r="AL18" s="196">
        <v>0</v>
      </c>
      <c r="AM18" s="196">
        <v>0</v>
      </c>
      <c r="AN18" s="196">
        <v>0</v>
      </c>
      <c r="AO18" s="196">
        <v>0</v>
      </c>
      <c r="AP18" s="247">
        <v>0.05</v>
      </c>
      <c r="AQ18" s="196">
        <f t="shared" si="12"/>
        <v>1431.5</v>
      </c>
      <c r="AR18" s="202">
        <f t="shared" si="0"/>
        <v>1431.5</v>
      </c>
      <c r="AS18" s="202">
        <f t="shared" si="13"/>
        <v>2948.895</v>
      </c>
      <c r="AT18" s="203">
        <f t="shared" si="14"/>
        <v>25681.105</v>
      </c>
      <c r="AV18" s="206"/>
      <c r="AW18" s="204"/>
    </row>
    <row r="19" spans="2:50" s="131" customFormat="1" ht="18" hidden="1" customHeight="1">
      <c r="B19" s="194" t="s">
        <v>1152</v>
      </c>
      <c r="C19" s="194" t="s">
        <v>1721</v>
      </c>
      <c r="D19" s="195" t="s">
        <v>49</v>
      </c>
      <c r="E19" s="196">
        <v>29976</v>
      </c>
      <c r="F19" s="196">
        <v>5288.3</v>
      </c>
      <c r="G19" s="196">
        <v>2550</v>
      </c>
      <c r="H19" s="197">
        <v>2</v>
      </c>
      <c r="I19" s="196">
        <v>24</v>
      </c>
      <c r="J19" s="197">
        <v>26</v>
      </c>
      <c r="K19" s="198">
        <f t="shared" si="1"/>
        <v>1248</v>
      </c>
      <c r="L19" s="197">
        <v>4</v>
      </c>
      <c r="M19" s="196">
        <v>16</v>
      </c>
      <c r="N19" s="197">
        <v>16</v>
      </c>
      <c r="O19" s="198">
        <f t="shared" si="2"/>
        <v>1024</v>
      </c>
      <c r="P19" s="199">
        <f t="shared" si="3"/>
        <v>2272</v>
      </c>
      <c r="Q19" s="197">
        <v>2</v>
      </c>
      <c r="R19" s="196">
        <v>42.5</v>
      </c>
      <c r="S19" s="197">
        <v>26</v>
      </c>
      <c r="T19" s="198">
        <f t="shared" si="4"/>
        <v>2210</v>
      </c>
      <c r="U19" s="197">
        <v>4</v>
      </c>
      <c r="V19" s="196">
        <v>42.5</v>
      </c>
      <c r="W19" s="207">
        <v>16</v>
      </c>
      <c r="X19" s="198">
        <f t="shared" si="5"/>
        <v>2720</v>
      </c>
      <c r="Y19" s="200">
        <f t="shared" si="6"/>
        <v>4930</v>
      </c>
      <c r="Z19" s="197">
        <v>2</v>
      </c>
      <c r="AA19" s="196">
        <v>80</v>
      </c>
      <c r="AB19" s="197">
        <v>1</v>
      </c>
      <c r="AC19" s="198">
        <f t="shared" si="7"/>
        <v>160</v>
      </c>
      <c r="AD19" s="197">
        <v>4</v>
      </c>
      <c r="AE19" s="196">
        <v>90</v>
      </c>
      <c r="AF19" s="197">
        <v>1</v>
      </c>
      <c r="AG19" s="198">
        <f t="shared" si="8"/>
        <v>360</v>
      </c>
      <c r="AH19" s="200">
        <f t="shared" si="9"/>
        <v>520</v>
      </c>
      <c r="AI19" s="199">
        <f t="shared" si="10"/>
        <v>15560.3</v>
      </c>
      <c r="AJ19" s="201">
        <f t="shared" si="11"/>
        <v>0.51909194021884175</v>
      </c>
      <c r="AK19" s="196">
        <f t="shared" si="15"/>
        <v>1585.7270000000001</v>
      </c>
      <c r="AL19" s="196">
        <v>0</v>
      </c>
      <c r="AM19" s="196">
        <v>0</v>
      </c>
      <c r="AN19" s="196">
        <v>0</v>
      </c>
      <c r="AO19" s="196">
        <v>0</v>
      </c>
      <c r="AP19" s="247">
        <v>0.05</v>
      </c>
      <c r="AQ19" s="196">
        <f t="shared" si="12"/>
        <v>1498.8000000000002</v>
      </c>
      <c r="AR19" s="202">
        <f t="shared" si="0"/>
        <v>1498.8000000000002</v>
      </c>
      <c r="AS19" s="202">
        <f t="shared" si="13"/>
        <v>3084.527</v>
      </c>
      <c r="AT19" s="203">
        <f t="shared" si="14"/>
        <v>26891.472999999998</v>
      </c>
      <c r="AV19" s="204"/>
    </row>
    <row r="20" spans="2:50" s="131" customFormat="1" ht="18" hidden="1" customHeight="1">
      <c r="B20" s="194" t="s">
        <v>1152</v>
      </c>
      <c r="C20" s="194" t="s">
        <v>1722</v>
      </c>
      <c r="D20" s="195" t="s">
        <v>1720</v>
      </c>
      <c r="E20" s="196">
        <v>30680</v>
      </c>
      <c r="F20" s="196">
        <v>5625.8</v>
      </c>
      <c r="G20" s="196">
        <v>2550</v>
      </c>
      <c r="H20" s="197">
        <v>2</v>
      </c>
      <c r="I20" s="196">
        <v>24</v>
      </c>
      <c r="J20" s="197">
        <v>26</v>
      </c>
      <c r="K20" s="198">
        <f t="shared" si="1"/>
        <v>1248</v>
      </c>
      <c r="L20" s="197">
        <v>4</v>
      </c>
      <c r="M20" s="196">
        <v>16</v>
      </c>
      <c r="N20" s="197">
        <v>16</v>
      </c>
      <c r="O20" s="198">
        <f t="shared" si="2"/>
        <v>1024</v>
      </c>
      <c r="P20" s="199">
        <f t="shared" si="3"/>
        <v>2272</v>
      </c>
      <c r="Q20" s="197">
        <v>2</v>
      </c>
      <c r="R20" s="196">
        <v>42.5</v>
      </c>
      <c r="S20" s="197">
        <v>26</v>
      </c>
      <c r="T20" s="198">
        <f t="shared" si="4"/>
        <v>2210</v>
      </c>
      <c r="U20" s="197">
        <v>4</v>
      </c>
      <c r="V20" s="196">
        <v>42.5</v>
      </c>
      <c r="W20" s="207">
        <v>16</v>
      </c>
      <c r="X20" s="198">
        <f t="shared" si="5"/>
        <v>2720</v>
      </c>
      <c r="Y20" s="200">
        <f t="shared" si="6"/>
        <v>4930</v>
      </c>
      <c r="Z20" s="197">
        <v>2</v>
      </c>
      <c r="AA20" s="196">
        <v>80</v>
      </c>
      <c r="AB20" s="197">
        <v>1</v>
      </c>
      <c r="AC20" s="198">
        <f t="shared" si="7"/>
        <v>160</v>
      </c>
      <c r="AD20" s="197">
        <v>4</v>
      </c>
      <c r="AE20" s="196">
        <v>90</v>
      </c>
      <c r="AF20" s="197">
        <v>1</v>
      </c>
      <c r="AG20" s="198">
        <f t="shared" si="8"/>
        <v>360</v>
      </c>
      <c r="AH20" s="200">
        <f t="shared" si="9"/>
        <v>520</v>
      </c>
      <c r="AI20" s="199">
        <f t="shared" si="10"/>
        <v>15897.8</v>
      </c>
      <c r="AJ20" s="201">
        <f t="shared" si="11"/>
        <v>0.51818122555410684</v>
      </c>
      <c r="AK20" s="196">
        <f t="shared" si="15"/>
        <v>1626.0420000000001</v>
      </c>
      <c r="AL20" s="196">
        <v>0</v>
      </c>
      <c r="AM20" s="196">
        <v>0</v>
      </c>
      <c r="AN20" s="196">
        <v>0</v>
      </c>
      <c r="AO20" s="196">
        <v>0</v>
      </c>
      <c r="AP20" s="247">
        <v>0.05</v>
      </c>
      <c r="AQ20" s="196">
        <f t="shared" si="12"/>
        <v>1534</v>
      </c>
      <c r="AR20" s="202">
        <f t="shared" si="0"/>
        <v>1534</v>
      </c>
      <c r="AS20" s="202">
        <f t="shared" si="13"/>
        <v>3160.0420000000004</v>
      </c>
      <c r="AT20" s="203">
        <f t="shared" si="14"/>
        <v>27519.957999999999</v>
      </c>
      <c r="AV20" s="206"/>
      <c r="AW20" s="204"/>
    </row>
    <row r="21" spans="2:50" s="131" customFormat="1" ht="18" hidden="1" customHeight="1">
      <c r="B21" s="194" t="s">
        <v>1152</v>
      </c>
      <c r="C21" s="194" t="s">
        <v>1723</v>
      </c>
      <c r="D21" s="195" t="s">
        <v>49</v>
      </c>
      <c r="E21" s="196">
        <v>2006</v>
      </c>
      <c r="F21" s="196">
        <v>1041.3</v>
      </c>
      <c r="G21" s="196">
        <v>0</v>
      </c>
      <c r="H21" s="197">
        <v>0</v>
      </c>
      <c r="I21" s="196">
        <v>0</v>
      </c>
      <c r="J21" s="197">
        <v>0</v>
      </c>
      <c r="K21" s="198">
        <f t="shared" si="1"/>
        <v>0</v>
      </c>
      <c r="L21" s="197">
        <v>0</v>
      </c>
      <c r="M21" s="196">
        <v>0</v>
      </c>
      <c r="N21" s="197">
        <v>0</v>
      </c>
      <c r="O21" s="198">
        <f t="shared" si="2"/>
        <v>0</v>
      </c>
      <c r="P21" s="199">
        <f t="shared" si="3"/>
        <v>0</v>
      </c>
      <c r="Q21" s="197">
        <v>0</v>
      </c>
      <c r="R21" s="196">
        <v>0</v>
      </c>
      <c r="S21" s="197">
        <v>0</v>
      </c>
      <c r="T21" s="198">
        <f t="shared" si="4"/>
        <v>0</v>
      </c>
      <c r="U21" s="197">
        <v>0</v>
      </c>
      <c r="V21" s="196">
        <v>0</v>
      </c>
      <c r="W21" s="207">
        <v>0</v>
      </c>
      <c r="X21" s="198">
        <f t="shared" si="5"/>
        <v>0</v>
      </c>
      <c r="Y21" s="200">
        <f t="shared" si="6"/>
        <v>0</v>
      </c>
      <c r="Z21" s="197">
        <v>0</v>
      </c>
      <c r="AA21" s="196">
        <v>0</v>
      </c>
      <c r="AB21" s="197">
        <v>0</v>
      </c>
      <c r="AC21" s="198">
        <f t="shared" si="7"/>
        <v>0</v>
      </c>
      <c r="AD21" s="197">
        <v>0</v>
      </c>
      <c r="AE21" s="196">
        <v>0</v>
      </c>
      <c r="AF21" s="197">
        <v>0</v>
      </c>
      <c r="AG21" s="198">
        <f t="shared" si="8"/>
        <v>0</v>
      </c>
      <c r="AH21" s="200">
        <f t="shared" si="9"/>
        <v>0</v>
      </c>
      <c r="AI21" s="199">
        <f t="shared" si="10"/>
        <v>1041.3</v>
      </c>
      <c r="AJ21" s="201">
        <f t="shared" si="11"/>
        <v>0.51909272183449651</v>
      </c>
      <c r="AK21" s="196">
        <f t="shared" si="15"/>
        <v>106.117</v>
      </c>
      <c r="AL21" s="196">
        <v>0</v>
      </c>
      <c r="AM21" s="196">
        <v>0</v>
      </c>
      <c r="AN21" s="196">
        <v>0</v>
      </c>
      <c r="AO21" s="196">
        <v>0</v>
      </c>
      <c r="AP21" s="247">
        <v>0.05</v>
      </c>
      <c r="AQ21" s="196">
        <f t="shared" si="12"/>
        <v>100.30000000000001</v>
      </c>
      <c r="AR21" s="202">
        <f t="shared" si="0"/>
        <v>100.30000000000001</v>
      </c>
      <c r="AS21" s="202">
        <f t="shared" si="13"/>
        <v>206.41700000000003</v>
      </c>
      <c r="AT21" s="203">
        <f t="shared" si="14"/>
        <v>1799.5830000000001</v>
      </c>
      <c r="AV21" s="204"/>
      <c r="AW21" s="205"/>
    </row>
    <row r="22" spans="2:50" s="131" customFormat="1" ht="18" hidden="1" customHeight="1">
      <c r="B22" s="194" t="s">
        <v>1152</v>
      </c>
      <c r="C22" s="194" t="s">
        <v>1724</v>
      </c>
      <c r="D22" s="195" t="s">
        <v>1720</v>
      </c>
      <c r="E22" s="196">
        <v>2050</v>
      </c>
      <c r="F22" s="196">
        <v>1062.3</v>
      </c>
      <c r="G22" s="196">
        <v>0</v>
      </c>
      <c r="H22" s="197">
        <v>0</v>
      </c>
      <c r="I22" s="196">
        <v>0</v>
      </c>
      <c r="J22" s="197">
        <v>0</v>
      </c>
      <c r="K22" s="198">
        <f t="shared" si="1"/>
        <v>0</v>
      </c>
      <c r="L22" s="197">
        <v>0</v>
      </c>
      <c r="M22" s="196">
        <v>0</v>
      </c>
      <c r="N22" s="197">
        <v>0</v>
      </c>
      <c r="O22" s="198">
        <f t="shared" si="2"/>
        <v>0</v>
      </c>
      <c r="P22" s="199">
        <f t="shared" si="3"/>
        <v>0</v>
      </c>
      <c r="Q22" s="197">
        <v>0</v>
      </c>
      <c r="R22" s="196">
        <v>0</v>
      </c>
      <c r="S22" s="197">
        <v>0</v>
      </c>
      <c r="T22" s="198">
        <f t="shared" si="4"/>
        <v>0</v>
      </c>
      <c r="U22" s="197">
        <v>0</v>
      </c>
      <c r="V22" s="196">
        <v>0</v>
      </c>
      <c r="W22" s="207">
        <v>0</v>
      </c>
      <c r="X22" s="198">
        <f t="shared" si="5"/>
        <v>0</v>
      </c>
      <c r="Y22" s="200">
        <f t="shared" si="6"/>
        <v>0</v>
      </c>
      <c r="Z22" s="197">
        <v>0</v>
      </c>
      <c r="AA22" s="196">
        <v>0</v>
      </c>
      <c r="AB22" s="197">
        <v>0</v>
      </c>
      <c r="AC22" s="198">
        <f t="shared" si="7"/>
        <v>0</v>
      </c>
      <c r="AD22" s="197">
        <v>0</v>
      </c>
      <c r="AE22" s="196">
        <v>0</v>
      </c>
      <c r="AF22" s="197">
        <v>0</v>
      </c>
      <c r="AG22" s="198">
        <f t="shared" si="8"/>
        <v>0</v>
      </c>
      <c r="AH22" s="200">
        <f t="shared" si="9"/>
        <v>0</v>
      </c>
      <c r="AI22" s="199">
        <f t="shared" si="10"/>
        <v>1062.3</v>
      </c>
      <c r="AJ22" s="201">
        <f t="shared" si="11"/>
        <v>0.51819512195121953</v>
      </c>
      <c r="AK22" s="196">
        <f t="shared" si="15"/>
        <v>108.64700000000001</v>
      </c>
      <c r="AL22" s="196">
        <v>0</v>
      </c>
      <c r="AM22" s="196">
        <v>0</v>
      </c>
      <c r="AN22" s="196">
        <v>0</v>
      </c>
      <c r="AO22" s="196">
        <v>0</v>
      </c>
      <c r="AP22" s="247">
        <v>0.05</v>
      </c>
      <c r="AQ22" s="196">
        <f t="shared" si="12"/>
        <v>102.5</v>
      </c>
      <c r="AR22" s="202">
        <f t="shared" si="0"/>
        <v>102.5</v>
      </c>
      <c r="AS22" s="202">
        <f t="shared" si="13"/>
        <v>211.14699999999999</v>
      </c>
      <c r="AT22" s="203">
        <f t="shared" si="14"/>
        <v>1838.8530000000001</v>
      </c>
      <c r="AV22" s="204"/>
      <c r="AW22" s="205"/>
    </row>
    <row r="23" spans="2:50" s="131" customFormat="1" ht="18" hidden="1" customHeight="1">
      <c r="B23" s="194" t="s">
        <v>1171</v>
      </c>
      <c r="C23" s="194" t="s">
        <v>1725</v>
      </c>
      <c r="D23" s="195" t="s">
        <v>49</v>
      </c>
      <c r="E23" s="196">
        <v>29976</v>
      </c>
      <c r="F23" s="196">
        <v>5288.3</v>
      </c>
      <c r="G23" s="196">
        <v>2550</v>
      </c>
      <c r="H23" s="197">
        <v>2</v>
      </c>
      <c r="I23" s="196">
        <v>24</v>
      </c>
      <c r="J23" s="197">
        <v>26</v>
      </c>
      <c r="K23" s="198">
        <f t="shared" si="1"/>
        <v>1248</v>
      </c>
      <c r="L23" s="197">
        <v>4</v>
      </c>
      <c r="M23" s="196">
        <v>16</v>
      </c>
      <c r="N23" s="197">
        <v>16</v>
      </c>
      <c r="O23" s="198">
        <f t="shared" si="2"/>
        <v>1024</v>
      </c>
      <c r="P23" s="199">
        <f t="shared" si="3"/>
        <v>2272</v>
      </c>
      <c r="Q23" s="197">
        <v>2</v>
      </c>
      <c r="R23" s="196">
        <v>42.5</v>
      </c>
      <c r="S23" s="197">
        <v>26</v>
      </c>
      <c r="T23" s="198">
        <f t="shared" si="4"/>
        <v>2210</v>
      </c>
      <c r="U23" s="197">
        <v>4</v>
      </c>
      <c r="V23" s="196">
        <v>42.5</v>
      </c>
      <c r="W23" s="207">
        <v>16</v>
      </c>
      <c r="X23" s="198">
        <f t="shared" si="5"/>
        <v>2720</v>
      </c>
      <c r="Y23" s="200">
        <f t="shared" si="6"/>
        <v>4930</v>
      </c>
      <c r="Z23" s="197">
        <v>2</v>
      </c>
      <c r="AA23" s="196">
        <v>80</v>
      </c>
      <c r="AB23" s="197">
        <v>1</v>
      </c>
      <c r="AC23" s="198">
        <f t="shared" si="7"/>
        <v>160</v>
      </c>
      <c r="AD23" s="197">
        <v>4</v>
      </c>
      <c r="AE23" s="196">
        <v>90</v>
      </c>
      <c r="AF23" s="197">
        <v>1</v>
      </c>
      <c r="AG23" s="198">
        <f t="shared" si="8"/>
        <v>360</v>
      </c>
      <c r="AH23" s="200">
        <f t="shared" si="9"/>
        <v>520</v>
      </c>
      <c r="AI23" s="199">
        <f t="shared" si="10"/>
        <v>15560.3</v>
      </c>
      <c r="AJ23" s="201">
        <f t="shared" si="11"/>
        <v>0.51909194021884175</v>
      </c>
      <c r="AK23" s="196">
        <f t="shared" si="15"/>
        <v>1585.7270000000001</v>
      </c>
      <c r="AL23" s="196">
        <v>0</v>
      </c>
      <c r="AM23" s="196">
        <v>0</v>
      </c>
      <c r="AN23" s="196">
        <v>0</v>
      </c>
      <c r="AO23" s="196">
        <v>0</v>
      </c>
      <c r="AP23" s="247">
        <v>0.05</v>
      </c>
      <c r="AQ23" s="196">
        <f t="shared" si="12"/>
        <v>1498.8000000000002</v>
      </c>
      <c r="AR23" s="202">
        <f t="shared" si="0"/>
        <v>1498.8000000000002</v>
      </c>
      <c r="AS23" s="202">
        <f t="shared" si="13"/>
        <v>3084.527</v>
      </c>
      <c r="AT23" s="203">
        <f t="shared" si="14"/>
        <v>26891.472999999998</v>
      </c>
      <c r="AV23" s="204"/>
    </row>
    <row r="24" spans="2:50" s="131" customFormat="1" ht="18" hidden="1" customHeight="1">
      <c r="B24" s="194" t="s">
        <v>1171</v>
      </c>
      <c r="C24" s="194" t="s">
        <v>1726</v>
      </c>
      <c r="D24" s="195" t="s">
        <v>1720</v>
      </c>
      <c r="E24" s="196">
        <v>30680</v>
      </c>
      <c r="F24" s="196">
        <v>5625.8</v>
      </c>
      <c r="G24" s="196">
        <v>2550</v>
      </c>
      <c r="H24" s="197">
        <v>2</v>
      </c>
      <c r="I24" s="196">
        <v>24</v>
      </c>
      <c r="J24" s="197">
        <v>26</v>
      </c>
      <c r="K24" s="198">
        <f t="shared" si="1"/>
        <v>1248</v>
      </c>
      <c r="L24" s="197">
        <v>4</v>
      </c>
      <c r="M24" s="196">
        <v>16</v>
      </c>
      <c r="N24" s="197">
        <v>16</v>
      </c>
      <c r="O24" s="198">
        <f t="shared" si="2"/>
        <v>1024</v>
      </c>
      <c r="P24" s="199">
        <f t="shared" si="3"/>
        <v>2272</v>
      </c>
      <c r="Q24" s="197">
        <v>2</v>
      </c>
      <c r="R24" s="196">
        <v>42.5</v>
      </c>
      <c r="S24" s="197">
        <v>26</v>
      </c>
      <c r="T24" s="198">
        <f t="shared" si="4"/>
        <v>2210</v>
      </c>
      <c r="U24" s="197">
        <v>4</v>
      </c>
      <c r="V24" s="196">
        <v>42.5</v>
      </c>
      <c r="W24" s="207">
        <v>16</v>
      </c>
      <c r="X24" s="198">
        <f t="shared" si="5"/>
        <v>2720</v>
      </c>
      <c r="Y24" s="200">
        <f t="shared" si="6"/>
        <v>4930</v>
      </c>
      <c r="Z24" s="197">
        <v>2</v>
      </c>
      <c r="AA24" s="196">
        <v>80</v>
      </c>
      <c r="AB24" s="197">
        <v>1</v>
      </c>
      <c r="AC24" s="198">
        <f t="shared" si="7"/>
        <v>160</v>
      </c>
      <c r="AD24" s="197">
        <v>4</v>
      </c>
      <c r="AE24" s="196">
        <v>90</v>
      </c>
      <c r="AF24" s="197">
        <v>1</v>
      </c>
      <c r="AG24" s="198">
        <f t="shared" si="8"/>
        <v>360</v>
      </c>
      <c r="AH24" s="200">
        <f t="shared" si="9"/>
        <v>520</v>
      </c>
      <c r="AI24" s="199">
        <f t="shared" si="10"/>
        <v>15897.8</v>
      </c>
      <c r="AJ24" s="201">
        <f t="shared" si="11"/>
        <v>0.51818122555410684</v>
      </c>
      <c r="AK24" s="196">
        <f t="shared" si="15"/>
        <v>1626.0420000000001</v>
      </c>
      <c r="AL24" s="196">
        <v>0</v>
      </c>
      <c r="AM24" s="196">
        <v>0</v>
      </c>
      <c r="AN24" s="196">
        <v>0</v>
      </c>
      <c r="AO24" s="196">
        <v>0</v>
      </c>
      <c r="AP24" s="247">
        <v>0.05</v>
      </c>
      <c r="AQ24" s="196">
        <f t="shared" si="12"/>
        <v>1534</v>
      </c>
      <c r="AR24" s="202">
        <f t="shared" si="0"/>
        <v>1534</v>
      </c>
      <c r="AS24" s="202">
        <f t="shared" si="13"/>
        <v>3160.0420000000004</v>
      </c>
      <c r="AT24" s="203">
        <f t="shared" si="14"/>
        <v>27519.957999999999</v>
      </c>
      <c r="AV24" s="206"/>
      <c r="AW24" s="204"/>
    </row>
    <row r="25" spans="2:50" s="131" customFormat="1" ht="18" hidden="1" customHeight="1">
      <c r="B25" s="194" t="s">
        <v>1179</v>
      </c>
      <c r="C25" s="194" t="s">
        <v>1727</v>
      </c>
      <c r="D25" s="195" t="s">
        <v>49</v>
      </c>
      <c r="E25" s="196">
        <v>29976</v>
      </c>
      <c r="F25" s="196">
        <v>5288.3</v>
      </c>
      <c r="G25" s="196">
        <v>2550</v>
      </c>
      <c r="H25" s="197">
        <v>2</v>
      </c>
      <c r="I25" s="196">
        <v>24</v>
      </c>
      <c r="J25" s="197">
        <v>26</v>
      </c>
      <c r="K25" s="198">
        <f t="shared" si="1"/>
        <v>1248</v>
      </c>
      <c r="L25" s="197">
        <v>4</v>
      </c>
      <c r="M25" s="196">
        <v>16</v>
      </c>
      <c r="N25" s="197">
        <v>16</v>
      </c>
      <c r="O25" s="198">
        <f t="shared" si="2"/>
        <v>1024</v>
      </c>
      <c r="P25" s="199">
        <f t="shared" si="3"/>
        <v>2272</v>
      </c>
      <c r="Q25" s="197">
        <v>2</v>
      </c>
      <c r="R25" s="196">
        <v>42.5</v>
      </c>
      <c r="S25" s="197">
        <v>26</v>
      </c>
      <c r="T25" s="198">
        <f t="shared" si="4"/>
        <v>2210</v>
      </c>
      <c r="U25" s="197">
        <v>4</v>
      </c>
      <c r="V25" s="196">
        <v>42.5</v>
      </c>
      <c r="W25" s="207">
        <v>16</v>
      </c>
      <c r="X25" s="198">
        <f t="shared" si="5"/>
        <v>2720</v>
      </c>
      <c r="Y25" s="200">
        <f t="shared" si="6"/>
        <v>4930</v>
      </c>
      <c r="Z25" s="197">
        <v>2</v>
      </c>
      <c r="AA25" s="196">
        <v>80</v>
      </c>
      <c r="AB25" s="197">
        <v>1</v>
      </c>
      <c r="AC25" s="198">
        <f t="shared" si="7"/>
        <v>160</v>
      </c>
      <c r="AD25" s="197">
        <v>4</v>
      </c>
      <c r="AE25" s="196">
        <v>90</v>
      </c>
      <c r="AF25" s="197">
        <v>1</v>
      </c>
      <c r="AG25" s="198">
        <f t="shared" si="8"/>
        <v>360</v>
      </c>
      <c r="AH25" s="200">
        <f t="shared" si="9"/>
        <v>520</v>
      </c>
      <c r="AI25" s="199">
        <f t="shared" si="10"/>
        <v>15560.3</v>
      </c>
      <c r="AJ25" s="201">
        <f t="shared" si="11"/>
        <v>0.51909194021884175</v>
      </c>
      <c r="AK25" s="196">
        <f t="shared" si="15"/>
        <v>1585.7270000000001</v>
      </c>
      <c r="AL25" s="196">
        <v>0</v>
      </c>
      <c r="AM25" s="196">
        <v>0</v>
      </c>
      <c r="AN25" s="196">
        <v>0</v>
      </c>
      <c r="AO25" s="196">
        <v>0</v>
      </c>
      <c r="AP25" s="247">
        <v>0.05</v>
      </c>
      <c r="AQ25" s="196">
        <f t="shared" si="12"/>
        <v>1498.8000000000002</v>
      </c>
      <c r="AR25" s="202">
        <f t="shared" si="0"/>
        <v>1498.8000000000002</v>
      </c>
      <c r="AS25" s="202">
        <f t="shared" si="13"/>
        <v>3084.527</v>
      </c>
      <c r="AT25" s="203">
        <f t="shared" si="14"/>
        <v>26891.472999999998</v>
      </c>
      <c r="AV25" s="204"/>
    </row>
    <row r="26" spans="2:50" s="131" customFormat="1" ht="18" hidden="1" customHeight="1">
      <c r="B26" s="194" t="s">
        <v>1179</v>
      </c>
      <c r="C26" s="194" t="s">
        <v>1728</v>
      </c>
      <c r="D26" s="195" t="s">
        <v>1720</v>
      </c>
      <c r="E26" s="196">
        <v>30680</v>
      </c>
      <c r="F26" s="196">
        <v>5625.8</v>
      </c>
      <c r="G26" s="196">
        <v>2550</v>
      </c>
      <c r="H26" s="197">
        <v>2</v>
      </c>
      <c r="I26" s="196">
        <v>24</v>
      </c>
      <c r="J26" s="197">
        <v>26</v>
      </c>
      <c r="K26" s="198">
        <f t="shared" si="1"/>
        <v>1248</v>
      </c>
      <c r="L26" s="197">
        <v>4</v>
      </c>
      <c r="M26" s="196">
        <v>16</v>
      </c>
      <c r="N26" s="197">
        <v>16</v>
      </c>
      <c r="O26" s="198">
        <f t="shared" si="2"/>
        <v>1024</v>
      </c>
      <c r="P26" s="199">
        <f t="shared" si="3"/>
        <v>2272</v>
      </c>
      <c r="Q26" s="197">
        <v>2</v>
      </c>
      <c r="R26" s="196">
        <v>42.5</v>
      </c>
      <c r="S26" s="197">
        <v>26</v>
      </c>
      <c r="T26" s="198">
        <f t="shared" si="4"/>
        <v>2210</v>
      </c>
      <c r="U26" s="197">
        <v>4</v>
      </c>
      <c r="V26" s="196">
        <v>42.5</v>
      </c>
      <c r="W26" s="207">
        <v>16</v>
      </c>
      <c r="X26" s="198">
        <f t="shared" si="5"/>
        <v>2720</v>
      </c>
      <c r="Y26" s="200">
        <f t="shared" si="6"/>
        <v>4930</v>
      </c>
      <c r="Z26" s="197">
        <v>2</v>
      </c>
      <c r="AA26" s="196">
        <v>80</v>
      </c>
      <c r="AB26" s="197">
        <v>1</v>
      </c>
      <c r="AC26" s="198">
        <f t="shared" si="7"/>
        <v>160</v>
      </c>
      <c r="AD26" s="197">
        <v>4</v>
      </c>
      <c r="AE26" s="196">
        <v>90</v>
      </c>
      <c r="AF26" s="197">
        <v>1</v>
      </c>
      <c r="AG26" s="198">
        <f t="shared" si="8"/>
        <v>360</v>
      </c>
      <c r="AH26" s="200">
        <f t="shared" si="9"/>
        <v>520</v>
      </c>
      <c r="AI26" s="199">
        <f t="shared" si="10"/>
        <v>15897.8</v>
      </c>
      <c r="AJ26" s="201">
        <f t="shared" si="11"/>
        <v>0.51818122555410684</v>
      </c>
      <c r="AK26" s="196">
        <f t="shared" si="15"/>
        <v>1626.0420000000001</v>
      </c>
      <c r="AL26" s="196">
        <v>0</v>
      </c>
      <c r="AM26" s="196">
        <v>0</v>
      </c>
      <c r="AN26" s="196">
        <v>0</v>
      </c>
      <c r="AO26" s="196">
        <v>0</v>
      </c>
      <c r="AP26" s="247">
        <v>0.05</v>
      </c>
      <c r="AQ26" s="196">
        <f t="shared" si="12"/>
        <v>1534</v>
      </c>
      <c r="AR26" s="202">
        <f t="shared" si="0"/>
        <v>1534</v>
      </c>
      <c r="AS26" s="202">
        <f t="shared" si="13"/>
        <v>3160.0420000000004</v>
      </c>
      <c r="AT26" s="203">
        <f t="shared" si="14"/>
        <v>27519.957999999999</v>
      </c>
      <c r="AV26" s="206"/>
      <c r="AW26" s="204"/>
    </row>
    <row r="27" spans="2:50" s="131" customFormat="1" ht="18" hidden="1" customHeight="1">
      <c r="B27" s="194" t="s">
        <v>1491</v>
      </c>
      <c r="C27" s="194" t="s">
        <v>1729</v>
      </c>
      <c r="D27" s="195" t="s">
        <v>49</v>
      </c>
      <c r="E27" s="196">
        <v>29976</v>
      </c>
      <c r="F27" s="196">
        <v>5288.3</v>
      </c>
      <c r="G27" s="196">
        <v>2550</v>
      </c>
      <c r="H27" s="197">
        <v>2</v>
      </c>
      <c r="I27" s="196">
        <v>24</v>
      </c>
      <c r="J27" s="197">
        <v>26</v>
      </c>
      <c r="K27" s="198">
        <f t="shared" si="1"/>
        <v>1248</v>
      </c>
      <c r="L27" s="197">
        <v>4</v>
      </c>
      <c r="M27" s="196">
        <v>16</v>
      </c>
      <c r="N27" s="197">
        <v>16</v>
      </c>
      <c r="O27" s="198">
        <f t="shared" si="2"/>
        <v>1024</v>
      </c>
      <c r="P27" s="199">
        <f t="shared" si="3"/>
        <v>2272</v>
      </c>
      <c r="Q27" s="197">
        <v>2</v>
      </c>
      <c r="R27" s="196">
        <v>42.5</v>
      </c>
      <c r="S27" s="197">
        <v>26</v>
      </c>
      <c r="T27" s="198">
        <f t="shared" si="4"/>
        <v>2210</v>
      </c>
      <c r="U27" s="197">
        <v>4</v>
      </c>
      <c r="V27" s="196">
        <v>42.5</v>
      </c>
      <c r="W27" s="207">
        <v>16</v>
      </c>
      <c r="X27" s="198">
        <f t="shared" si="5"/>
        <v>2720</v>
      </c>
      <c r="Y27" s="200">
        <f t="shared" si="6"/>
        <v>4930</v>
      </c>
      <c r="Z27" s="197">
        <v>2</v>
      </c>
      <c r="AA27" s="196">
        <v>80</v>
      </c>
      <c r="AB27" s="197">
        <v>1</v>
      </c>
      <c r="AC27" s="198">
        <f t="shared" si="7"/>
        <v>160</v>
      </c>
      <c r="AD27" s="197">
        <v>4</v>
      </c>
      <c r="AE27" s="196">
        <v>90</v>
      </c>
      <c r="AF27" s="197">
        <v>1</v>
      </c>
      <c r="AG27" s="198">
        <f t="shared" si="8"/>
        <v>360</v>
      </c>
      <c r="AH27" s="200">
        <f t="shared" si="9"/>
        <v>520</v>
      </c>
      <c r="AI27" s="199">
        <f t="shared" si="10"/>
        <v>15560.3</v>
      </c>
      <c r="AJ27" s="201">
        <f t="shared" si="11"/>
        <v>0.51909194021884175</v>
      </c>
      <c r="AK27" s="196">
        <f t="shared" si="15"/>
        <v>1585.7270000000001</v>
      </c>
      <c r="AL27" s="196">
        <v>0</v>
      </c>
      <c r="AM27" s="196">
        <v>0</v>
      </c>
      <c r="AN27" s="196">
        <v>0</v>
      </c>
      <c r="AO27" s="196">
        <v>0</v>
      </c>
      <c r="AP27" s="247">
        <v>3.9300000000000002E-2</v>
      </c>
      <c r="AQ27" s="196">
        <f t="shared" si="12"/>
        <v>1178.0568000000001</v>
      </c>
      <c r="AR27" s="202">
        <f t="shared" si="0"/>
        <v>1178.0568000000001</v>
      </c>
      <c r="AS27" s="202">
        <f t="shared" si="13"/>
        <v>2763.7838000000002</v>
      </c>
      <c r="AT27" s="203">
        <f t="shared" si="14"/>
        <v>27212.216199999999</v>
      </c>
      <c r="AV27" s="204"/>
      <c r="AW27" s="248"/>
    </row>
    <row r="28" spans="2:50" s="131" customFormat="1" ht="18" hidden="1" customHeight="1">
      <c r="B28" s="194" t="s">
        <v>1491</v>
      </c>
      <c r="C28" s="194" t="s">
        <v>1730</v>
      </c>
      <c r="D28" s="195" t="s">
        <v>1720</v>
      </c>
      <c r="E28" s="196">
        <v>30680</v>
      </c>
      <c r="F28" s="196">
        <v>5625.8</v>
      </c>
      <c r="G28" s="196">
        <v>2550</v>
      </c>
      <c r="H28" s="197">
        <v>2</v>
      </c>
      <c r="I28" s="196">
        <v>24</v>
      </c>
      <c r="J28" s="197">
        <v>26</v>
      </c>
      <c r="K28" s="198">
        <f t="shared" si="1"/>
        <v>1248</v>
      </c>
      <c r="L28" s="197">
        <v>4</v>
      </c>
      <c r="M28" s="196">
        <v>16</v>
      </c>
      <c r="N28" s="197">
        <v>16</v>
      </c>
      <c r="O28" s="198">
        <f t="shared" si="2"/>
        <v>1024</v>
      </c>
      <c r="P28" s="199">
        <f t="shared" si="3"/>
        <v>2272</v>
      </c>
      <c r="Q28" s="197">
        <v>2</v>
      </c>
      <c r="R28" s="196">
        <v>42.5</v>
      </c>
      <c r="S28" s="197">
        <v>26</v>
      </c>
      <c r="T28" s="198">
        <f t="shared" si="4"/>
        <v>2210</v>
      </c>
      <c r="U28" s="197">
        <v>4</v>
      </c>
      <c r="V28" s="196">
        <v>42.5</v>
      </c>
      <c r="W28" s="207">
        <v>16</v>
      </c>
      <c r="X28" s="198">
        <f t="shared" si="5"/>
        <v>2720</v>
      </c>
      <c r="Y28" s="200">
        <f t="shared" si="6"/>
        <v>4930</v>
      </c>
      <c r="Z28" s="197">
        <v>2</v>
      </c>
      <c r="AA28" s="196">
        <v>80</v>
      </c>
      <c r="AB28" s="197">
        <v>1</v>
      </c>
      <c r="AC28" s="198">
        <f t="shared" si="7"/>
        <v>160</v>
      </c>
      <c r="AD28" s="197">
        <v>4</v>
      </c>
      <c r="AE28" s="196">
        <v>90</v>
      </c>
      <c r="AF28" s="197">
        <v>1</v>
      </c>
      <c r="AG28" s="198">
        <f t="shared" si="8"/>
        <v>360</v>
      </c>
      <c r="AH28" s="200">
        <f t="shared" si="9"/>
        <v>520</v>
      </c>
      <c r="AI28" s="199">
        <f t="shared" si="10"/>
        <v>15897.8</v>
      </c>
      <c r="AJ28" s="201">
        <f t="shared" si="11"/>
        <v>0.51818122555410684</v>
      </c>
      <c r="AK28" s="196">
        <f t="shared" si="15"/>
        <v>1626.0420000000001</v>
      </c>
      <c r="AL28" s="196">
        <v>0</v>
      </c>
      <c r="AM28" s="196">
        <v>0</v>
      </c>
      <c r="AN28" s="196">
        <v>0</v>
      </c>
      <c r="AO28" s="196">
        <v>0</v>
      </c>
      <c r="AP28" s="247">
        <v>3.9300000000000002E-2</v>
      </c>
      <c r="AQ28" s="196">
        <f t="shared" si="12"/>
        <v>1205.7240000000002</v>
      </c>
      <c r="AR28" s="202">
        <f t="shared" si="0"/>
        <v>1205.7240000000002</v>
      </c>
      <c r="AS28" s="202">
        <f t="shared" si="13"/>
        <v>2831.7660000000005</v>
      </c>
      <c r="AT28" s="203">
        <f t="shared" si="14"/>
        <v>27848.234</v>
      </c>
      <c r="AV28" s="206"/>
      <c r="AW28" s="204"/>
    </row>
    <row r="29" spans="2:50" s="131" customFormat="1" ht="18" hidden="1" customHeight="1">
      <c r="B29" s="194" t="s">
        <v>1497</v>
      </c>
      <c r="C29" s="194" t="s">
        <v>1731</v>
      </c>
      <c r="D29" s="195" t="s">
        <v>49</v>
      </c>
      <c r="E29" s="196">
        <v>29976</v>
      </c>
      <c r="F29" s="196">
        <v>5288.3</v>
      </c>
      <c r="G29" s="196">
        <v>2550</v>
      </c>
      <c r="H29" s="197">
        <v>2</v>
      </c>
      <c r="I29" s="196">
        <v>24</v>
      </c>
      <c r="J29" s="197">
        <v>26</v>
      </c>
      <c r="K29" s="198">
        <f t="shared" si="1"/>
        <v>1248</v>
      </c>
      <c r="L29" s="197">
        <v>4</v>
      </c>
      <c r="M29" s="196">
        <v>16</v>
      </c>
      <c r="N29" s="197">
        <v>16</v>
      </c>
      <c r="O29" s="198">
        <f t="shared" si="2"/>
        <v>1024</v>
      </c>
      <c r="P29" s="199">
        <f t="shared" si="3"/>
        <v>2272</v>
      </c>
      <c r="Q29" s="197">
        <v>2</v>
      </c>
      <c r="R29" s="196">
        <v>42.5</v>
      </c>
      <c r="S29" s="197">
        <v>26</v>
      </c>
      <c r="T29" s="198">
        <f t="shared" si="4"/>
        <v>2210</v>
      </c>
      <c r="U29" s="197">
        <v>4</v>
      </c>
      <c r="V29" s="196">
        <v>42.5</v>
      </c>
      <c r="W29" s="207">
        <v>16</v>
      </c>
      <c r="X29" s="198">
        <f t="shared" si="5"/>
        <v>2720</v>
      </c>
      <c r="Y29" s="200">
        <f t="shared" si="6"/>
        <v>4930</v>
      </c>
      <c r="Z29" s="197">
        <v>2</v>
      </c>
      <c r="AA29" s="196">
        <v>80</v>
      </c>
      <c r="AB29" s="197">
        <v>1</v>
      </c>
      <c r="AC29" s="198">
        <f t="shared" si="7"/>
        <v>160</v>
      </c>
      <c r="AD29" s="197">
        <v>4</v>
      </c>
      <c r="AE29" s="196">
        <v>90</v>
      </c>
      <c r="AF29" s="197">
        <v>1</v>
      </c>
      <c r="AG29" s="198">
        <f t="shared" si="8"/>
        <v>360</v>
      </c>
      <c r="AH29" s="200">
        <f t="shared" si="9"/>
        <v>520</v>
      </c>
      <c r="AI29" s="199">
        <f t="shared" si="10"/>
        <v>15560.3</v>
      </c>
      <c r="AJ29" s="201">
        <f t="shared" si="11"/>
        <v>0.51909194021884175</v>
      </c>
      <c r="AK29" s="196">
        <f t="shared" si="15"/>
        <v>1585.7270000000001</v>
      </c>
      <c r="AL29" s="196">
        <v>0</v>
      </c>
      <c r="AM29" s="196">
        <v>0</v>
      </c>
      <c r="AN29" s="196">
        <v>0</v>
      </c>
      <c r="AO29" s="196">
        <v>0</v>
      </c>
      <c r="AP29" s="247">
        <v>3.9300000000000002E-2</v>
      </c>
      <c r="AQ29" s="196">
        <f t="shared" si="12"/>
        <v>1178.0568000000001</v>
      </c>
      <c r="AR29" s="202">
        <f t="shared" si="0"/>
        <v>1178.0568000000001</v>
      </c>
      <c r="AS29" s="202">
        <f t="shared" si="13"/>
        <v>2763.7838000000002</v>
      </c>
      <c r="AT29" s="203">
        <f t="shared" si="14"/>
        <v>27212.216199999999</v>
      </c>
      <c r="AV29" s="204"/>
      <c r="AW29" s="248"/>
    </row>
    <row r="30" spans="2:50" s="131" customFormat="1" ht="18" hidden="1" customHeight="1">
      <c r="B30" s="194" t="s">
        <v>1497</v>
      </c>
      <c r="C30" s="194" t="s">
        <v>1732</v>
      </c>
      <c r="D30" s="195" t="s">
        <v>1720</v>
      </c>
      <c r="E30" s="196">
        <v>30680</v>
      </c>
      <c r="F30" s="196">
        <v>5625.8</v>
      </c>
      <c r="G30" s="196">
        <v>2550</v>
      </c>
      <c r="H30" s="197">
        <v>2</v>
      </c>
      <c r="I30" s="196">
        <v>24</v>
      </c>
      <c r="J30" s="197">
        <v>26</v>
      </c>
      <c r="K30" s="198">
        <f t="shared" si="1"/>
        <v>1248</v>
      </c>
      <c r="L30" s="197">
        <v>4</v>
      </c>
      <c r="M30" s="196">
        <v>16</v>
      </c>
      <c r="N30" s="197">
        <v>16</v>
      </c>
      <c r="O30" s="198">
        <f t="shared" si="2"/>
        <v>1024</v>
      </c>
      <c r="P30" s="199">
        <f t="shared" si="3"/>
        <v>2272</v>
      </c>
      <c r="Q30" s="197">
        <v>2</v>
      </c>
      <c r="R30" s="196">
        <v>42.5</v>
      </c>
      <c r="S30" s="197">
        <v>26</v>
      </c>
      <c r="T30" s="198">
        <f t="shared" si="4"/>
        <v>2210</v>
      </c>
      <c r="U30" s="197">
        <v>4</v>
      </c>
      <c r="V30" s="196">
        <v>42.5</v>
      </c>
      <c r="W30" s="207">
        <v>16</v>
      </c>
      <c r="X30" s="198">
        <f t="shared" si="5"/>
        <v>2720</v>
      </c>
      <c r="Y30" s="200">
        <f t="shared" si="6"/>
        <v>4930</v>
      </c>
      <c r="Z30" s="197">
        <v>2</v>
      </c>
      <c r="AA30" s="196">
        <v>80</v>
      </c>
      <c r="AB30" s="197">
        <v>1</v>
      </c>
      <c r="AC30" s="198">
        <f t="shared" si="7"/>
        <v>160</v>
      </c>
      <c r="AD30" s="197">
        <v>4</v>
      </c>
      <c r="AE30" s="196">
        <v>90</v>
      </c>
      <c r="AF30" s="197">
        <v>1</v>
      </c>
      <c r="AG30" s="198">
        <f t="shared" si="8"/>
        <v>360</v>
      </c>
      <c r="AH30" s="200">
        <f t="shared" si="9"/>
        <v>520</v>
      </c>
      <c r="AI30" s="199">
        <f t="shared" si="10"/>
        <v>15897.8</v>
      </c>
      <c r="AJ30" s="201">
        <f t="shared" si="11"/>
        <v>0.51818122555410684</v>
      </c>
      <c r="AK30" s="196">
        <f t="shared" si="15"/>
        <v>1626.0420000000001</v>
      </c>
      <c r="AL30" s="196">
        <v>0</v>
      </c>
      <c r="AM30" s="196">
        <v>0</v>
      </c>
      <c r="AN30" s="196">
        <v>0</v>
      </c>
      <c r="AO30" s="196">
        <v>0</v>
      </c>
      <c r="AP30" s="247">
        <v>3.9300000000000002E-2</v>
      </c>
      <c r="AQ30" s="196">
        <f t="shared" si="12"/>
        <v>1205.7240000000002</v>
      </c>
      <c r="AR30" s="202">
        <f t="shared" si="0"/>
        <v>1205.7240000000002</v>
      </c>
      <c r="AS30" s="202">
        <f t="shared" si="13"/>
        <v>2831.7660000000005</v>
      </c>
      <c r="AT30" s="203">
        <f t="shared" si="14"/>
        <v>27848.234</v>
      </c>
      <c r="AV30" s="206"/>
      <c r="AW30" s="204"/>
    </row>
    <row r="31" spans="2:50" s="131" customFormat="1" ht="18" hidden="1" customHeight="1">
      <c r="B31" s="194" t="s">
        <v>1517</v>
      </c>
      <c r="C31" s="194" t="s">
        <v>1733</v>
      </c>
      <c r="D31" s="195" t="s">
        <v>49</v>
      </c>
      <c r="E31" s="196">
        <v>29976</v>
      </c>
      <c r="F31" s="196">
        <v>5288.3</v>
      </c>
      <c r="G31" s="196">
        <v>2550</v>
      </c>
      <c r="H31" s="197">
        <v>2</v>
      </c>
      <c r="I31" s="196">
        <v>24</v>
      </c>
      <c r="J31" s="197">
        <v>26</v>
      </c>
      <c r="K31" s="198">
        <f t="shared" si="1"/>
        <v>1248</v>
      </c>
      <c r="L31" s="197">
        <v>4</v>
      </c>
      <c r="M31" s="196">
        <v>16</v>
      </c>
      <c r="N31" s="197">
        <v>16</v>
      </c>
      <c r="O31" s="198">
        <f t="shared" si="2"/>
        <v>1024</v>
      </c>
      <c r="P31" s="199">
        <f t="shared" si="3"/>
        <v>2272</v>
      </c>
      <c r="Q31" s="197">
        <v>2</v>
      </c>
      <c r="R31" s="196">
        <v>42.5</v>
      </c>
      <c r="S31" s="197">
        <v>26</v>
      </c>
      <c r="T31" s="198">
        <f t="shared" si="4"/>
        <v>2210</v>
      </c>
      <c r="U31" s="197">
        <v>4</v>
      </c>
      <c r="V31" s="196">
        <v>42.5</v>
      </c>
      <c r="W31" s="207">
        <v>16</v>
      </c>
      <c r="X31" s="198">
        <f t="shared" si="5"/>
        <v>2720</v>
      </c>
      <c r="Y31" s="200">
        <f t="shared" si="6"/>
        <v>4930</v>
      </c>
      <c r="Z31" s="197">
        <v>2</v>
      </c>
      <c r="AA31" s="196">
        <v>80</v>
      </c>
      <c r="AB31" s="197">
        <v>1</v>
      </c>
      <c r="AC31" s="198">
        <f t="shared" si="7"/>
        <v>160</v>
      </c>
      <c r="AD31" s="197">
        <v>4</v>
      </c>
      <c r="AE31" s="196">
        <v>90</v>
      </c>
      <c r="AF31" s="197">
        <v>1</v>
      </c>
      <c r="AG31" s="198">
        <f t="shared" si="8"/>
        <v>360</v>
      </c>
      <c r="AH31" s="200">
        <f t="shared" si="9"/>
        <v>520</v>
      </c>
      <c r="AI31" s="199">
        <f t="shared" si="10"/>
        <v>15560.3</v>
      </c>
      <c r="AJ31" s="201">
        <f t="shared" si="11"/>
        <v>0.51909194021884175</v>
      </c>
      <c r="AK31" s="196">
        <f t="shared" si="15"/>
        <v>1585.7270000000001</v>
      </c>
      <c r="AL31" s="196">
        <v>0</v>
      </c>
      <c r="AM31" s="196">
        <v>0</v>
      </c>
      <c r="AN31" s="196">
        <v>0</v>
      </c>
      <c r="AO31" s="196">
        <v>0</v>
      </c>
      <c r="AP31" s="247">
        <v>3.6700000000000003E-2</v>
      </c>
      <c r="AQ31" s="196">
        <f t="shared" si="12"/>
        <v>1100.1192000000001</v>
      </c>
      <c r="AR31" s="202">
        <f t="shared" si="0"/>
        <v>1100.1192000000001</v>
      </c>
      <c r="AS31" s="202">
        <f t="shared" si="13"/>
        <v>2685.8462</v>
      </c>
      <c r="AT31" s="203">
        <f t="shared" si="14"/>
        <v>27290.1538</v>
      </c>
      <c r="AV31" s="204"/>
      <c r="AW31" s="204"/>
      <c r="AX31" s="248"/>
    </row>
    <row r="32" spans="2:50" s="131" customFormat="1" ht="18" hidden="1" customHeight="1">
      <c r="B32" s="194" t="s">
        <v>1517</v>
      </c>
      <c r="C32" s="194" t="s">
        <v>1734</v>
      </c>
      <c r="D32" s="195" t="s">
        <v>1720</v>
      </c>
      <c r="E32" s="196">
        <v>30680</v>
      </c>
      <c r="F32" s="196">
        <v>5625.8</v>
      </c>
      <c r="G32" s="196">
        <v>2550</v>
      </c>
      <c r="H32" s="197">
        <v>2</v>
      </c>
      <c r="I32" s="196">
        <v>24</v>
      </c>
      <c r="J32" s="197">
        <v>26</v>
      </c>
      <c r="K32" s="198">
        <f t="shared" si="1"/>
        <v>1248</v>
      </c>
      <c r="L32" s="197">
        <v>4</v>
      </c>
      <c r="M32" s="196">
        <v>16</v>
      </c>
      <c r="N32" s="197">
        <v>16</v>
      </c>
      <c r="O32" s="198">
        <f t="shared" si="2"/>
        <v>1024</v>
      </c>
      <c r="P32" s="199">
        <f t="shared" si="3"/>
        <v>2272</v>
      </c>
      <c r="Q32" s="197">
        <v>2</v>
      </c>
      <c r="R32" s="196">
        <v>42.5</v>
      </c>
      <c r="S32" s="197">
        <v>26</v>
      </c>
      <c r="T32" s="198">
        <f t="shared" si="4"/>
        <v>2210</v>
      </c>
      <c r="U32" s="197">
        <v>4</v>
      </c>
      <c r="V32" s="196">
        <v>42.5</v>
      </c>
      <c r="W32" s="207">
        <v>16</v>
      </c>
      <c r="X32" s="198">
        <f t="shared" si="5"/>
        <v>2720</v>
      </c>
      <c r="Y32" s="200">
        <f t="shared" si="6"/>
        <v>4930</v>
      </c>
      <c r="Z32" s="197">
        <v>2</v>
      </c>
      <c r="AA32" s="196">
        <v>80</v>
      </c>
      <c r="AB32" s="197">
        <v>1</v>
      </c>
      <c r="AC32" s="198">
        <f t="shared" si="7"/>
        <v>160</v>
      </c>
      <c r="AD32" s="197">
        <v>4</v>
      </c>
      <c r="AE32" s="196">
        <v>90</v>
      </c>
      <c r="AF32" s="197">
        <v>1</v>
      </c>
      <c r="AG32" s="198">
        <f t="shared" si="8"/>
        <v>360</v>
      </c>
      <c r="AH32" s="200">
        <f t="shared" si="9"/>
        <v>520</v>
      </c>
      <c r="AI32" s="199">
        <f t="shared" si="10"/>
        <v>15897.8</v>
      </c>
      <c r="AJ32" s="201">
        <f t="shared" si="11"/>
        <v>0.51818122555410684</v>
      </c>
      <c r="AK32" s="196">
        <f t="shared" si="15"/>
        <v>1626.0420000000001</v>
      </c>
      <c r="AL32" s="196">
        <v>0</v>
      </c>
      <c r="AM32" s="196">
        <v>0</v>
      </c>
      <c r="AN32" s="196">
        <v>0</v>
      </c>
      <c r="AO32" s="196">
        <v>0</v>
      </c>
      <c r="AP32" s="247">
        <v>3.6700000000000003E-2</v>
      </c>
      <c r="AQ32" s="196">
        <f t="shared" si="12"/>
        <v>1125.9560000000001</v>
      </c>
      <c r="AR32" s="202">
        <f t="shared" si="0"/>
        <v>1125.9560000000001</v>
      </c>
      <c r="AS32" s="202">
        <f t="shared" si="13"/>
        <v>2751.9980000000005</v>
      </c>
      <c r="AT32" s="203">
        <f t="shared" si="14"/>
        <v>27928.002</v>
      </c>
      <c r="AV32" s="206"/>
      <c r="AW32" s="204"/>
    </row>
    <row r="33" spans="2:50" s="131" customFormat="1" ht="18" hidden="1" customHeight="1">
      <c r="B33" s="194" t="s">
        <v>1605</v>
      </c>
      <c r="C33" s="194" t="s">
        <v>1735</v>
      </c>
      <c r="D33" s="195" t="s">
        <v>49</v>
      </c>
      <c r="E33" s="196">
        <v>29976</v>
      </c>
      <c r="F33" s="196">
        <v>5288.3</v>
      </c>
      <c r="G33" s="196">
        <v>2550</v>
      </c>
      <c r="H33" s="197">
        <v>2</v>
      </c>
      <c r="I33" s="196">
        <v>24</v>
      </c>
      <c r="J33" s="197">
        <v>26</v>
      </c>
      <c r="K33" s="198">
        <f t="shared" si="1"/>
        <v>1248</v>
      </c>
      <c r="L33" s="197">
        <v>4</v>
      </c>
      <c r="M33" s="196">
        <v>16</v>
      </c>
      <c r="N33" s="197">
        <v>16</v>
      </c>
      <c r="O33" s="198">
        <f t="shared" si="2"/>
        <v>1024</v>
      </c>
      <c r="P33" s="199">
        <f t="shared" si="3"/>
        <v>2272</v>
      </c>
      <c r="Q33" s="197">
        <v>2</v>
      </c>
      <c r="R33" s="196">
        <v>42.5</v>
      </c>
      <c r="S33" s="197">
        <v>26</v>
      </c>
      <c r="T33" s="198">
        <f t="shared" si="4"/>
        <v>2210</v>
      </c>
      <c r="U33" s="197">
        <v>4</v>
      </c>
      <c r="V33" s="196">
        <v>42.5</v>
      </c>
      <c r="W33" s="207">
        <v>16</v>
      </c>
      <c r="X33" s="198">
        <f t="shared" si="5"/>
        <v>2720</v>
      </c>
      <c r="Y33" s="200">
        <f t="shared" si="6"/>
        <v>4930</v>
      </c>
      <c r="Z33" s="197">
        <v>2</v>
      </c>
      <c r="AA33" s="196">
        <v>80</v>
      </c>
      <c r="AB33" s="197">
        <v>1</v>
      </c>
      <c r="AC33" s="198">
        <f t="shared" si="7"/>
        <v>160</v>
      </c>
      <c r="AD33" s="197">
        <v>4</v>
      </c>
      <c r="AE33" s="196">
        <v>90</v>
      </c>
      <c r="AF33" s="197">
        <v>1</v>
      </c>
      <c r="AG33" s="198">
        <f t="shared" si="8"/>
        <v>360</v>
      </c>
      <c r="AH33" s="200">
        <f t="shared" si="9"/>
        <v>520</v>
      </c>
      <c r="AI33" s="199">
        <f t="shared" si="10"/>
        <v>15560.3</v>
      </c>
      <c r="AJ33" s="201">
        <f t="shared" si="11"/>
        <v>0.51909194021884175</v>
      </c>
      <c r="AK33" s="196">
        <f t="shared" si="15"/>
        <v>1585.7270000000001</v>
      </c>
      <c r="AL33" s="196">
        <v>0</v>
      </c>
      <c r="AM33" s="196">
        <v>0</v>
      </c>
      <c r="AN33" s="196">
        <v>0</v>
      </c>
      <c r="AO33" s="196">
        <v>0</v>
      </c>
      <c r="AP33" s="247">
        <v>3.6700000000000003E-2</v>
      </c>
      <c r="AQ33" s="196">
        <f t="shared" si="12"/>
        <v>1100.1192000000001</v>
      </c>
      <c r="AR33" s="202">
        <f t="shared" si="0"/>
        <v>1100.1192000000001</v>
      </c>
      <c r="AS33" s="202">
        <f t="shared" si="13"/>
        <v>2685.8462</v>
      </c>
      <c r="AT33" s="203">
        <f t="shared" si="14"/>
        <v>27290.1538</v>
      </c>
      <c r="AV33" s="204"/>
      <c r="AW33" s="204"/>
      <c r="AX33" s="248"/>
    </row>
    <row r="34" spans="2:50" s="131" customFormat="1" ht="18" hidden="1" customHeight="1">
      <c r="B34" s="194" t="s">
        <v>1605</v>
      </c>
      <c r="C34" s="194" t="s">
        <v>1736</v>
      </c>
      <c r="D34" s="195" t="s">
        <v>1720</v>
      </c>
      <c r="E34" s="196">
        <v>30680</v>
      </c>
      <c r="F34" s="196">
        <v>5625.8</v>
      </c>
      <c r="G34" s="196">
        <v>2550</v>
      </c>
      <c r="H34" s="197">
        <v>2</v>
      </c>
      <c r="I34" s="196">
        <v>24</v>
      </c>
      <c r="J34" s="197">
        <v>26</v>
      </c>
      <c r="K34" s="198">
        <f t="shared" si="1"/>
        <v>1248</v>
      </c>
      <c r="L34" s="197">
        <v>4</v>
      </c>
      <c r="M34" s="196">
        <v>16</v>
      </c>
      <c r="N34" s="197">
        <v>16</v>
      </c>
      <c r="O34" s="198">
        <f t="shared" si="2"/>
        <v>1024</v>
      </c>
      <c r="P34" s="199">
        <f t="shared" si="3"/>
        <v>2272</v>
      </c>
      <c r="Q34" s="197">
        <v>2</v>
      </c>
      <c r="R34" s="196">
        <v>42.5</v>
      </c>
      <c r="S34" s="197">
        <v>26</v>
      </c>
      <c r="T34" s="198">
        <f t="shared" si="4"/>
        <v>2210</v>
      </c>
      <c r="U34" s="197">
        <v>4</v>
      </c>
      <c r="V34" s="196">
        <v>42.5</v>
      </c>
      <c r="W34" s="207">
        <v>16</v>
      </c>
      <c r="X34" s="198">
        <f t="shared" si="5"/>
        <v>2720</v>
      </c>
      <c r="Y34" s="200">
        <f t="shared" si="6"/>
        <v>4930</v>
      </c>
      <c r="Z34" s="197">
        <v>2</v>
      </c>
      <c r="AA34" s="196">
        <v>80</v>
      </c>
      <c r="AB34" s="197">
        <v>1</v>
      </c>
      <c r="AC34" s="198">
        <f t="shared" si="7"/>
        <v>160</v>
      </c>
      <c r="AD34" s="197">
        <v>4</v>
      </c>
      <c r="AE34" s="196">
        <v>90</v>
      </c>
      <c r="AF34" s="197">
        <v>1</v>
      </c>
      <c r="AG34" s="198">
        <f t="shared" si="8"/>
        <v>360</v>
      </c>
      <c r="AH34" s="200">
        <f t="shared" si="9"/>
        <v>520</v>
      </c>
      <c r="AI34" s="199">
        <f t="shared" si="10"/>
        <v>15897.8</v>
      </c>
      <c r="AJ34" s="201">
        <f t="shared" si="11"/>
        <v>0.51818122555410684</v>
      </c>
      <c r="AK34" s="196">
        <f t="shared" si="15"/>
        <v>1626.0420000000001</v>
      </c>
      <c r="AL34" s="196">
        <v>0</v>
      </c>
      <c r="AM34" s="196">
        <v>0</v>
      </c>
      <c r="AN34" s="196">
        <v>0</v>
      </c>
      <c r="AO34" s="196">
        <v>0</v>
      </c>
      <c r="AP34" s="247">
        <v>3.6700000000000003E-2</v>
      </c>
      <c r="AQ34" s="196">
        <f t="shared" si="12"/>
        <v>1125.9560000000001</v>
      </c>
      <c r="AR34" s="202">
        <f t="shared" si="0"/>
        <v>1125.9560000000001</v>
      </c>
      <c r="AS34" s="202">
        <f t="shared" si="13"/>
        <v>2751.9980000000005</v>
      </c>
      <c r="AT34" s="203">
        <f t="shared" si="14"/>
        <v>27928.002</v>
      </c>
      <c r="AV34" s="206"/>
      <c r="AW34" s="204"/>
    </row>
    <row r="35" spans="2:50" s="131" customFormat="1" ht="18" hidden="1" customHeight="1">
      <c r="B35" s="218" t="s">
        <v>1608</v>
      </c>
      <c r="C35" s="194" t="s">
        <v>1737</v>
      </c>
      <c r="D35" s="195" t="s">
        <v>1720</v>
      </c>
      <c r="E35" s="196">
        <v>30680</v>
      </c>
      <c r="F35" s="196">
        <v>5625.8</v>
      </c>
      <c r="G35" s="196">
        <v>2550</v>
      </c>
      <c r="H35" s="197">
        <v>2</v>
      </c>
      <c r="I35" s="196">
        <v>24</v>
      </c>
      <c r="J35" s="197">
        <v>26</v>
      </c>
      <c r="K35" s="198">
        <f t="shared" si="1"/>
        <v>1248</v>
      </c>
      <c r="L35" s="197">
        <v>4</v>
      </c>
      <c r="M35" s="196">
        <v>16</v>
      </c>
      <c r="N35" s="197">
        <v>16</v>
      </c>
      <c r="O35" s="198">
        <f t="shared" si="2"/>
        <v>1024</v>
      </c>
      <c r="P35" s="199">
        <f t="shared" si="3"/>
        <v>2272</v>
      </c>
      <c r="Q35" s="197">
        <v>2</v>
      </c>
      <c r="R35" s="196">
        <v>42.5</v>
      </c>
      <c r="S35" s="197">
        <v>26</v>
      </c>
      <c r="T35" s="198">
        <f t="shared" si="4"/>
        <v>2210</v>
      </c>
      <c r="U35" s="197">
        <v>4</v>
      </c>
      <c r="V35" s="196">
        <v>42.5</v>
      </c>
      <c r="W35" s="207">
        <v>16</v>
      </c>
      <c r="X35" s="198">
        <f t="shared" si="5"/>
        <v>2720</v>
      </c>
      <c r="Y35" s="200">
        <f t="shared" si="6"/>
        <v>4930</v>
      </c>
      <c r="Z35" s="197">
        <v>2</v>
      </c>
      <c r="AA35" s="196">
        <v>80</v>
      </c>
      <c r="AB35" s="197">
        <v>1</v>
      </c>
      <c r="AC35" s="198">
        <f t="shared" si="7"/>
        <v>160</v>
      </c>
      <c r="AD35" s="197">
        <v>4</v>
      </c>
      <c r="AE35" s="196">
        <v>90</v>
      </c>
      <c r="AF35" s="197">
        <v>1</v>
      </c>
      <c r="AG35" s="198">
        <f t="shared" si="8"/>
        <v>360</v>
      </c>
      <c r="AH35" s="200">
        <f t="shared" si="9"/>
        <v>520</v>
      </c>
      <c r="AI35" s="199">
        <f t="shared" si="10"/>
        <v>15897.8</v>
      </c>
      <c r="AJ35" s="201">
        <f t="shared" si="11"/>
        <v>0.51818122555410684</v>
      </c>
      <c r="AK35" s="196">
        <f t="shared" si="15"/>
        <v>1626.0420000000001</v>
      </c>
      <c r="AL35" s="196">
        <v>0</v>
      </c>
      <c r="AM35" s="196">
        <v>0</v>
      </c>
      <c r="AN35" s="196">
        <v>0</v>
      </c>
      <c r="AO35" s="196">
        <v>0</v>
      </c>
      <c r="AP35" s="247">
        <v>3.7199999999999997E-2</v>
      </c>
      <c r="AQ35" s="208">
        <f t="shared" ref="AQ35:AQ42" si="16">AP35*E35</f>
        <v>1141.2959999999998</v>
      </c>
      <c r="AR35" s="202">
        <f t="shared" ref="AR35:AR42" si="17">AL35+AM35+AN35+AO35+AQ35</f>
        <v>1141.2959999999998</v>
      </c>
      <c r="AS35" s="202">
        <f t="shared" si="13"/>
        <v>2767.3379999999997</v>
      </c>
      <c r="AT35" s="203">
        <f t="shared" si="14"/>
        <v>27912.662</v>
      </c>
      <c r="AV35" s="206"/>
      <c r="AW35" s="204"/>
    </row>
    <row r="36" spans="2:50" s="131" customFormat="1" ht="18" hidden="1" customHeight="1">
      <c r="B36" s="194" t="s">
        <v>1616</v>
      </c>
      <c r="C36" s="194">
        <v>70</v>
      </c>
      <c r="D36" s="195" t="s">
        <v>1720</v>
      </c>
      <c r="E36" s="196">
        <v>30680</v>
      </c>
      <c r="F36" s="196">
        <v>5625.8</v>
      </c>
      <c r="G36" s="196">
        <v>2550</v>
      </c>
      <c r="H36" s="197">
        <v>2</v>
      </c>
      <c r="I36" s="196">
        <v>24</v>
      </c>
      <c r="J36" s="197">
        <v>26</v>
      </c>
      <c r="K36" s="198">
        <f t="shared" si="1"/>
        <v>1248</v>
      </c>
      <c r="L36" s="197">
        <v>4</v>
      </c>
      <c r="M36" s="196">
        <v>16</v>
      </c>
      <c r="N36" s="197">
        <v>16</v>
      </c>
      <c r="O36" s="198">
        <f t="shared" si="2"/>
        <v>1024</v>
      </c>
      <c r="P36" s="199">
        <f t="shared" si="3"/>
        <v>2272</v>
      </c>
      <c r="Q36" s="197">
        <v>2</v>
      </c>
      <c r="R36" s="196">
        <v>42.5</v>
      </c>
      <c r="S36" s="197">
        <v>26</v>
      </c>
      <c r="T36" s="198">
        <f t="shared" si="4"/>
        <v>2210</v>
      </c>
      <c r="U36" s="197">
        <v>4</v>
      </c>
      <c r="V36" s="196">
        <v>42.5</v>
      </c>
      <c r="W36" s="207">
        <v>16</v>
      </c>
      <c r="X36" s="198">
        <f t="shared" si="5"/>
        <v>2720</v>
      </c>
      <c r="Y36" s="200">
        <f t="shared" si="6"/>
        <v>4930</v>
      </c>
      <c r="Z36" s="197">
        <v>2</v>
      </c>
      <c r="AA36" s="196">
        <v>80</v>
      </c>
      <c r="AB36" s="197">
        <v>1</v>
      </c>
      <c r="AC36" s="198">
        <f t="shared" si="7"/>
        <v>160</v>
      </c>
      <c r="AD36" s="197">
        <v>4</v>
      </c>
      <c r="AE36" s="196">
        <v>90</v>
      </c>
      <c r="AF36" s="197">
        <v>1</v>
      </c>
      <c r="AG36" s="198">
        <f t="shared" si="8"/>
        <v>360</v>
      </c>
      <c r="AH36" s="200">
        <f t="shared" si="9"/>
        <v>520</v>
      </c>
      <c r="AI36" s="199">
        <f t="shared" si="10"/>
        <v>15897.8</v>
      </c>
      <c r="AJ36" s="201">
        <f t="shared" si="11"/>
        <v>0.51818122555410684</v>
      </c>
      <c r="AK36" s="196">
        <f>(E36-AI36)*$AK$15</f>
        <v>1626.0420000000001</v>
      </c>
      <c r="AL36" s="196">
        <v>0</v>
      </c>
      <c r="AM36" s="196">
        <v>0</v>
      </c>
      <c r="AN36" s="196">
        <v>0</v>
      </c>
      <c r="AO36" s="196">
        <v>0</v>
      </c>
      <c r="AP36" s="247">
        <v>3.6600000000000001E-2</v>
      </c>
      <c r="AQ36" s="208">
        <f t="shared" si="16"/>
        <v>1122.8879999999999</v>
      </c>
      <c r="AR36" s="202">
        <f t="shared" si="17"/>
        <v>1122.8879999999999</v>
      </c>
      <c r="AS36" s="202">
        <f t="shared" si="13"/>
        <v>2748.9300000000003</v>
      </c>
      <c r="AT36" s="203">
        <f t="shared" si="14"/>
        <v>27931.07</v>
      </c>
      <c r="AV36" s="206"/>
      <c r="AW36" s="204"/>
    </row>
    <row r="37" spans="2:50" s="131" customFormat="1" ht="18" hidden="1" customHeight="1">
      <c r="B37" s="194" t="s">
        <v>1616</v>
      </c>
      <c r="C37" s="194">
        <v>69</v>
      </c>
      <c r="D37" s="324" t="s">
        <v>2051</v>
      </c>
      <c r="E37" s="196">
        <v>37805</v>
      </c>
      <c r="F37" s="196">
        <v>6980</v>
      </c>
      <c r="G37" s="196">
        <v>4760</v>
      </c>
      <c r="H37" s="197">
        <v>6</v>
      </c>
      <c r="I37" s="196">
        <v>24</v>
      </c>
      <c r="J37" s="197">
        <v>26</v>
      </c>
      <c r="K37" s="198">
        <f t="shared" si="1"/>
        <v>3744</v>
      </c>
      <c r="L37" s="197">
        <v>0</v>
      </c>
      <c r="M37" s="196">
        <v>0</v>
      </c>
      <c r="N37" s="197">
        <v>0</v>
      </c>
      <c r="O37" s="198">
        <f t="shared" si="2"/>
        <v>0</v>
      </c>
      <c r="P37" s="199">
        <f t="shared" si="3"/>
        <v>3744</v>
      </c>
      <c r="Q37" s="197">
        <v>6</v>
      </c>
      <c r="R37" s="208">
        <v>42.5</v>
      </c>
      <c r="S37" s="197">
        <v>26</v>
      </c>
      <c r="T37" s="198">
        <f t="shared" si="4"/>
        <v>6630</v>
      </c>
      <c r="U37" s="197">
        <v>0</v>
      </c>
      <c r="V37" s="196">
        <v>0</v>
      </c>
      <c r="W37" s="207">
        <v>0</v>
      </c>
      <c r="X37" s="198">
        <f t="shared" si="5"/>
        <v>0</v>
      </c>
      <c r="Y37" s="200">
        <f t="shared" si="6"/>
        <v>6630</v>
      </c>
      <c r="Z37" s="197">
        <v>6</v>
      </c>
      <c r="AA37" s="196">
        <v>90</v>
      </c>
      <c r="AB37" s="197">
        <v>2</v>
      </c>
      <c r="AC37" s="198">
        <f t="shared" si="7"/>
        <v>1080</v>
      </c>
      <c r="AD37" s="197">
        <v>0</v>
      </c>
      <c r="AE37" s="196">
        <v>0</v>
      </c>
      <c r="AF37" s="197">
        <v>0</v>
      </c>
      <c r="AG37" s="198">
        <f t="shared" si="8"/>
        <v>0</v>
      </c>
      <c r="AH37" s="200">
        <f t="shared" si="9"/>
        <v>1080</v>
      </c>
      <c r="AI37" s="199">
        <f t="shared" si="10"/>
        <v>23194</v>
      </c>
      <c r="AJ37" s="249">
        <f>AI37/E37</f>
        <v>0.61351673059119161</v>
      </c>
      <c r="AK37" s="208">
        <f t="shared" ref="AK37" si="18">(E37-AI37)*$AK$15</f>
        <v>1607.21</v>
      </c>
      <c r="AL37" s="196">
        <v>0</v>
      </c>
      <c r="AM37" s="196">
        <v>0</v>
      </c>
      <c r="AN37" s="196">
        <v>0</v>
      </c>
      <c r="AO37" s="196">
        <v>0</v>
      </c>
      <c r="AP37" s="250">
        <v>0</v>
      </c>
      <c r="AQ37" s="208">
        <f t="shared" si="16"/>
        <v>0</v>
      </c>
      <c r="AR37" s="202">
        <f t="shared" si="17"/>
        <v>0</v>
      </c>
      <c r="AS37" s="202">
        <f t="shared" si="13"/>
        <v>1607.21</v>
      </c>
      <c r="AT37" s="203">
        <f t="shared" si="14"/>
        <v>36197.79</v>
      </c>
      <c r="AV37" s="206">
        <v>32240.0975</v>
      </c>
      <c r="AW37" s="204">
        <f>AT37-AV37</f>
        <v>3957.692500000001</v>
      </c>
    </row>
    <row r="38" spans="2:50" s="131" customFormat="1" ht="18" hidden="1" customHeight="1">
      <c r="B38" s="194" t="s">
        <v>1616</v>
      </c>
      <c r="C38" s="194">
        <v>71</v>
      </c>
      <c r="D38" s="324" t="s">
        <v>1831</v>
      </c>
      <c r="E38" s="213">
        <v>1372</v>
      </c>
      <c r="F38" s="208">
        <v>472.7</v>
      </c>
      <c r="G38" s="196">
        <v>132</v>
      </c>
      <c r="H38" s="197">
        <v>1</v>
      </c>
      <c r="I38" s="196">
        <v>24</v>
      </c>
      <c r="J38" s="197">
        <v>4</v>
      </c>
      <c r="K38" s="198">
        <f t="shared" si="1"/>
        <v>96</v>
      </c>
      <c r="L38" s="197">
        <v>0</v>
      </c>
      <c r="M38" s="196">
        <v>0</v>
      </c>
      <c r="N38" s="197">
        <v>0</v>
      </c>
      <c r="O38" s="198">
        <f t="shared" si="2"/>
        <v>0</v>
      </c>
      <c r="P38" s="199">
        <f t="shared" si="3"/>
        <v>96</v>
      </c>
      <c r="Q38" s="197">
        <v>1</v>
      </c>
      <c r="R38" s="208">
        <v>42.5</v>
      </c>
      <c r="S38" s="197">
        <v>4</v>
      </c>
      <c r="T38" s="198">
        <f t="shared" si="4"/>
        <v>170</v>
      </c>
      <c r="U38" s="197">
        <v>0</v>
      </c>
      <c r="V38" s="196">
        <v>0</v>
      </c>
      <c r="W38" s="207">
        <v>0</v>
      </c>
      <c r="X38" s="198">
        <f t="shared" si="5"/>
        <v>0</v>
      </c>
      <c r="Y38" s="200">
        <f t="shared" si="6"/>
        <v>170</v>
      </c>
      <c r="Z38" s="197">
        <v>1</v>
      </c>
      <c r="AA38" s="208">
        <v>80</v>
      </c>
      <c r="AB38" s="197">
        <v>2</v>
      </c>
      <c r="AC38" s="198">
        <f t="shared" si="7"/>
        <v>160</v>
      </c>
      <c r="AD38" s="197">
        <v>0</v>
      </c>
      <c r="AE38" s="196">
        <v>0</v>
      </c>
      <c r="AF38" s="197">
        <v>0</v>
      </c>
      <c r="AG38" s="198">
        <f t="shared" si="8"/>
        <v>0</v>
      </c>
      <c r="AH38" s="200">
        <f t="shared" si="9"/>
        <v>160</v>
      </c>
      <c r="AI38" s="199">
        <f>F38+G38+P38+Y38+AH38</f>
        <v>1030.7</v>
      </c>
      <c r="AJ38" s="249">
        <f>AI38/E38</f>
        <v>0.75123906705539367</v>
      </c>
      <c r="AK38" s="208">
        <f t="shared" ref="AK38:AK43" si="19">(E38-AI38)*$AK$15</f>
        <v>37.542999999999992</v>
      </c>
      <c r="AL38" s="196">
        <v>0</v>
      </c>
      <c r="AM38" s="196">
        <v>0</v>
      </c>
      <c r="AN38" s="196">
        <v>0</v>
      </c>
      <c r="AO38" s="196">
        <v>0</v>
      </c>
      <c r="AP38" s="250">
        <v>0</v>
      </c>
      <c r="AQ38" s="208">
        <f t="shared" si="16"/>
        <v>0</v>
      </c>
      <c r="AR38" s="202">
        <f t="shared" si="17"/>
        <v>0</v>
      </c>
      <c r="AS38" s="202">
        <f t="shared" si="13"/>
        <v>37.542999999999992</v>
      </c>
      <c r="AT38" s="203">
        <f t="shared" si="14"/>
        <v>1334.4570000000001</v>
      </c>
      <c r="AV38" s="206"/>
      <c r="AW38" s="204"/>
    </row>
    <row r="39" spans="2:50" s="131" customFormat="1" ht="18" hidden="1" customHeight="1">
      <c r="B39" s="194" t="s">
        <v>1617</v>
      </c>
      <c r="C39" s="194">
        <v>72</v>
      </c>
      <c r="D39" s="195" t="s">
        <v>1720</v>
      </c>
      <c r="E39" s="196">
        <v>30680</v>
      </c>
      <c r="F39" s="196">
        <v>5625.8</v>
      </c>
      <c r="G39" s="196">
        <v>2550</v>
      </c>
      <c r="H39" s="197">
        <v>2</v>
      </c>
      <c r="I39" s="196">
        <v>24</v>
      </c>
      <c r="J39" s="197">
        <v>26</v>
      </c>
      <c r="K39" s="219">
        <f t="shared" ref="K39:K42" si="20">H39*I39*J39</f>
        <v>1248</v>
      </c>
      <c r="L39" s="197">
        <v>4</v>
      </c>
      <c r="M39" s="196">
        <v>16</v>
      </c>
      <c r="N39" s="197">
        <v>16</v>
      </c>
      <c r="O39" s="219">
        <f t="shared" ref="O39:O42" si="21">L39*M39*N39</f>
        <v>1024</v>
      </c>
      <c r="P39" s="220">
        <f t="shared" ref="P39:P42" si="22">K39+O39</f>
        <v>2272</v>
      </c>
      <c r="Q39" s="197">
        <v>2</v>
      </c>
      <c r="R39" s="196">
        <v>42.5</v>
      </c>
      <c r="S39" s="197">
        <v>26</v>
      </c>
      <c r="T39" s="219">
        <f t="shared" ref="T39:T42" si="23">Q39*R39*S39</f>
        <v>2210</v>
      </c>
      <c r="U39" s="197">
        <v>4</v>
      </c>
      <c r="V39" s="196">
        <v>42.5</v>
      </c>
      <c r="W39" s="207">
        <v>16</v>
      </c>
      <c r="X39" s="219">
        <f t="shared" ref="X39:X42" si="24">U39*V39*W39</f>
        <v>2720</v>
      </c>
      <c r="Y39" s="219">
        <f t="shared" ref="Y39:Y42" si="25">T39+X39</f>
        <v>4930</v>
      </c>
      <c r="Z39" s="197">
        <v>2</v>
      </c>
      <c r="AA39" s="196">
        <v>80</v>
      </c>
      <c r="AB39" s="197">
        <v>1</v>
      </c>
      <c r="AC39" s="198">
        <f t="shared" ref="AC39:AC42" si="26">Z39*AA39*AB39</f>
        <v>160</v>
      </c>
      <c r="AD39" s="197">
        <v>4</v>
      </c>
      <c r="AE39" s="196">
        <v>90</v>
      </c>
      <c r="AF39" s="197">
        <v>1</v>
      </c>
      <c r="AG39" s="198">
        <f t="shared" ref="AG39:AG42" si="27">AD39*AE39*AF39</f>
        <v>360</v>
      </c>
      <c r="AH39" s="200">
        <f t="shared" ref="AH39:AH42" si="28">AC39+AG39</f>
        <v>520</v>
      </c>
      <c r="AI39" s="199">
        <f t="shared" ref="AI39:AI40" si="29">F39+G39+P39+Y39+AH39</f>
        <v>15897.8</v>
      </c>
      <c r="AJ39" s="201">
        <f t="shared" ref="AJ39" si="30">AI39/E39</f>
        <v>0.51818122555410684</v>
      </c>
      <c r="AK39" s="196">
        <f t="shared" si="19"/>
        <v>1626.0420000000001</v>
      </c>
      <c r="AL39" s="196">
        <v>0</v>
      </c>
      <c r="AM39" s="196">
        <v>0</v>
      </c>
      <c r="AN39" s="196">
        <v>0</v>
      </c>
      <c r="AO39" s="196">
        <v>0</v>
      </c>
      <c r="AP39" s="247">
        <v>3.5200130378096481E-2</v>
      </c>
      <c r="AQ39" s="196">
        <f t="shared" si="16"/>
        <v>1079.94</v>
      </c>
      <c r="AR39" s="221">
        <f t="shared" si="17"/>
        <v>1079.94</v>
      </c>
      <c r="AS39" s="221">
        <f t="shared" ref="AS39:AS42" si="31">AK39+AR39</f>
        <v>2705.982</v>
      </c>
      <c r="AT39" s="203">
        <f t="shared" ref="AT39:AT42" si="32">E39-AS39</f>
        <v>27974.018</v>
      </c>
      <c r="AV39" s="206">
        <v>1079.94</v>
      </c>
      <c r="AW39" s="216">
        <f>AV39/E39</f>
        <v>3.5200130378096481E-2</v>
      </c>
    </row>
    <row r="40" spans="2:50" s="131" customFormat="1" ht="18" hidden="1" customHeight="1">
      <c r="B40" s="194" t="s">
        <v>1617</v>
      </c>
      <c r="C40" s="218">
        <v>77</v>
      </c>
      <c r="D40" s="324" t="s">
        <v>2051</v>
      </c>
      <c r="E40" s="196">
        <v>37805</v>
      </c>
      <c r="F40" s="196">
        <v>6980</v>
      </c>
      <c r="G40" s="196">
        <v>4760</v>
      </c>
      <c r="H40" s="197">
        <v>6</v>
      </c>
      <c r="I40" s="196">
        <v>24</v>
      </c>
      <c r="J40" s="197">
        <v>26</v>
      </c>
      <c r="K40" s="219">
        <f t="shared" si="20"/>
        <v>3744</v>
      </c>
      <c r="L40" s="197">
        <v>0</v>
      </c>
      <c r="M40" s="196">
        <v>0</v>
      </c>
      <c r="N40" s="197">
        <v>0</v>
      </c>
      <c r="O40" s="219">
        <f t="shared" si="21"/>
        <v>0</v>
      </c>
      <c r="P40" s="220">
        <f t="shared" si="22"/>
        <v>3744</v>
      </c>
      <c r="Q40" s="197">
        <v>6</v>
      </c>
      <c r="R40" s="196">
        <v>42.5</v>
      </c>
      <c r="S40" s="197">
        <v>26</v>
      </c>
      <c r="T40" s="219">
        <f t="shared" si="23"/>
        <v>6630</v>
      </c>
      <c r="U40" s="197">
        <v>0</v>
      </c>
      <c r="V40" s="196">
        <v>0</v>
      </c>
      <c r="W40" s="207">
        <v>0</v>
      </c>
      <c r="X40" s="219">
        <f t="shared" si="24"/>
        <v>0</v>
      </c>
      <c r="Y40" s="219">
        <f t="shared" si="25"/>
        <v>6630</v>
      </c>
      <c r="Z40" s="197">
        <v>6</v>
      </c>
      <c r="AA40" s="196">
        <v>90</v>
      </c>
      <c r="AB40" s="197">
        <v>2</v>
      </c>
      <c r="AC40" s="219">
        <f t="shared" si="26"/>
        <v>1080</v>
      </c>
      <c r="AD40" s="197">
        <v>0</v>
      </c>
      <c r="AE40" s="196">
        <v>0</v>
      </c>
      <c r="AF40" s="197">
        <v>0</v>
      </c>
      <c r="AG40" s="219">
        <f t="shared" si="27"/>
        <v>0</v>
      </c>
      <c r="AH40" s="219">
        <f t="shared" si="28"/>
        <v>1080</v>
      </c>
      <c r="AI40" s="220">
        <f t="shared" si="29"/>
        <v>23194</v>
      </c>
      <c r="AJ40" s="201">
        <f>AI40/E40</f>
        <v>0.61351673059119161</v>
      </c>
      <c r="AK40" s="208">
        <f t="shared" si="19"/>
        <v>1607.21</v>
      </c>
      <c r="AL40" s="196">
        <v>0</v>
      </c>
      <c r="AM40" s="196">
        <v>0</v>
      </c>
      <c r="AN40" s="196">
        <v>0</v>
      </c>
      <c r="AO40" s="196">
        <v>0</v>
      </c>
      <c r="AP40" s="247">
        <v>0</v>
      </c>
      <c r="AQ40" s="196">
        <f t="shared" si="16"/>
        <v>0</v>
      </c>
      <c r="AR40" s="221">
        <f t="shared" si="17"/>
        <v>0</v>
      </c>
      <c r="AS40" s="221">
        <f t="shared" si="31"/>
        <v>1607.21</v>
      </c>
      <c r="AT40" s="203">
        <f t="shared" si="32"/>
        <v>36197.79</v>
      </c>
      <c r="AV40" s="206">
        <v>32240.0975</v>
      </c>
      <c r="AW40" s="206">
        <f>AT40-AV40</f>
        <v>3957.692500000001</v>
      </c>
    </row>
    <row r="41" spans="2:50" s="131" customFormat="1" ht="18" hidden="1" customHeight="1">
      <c r="B41" s="194" t="s">
        <v>1617</v>
      </c>
      <c r="C41" s="218">
        <v>76</v>
      </c>
      <c r="D41" s="324" t="s">
        <v>1831</v>
      </c>
      <c r="E41" s="213">
        <v>1372</v>
      </c>
      <c r="F41" s="208">
        <v>320</v>
      </c>
      <c r="G41" s="196">
        <v>0</v>
      </c>
      <c r="H41" s="197">
        <v>1</v>
      </c>
      <c r="I41" s="196">
        <v>24</v>
      </c>
      <c r="J41" s="197">
        <v>4</v>
      </c>
      <c r="K41" s="219">
        <f t="shared" si="20"/>
        <v>96</v>
      </c>
      <c r="L41" s="197">
        <v>0</v>
      </c>
      <c r="M41" s="196">
        <v>0</v>
      </c>
      <c r="N41" s="197">
        <v>0</v>
      </c>
      <c r="O41" s="219">
        <f t="shared" si="21"/>
        <v>0</v>
      </c>
      <c r="P41" s="220">
        <f t="shared" si="22"/>
        <v>96</v>
      </c>
      <c r="Q41" s="197">
        <v>1</v>
      </c>
      <c r="R41" s="196">
        <v>42.5</v>
      </c>
      <c r="S41" s="197">
        <v>4</v>
      </c>
      <c r="T41" s="219">
        <f t="shared" si="23"/>
        <v>170</v>
      </c>
      <c r="U41" s="197">
        <v>0</v>
      </c>
      <c r="V41" s="196">
        <v>0</v>
      </c>
      <c r="W41" s="207">
        <v>0</v>
      </c>
      <c r="X41" s="219">
        <f t="shared" si="24"/>
        <v>0</v>
      </c>
      <c r="Y41" s="219">
        <f t="shared" si="25"/>
        <v>170</v>
      </c>
      <c r="Z41" s="197">
        <v>1</v>
      </c>
      <c r="AA41" s="196">
        <v>80</v>
      </c>
      <c r="AB41" s="197">
        <v>1</v>
      </c>
      <c r="AC41" s="219">
        <f t="shared" si="26"/>
        <v>80</v>
      </c>
      <c r="AD41" s="197">
        <v>0</v>
      </c>
      <c r="AE41" s="196">
        <v>0</v>
      </c>
      <c r="AF41" s="197">
        <v>0</v>
      </c>
      <c r="AG41" s="219">
        <f t="shared" si="27"/>
        <v>0</v>
      </c>
      <c r="AH41" s="271">
        <f t="shared" si="28"/>
        <v>80</v>
      </c>
      <c r="AI41" s="220">
        <f>F41+G41+P41+Y41+AH41</f>
        <v>666</v>
      </c>
      <c r="AJ41" s="201">
        <f>AI41/E41</f>
        <v>0.48542274052478135</v>
      </c>
      <c r="AK41" s="208">
        <f t="shared" si="19"/>
        <v>77.66</v>
      </c>
      <c r="AL41" s="196">
        <v>0</v>
      </c>
      <c r="AM41" s="196">
        <v>0</v>
      </c>
      <c r="AN41" s="196">
        <v>0</v>
      </c>
      <c r="AO41" s="196">
        <v>0</v>
      </c>
      <c r="AP41" s="247">
        <v>0</v>
      </c>
      <c r="AQ41" s="196">
        <f t="shared" si="16"/>
        <v>0</v>
      </c>
      <c r="AR41" s="221">
        <f t="shared" si="17"/>
        <v>0</v>
      </c>
      <c r="AS41" s="221">
        <f t="shared" si="31"/>
        <v>77.66</v>
      </c>
      <c r="AT41" s="203">
        <f t="shared" si="32"/>
        <v>1294.3399999999999</v>
      </c>
      <c r="AV41" s="206"/>
      <c r="AW41" s="206"/>
    </row>
    <row r="42" spans="2:50" s="131" customFormat="1" ht="18" hidden="1" customHeight="1">
      <c r="B42" s="194" t="s">
        <v>1617</v>
      </c>
      <c r="C42" s="218">
        <v>79</v>
      </c>
      <c r="D42" s="324" t="s">
        <v>1832</v>
      </c>
      <c r="E42" s="196">
        <v>20712</v>
      </c>
      <c r="F42" s="196">
        <v>799</v>
      </c>
      <c r="G42" s="196">
        <v>490</v>
      </c>
      <c r="H42" s="197">
        <v>4</v>
      </c>
      <c r="I42" s="196">
        <v>24</v>
      </c>
      <c r="J42" s="197">
        <v>26</v>
      </c>
      <c r="K42" s="219">
        <f t="shared" si="20"/>
        <v>2496</v>
      </c>
      <c r="L42" s="197">
        <v>0</v>
      </c>
      <c r="M42" s="196">
        <v>0</v>
      </c>
      <c r="N42" s="197">
        <v>0</v>
      </c>
      <c r="O42" s="219">
        <f t="shared" si="21"/>
        <v>0</v>
      </c>
      <c r="P42" s="220">
        <f t="shared" si="22"/>
        <v>2496</v>
      </c>
      <c r="Q42" s="197">
        <v>4</v>
      </c>
      <c r="R42" s="196">
        <v>42.5</v>
      </c>
      <c r="S42" s="197">
        <v>26</v>
      </c>
      <c r="T42" s="219">
        <f t="shared" si="23"/>
        <v>4420</v>
      </c>
      <c r="U42" s="197">
        <v>0</v>
      </c>
      <c r="V42" s="196">
        <v>0</v>
      </c>
      <c r="W42" s="207">
        <v>0</v>
      </c>
      <c r="X42" s="219">
        <f t="shared" si="24"/>
        <v>0</v>
      </c>
      <c r="Y42" s="219">
        <f t="shared" si="25"/>
        <v>4420</v>
      </c>
      <c r="Z42" s="197">
        <v>4</v>
      </c>
      <c r="AA42" s="196">
        <v>90</v>
      </c>
      <c r="AB42" s="197">
        <v>2</v>
      </c>
      <c r="AC42" s="219">
        <f t="shared" si="26"/>
        <v>720</v>
      </c>
      <c r="AD42" s="197">
        <v>0</v>
      </c>
      <c r="AE42" s="196">
        <v>0</v>
      </c>
      <c r="AF42" s="197">
        <v>0</v>
      </c>
      <c r="AG42" s="219">
        <f t="shared" si="27"/>
        <v>0</v>
      </c>
      <c r="AH42" s="219">
        <f t="shared" si="28"/>
        <v>720</v>
      </c>
      <c r="AI42" s="220">
        <f t="shared" ref="AI42" si="33">F42+G42+P42+Y42+AH42</f>
        <v>8925</v>
      </c>
      <c r="AJ42" s="201">
        <f>AI42/E42</f>
        <v>0.43090961761297797</v>
      </c>
      <c r="AK42" s="196">
        <f t="shared" si="19"/>
        <v>1296.57</v>
      </c>
      <c r="AL42" s="196">
        <v>0</v>
      </c>
      <c r="AM42" s="196">
        <v>0</v>
      </c>
      <c r="AN42" s="196">
        <v>0</v>
      </c>
      <c r="AO42" s="196">
        <v>0</v>
      </c>
      <c r="AP42" s="247">
        <v>0</v>
      </c>
      <c r="AQ42" s="196">
        <f t="shared" si="16"/>
        <v>0</v>
      </c>
      <c r="AR42" s="221">
        <f t="shared" si="17"/>
        <v>0</v>
      </c>
      <c r="AS42" s="221">
        <f t="shared" si="31"/>
        <v>1296.57</v>
      </c>
      <c r="AT42" s="203">
        <f t="shared" si="32"/>
        <v>19415.43</v>
      </c>
      <c r="AV42" s="206"/>
      <c r="AW42" s="206"/>
    </row>
    <row r="43" spans="2:50" s="131" customFormat="1" ht="18" hidden="1" customHeight="1">
      <c r="B43" s="194" t="s">
        <v>1618</v>
      </c>
      <c r="C43" s="194">
        <v>80</v>
      </c>
      <c r="D43" s="324" t="s">
        <v>1720</v>
      </c>
      <c r="E43" s="196">
        <v>30680</v>
      </c>
      <c r="F43" s="196">
        <v>5625.8</v>
      </c>
      <c r="G43" s="196">
        <v>2550</v>
      </c>
      <c r="H43" s="197">
        <v>2</v>
      </c>
      <c r="I43" s="196">
        <v>24</v>
      </c>
      <c r="J43" s="197">
        <v>26</v>
      </c>
      <c r="K43" s="219">
        <f t="shared" ref="K43:K47" si="34">H43*I43*J43</f>
        <v>1248</v>
      </c>
      <c r="L43" s="197">
        <v>4</v>
      </c>
      <c r="M43" s="196">
        <v>16</v>
      </c>
      <c r="N43" s="197">
        <v>16</v>
      </c>
      <c r="O43" s="219">
        <f t="shared" ref="O43:O47" si="35">L43*M43*N43</f>
        <v>1024</v>
      </c>
      <c r="P43" s="220">
        <f t="shared" ref="P43:P47" si="36">K43+O43</f>
        <v>2272</v>
      </c>
      <c r="Q43" s="197">
        <v>2</v>
      </c>
      <c r="R43" s="196">
        <v>42.5</v>
      </c>
      <c r="S43" s="197">
        <v>26</v>
      </c>
      <c r="T43" s="219">
        <f t="shared" ref="T43:T47" si="37">Q43*R43*S43</f>
        <v>2210</v>
      </c>
      <c r="U43" s="197">
        <v>4</v>
      </c>
      <c r="V43" s="196">
        <v>42.5</v>
      </c>
      <c r="W43" s="207">
        <v>16</v>
      </c>
      <c r="X43" s="219">
        <f t="shared" ref="X43:X47" si="38">U43*V43*W43</f>
        <v>2720</v>
      </c>
      <c r="Y43" s="219">
        <f t="shared" ref="Y43:Y47" si="39">T43+X43</f>
        <v>4930</v>
      </c>
      <c r="Z43" s="197">
        <v>2</v>
      </c>
      <c r="AA43" s="196">
        <v>80</v>
      </c>
      <c r="AB43" s="197">
        <v>1</v>
      </c>
      <c r="AC43" s="198">
        <f t="shared" ref="AC43:AC47" si="40">Z43*AA43*AB43</f>
        <v>160</v>
      </c>
      <c r="AD43" s="197">
        <v>4</v>
      </c>
      <c r="AE43" s="196">
        <v>90</v>
      </c>
      <c r="AF43" s="197">
        <v>1</v>
      </c>
      <c r="AG43" s="198">
        <f t="shared" ref="AG43:AG47" si="41">AD43*AE43*AF43</f>
        <v>360</v>
      </c>
      <c r="AH43" s="200">
        <f t="shared" ref="AH43:AH47" si="42">AC43+AG43</f>
        <v>520</v>
      </c>
      <c r="AI43" s="199">
        <f t="shared" ref="AI43:AI44" si="43">F43+G43+P43+Y43+AH43</f>
        <v>15897.8</v>
      </c>
      <c r="AJ43" s="201">
        <f t="shared" ref="AJ43" si="44">AI43/E43</f>
        <v>0.51818122555410684</v>
      </c>
      <c r="AK43" s="196">
        <f t="shared" si="19"/>
        <v>1626.0420000000001</v>
      </c>
      <c r="AL43" s="196">
        <v>0</v>
      </c>
      <c r="AM43" s="196">
        <v>0</v>
      </c>
      <c r="AN43" s="196">
        <v>0</v>
      </c>
      <c r="AO43" s="196">
        <v>0</v>
      </c>
      <c r="AP43" s="250">
        <v>3.4799999999999998E-2</v>
      </c>
      <c r="AQ43" s="196">
        <f t="shared" ref="AQ43:AQ48" si="45">AP43*E43</f>
        <v>1067.664</v>
      </c>
      <c r="AR43" s="221">
        <f t="shared" ref="AR43:AR47" si="46">AL43+AM43+AN43+AO43+AQ43</f>
        <v>1067.664</v>
      </c>
      <c r="AS43" s="221">
        <f t="shared" ref="AS43:AS47" si="47">AK43+AR43</f>
        <v>2693.7060000000001</v>
      </c>
      <c r="AT43" s="203">
        <f t="shared" ref="AT43:AT47" si="48">E43-AS43</f>
        <v>27986.294000000002</v>
      </c>
      <c r="AV43" s="206"/>
      <c r="AW43" s="206"/>
    </row>
    <row r="44" spans="2:50" s="131" customFormat="1" ht="18" hidden="1" customHeight="1">
      <c r="B44" s="194" t="s">
        <v>1618</v>
      </c>
      <c r="C44" s="194">
        <v>81</v>
      </c>
      <c r="D44" s="324" t="s">
        <v>2051</v>
      </c>
      <c r="E44" s="196">
        <v>37805</v>
      </c>
      <c r="F44" s="196">
        <v>6980</v>
      </c>
      <c r="G44" s="196">
        <v>4760</v>
      </c>
      <c r="H44" s="197">
        <v>6</v>
      </c>
      <c r="I44" s="196">
        <v>24</v>
      </c>
      <c r="J44" s="197">
        <v>26</v>
      </c>
      <c r="K44" s="219">
        <f t="shared" si="34"/>
        <v>3744</v>
      </c>
      <c r="L44" s="197">
        <v>0</v>
      </c>
      <c r="M44" s="196">
        <v>0</v>
      </c>
      <c r="N44" s="197">
        <v>0</v>
      </c>
      <c r="O44" s="219">
        <f t="shared" si="35"/>
        <v>0</v>
      </c>
      <c r="P44" s="220">
        <f t="shared" si="36"/>
        <v>3744</v>
      </c>
      <c r="Q44" s="197">
        <v>6</v>
      </c>
      <c r="R44" s="196">
        <v>42.5</v>
      </c>
      <c r="S44" s="197">
        <v>26</v>
      </c>
      <c r="T44" s="219">
        <f t="shared" si="37"/>
        <v>6630</v>
      </c>
      <c r="U44" s="197">
        <v>0</v>
      </c>
      <c r="V44" s="196">
        <v>0</v>
      </c>
      <c r="W44" s="207">
        <v>0</v>
      </c>
      <c r="X44" s="219">
        <f t="shared" si="38"/>
        <v>0</v>
      </c>
      <c r="Y44" s="219">
        <f t="shared" si="39"/>
        <v>6630</v>
      </c>
      <c r="Z44" s="197">
        <v>6</v>
      </c>
      <c r="AA44" s="196">
        <v>90</v>
      </c>
      <c r="AB44" s="197">
        <v>2</v>
      </c>
      <c r="AC44" s="219">
        <f t="shared" si="40"/>
        <v>1080</v>
      </c>
      <c r="AD44" s="197">
        <v>0</v>
      </c>
      <c r="AE44" s="196">
        <v>0</v>
      </c>
      <c r="AF44" s="197">
        <v>0</v>
      </c>
      <c r="AG44" s="219">
        <f t="shared" si="41"/>
        <v>0</v>
      </c>
      <c r="AH44" s="219">
        <f t="shared" si="42"/>
        <v>1080</v>
      </c>
      <c r="AI44" s="220">
        <f t="shared" si="43"/>
        <v>23194</v>
      </c>
      <c r="AJ44" s="201">
        <f>AI44/E44</f>
        <v>0.61351673059119161</v>
      </c>
      <c r="AK44" s="196">
        <f t="shared" ref="AK44" si="49">(E44-AI44)*$AK$15</f>
        <v>1607.21</v>
      </c>
      <c r="AL44" s="196">
        <v>0</v>
      </c>
      <c r="AM44" s="196">
        <v>0</v>
      </c>
      <c r="AN44" s="196">
        <v>0</v>
      </c>
      <c r="AO44" s="196">
        <v>0</v>
      </c>
      <c r="AP44" s="247">
        <v>0</v>
      </c>
      <c r="AQ44" s="196">
        <f t="shared" si="45"/>
        <v>0</v>
      </c>
      <c r="AR44" s="221">
        <f t="shared" si="46"/>
        <v>0</v>
      </c>
      <c r="AS44" s="221">
        <f t="shared" si="47"/>
        <v>1607.21</v>
      </c>
      <c r="AT44" s="203">
        <f t="shared" si="48"/>
        <v>36197.79</v>
      </c>
      <c r="AV44" s="206"/>
      <c r="AW44" s="206"/>
    </row>
    <row r="45" spans="2:50" s="131" customFormat="1" ht="18" hidden="1" customHeight="1">
      <c r="B45" s="194" t="s">
        <v>1618</v>
      </c>
      <c r="C45" s="194">
        <v>82</v>
      </c>
      <c r="D45" s="324" t="s">
        <v>1831</v>
      </c>
      <c r="E45" s="213">
        <v>1372</v>
      </c>
      <c r="F45" s="196">
        <v>320</v>
      </c>
      <c r="G45" s="196">
        <v>0</v>
      </c>
      <c r="H45" s="197">
        <v>1</v>
      </c>
      <c r="I45" s="196">
        <v>24</v>
      </c>
      <c r="J45" s="197">
        <v>4</v>
      </c>
      <c r="K45" s="219">
        <f t="shared" si="34"/>
        <v>96</v>
      </c>
      <c r="L45" s="197">
        <v>0</v>
      </c>
      <c r="M45" s="196">
        <v>0</v>
      </c>
      <c r="N45" s="197">
        <v>0</v>
      </c>
      <c r="O45" s="219">
        <f t="shared" si="35"/>
        <v>0</v>
      </c>
      <c r="P45" s="220">
        <f t="shared" si="36"/>
        <v>96</v>
      </c>
      <c r="Q45" s="197">
        <v>1</v>
      </c>
      <c r="R45" s="196">
        <v>42.5</v>
      </c>
      <c r="S45" s="197">
        <v>4</v>
      </c>
      <c r="T45" s="219">
        <f t="shared" si="37"/>
        <v>170</v>
      </c>
      <c r="U45" s="197">
        <v>0</v>
      </c>
      <c r="V45" s="196">
        <v>0</v>
      </c>
      <c r="W45" s="207">
        <v>0</v>
      </c>
      <c r="X45" s="219">
        <f t="shared" si="38"/>
        <v>0</v>
      </c>
      <c r="Y45" s="219">
        <f t="shared" si="39"/>
        <v>170</v>
      </c>
      <c r="Z45" s="197">
        <v>1</v>
      </c>
      <c r="AA45" s="196">
        <v>80</v>
      </c>
      <c r="AB45" s="197">
        <v>1</v>
      </c>
      <c r="AC45" s="219">
        <f t="shared" si="40"/>
        <v>80</v>
      </c>
      <c r="AD45" s="197">
        <v>0</v>
      </c>
      <c r="AE45" s="196">
        <v>0</v>
      </c>
      <c r="AF45" s="197">
        <v>0</v>
      </c>
      <c r="AG45" s="219">
        <f t="shared" si="41"/>
        <v>0</v>
      </c>
      <c r="AH45" s="219">
        <f t="shared" si="42"/>
        <v>80</v>
      </c>
      <c r="AI45" s="220">
        <f>F45+G45+P45+Y45+AH45</f>
        <v>666</v>
      </c>
      <c r="AJ45" s="201">
        <f>AI45/E45</f>
        <v>0.48542274052478135</v>
      </c>
      <c r="AK45" s="196">
        <f>(E45-AI45)*$AK$15</f>
        <v>77.66</v>
      </c>
      <c r="AL45" s="196">
        <v>0</v>
      </c>
      <c r="AM45" s="196">
        <v>0</v>
      </c>
      <c r="AN45" s="196">
        <v>0</v>
      </c>
      <c r="AO45" s="196">
        <v>0</v>
      </c>
      <c r="AP45" s="247">
        <v>0</v>
      </c>
      <c r="AQ45" s="196">
        <f t="shared" si="45"/>
        <v>0</v>
      </c>
      <c r="AR45" s="221">
        <f t="shared" si="46"/>
        <v>0</v>
      </c>
      <c r="AS45" s="221">
        <f t="shared" si="47"/>
        <v>77.66</v>
      </c>
      <c r="AT45" s="203">
        <f t="shared" si="48"/>
        <v>1294.3399999999999</v>
      </c>
      <c r="AV45" s="206"/>
      <c r="AW45" s="206"/>
    </row>
    <row r="46" spans="2:50" s="131" customFormat="1" ht="18" hidden="1" customHeight="1">
      <c r="B46" s="194" t="s">
        <v>1618</v>
      </c>
      <c r="C46" s="194">
        <v>83</v>
      </c>
      <c r="D46" s="324" t="s">
        <v>1832</v>
      </c>
      <c r="E46" s="196">
        <v>20712</v>
      </c>
      <c r="F46" s="196">
        <v>799</v>
      </c>
      <c r="G46" s="196">
        <v>490</v>
      </c>
      <c r="H46" s="197">
        <v>4</v>
      </c>
      <c r="I46" s="196">
        <v>24</v>
      </c>
      <c r="J46" s="197">
        <v>26</v>
      </c>
      <c r="K46" s="219">
        <f t="shared" si="34"/>
        <v>2496</v>
      </c>
      <c r="L46" s="197">
        <v>0</v>
      </c>
      <c r="M46" s="196">
        <v>0</v>
      </c>
      <c r="N46" s="197">
        <v>0</v>
      </c>
      <c r="O46" s="219">
        <f t="shared" si="35"/>
        <v>0</v>
      </c>
      <c r="P46" s="220">
        <f t="shared" si="36"/>
        <v>2496</v>
      </c>
      <c r="Q46" s="197">
        <v>4</v>
      </c>
      <c r="R46" s="196">
        <v>42.5</v>
      </c>
      <c r="S46" s="197">
        <v>26</v>
      </c>
      <c r="T46" s="219">
        <f t="shared" si="37"/>
        <v>4420</v>
      </c>
      <c r="U46" s="197">
        <v>0</v>
      </c>
      <c r="V46" s="196">
        <v>0</v>
      </c>
      <c r="W46" s="207">
        <v>0</v>
      </c>
      <c r="X46" s="219">
        <f t="shared" si="38"/>
        <v>0</v>
      </c>
      <c r="Y46" s="219">
        <f t="shared" si="39"/>
        <v>4420</v>
      </c>
      <c r="Z46" s="197">
        <v>4</v>
      </c>
      <c r="AA46" s="196">
        <v>90</v>
      </c>
      <c r="AB46" s="197">
        <v>2</v>
      </c>
      <c r="AC46" s="219">
        <f t="shared" si="40"/>
        <v>720</v>
      </c>
      <c r="AD46" s="197">
        <v>0</v>
      </c>
      <c r="AE46" s="196">
        <v>0</v>
      </c>
      <c r="AF46" s="197">
        <v>0</v>
      </c>
      <c r="AG46" s="219">
        <f t="shared" si="41"/>
        <v>0</v>
      </c>
      <c r="AH46" s="219">
        <f t="shared" si="42"/>
        <v>720</v>
      </c>
      <c r="AI46" s="220">
        <f t="shared" ref="AI46:AI47" si="50">F46+G46+P46+Y46+AH46</f>
        <v>8925</v>
      </c>
      <c r="AJ46" s="201">
        <f>AI46/E46</f>
        <v>0.43090961761297797</v>
      </c>
      <c r="AK46" s="196">
        <f>(E46-AI46)*$AK$15</f>
        <v>1296.57</v>
      </c>
      <c r="AL46" s="196">
        <v>0</v>
      </c>
      <c r="AM46" s="196">
        <v>0</v>
      </c>
      <c r="AN46" s="196">
        <v>0</v>
      </c>
      <c r="AO46" s="196">
        <v>0</v>
      </c>
      <c r="AP46" s="247">
        <v>0</v>
      </c>
      <c r="AQ46" s="196">
        <f t="shared" si="45"/>
        <v>0</v>
      </c>
      <c r="AR46" s="221">
        <f t="shared" si="46"/>
        <v>0</v>
      </c>
      <c r="AS46" s="221">
        <f t="shared" si="47"/>
        <v>1296.57</v>
      </c>
      <c r="AT46" s="203">
        <f t="shared" si="48"/>
        <v>19415.43</v>
      </c>
      <c r="AV46" s="206"/>
      <c r="AW46" s="206"/>
    </row>
    <row r="47" spans="2:50" s="131" customFormat="1" ht="18" hidden="1" customHeight="1">
      <c r="B47" s="194" t="s">
        <v>1618</v>
      </c>
      <c r="C47" s="194">
        <v>84</v>
      </c>
      <c r="D47" s="324" t="s">
        <v>1634</v>
      </c>
      <c r="E47" s="196">
        <f>5300+530</f>
        <v>5830</v>
      </c>
      <c r="F47" s="196">
        <v>950.61</v>
      </c>
      <c r="G47" s="196">
        <v>351.9</v>
      </c>
      <c r="H47" s="197">
        <v>1</v>
      </c>
      <c r="I47" s="196">
        <v>24</v>
      </c>
      <c r="J47" s="197">
        <v>26</v>
      </c>
      <c r="K47" s="219">
        <f t="shared" si="34"/>
        <v>624</v>
      </c>
      <c r="L47" s="197">
        <v>0</v>
      </c>
      <c r="M47" s="196">
        <v>0</v>
      </c>
      <c r="N47" s="197">
        <v>0</v>
      </c>
      <c r="O47" s="219">
        <f t="shared" si="35"/>
        <v>0</v>
      </c>
      <c r="P47" s="220">
        <f t="shared" si="36"/>
        <v>624</v>
      </c>
      <c r="Q47" s="197">
        <v>1</v>
      </c>
      <c r="R47" s="196">
        <v>42.5</v>
      </c>
      <c r="S47" s="197">
        <v>26</v>
      </c>
      <c r="T47" s="219">
        <f t="shared" si="37"/>
        <v>1105</v>
      </c>
      <c r="U47" s="197">
        <v>0</v>
      </c>
      <c r="V47" s="196">
        <v>0</v>
      </c>
      <c r="W47" s="207">
        <v>0</v>
      </c>
      <c r="X47" s="219">
        <f t="shared" si="38"/>
        <v>0</v>
      </c>
      <c r="Y47" s="219">
        <f t="shared" si="39"/>
        <v>1105</v>
      </c>
      <c r="Z47" s="197">
        <v>1</v>
      </c>
      <c r="AA47" s="196">
        <v>90</v>
      </c>
      <c r="AB47" s="197">
        <v>2</v>
      </c>
      <c r="AC47" s="219">
        <f t="shared" si="40"/>
        <v>180</v>
      </c>
      <c r="AD47" s="197">
        <v>0</v>
      </c>
      <c r="AE47" s="196">
        <v>0</v>
      </c>
      <c r="AF47" s="197">
        <v>0</v>
      </c>
      <c r="AG47" s="219">
        <f t="shared" si="41"/>
        <v>0</v>
      </c>
      <c r="AH47" s="219">
        <f t="shared" si="42"/>
        <v>180</v>
      </c>
      <c r="AI47" s="220">
        <f t="shared" si="50"/>
        <v>3211.51</v>
      </c>
      <c r="AJ47" s="201">
        <f>AI47/E47</f>
        <v>0.55085934819897087</v>
      </c>
      <c r="AK47" s="196">
        <f>(E47-AI47)*$AK$15</f>
        <v>288.03389999999996</v>
      </c>
      <c r="AL47" s="196">
        <v>0</v>
      </c>
      <c r="AM47" s="196">
        <v>0</v>
      </c>
      <c r="AN47" s="196">
        <v>0</v>
      </c>
      <c r="AO47" s="196">
        <v>0</v>
      </c>
      <c r="AP47" s="250">
        <v>3.4799999999999998E-2</v>
      </c>
      <c r="AQ47" s="196">
        <f t="shared" si="45"/>
        <v>202.88399999999999</v>
      </c>
      <c r="AR47" s="221">
        <f t="shared" si="46"/>
        <v>202.88399999999999</v>
      </c>
      <c r="AS47" s="221">
        <f t="shared" si="47"/>
        <v>490.91789999999992</v>
      </c>
      <c r="AT47" s="203">
        <f t="shared" si="48"/>
        <v>5339.0820999999996</v>
      </c>
      <c r="AV47" s="206"/>
      <c r="AW47" s="206"/>
    </row>
    <row r="48" spans="2:50" s="131" customFormat="1" ht="18" hidden="1" customHeight="1">
      <c r="B48" s="194" t="s">
        <v>1618</v>
      </c>
      <c r="C48" s="194">
        <v>85</v>
      </c>
      <c r="D48" s="324" t="s">
        <v>1833</v>
      </c>
      <c r="E48" s="196">
        <f>(7820/30)*16</f>
        <v>4170.666666666667</v>
      </c>
      <c r="F48" s="196">
        <v>290</v>
      </c>
      <c r="G48" s="196">
        <v>130</v>
      </c>
      <c r="H48" s="197">
        <v>2</v>
      </c>
      <c r="I48" s="196">
        <v>24</v>
      </c>
      <c r="J48" s="197">
        <v>16</v>
      </c>
      <c r="K48" s="219">
        <f t="shared" ref="K48" si="51">H48*I48*J48</f>
        <v>768</v>
      </c>
      <c r="L48" s="197">
        <v>0</v>
      </c>
      <c r="M48" s="196">
        <v>0</v>
      </c>
      <c r="N48" s="197">
        <v>0</v>
      </c>
      <c r="O48" s="219">
        <f t="shared" ref="O48" si="52">L48*M48*N48</f>
        <v>0</v>
      </c>
      <c r="P48" s="220">
        <f t="shared" ref="P48" si="53">K48+O48</f>
        <v>768</v>
      </c>
      <c r="Q48" s="197">
        <v>2</v>
      </c>
      <c r="R48" s="196">
        <v>42.5</v>
      </c>
      <c r="S48" s="197">
        <v>16</v>
      </c>
      <c r="T48" s="219">
        <f t="shared" ref="T48" si="54">Q48*R48*S48</f>
        <v>1360</v>
      </c>
      <c r="U48" s="197">
        <v>0</v>
      </c>
      <c r="V48" s="196">
        <v>0</v>
      </c>
      <c r="W48" s="207">
        <v>0</v>
      </c>
      <c r="X48" s="219">
        <f t="shared" ref="X48" si="55">U48*V48*W48</f>
        <v>0</v>
      </c>
      <c r="Y48" s="219">
        <f t="shared" ref="Y48" si="56">T48+X48</f>
        <v>1360</v>
      </c>
      <c r="Z48" s="197">
        <v>2</v>
      </c>
      <c r="AA48" s="196">
        <v>90</v>
      </c>
      <c r="AB48" s="197">
        <v>2</v>
      </c>
      <c r="AC48" s="219">
        <f t="shared" ref="AC48" si="57">Z48*AA48*AB48</f>
        <v>360</v>
      </c>
      <c r="AD48" s="197">
        <v>0</v>
      </c>
      <c r="AE48" s="196">
        <v>0</v>
      </c>
      <c r="AF48" s="197">
        <v>0</v>
      </c>
      <c r="AG48" s="219">
        <f t="shared" ref="AG48" si="58">AD48*AE48*AF48</f>
        <v>0</v>
      </c>
      <c r="AH48" s="219">
        <f t="shared" ref="AH48" si="59">AC48+AG48</f>
        <v>360</v>
      </c>
      <c r="AI48" s="220">
        <f t="shared" ref="AI48" si="60">F48+G48+P48+Y48+AH48</f>
        <v>2908</v>
      </c>
      <c r="AJ48" s="201">
        <f>AI48/E48</f>
        <v>0.69725063938618925</v>
      </c>
      <c r="AK48" s="196">
        <f>(E48-AI48)*$AK$15</f>
        <v>138.89333333333337</v>
      </c>
      <c r="AL48" s="196">
        <v>0</v>
      </c>
      <c r="AM48" s="196">
        <v>0</v>
      </c>
      <c r="AN48" s="196">
        <v>0</v>
      </c>
      <c r="AO48" s="196">
        <v>0</v>
      </c>
      <c r="AP48" s="250">
        <v>0</v>
      </c>
      <c r="AQ48" s="196">
        <f t="shared" si="45"/>
        <v>0</v>
      </c>
      <c r="AR48" s="221">
        <f>AL48+AM48+AN48+AO48+AQ48</f>
        <v>0</v>
      </c>
      <c r="AS48" s="221">
        <f>AK48+AR48</f>
        <v>138.89333333333337</v>
      </c>
      <c r="AT48" s="203">
        <f t="shared" ref="AT48" si="61">E48-AS48</f>
        <v>4031.7733333333335</v>
      </c>
      <c r="AV48" s="206"/>
      <c r="AW48" s="204"/>
    </row>
    <row r="49" spans="2:49" s="131" customFormat="1" ht="18" hidden="1" customHeight="1">
      <c r="B49" s="194" t="s">
        <v>1805</v>
      </c>
      <c r="C49" s="194">
        <v>91</v>
      </c>
      <c r="D49" s="324" t="s">
        <v>1720</v>
      </c>
      <c r="E49" s="196">
        <v>30680</v>
      </c>
      <c r="F49" s="196">
        <v>5625.8</v>
      </c>
      <c r="G49" s="196">
        <v>2550</v>
      </c>
      <c r="H49" s="197">
        <v>2</v>
      </c>
      <c r="I49" s="196">
        <v>24</v>
      </c>
      <c r="J49" s="197">
        <v>26</v>
      </c>
      <c r="K49" s="219">
        <f t="shared" ref="K49:K54" si="62">H49*I49*J49</f>
        <v>1248</v>
      </c>
      <c r="L49" s="197">
        <v>4</v>
      </c>
      <c r="M49" s="196">
        <v>16</v>
      </c>
      <c r="N49" s="197">
        <v>16</v>
      </c>
      <c r="O49" s="219">
        <f t="shared" ref="O49:O54" si="63">L49*M49*N49</f>
        <v>1024</v>
      </c>
      <c r="P49" s="220">
        <f t="shared" ref="P49:P54" si="64">K49+O49</f>
        <v>2272</v>
      </c>
      <c r="Q49" s="197">
        <v>2</v>
      </c>
      <c r="R49" s="196">
        <v>42.5</v>
      </c>
      <c r="S49" s="197">
        <v>26</v>
      </c>
      <c r="T49" s="219">
        <f t="shared" ref="T49:T54" si="65">Q49*R49*S49</f>
        <v>2210</v>
      </c>
      <c r="U49" s="197">
        <v>4</v>
      </c>
      <c r="V49" s="196">
        <v>42.5</v>
      </c>
      <c r="W49" s="207">
        <v>16</v>
      </c>
      <c r="X49" s="219">
        <f t="shared" ref="X49:X54" si="66">U49*V49*W49</f>
        <v>2720</v>
      </c>
      <c r="Y49" s="219">
        <f t="shared" ref="Y49:Y54" si="67">T49+X49</f>
        <v>4930</v>
      </c>
      <c r="Z49" s="197">
        <v>2</v>
      </c>
      <c r="AA49" s="196">
        <v>80</v>
      </c>
      <c r="AB49" s="197">
        <v>1</v>
      </c>
      <c r="AC49" s="198">
        <f t="shared" ref="AC49:AC54" si="68">Z49*AA49*AB49</f>
        <v>160</v>
      </c>
      <c r="AD49" s="197">
        <v>4</v>
      </c>
      <c r="AE49" s="196">
        <v>90</v>
      </c>
      <c r="AF49" s="197">
        <v>1</v>
      </c>
      <c r="AG49" s="198">
        <f t="shared" ref="AG49:AG54" si="69">AD49*AE49*AF49</f>
        <v>360</v>
      </c>
      <c r="AH49" s="200">
        <f t="shared" ref="AH49:AH54" si="70">AC49+AG49</f>
        <v>520</v>
      </c>
      <c r="AI49" s="199">
        <f t="shared" ref="AI49:AI50" si="71">F49+G49+P49+Y49+AH49</f>
        <v>15897.8</v>
      </c>
      <c r="AJ49" s="201">
        <f t="shared" ref="AJ49" si="72">AI49/E49</f>
        <v>0.51818122555410684</v>
      </c>
      <c r="AK49" s="196">
        <f>(E49-AI49)*$AK$15</f>
        <v>1626.0420000000001</v>
      </c>
      <c r="AL49" s="196">
        <v>0</v>
      </c>
      <c r="AM49" s="196">
        <v>0</v>
      </c>
      <c r="AN49" s="196">
        <v>0</v>
      </c>
      <c r="AO49" s="196">
        <v>0</v>
      </c>
      <c r="AP49" s="286">
        <v>0.05</v>
      </c>
      <c r="AQ49" s="196">
        <f t="shared" ref="AQ49:AQ54" si="73">AP49*E49</f>
        <v>1534</v>
      </c>
      <c r="AR49" s="221">
        <f t="shared" ref="AR49:AR53" si="74">AL49+AM49+AN49+AO49+AQ49</f>
        <v>1534</v>
      </c>
      <c r="AS49" s="221">
        <f t="shared" ref="AS49:AS53" si="75">AK49+AR49</f>
        <v>3160.0420000000004</v>
      </c>
      <c r="AT49" s="203">
        <f t="shared" ref="AT49:AT54" si="76">E49-AS49</f>
        <v>27519.957999999999</v>
      </c>
      <c r="AV49" s="206"/>
      <c r="AW49" s="206"/>
    </row>
    <row r="50" spans="2:49" s="131" customFormat="1" ht="18" hidden="1" customHeight="1">
      <c r="B50" s="194" t="s">
        <v>1805</v>
      </c>
      <c r="C50" s="194">
        <v>87</v>
      </c>
      <c r="D50" s="324" t="s">
        <v>2051</v>
      </c>
      <c r="E50" s="196">
        <v>37805</v>
      </c>
      <c r="F50" s="196">
        <v>6980</v>
      </c>
      <c r="G50" s="196">
        <v>4760</v>
      </c>
      <c r="H50" s="197">
        <v>6</v>
      </c>
      <c r="I50" s="196">
        <v>24</v>
      </c>
      <c r="J50" s="197">
        <v>26</v>
      </c>
      <c r="K50" s="219">
        <f t="shared" si="62"/>
        <v>3744</v>
      </c>
      <c r="L50" s="197">
        <v>0</v>
      </c>
      <c r="M50" s="196">
        <v>0</v>
      </c>
      <c r="N50" s="197">
        <v>0</v>
      </c>
      <c r="O50" s="219">
        <f t="shared" si="63"/>
        <v>0</v>
      </c>
      <c r="P50" s="220">
        <f t="shared" si="64"/>
        <v>3744</v>
      </c>
      <c r="Q50" s="197">
        <v>6</v>
      </c>
      <c r="R50" s="196">
        <v>42.5</v>
      </c>
      <c r="S50" s="197">
        <v>26</v>
      </c>
      <c r="T50" s="219">
        <f t="shared" si="65"/>
        <v>6630</v>
      </c>
      <c r="U50" s="197">
        <v>0</v>
      </c>
      <c r="V50" s="196">
        <v>0</v>
      </c>
      <c r="W50" s="207">
        <v>0</v>
      </c>
      <c r="X50" s="219">
        <f t="shared" si="66"/>
        <v>0</v>
      </c>
      <c r="Y50" s="219">
        <f t="shared" si="67"/>
        <v>6630</v>
      </c>
      <c r="Z50" s="197">
        <v>6</v>
      </c>
      <c r="AA50" s="196">
        <v>90</v>
      </c>
      <c r="AB50" s="197">
        <v>2</v>
      </c>
      <c r="AC50" s="219">
        <f t="shared" si="68"/>
        <v>1080</v>
      </c>
      <c r="AD50" s="197">
        <v>0</v>
      </c>
      <c r="AE50" s="196">
        <v>0</v>
      </c>
      <c r="AF50" s="197">
        <v>0</v>
      </c>
      <c r="AG50" s="219">
        <f t="shared" si="69"/>
        <v>0</v>
      </c>
      <c r="AH50" s="219">
        <f t="shared" si="70"/>
        <v>1080</v>
      </c>
      <c r="AI50" s="220">
        <f t="shared" si="71"/>
        <v>23194</v>
      </c>
      <c r="AJ50" s="201">
        <f>AI50/E50</f>
        <v>0.61351673059119161</v>
      </c>
      <c r="AK50" s="196">
        <f t="shared" ref="AK50" si="77">(E50-AI50)*$AK$15</f>
        <v>1607.21</v>
      </c>
      <c r="AL50" s="196">
        <v>0</v>
      </c>
      <c r="AM50" s="196">
        <v>0</v>
      </c>
      <c r="AN50" s="196">
        <v>0</v>
      </c>
      <c r="AO50" s="196">
        <v>0</v>
      </c>
      <c r="AP50" s="247">
        <v>0</v>
      </c>
      <c r="AQ50" s="196">
        <f t="shared" si="73"/>
        <v>0</v>
      </c>
      <c r="AR50" s="221">
        <f t="shared" si="74"/>
        <v>0</v>
      </c>
      <c r="AS50" s="221">
        <f t="shared" si="75"/>
        <v>1607.21</v>
      </c>
      <c r="AT50" s="203">
        <f t="shared" si="76"/>
        <v>36197.79</v>
      </c>
      <c r="AV50" s="206"/>
      <c r="AW50" s="206"/>
    </row>
    <row r="51" spans="2:49" s="131" customFormat="1" ht="18" hidden="1" customHeight="1">
      <c r="B51" s="194" t="s">
        <v>1805</v>
      </c>
      <c r="C51" s="194">
        <v>89</v>
      </c>
      <c r="D51" s="324" t="s">
        <v>1831</v>
      </c>
      <c r="E51" s="213">
        <v>1372</v>
      </c>
      <c r="F51" s="196">
        <v>320</v>
      </c>
      <c r="G51" s="196">
        <v>0</v>
      </c>
      <c r="H51" s="197">
        <v>1</v>
      </c>
      <c r="I51" s="196">
        <v>24</v>
      </c>
      <c r="J51" s="197">
        <v>4</v>
      </c>
      <c r="K51" s="219">
        <f t="shared" si="62"/>
        <v>96</v>
      </c>
      <c r="L51" s="197">
        <v>0</v>
      </c>
      <c r="M51" s="196">
        <v>0</v>
      </c>
      <c r="N51" s="197">
        <v>0</v>
      </c>
      <c r="O51" s="219">
        <f t="shared" si="63"/>
        <v>0</v>
      </c>
      <c r="P51" s="220">
        <f t="shared" si="64"/>
        <v>96</v>
      </c>
      <c r="Q51" s="197">
        <v>1</v>
      </c>
      <c r="R51" s="196">
        <v>42.5</v>
      </c>
      <c r="S51" s="197">
        <v>4</v>
      </c>
      <c r="T51" s="219">
        <f t="shared" si="65"/>
        <v>170</v>
      </c>
      <c r="U51" s="197">
        <v>0</v>
      </c>
      <c r="V51" s="196">
        <v>0</v>
      </c>
      <c r="W51" s="207">
        <v>0</v>
      </c>
      <c r="X51" s="219">
        <f t="shared" si="66"/>
        <v>0</v>
      </c>
      <c r="Y51" s="219">
        <f t="shared" si="67"/>
        <v>170</v>
      </c>
      <c r="Z51" s="197">
        <v>1</v>
      </c>
      <c r="AA51" s="196">
        <v>80</v>
      </c>
      <c r="AB51" s="197">
        <v>1</v>
      </c>
      <c r="AC51" s="219">
        <f t="shared" si="68"/>
        <v>80</v>
      </c>
      <c r="AD51" s="197">
        <v>0</v>
      </c>
      <c r="AE51" s="196">
        <v>0</v>
      </c>
      <c r="AF51" s="197">
        <v>0</v>
      </c>
      <c r="AG51" s="219">
        <f t="shared" si="69"/>
        <v>0</v>
      </c>
      <c r="AH51" s="219">
        <f t="shared" si="70"/>
        <v>80</v>
      </c>
      <c r="AI51" s="220">
        <f>F51+G51+P51+Y51+AH51</f>
        <v>666</v>
      </c>
      <c r="AJ51" s="201">
        <f>AI51/E51</f>
        <v>0.48542274052478135</v>
      </c>
      <c r="AK51" s="196">
        <f>(E51-AI51)*$AK$15</f>
        <v>77.66</v>
      </c>
      <c r="AL51" s="196">
        <v>0</v>
      </c>
      <c r="AM51" s="196">
        <v>0</v>
      </c>
      <c r="AN51" s="196">
        <v>0</v>
      </c>
      <c r="AO51" s="196">
        <v>0</v>
      </c>
      <c r="AP51" s="247">
        <v>0</v>
      </c>
      <c r="AQ51" s="196">
        <f t="shared" si="73"/>
        <v>0</v>
      </c>
      <c r="AR51" s="221">
        <f t="shared" si="74"/>
        <v>0</v>
      </c>
      <c r="AS51" s="221">
        <f t="shared" si="75"/>
        <v>77.66</v>
      </c>
      <c r="AT51" s="203">
        <f t="shared" si="76"/>
        <v>1294.3399999999999</v>
      </c>
      <c r="AV51" s="206"/>
      <c r="AW51" s="206"/>
    </row>
    <row r="52" spans="2:49" s="131" customFormat="1" ht="18" hidden="1" customHeight="1">
      <c r="B52" s="194" t="s">
        <v>1805</v>
      </c>
      <c r="C52" s="194">
        <v>86</v>
      </c>
      <c r="D52" s="324" t="s">
        <v>1832</v>
      </c>
      <c r="E52" s="196">
        <v>20712</v>
      </c>
      <c r="F52" s="196">
        <v>799</v>
      </c>
      <c r="G52" s="196">
        <v>490</v>
      </c>
      <c r="H52" s="197">
        <v>4</v>
      </c>
      <c r="I52" s="196">
        <v>24</v>
      </c>
      <c r="J52" s="197">
        <v>26</v>
      </c>
      <c r="K52" s="219">
        <f t="shared" si="62"/>
        <v>2496</v>
      </c>
      <c r="L52" s="197">
        <v>0</v>
      </c>
      <c r="M52" s="196">
        <v>0</v>
      </c>
      <c r="N52" s="197">
        <v>0</v>
      </c>
      <c r="O52" s="219">
        <f t="shared" si="63"/>
        <v>0</v>
      </c>
      <c r="P52" s="220">
        <f t="shared" si="64"/>
        <v>2496</v>
      </c>
      <c r="Q52" s="197">
        <v>4</v>
      </c>
      <c r="R52" s="196">
        <v>42.5</v>
      </c>
      <c r="S52" s="197">
        <v>26</v>
      </c>
      <c r="T52" s="219">
        <f t="shared" si="65"/>
        <v>4420</v>
      </c>
      <c r="U52" s="197">
        <v>0</v>
      </c>
      <c r="V52" s="196">
        <v>0</v>
      </c>
      <c r="W52" s="207">
        <v>0</v>
      </c>
      <c r="X52" s="219">
        <f t="shared" si="66"/>
        <v>0</v>
      </c>
      <c r="Y52" s="219">
        <f t="shared" si="67"/>
        <v>4420</v>
      </c>
      <c r="Z52" s="197">
        <v>4</v>
      </c>
      <c r="AA52" s="196">
        <v>90</v>
      </c>
      <c r="AB52" s="197">
        <v>2</v>
      </c>
      <c r="AC52" s="219">
        <f t="shared" si="68"/>
        <v>720</v>
      </c>
      <c r="AD52" s="197">
        <v>0</v>
      </c>
      <c r="AE52" s="196">
        <v>0</v>
      </c>
      <c r="AF52" s="197">
        <v>0</v>
      </c>
      <c r="AG52" s="219">
        <f t="shared" si="69"/>
        <v>0</v>
      </c>
      <c r="AH52" s="219">
        <f t="shared" si="70"/>
        <v>720</v>
      </c>
      <c r="AI52" s="220">
        <f t="shared" ref="AI52:AI54" si="78">F52+G52+P52+Y52+AH52</f>
        <v>8925</v>
      </c>
      <c r="AJ52" s="201">
        <f>AI52/E52</f>
        <v>0.43090961761297797</v>
      </c>
      <c r="AK52" s="196">
        <f>(E52-AI52)*$AK$15</f>
        <v>1296.57</v>
      </c>
      <c r="AL52" s="196">
        <v>0</v>
      </c>
      <c r="AM52" s="196">
        <v>0</v>
      </c>
      <c r="AN52" s="196">
        <v>0</v>
      </c>
      <c r="AO52" s="196">
        <v>0</v>
      </c>
      <c r="AP52" s="247">
        <v>0</v>
      </c>
      <c r="AQ52" s="196">
        <f t="shared" si="73"/>
        <v>0</v>
      </c>
      <c r="AR52" s="221">
        <f t="shared" si="74"/>
        <v>0</v>
      </c>
      <c r="AS52" s="221">
        <f t="shared" si="75"/>
        <v>1296.57</v>
      </c>
      <c r="AT52" s="203">
        <f t="shared" si="76"/>
        <v>19415.43</v>
      </c>
      <c r="AV52" s="206"/>
      <c r="AW52" s="206"/>
    </row>
    <row r="53" spans="2:49" s="131" customFormat="1" ht="18" hidden="1" customHeight="1">
      <c r="B53" s="194" t="s">
        <v>1805</v>
      </c>
      <c r="C53" s="194">
        <v>92</v>
      </c>
      <c r="D53" s="324" t="s">
        <v>1634</v>
      </c>
      <c r="E53" s="196">
        <v>5300</v>
      </c>
      <c r="F53" s="196">
        <v>950.61</v>
      </c>
      <c r="G53" s="196">
        <v>351.9</v>
      </c>
      <c r="H53" s="197">
        <v>1</v>
      </c>
      <c r="I53" s="196">
        <v>24</v>
      </c>
      <c r="J53" s="197">
        <v>26</v>
      </c>
      <c r="K53" s="219">
        <f t="shared" si="62"/>
        <v>624</v>
      </c>
      <c r="L53" s="197">
        <v>0</v>
      </c>
      <c r="M53" s="196">
        <v>0</v>
      </c>
      <c r="N53" s="197">
        <v>0</v>
      </c>
      <c r="O53" s="219">
        <f t="shared" si="63"/>
        <v>0</v>
      </c>
      <c r="P53" s="220">
        <f t="shared" si="64"/>
        <v>624</v>
      </c>
      <c r="Q53" s="197">
        <v>1</v>
      </c>
      <c r="R53" s="196">
        <v>42.5</v>
      </c>
      <c r="S53" s="197">
        <v>26</v>
      </c>
      <c r="T53" s="219">
        <f t="shared" si="65"/>
        <v>1105</v>
      </c>
      <c r="U53" s="197">
        <v>0</v>
      </c>
      <c r="V53" s="196">
        <v>0</v>
      </c>
      <c r="W53" s="207">
        <v>0</v>
      </c>
      <c r="X53" s="219">
        <f t="shared" si="66"/>
        <v>0</v>
      </c>
      <c r="Y53" s="219">
        <f t="shared" si="67"/>
        <v>1105</v>
      </c>
      <c r="Z53" s="197">
        <v>1</v>
      </c>
      <c r="AA53" s="196">
        <v>90</v>
      </c>
      <c r="AB53" s="197">
        <v>2</v>
      </c>
      <c r="AC53" s="219">
        <f t="shared" si="68"/>
        <v>180</v>
      </c>
      <c r="AD53" s="197">
        <v>0</v>
      </c>
      <c r="AE53" s="196">
        <v>0</v>
      </c>
      <c r="AF53" s="197">
        <v>0</v>
      </c>
      <c r="AG53" s="219">
        <f t="shared" si="69"/>
        <v>0</v>
      </c>
      <c r="AH53" s="219">
        <f t="shared" si="70"/>
        <v>180</v>
      </c>
      <c r="AI53" s="220">
        <f t="shared" si="78"/>
        <v>3211.51</v>
      </c>
      <c r="AJ53" s="201">
        <f>AI53/E53</f>
        <v>0.60594528301886796</v>
      </c>
      <c r="AK53" s="196">
        <f>(E53-AI53)*$AK$15</f>
        <v>229.73389999999998</v>
      </c>
      <c r="AL53" s="196">
        <v>0</v>
      </c>
      <c r="AM53" s="196">
        <v>0</v>
      </c>
      <c r="AN53" s="196">
        <v>0</v>
      </c>
      <c r="AO53" s="196">
        <v>0</v>
      </c>
      <c r="AP53" s="286">
        <v>0.05</v>
      </c>
      <c r="AQ53" s="196">
        <f t="shared" si="73"/>
        <v>265</v>
      </c>
      <c r="AR53" s="221">
        <f t="shared" si="74"/>
        <v>265</v>
      </c>
      <c r="AS53" s="221">
        <f t="shared" si="75"/>
        <v>494.73389999999995</v>
      </c>
      <c r="AT53" s="203">
        <f t="shared" si="76"/>
        <v>4805.2660999999998</v>
      </c>
      <c r="AV53" s="206"/>
      <c r="AW53" s="206"/>
    </row>
    <row r="54" spans="2:49" s="131" customFormat="1" ht="18" hidden="1" customHeight="1">
      <c r="B54" s="194" t="s">
        <v>1805</v>
      </c>
      <c r="C54" s="194">
        <v>88</v>
      </c>
      <c r="D54" s="324" t="s">
        <v>1833</v>
      </c>
      <c r="E54" s="196">
        <v>7820</v>
      </c>
      <c r="F54" s="196">
        <v>950.61</v>
      </c>
      <c r="G54" s="196">
        <v>230</v>
      </c>
      <c r="H54" s="197">
        <v>2</v>
      </c>
      <c r="I54" s="196">
        <v>24</v>
      </c>
      <c r="J54" s="197">
        <v>16</v>
      </c>
      <c r="K54" s="219">
        <f t="shared" si="62"/>
        <v>768</v>
      </c>
      <c r="L54" s="197">
        <v>0</v>
      </c>
      <c r="M54" s="196">
        <v>0</v>
      </c>
      <c r="N54" s="197">
        <v>0</v>
      </c>
      <c r="O54" s="219">
        <f t="shared" si="63"/>
        <v>0</v>
      </c>
      <c r="P54" s="220">
        <f t="shared" si="64"/>
        <v>768</v>
      </c>
      <c r="Q54" s="197">
        <v>2</v>
      </c>
      <c r="R54" s="196">
        <v>42.5</v>
      </c>
      <c r="S54" s="197">
        <v>16</v>
      </c>
      <c r="T54" s="219">
        <f t="shared" si="65"/>
        <v>1360</v>
      </c>
      <c r="U54" s="197">
        <v>0</v>
      </c>
      <c r="V54" s="196">
        <v>0</v>
      </c>
      <c r="W54" s="207">
        <v>0</v>
      </c>
      <c r="X54" s="219">
        <f t="shared" si="66"/>
        <v>0</v>
      </c>
      <c r="Y54" s="219">
        <f t="shared" si="67"/>
        <v>1360</v>
      </c>
      <c r="Z54" s="197">
        <v>2</v>
      </c>
      <c r="AA54" s="196">
        <v>90</v>
      </c>
      <c r="AB54" s="197">
        <v>2</v>
      </c>
      <c r="AC54" s="219">
        <f t="shared" si="68"/>
        <v>360</v>
      </c>
      <c r="AD54" s="197">
        <v>0</v>
      </c>
      <c r="AE54" s="196">
        <v>0</v>
      </c>
      <c r="AF54" s="197">
        <v>0</v>
      </c>
      <c r="AG54" s="219">
        <f t="shared" si="69"/>
        <v>0</v>
      </c>
      <c r="AH54" s="219">
        <f t="shared" si="70"/>
        <v>360</v>
      </c>
      <c r="AI54" s="220">
        <f t="shared" si="78"/>
        <v>3668.61</v>
      </c>
      <c r="AJ54" s="201">
        <f>AI54/E54</f>
        <v>0.46913171355498723</v>
      </c>
      <c r="AK54" s="196">
        <f>(E54-AI54)*$AK$15</f>
        <v>456.65289999999993</v>
      </c>
      <c r="AL54" s="196">
        <v>0</v>
      </c>
      <c r="AM54" s="196">
        <v>0</v>
      </c>
      <c r="AN54" s="196">
        <v>0</v>
      </c>
      <c r="AO54" s="196">
        <v>0</v>
      </c>
      <c r="AP54" s="247">
        <v>0</v>
      </c>
      <c r="AQ54" s="196">
        <f t="shared" si="73"/>
        <v>0</v>
      </c>
      <c r="AR54" s="221">
        <f>AL54+AM54+AN54+AO54+AQ54</f>
        <v>0</v>
      </c>
      <c r="AS54" s="221">
        <f>AK54+AR54</f>
        <v>456.65289999999993</v>
      </c>
      <c r="AT54" s="203">
        <f t="shared" si="76"/>
        <v>7363.3471</v>
      </c>
      <c r="AV54" s="206"/>
      <c r="AW54" s="204"/>
    </row>
    <row r="55" spans="2:49" s="131" customFormat="1" ht="18" hidden="1" customHeight="1">
      <c r="B55" s="371"/>
      <c r="C55" s="371"/>
      <c r="D55" s="372"/>
      <c r="E55" s="391"/>
      <c r="F55" s="391"/>
      <c r="G55" s="391"/>
      <c r="H55" s="392"/>
      <c r="I55" s="391"/>
      <c r="J55" s="392"/>
      <c r="K55" s="393"/>
      <c r="L55" s="392"/>
      <c r="M55" s="391"/>
      <c r="N55" s="392"/>
      <c r="O55" s="393"/>
      <c r="P55" s="394"/>
      <c r="Q55" s="392"/>
      <c r="R55" s="391"/>
      <c r="S55" s="392"/>
      <c r="T55" s="393"/>
      <c r="U55" s="392"/>
      <c r="V55" s="391"/>
      <c r="W55" s="426"/>
      <c r="X55" s="393"/>
      <c r="Y55" s="393"/>
      <c r="Z55" s="392"/>
      <c r="AA55" s="391"/>
      <c r="AB55" s="392"/>
      <c r="AC55" s="393"/>
      <c r="AD55" s="392"/>
      <c r="AE55" s="391"/>
      <c r="AF55" s="392"/>
      <c r="AG55" s="393"/>
      <c r="AH55" s="393"/>
      <c r="AI55" s="394"/>
      <c r="AJ55" s="395"/>
      <c r="AK55" s="391"/>
      <c r="AL55" s="391"/>
      <c r="AM55" s="391"/>
      <c r="AN55" s="391"/>
      <c r="AO55" s="391"/>
      <c r="AP55" s="428"/>
      <c r="AQ55" s="391"/>
      <c r="AR55" s="396"/>
      <c r="AS55" s="396"/>
      <c r="AT55" s="397"/>
      <c r="AV55" s="206"/>
      <c r="AW55" s="204"/>
    </row>
    <row r="56" spans="2:49" s="131" customFormat="1" ht="18" hidden="1" customHeight="1">
      <c r="B56" s="194" t="s">
        <v>1826</v>
      </c>
      <c r="C56" s="194">
        <v>93</v>
      </c>
      <c r="D56" s="324" t="s">
        <v>1832</v>
      </c>
      <c r="E56" s="196">
        <v>20712</v>
      </c>
      <c r="F56" s="196">
        <v>799</v>
      </c>
      <c r="G56" s="196">
        <v>490</v>
      </c>
      <c r="H56" s="197">
        <v>4</v>
      </c>
      <c r="I56" s="196">
        <v>24</v>
      </c>
      <c r="J56" s="197">
        <v>26</v>
      </c>
      <c r="K56" s="219">
        <f t="shared" ref="K56:K61" si="79">H56*I56*J56</f>
        <v>2496</v>
      </c>
      <c r="L56" s="197">
        <v>0</v>
      </c>
      <c r="M56" s="196">
        <v>0</v>
      </c>
      <c r="N56" s="197">
        <v>0</v>
      </c>
      <c r="O56" s="219">
        <f t="shared" ref="O56:O61" si="80">L56*M56*N56</f>
        <v>0</v>
      </c>
      <c r="P56" s="220">
        <f t="shared" ref="P56:P61" si="81">K56+O56</f>
        <v>2496</v>
      </c>
      <c r="Q56" s="197">
        <v>4</v>
      </c>
      <c r="R56" s="196">
        <v>44.3</v>
      </c>
      <c r="S56" s="197">
        <v>26</v>
      </c>
      <c r="T56" s="219">
        <f t="shared" ref="T56:T61" si="82">Q56*R56*S56</f>
        <v>4607.2</v>
      </c>
      <c r="U56" s="197">
        <v>0</v>
      </c>
      <c r="V56" s="196">
        <v>0</v>
      </c>
      <c r="W56" s="207">
        <v>0</v>
      </c>
      <c r="X56" s="219">
        <f t="shared" ref="X56:X61" si="83">U56*V56*W56</f>
        <v>0</v>
      </c>
      <c r="Y56" s="219">
        <f t="shared" ref="Y56:Y61" si="84">T56+X56</f>
        <v>4607.2</v>
      </c>
      <c r="Z56" s="197">
        <v>4</v>
      </c>
      <c r="AA56" s="196">
        <v>90</v>
      </c>
      <c r="AB56" s="197">
        <v>2</v>
      </c>
      <c r="AC56" s="219">
        <f t="shared" ref="AC56:AC61" si="85">Z56*AA56*AB56</f>
        <v>720</v>
      </c>
      <c r="AD56" s="197">
        <v>0</v>
      </c>
      <c r="AE56" s="196">
        <v>0</v>
      </c>
      <c r="AF56" s="197">
        <v>0</v>
      </c>
      <c r="AG56" s="219">
        <f t="shared" ref="AG56:AG61" si="86">AD56*AE56*AF56</f>
        <v>0</v>
      </c>
      <c r="AH56" s="219">
        <f t="shared" ref="AH56:AH61" si="87">AC56+AG56</f>
        <v>720</v>
      </c>
      <c r="AI56" s="220">
        <f t="shared" ref="AI56:AI58" si="88">F56+G56+P56+Y56+AH56</f>
        <v>9112.2000000000007</v>
      </c>
      <c r="AJ56" s="201">
        <f>AI56/E56</f>
        <v>0.43994785631517963</v>
      </c>
      <c r="AK56" s="196">
        <f>(E56-AI56)*$AK$15</f>
        <v>1275.9779999999998</v>
      </c>
      <c r="AL56" s="196">
        <v>0</v>
      </c>
      <c r="AM56" s="196">
        <v>0</v>
      </c>
      <c r="AN56" s="196">
        <v>0</v>
      </c>
      <c r="AO56" s="196">
        <v>0</v>
      </c>
      <c r="AP56" s="247">
        <v>0</v>
      </c>
      <c r="AQ56" s="196">
        <f t="shared" ref="AQ56:AQ61" si="89">AP56*E56</f>
        <v>0</v>
      </c>
      <c r="AR56" s="221">
        <f t="shared" ref="AR56:AR60" si="90">AL56+AM56+AN56+AO56+AQ56</f>
        <v>0</v>
      </c>
      <c r="AS56" s="221">
        <f t="shared" ref="AS56:AS60" si="91">AK56+AR56</f>
        <v>1275.9779999999998</v>
      </c>
      <c r="AT56" s="203">
        <f t="shared" ref="AT56:AT62" si="92">E56-AS56</f>
        <v>19436.022000000001</v>
      </c>
      <c r="AV56" s="206"/>
      <c r="AW56" s="206"/>
    </row>
    <row r="57" spans="2:49" s="131" customFormat="1" ht="18" hidden="1" customHeight="1">
      <c r="B57" s="194" t="s">
        <v>1826</v>
      </c>
      <c r="C57" s="194">
        <v>100</v>
      </c>
      <c r="D57" s="324" t="s">
        <v>1720</v>
      </c>
      <c r="E57" s="196">
        <v>33317</v>
      </c>
      <c r="F57" s="196">
        <v>5925</v>
      </c>
      <c r="G57" s="196">
        <v>2550</v>
      </c>
      <c r="H57" s="197">
        <v>2</v>
      </c>
      <c r="I57" s="196">
        <v>24</v>
      </c>
      <c r="J57" s="197">
        <v>26</v>
      </c>
      <c r="K57" s="219">
        <f t="shared" si="79"/>
        <v>1248</v>
      </c>
      <c r="L57" s="197">
        <v>4</v>
      </c>
      <c r="M57" s="196">
        <v>16</v>
      </c>
      <c r="N57" s="197">
        <v>16</v>
      </c>
      <c r="O57" s="219">
        <f t="shared" si="80"/>
        <v>1024</v>
      </c>
      <c r="P57" s="220">
        <f t="shared" si="81"/>
        <v>2272</v>
      </c>
      <c r="Q57" s="197">
        <v>2</v>
      </c>
      <c r="R57" s="196">
        <v>44.3</v>
      </c>
      <c r="S57" s="197">
        <v>26</v>
      </c>
      <c r="T57" s="219">
        <f t="shared" si="82"/>
        <v>2303.6</v>
      </c>
      <c r="U57" s="197">
        <v>4</v>
      </c>
      <c r="V57" s="196">
        <v>44.3</v>
      </c>
      <c r="W57" s="207">
        <v>16</v>
      </c>
      <c r="X57" s="219">
        <f t="shared" si="83"/>
        <v>2835.2</v>
      </c>
      <c r="Y57" s="219">
        <f t="shared" si="84"/>
        <v>5138.7999999999993</v>
      </c>
      <c r="Z57" s="197">
        <v>2</v>
      </c>
      <c r="AA57" s="196">
        <v>40</v>
      </c>
      <c r="AB57" s="197">
        <v>2</v>
      </c>
      <c r="AC57" s="198">
        <f t="shared" si="85"/>
        <v>160</v>
      </c>
      <c r="AD57" s="197">
        <v>4</v>
      </c>
      <c r="AE57" s="196">
        <v>90</v>
      </c>
      <c r="AF57" s="197">
        <v>2</v>
      </c>
      <c r="AG57" s="198">
        <f t="shared" si="86"/>
        <v>720</v>
      </c>
      <c r="AH57" s="200">
        <f t="shared" si="87"/>
        <v>880</v>
      </c>
      <c r="AI57" s="199">
        <f t="shared" si="88"/>
        <v>16765.8</v>
      </c>
      <c r="AJ57" s="201">
        <f t="shared" ref="AJ57" si="93">AI57/E57</f>
        <v>0.50322057808326082</v>
      </c>
      <c r="AK57" s="208">
        <f>(E57-AI57)*$AK$15</f>
        <v>1820.6320000000001</v>
      </c>
      <c r="AL57" s="196">
        <v>0</v>
      </c>
      <c r="AM57" s="196">
        <v>0</v>
      </c>
      <c r="AN57" s="196">
        <v>0</v>
      </c>
      <c r="AO57" s="196">
        <v>0</v>
      </c>
      <c r="AP57" s="286">
        <v>3.56E-2</v>
      </c>
      <c r="AQ57" s="196">
        <f t="shared" si="89"/>
        <v>1186.0852</v>
      </c>
      <c r="AR57" s="221">
        <f t="shared" si="90"/>
        <v>1186.0852</v>
      </c>
      <c r="AS57" s="221">
        <f t="shared" si="91"/>
        <v>3006.7172</v>
      </c>
      <c r="AT57" s="203">
        <f t="shared" si="92"/>
        <v>30310.282800000001</v>
      </c>
      <c r="AV57" s="206"/>
      <c r="AW57" s="216"/>
    </row>
    <row r="58" spans="2:49" s="131" customFormat="1" ht="18" hidden="1" customHeight="1">
      <c r="B58" s="194" t="s">
        <v>1826</v>
      </c>
      <c r="C58" s="194">
        <v>96</v>
      </c>
      <c r="D58" s="324" t="s">
        <v>2051</v>
      </c>
      <c r="E58" s="196">
        <v>37805</v>
      </c>
      <c r="F58" s="196">
        <v>6980</v>
      </c>
      <c r="G58" s="196">
        <v>4760</v>
      </c>
      <c r="H58" s="197">
        <v>6</v>
      </c>
      <c r="I58" s="196">
        <v>24</v>
      </c>
      <c r="J58" s="197">
        <v>26</v>
      </c>
      <c r="K58" s="219">
        <f t="shared" si="79"/>
        <v>3744</v>
      </c>
      <c r="L58" s="197">
        <v>0</v>
      </c>
      <c r="M58" s="196">
        <v>0</v>
      </c>
      <c r="N58" s="197">
        <v>0</v>
      </c>
      <c r="O58" s="219">
        <f t="shared" si="80"/>
        <v>0</v>
      </c>
      <c r="P58" s="220">
        <f t="shared" si="81"/>
        <v>3744</v>
      </c>
      <c r="Q58" s="197">
        <v>6</v>
      </c>
      <c r="R58" s="196">
        <v>42.5</v>
      </c>
      <c r="S58" s="197">
        <v>26</v>
      </c>
      <c r="T58" s="219">
        <f t="shared" si="82"/>
        <v>6630</v>
      </c>
      <c r="U58" s="197">
        <v>0</v>
      </c>
      <c r="V58" s="196">
        <v>0</v>
      </c>
      <c r="W58" s="207">
        <v>0</v>
      </c>
      <c r="X58" s="219">
        <f t="shared" si="83"/>
        <v>0</v>
      </c>
      <c r="Y58" s="219">
        <f t="shared" si="84"/>
        <v>6630</v>
      </c>
      <c r="Z58" s="197">
        <v>6</v>
      </c>
      <c r="AA58" s="196">
        <v>90</v>
      </c>
      <c r="AB58" s="197">
        <v>2</v>
      </c>
      <c r="AC58" s="219">
        <f t="shared" si="85"/>
        <v>1080</v>
      </c>
      <c r="AD58" s="197">
        <v>0</v>
      </c>
      <c r="AE58" s="196">
        <v>0</v>
      </c>
      <c r="AF58" s="197">
        <v>0</v>
      </c>
      <c r="AG58" s="219">
        <f t="shared" si="86"/>
        <v>0</v>
      </c>
      <c r="AH58" s="219">
        <f t="shared" si="87"/>
        <v>1080</v>
      </c>
      <c r="AI58" s="220">
        <f t="shared" si="88"/>
        <v>23194</v>
      </c>
      <c r="AJ58" s="201">
        <f>AI58/E58</f>
        <v>0.61351673059119161</v>
      </c>
      <c r="AK58" s="196">
        <f t="shared" ref="AK58" si="94">(E58-AI58)*$AK$15</f>
        <v>1607.21</v>
      </c>
      <c r="AL58" s="196">
        <v>0</v>
      </c>
      <c r="AM58" s="196">
        <v>0</v>
      </c>
      <c r="AN58" s="196">
        <v>0</v>
      </c>
      <c r="AO58" s="196">
        <v>0</v>
      </c>
      <c r="AP58" s="247">
        <v>0</v>
      </c>
      <c r="AQ58" s="196">
        <f t="shared" si="89"/>
        <v>0</v>
      </c>
      <c r="AR58" s="221">
        <f t="shared" si="90"/>
        <v>0</v>
      </c>
      <c r="AS58" s="221">
        <f t="shared" si="91"/>
        <v>1607.21</v>
      </c>
      <c r="AT58" s="203">
        <f t="shared" si="92"/>
        <v>36197.79</v>
      </c>
      <c r="AV58" s="206"/>
      <c r="AW58" s="206"/>
    </row>
    <row r="59" spans="2:49" s="131" customFormat="1" ht="18" hidden="1" customHeight="1">
      <c r="B59" s="194" t="s">
        <v>1826</v>
      </c>
      <c r="C59" s="194">
        <v>95</v>
      </c>
      <c r="D59" s="324" t="s">
        <v>1831</v>
      </c>
      <c r="E59" s="213">
        <v>1372</v>
      </c>
      <c r="F59" s="196">
        <v>320</v>
      </c>
      <c r="G59" s="196">
        <v>0</v>
      </c>
      <c r="H59" s="197">
        <v>1</v>
      </c>
      <c r="I59" s="196">
        <v>24</v>
      </c>
      <c r="J59" s="197">
        <v>4</v>
      </c>
      <c r="K59" s="219">
        <f t="shared" si="79"/>
        <v>96</v>
      </c>
      <c r="L59" s="197">
        <v>0</v>
      </c>
      <c r="M59" s="196">
        <v>0</v>
      </c>
      <c r="N59" s="197">
        <v>0</v>
      </c>
      <c r="O59" s="219">
        <f t="shared" si="80"/>
        <v>0</v>
      </c>
      <c r="P59" s="220">
        <f t="shared" si="81"/>
        <v>96</v>
      </c>
      <c r="Q59" s="197">
        <v>1</v>
      </c>
      <c r="R59" s="196">
        <v>42.5</v>
      </c>
      <c r="S59" s="197">
        <v>4</v>
      </c>
      <c r="T59" s="219">
        <f t="shared" si="82"/>
        <v>170</v>
      </c>
      <c r="U59" s="197">
        <v>0</v>
      </c>
      <c r="V59" s="196">
        <v>0</v>
      </c>
      <c r="W59" s="207">
        <v>0</v>
      </c>
      <c r="X59" s="219">
        <f t="shared" si="83"/>
        <v>0</v>
      </c>
      <c r="Y59" s="219">
        <f t="shared" si="84"/>
        <v>170</v>
      </c>
      <c r="Z59" s="197">
        <v>1</v>
      </c>
      <c r="AA59" s="196">
        <v>80</v>
      </c>
      <c r="AB59" s="197">
        <v>1</v>
      </c>
      <c r="AC59" s="219">
        <f t="shared" si="85"/>
        <v>80</v>
      </c>
      <c r="AD59" s="197">
        <v>0</v>
      </c>
      <c r="AE59" s="196">
        <v>0</v>
      </c>
      <c r="AF59" s="197">
        <v>0</v>
      </c>
      <c r="AG59" s="219">
        <f t="shared" si="86"/>
        <v>0</v>
      </c>
      <c r="AH59" s="219">
        <f t="shared" si="87"/>
        <v>80</v>
      </c>
      <c r="AI59" s="220">
        <f>F59+G59+P59+Y59+AH59</f>
        <v>666</v>
      </c>
      <c r="AJ59" s="201">
        <f>AI59/E59</f>
        <v>0.48542274052478135</v>
      </c>
      <c r="AK59" s="209">
        <f>(E59-AI59)*$AK$15</f>
        <v>77.66</v>
      </c>
      <c r="AL59" s="196">
        <v>0</v>
      </c>
      <c r="AM59" s="196">
        <v>0</v>
      </c>
      <c r="AN59" s="196">
        <v>0</v>
      </c>
      <c r="AO59" s="196">
        <v>0</v>
      </c>
      <c r="AP59" s="247">
        <v>0</v>
      </c>
      <c r="AQ59" s="196">
        <f t="shared" si="89"/>
        <v>0</v>
      </c>
      <c r="AR59" s="221">
        <f t="shared" si="90"/>
        <v>0</v>
      </c>
      <c r="AS59" s="221">
        <f t="shared" si="91"/>
        <v>77.66</v>
      </c>
      <c r="AT59" s="203">
        <f t="shared" si="92"/>
        <v>1294.3399999999999</v>
      </c>
      <c r="AV59" s="206"/>
      <c r="AW59" s="206"/>
    </row>
    <row r="60" spans="2:49" s="131" customFormat="1" ht="18" hidden="1" customHeight="1">
      <c r="B60" s="194" t="s">
        <v>1826</v>
      </c>
      <c r="C60" s="194">
        <v>98</v>
      </c>
      <c r="D60" s="324" t="s">
        <v>1634</v>
      </c>
      <c r="E60" s="196">
        <f>5300+530</f>
        <v>5830</v>
      </c>
      <c r="F60" s="196">
        <v>950.61</v>
      </c>
      <c r="G60" s="196">
        <v>351.9</v>
      </c>
      <c r="H60" s="197">
        <v>1</v>
      </c>
      <c r="I60" s="196">
        <v>24</v>
      </c>
      <c r="J60" s="197">
        <v>26</v>
      </c>
      <c r="K60" s="219">
        <f t="shared" si="79"/>
        <v>624</v>
      </c>
      <c r="L60" s="197">
        <v>0</v>
      </c>
      <c r="M60" s="196">
        <v>0</v>
      </c>
      <c r="N60" s="197">
        <v>0</v>
      </c>
      <c r="O60" s="219">
        <f t="shared" si="80"/>
        <v>0</v>
      </c>
      <c r="P60" s="220">
        <f t="shared" si="81"/>
        <v>624</v>
      </c>
      <c r="Q60" s="197">
        <v>1</v>
      </c>
      <c r="R60" s="196">
        <v>42.5</v>
      </c>
      <c r="S60" s="197">
        <v>26</v>
      </c>
      <c r="T60" s="219">
        <f t="shared" si="82"/>
        <v>1105</v>
      </c>
      <c r="U60" s="197">
        <v>0</v>
      </c>
      <c r="V60" s="196">
        <v>0</v>
      </c>
      <c r="W60" s="207">
        <v>0</v>
      </c>
      <c r="X60" s="219">
        <f t="shared" si="83"/>
        <v>0</v>
      </c>
      <c r="Y60" s="219">
        <f t="shared" si="84"/>
        <v>1105</v>
      </c>
      <c r="Z60" s="197">
        <v>1</v>
      </c>
      <c r="AA60" s="196">
        <v>90</v>
      </c>
      <c r="AB60" s="197">
        <v>2</v>
      </c>
      <c r="AC60" s="219">
        <f t="shared" si="85"/>
        <v>180</v>
      </c>
      <c r="AD60" s="197">
        <v>0</v>
      </c>
      <c r="AE60" s="196">
        <v>0</v>
      </c>
      <c r="AF60" s="197">
        <v>0</v>
      </c>
      <c r="AG60" s="219">
        <f t="shared" si="86"/>
        <v>0</v>
      </c>
      <c r="AH60" s="219">
        <f t="shared" si="87"/>
        <v>180</v>
      </c>
      <c r="AI60" s="220">
        <f t="shared" ref="AI60:AI61" si="95">F60+G60+P60+Y60+AH60</f>
        <v>3211.51</v>
      </c>
      <c r="AJ60" s="201">
        <f>AI60/E60</f>
        <v>0.55085934819897087</v>
      </c>
      <c r="AK60" s="196">
        <f>(E60-AI60)*$AK$15</f>
        <v>288.03389999999996</v>
      </c>
      <c r="AL60" s="196">
        <v>0</v>
      </c>
      <c r="AM60" s="196">
        <v>0</v>
      </c>
      <c r="AN60" s="196">
        <v>0</v>
      </c>
      <c r="AO60" s="196">
        <v>0</v>
      </c>
      <c r="AP60" s="286">
        <v>3.56E-2</v>
      </c>
      <c r="AQ60" s="196">
        <f t="shared" si="89"/>
        <v>207.548</v>
      </c>
      <c r="AR60" s="221">
        <f t="shared" si="90"/>
        <v>207.548</v>
      </c>
      <c r="AS60" s="221">
        <f t="shared" si="91"/>
        <v>495.58189999999996</v>
      </c>
      <c r="AT60" s="203">
        <f t="shared" si="92"/>
        <v>5334.4180999999999</v>
      </c>
      <c r="AV60" s="206"/>
      <c r="AW60" s="206"/>
    </row>
    <row r="61" spans="2:49" s="131" customFormat="1" ht="18" hidden="1" customHeight="1">
      <c r="B61" s="194" t="s">
        <v>1826</v>
      </c>
      <c r="C61" s="194">
        <v>97</v>
      </c>
      <c r="D61" s="324" t="s">
        <v>1833</v>
      </c>
      <c r="E61" s="196">
        <v>7820</v>
      </c>
      <c r="F61" s="196">
        <v>950.61</v>
      </c>
      <c r="G61" s="196">
        <v>230</v>
      </c>
      <c r="H61" s="197">
        <v>2</v>
      </c>
      <c r="I61" s="196">
        <v>24</v>
      </c>
      <c r="J61" s="197">
        <v>16</v>
      </c>
      <c r="K61" s="219">
        <f t="shared" si="79"/>
        <v>768</v>
      </c>
      <c r="L61" s="197">
        <v>0</v>
      </c>
      <c r="M61" s="196">
        <v>0</v>
      </c>
      <c r="N61" s="197">
        <v>0</v>
      </c>
      <c r="O61" s="219">
        <f t="shared" si="80"/>
        <v>0</v>
      </c>
      <c r="P61" s="220">
        <f t="shared" si="81"/>
        <v>768</v>
      </c>
      <c r="Q61" s="197">
        <v>2</v>
      </c>
      <c r="R61" s="196">
        <v>42.5</v>
      </c>
      <c r="S61" s="197">
        <v>16</v>
      </c>
      <c r="T61" s="219">
        <f t="shared" si="82"/>
        <v>1360</v>
      </c>
      <c r="U61" s="197">
        <v>0</v>
      </c>
      <c r="V61" s="196">
        <v>0</v>
      </c>
      <c r="W61" s="207">
        <v>0</v>
      </c>
      <c r="X61" s="219">
        <f t="shared" si="83"/>
        <v>0</v>
      </c>
      <c r="Y61" s="219">
        <f t="shared" si="84"/>
        <v>1360</v>
      </c>
      <c r="Z61" s="197">
        <v>2</v>
      </c>
      <c r="AA61" s="196">
        <v>90</v>
      </c>
      <c r="AB61" s="197">
        <v>2</v>
      </c>
      <c r="AC61" s="219">
        <f t="shared" si="85"/>
        <v>360</v>
      </c>
      <c r="AD61" s="197">
        <v>0</v>
      </c>
      <c r="AE61" s="196">
        <v>0</v>
      </c>
      <c r="AF61" s="197">
        <v>0</v>
      </c>
      <c r="AG61" s="219">
        <f t="shared" si="86"/>
        <v>0</v>
      </c>
      <c r="AH61" s="219">
        <f t="shared" si="87"/>
        <v>360</v>
      </c>
      <c r="AI61" s="220">
        <f t="shared" si="95"/>
        <v>3668.61</v>
      </c>
      <c r="AJ61" s="201">
        <f>AI61/E61</f>
        <v>0.46913171355498723</v>
      </c>
      <c r="AK61" s="196">
        <f>(E61-AI61)*$AK$15</f>
        <v>456.65289999999993</v>
      </c>
      <c r="AL61" s="196">
        <v>0</v>
      </c>
      <c r="AM61" s="196">
        <v>0</v>
      </c>
      <c r="AN61" s="196">
        <v>0</v>
      </c>
      <c r="AO61" s="196">
        <v>0</v>
      </c>
      <c r="AP61" s="247">
        <v>0</v>
      </c>
      <c r="AQ61" s="196">
        <f t="shared" si="89"/>
        <v>0</v>
      </c>
      <c r="AR61" s="221">
        <f>AL61+AM61+AN61+AO61+AQ61</f>
        <v>0</v>
      </c>
      <c r="AS61" s="221">
        <f>AK61+AR61</f>
        <v>456.65289999999993</v>
      </c>
      <c r="AT61" s="203">
        <f t="shared" si="92"/>
        <v>7363.3471</v>
      </c>
      <c r="AV61" s="206"/>
      <c r="AW61" s="204"/>
    </row>
    <row r="62" spans="2:49" s="131" customFormat="1" ht="18" hidden="1" customHeight="1">
      <c r="B62" s="194" t="s">
        <v>1826</v>
      </c>
      <c r="C62" s="194">
        <v>99</v>
      </c>
      <c r="D62" s="324" t="s">
        <v>1834</v>
      </c>
      <c r="E62" s="196">
        <v>6104</v>
      </c>
      <c r="F62" s="196">
        <v>950.61</v>
      </c>
      <c r="G62" s="196">
        <v>351.9</v>
      </c>
      <c r="H62" s="197">
        <v>1</v>
      </c>
      <c r="I62" s="196">
        <v>24</v>
      </c>
      <c r="J62" s="197">
        <v>26</v>
      </c>
      <c r="K62" s="219">
        <f t="shared" ref="K62" si="96">H62*I62*J62</f>
        <v>624</v>
      </c>
      <c r="L62" s="197">
        <v>0</v>
      </c>
      <c r="M62" s="196">
        <v>0</v>
      </c>
      <c r="N62" s="197">
        <v>0</v>
      </c>
      <c r="O62" s="219">
        <f t="shared" ref="O62" si="97">L62*M62*N62</f>
        <v>0</v>
      </c>
      <c r="P62" s="220">
        <f t="shared" ref="P62" si="98">K62+O62</f>
        <v>624</v>
      </c>
      <c r="Q62" s="197">
        <v>1</v>
      </c>
      <c r="R62" s="196">
        <v>44.3</v>
      </c>
      <c r="S62" s="197">
        <v>26</v>
      </c>
      <c r="T62" s="219">
        <f t="shared" ref="T62" si="99">Q62*R62*S62</f>
        <v>1151.8</v>
      </c>
      <c r="U62" s="197">
        <v>0</v>
      </c>
      <c r="V62" s="196">
        <v>0</v>
      </c>
      <c r="W62" s="207">
        <v>0</v>
      </c>
      <c r="X62" s="219">
        <f t="shared" ref="X62" si="100">U62*V62*W62</f>
        <v>0</v>
      </c>
      <c r="Y62" s="219">
        <f t="shared" ref="Y62" si="101">T62+X62</f>
        <v>1151.8</v>
      </c>
      <c r="Z62" s="197">
        <v>1</v>
      </c>
      <c r="AA62" s="196">
        <v>90</v>
      </c>
      <c r="AB62" s="197">
        <v>2</v>
      </c>
      <c r="AC62" s="219">
        <f t="shared" ref="AC62" si="102">Z62*AA62*AB62</f>
        <v>180</v>
      </c>
      <c r="AD62" s="197">
        <v>0</v>
      </c>
      <c r="AE62" s="196">
        <v>0</v>
      </c>
      <c r="AF62" s="197">
        <v>0</v>
      </c>
      <c r="AG62" s="219">
        <f t="shared" ref="AG62" si="103">AD62*AE62*AF62</f>
        <v>0</v>
      </c>
      <c r="AH62" s="219">
        <f t="shared" ref="AH62" si="104">AC62+AG62</f>
        <v>180</v>
      </c>
      <c r="AI62" s="220">
        <f t="shared" ref="AI62" si="105">F62+G62+P62+Y62+AH62</f>
        <v>3258.31</v>
      </c>
      <c r="AJ62" s="201">
        <f>AI62/E62</f>
        <v>0.53379914809960682</v>
      </c>
      <c r="AK62" s="196">
        <f>(E62-AI62)*$AK$15</f>
        <v>313.02590000000004</v>
      </c>
      <c r="AL62" s="196">
        <v>0</v>
      </c>
      <c r="AM62" s="196">
        <v>0</v>
      </c>
      <c r="AN62" s="196">
        <v>0</v>
      </c>
      <c r="AO62" s="196">
        <v>0</v>
      </c>
      <c r="AP62" s="286">
        <v>3.56E-2</v>
      </c>
      <c r="AQ62" s="196">
        <f t="shared" ref="AQ62" si="106">AP62*E62</f>
        <v>217.30240000000001</v>
      </c>
      <c r="AR62" s="221">
        <f t="shared" ref="AR62" si="107">AL62+AM62+AN62+AO62+AQ62</f>
        <v>217.30240000000001</v>
      </c>
      <c r="AS62" s="221">
        <f t="shared" ref="AS62" si="108">AK62+AR62</f>
        <v>530.32830000000001</v>
      </c>
      <c r="AT62" s="203">
        <f t="shared" si="92"/>
        <v>5573.6716999999999</v>
      </c>
      <c r="AV62" s="206">
        <v>3500</v>
      </c>
      <c r="AW62" s="204">
        <f>AT62-AV62</f>
        <v>2073.6716999999999</v>
      </c>
    </row>
    <row r="63" spans="2:49" s="131" customFormat="1" ht="18" hidden="1" customHeight="1">
      <c r="B63" s="371"/>
      <c r="C63" s="371"/>
      <c r="D63" s="372"/>
      <c r="E63" s="391"/>
      <c r="F63" s="391"/>
      <c r="G63" s="391"/>
      <c r="H63" s="392"/>
      <c r="I63" s="391"/>
      <c r="J63" s="392"/>
      <c r="K63" s="393"/>
      <c r="L63" s="392"/>
      <c r="M63" s="391"/>
      <c r="N63" s="392"/>
      <c r="O63" s="393"/>
      <c r="P63" s="394"/>
      <c r="Q63" s="392"/>
      <c r="R63" s="391"/>
      <c r="S63" s="392"/>
      <c r="T63" s="393"/>
      <c r="U63" s="392"/>
      <c r="V63" s="391"/>
      <c r="W63" s="426"/>
      <c r="X63" s="393"/>
      <c r="Y63" s="393"/>
      <c r="Z63" s="392"/>
      <c r="AA63" s="391"/>
      <c r="AB63" s="392"/>
      <c r="AC63" s="393"/>
      <c r="AD63" s="392"/>
      <c r="AE63" s="391"/>
      <c r="AF63" s="392"/>
      <c r="AG63" s="393"/>
      <c r="AH63" s="393"/>
      <c r="AI63" s="394"/>
      <c r="AJ63" s="395"/>
      <c r="AK63" s="391"/>
      <c r="AL63" s="391"/>
      <c r="AM63" s="391"/>
      <c r="AN63" s="391"/>
      <c r="AO63" s="391"/>
      <c r="AP63" s="428"/>
      <c r="AQ63" s="391"/>
      <c r="AR63" s="396"/>
      <c r="AS63" s="396"/>
      <c r="AT63" s="397"/>
      <c r="AV63" s="206"/>
      <c r="AW63" s="204"/>
    </row>
    <row r="64" spans="2:49" s="131" customFormat="1" ht="18" hidden="1" customHeight="1">
      <c r="B64" s="194" t="s">
        <v>1844</v>
      </c>
      <c r="C64" s="194">
        <v>102</v>
      </c>
      <c r="D64" s="324" t="s">
        <v>1832</v>
      </c>
      <c r="E64" s="196">
        <v>22775</v>
      </c>
      <c r="F64" s="196">
        <v>871.39</v>
      </c>
      <c r="G64" s="196">
        <v>534.39</v>
      </c>
      <c r="H64" s="197">
        <v>4</v>
      </c>
      <c r="I64" s="196">
        <v>24</v>
      </c>
      <c r="J64" s="197">
        <v>26</v>
      </c>
      <c r="K64" s="219">
        <f t="shared" ref="K64:K70" si="109">H64*I64*J64</f>
        <v>2496</v>
      </c>
      <c r="L64" s="197">
        <v>0</v>
      </c>
      <c r="M64" s="196">
        <v>0</v>
      </c>
      <c r="N64" s="197">
        <v>0</v>
      </c>
      <c r="O64" s="219">
        <f t="shared" ref="O64:O70" si="110">L64*M64*N64</f>
        <v>0</v>
      </c>
      <c r="P64" s="220">
        <f t="shared" ref="P64:P70" si="111">K64+O64</f>
        <v>2496</v>
      </c>
      <c r="Q64" s="197">
        <v>4</v>
      </c>
      <c r="R64" s="196">
        <v>44.3</v>
      </c>
      <c r="S64" s="197">
        <v>26</v>
      </c>
      <c r="T64" s="219">
        <f t="shared" ref="T64:T70" si="112">Q64*R64*S64</f>
        <v>4607.2</v>
      </c>
      <c r="U64" s="197">
        <v>0</v>
      </c>
      <c r="V64" s="196">
        <v>0</v>
      </c>
      <c r="W64" s="207">
        <v>0</v>
      </c>
      <c r="X64" s="219">
        <f t="shared" ref="X64:X70" si="113">U64*V64*W64</f>
        <v>0</v>
      </c>
      <c r="Y64" s="219">
        <f t="shared" ref="Y64:Y70" si="114">T64+X64</f>
        <v>4607.2</v>
      </c>
      <c r="Z64" s="197">
        <v>4</v>
      </c>
      <c r="AA64" s="196">
        <v>90</v>
      </c>
      <c r="AB64" s="197">
        <v>4</v>
      </c>
      <c r="AC64" s="399">
        <f t="shared" ref="AC64:AC70" si="115">Z64*AA64*AB64</f>
        <v>1440</v>
      </c>
      <c r="AD64" s="197">
        <v>0</v>
      </c>
      <c r="AE64" s="196">
        <v>0</v>
      </c>
      <c r="AF64" s="197">
        <v>0</v>
      </c>
      <c r="AG64" s="219">
        <f t="shared" ref="AG64:AG70" si="116">AD64*AE64*AF64</f>
        <v>0</v>
      </c>
      <c r="AH64" s="219">
        <f t="shared" ref="AH64:AH70" si="117">AC64+AG64</f>
        <v>1440</v>
      </c>
      <c r="AI64" s="220">
        <f t="shared" ref="AI64:AI66" si="118">F64+G64+P64+Y64+AH64</f>
        <v>9948.98</v>
      </c>
      <c r="AJ64" s="201">
        <f>AI64/E64</f>
        <v>0.43683776070252467</v>
      </c>
      <c r="AK64" s="196">
        <f>(E64-AI64)*$AK$15</f>
        <v>1410.8622</v>
      </c>
      <c r="AL64" s="196">
        <v>0</v>
      </c>
      <c r="AM64" s="196">
        <v>0</v>
      </c>
      <c r="AN64" s="196">
        <v>0</v>
      </c>
      <c r="AO64" s="196">
        <v>0</v>
      </c>
      <c r="AP64" s="247">
        <v>0</v>
      </c>
      <c r="AQ64" s="196">
        <f t="shared" ref="AQ64:AQ70" si="119">AP64*E64</f>
        <v>0</v>
      </c>
      <c r="AR64" s="221">
        <f t="shared" ref="AR64:AR68" si="120">AL64+AM64+AN64+AO64+AQ64</f>
        <v>0</v>
      </c>
      <c r="AS64" s="221">
        <f t="shared" ref="AS64:AS68" si="121">AK64+AR64</f>
        <v>1410.8622</v>
      </c>
      <c r="AT64" s="203">
        <f t="shared" ref="AT64:AT70" si="122">E64-AS64</f>
        <v>21364.1378</v>
      </c>
      <c r="AV64" s="206"/>
      <c r="AW64" s="216"/>
    </row>
    <row r="65" spans="2:49" s="131" customFormat="1" ht="18" hidden="1" customHeight="1">
      <c r="B65" s="194" t="s">
        <v>1844</v>
      </c>
      <c r="C65" s="194">
        <v>105</v>
      </c>
      <c r="D65" s="324" t="s">
        <v>1720</v>
      </c>
      <c r="E65" s="196">
        <v>33317</v>
      </c>
      <c r="F65" s="196">
        <v>5925</v>
      </c>
      <c r="G65" s="196">
        <v>2550</v>
      </c>
      <c r="H65" s="197">
        <v>2</v>
      </c>
      <c r="I65" s="196">
        <v>24</v>
      </c>
      <c r="J65" s="197">
        <v>26</v>
      </c>
      <c r="K65" s="219">
        <f t="shared" si="109"/>
        <v>1248</v>
      </c>
      <c r="L65" s="197">
        <v>4</v>
      </c>
      <c r="M65" s="196">
        <v>16</v>
      </c>
      <c r="N65" s="197">
        <v>16</v>
      </c>
      <c r="O65" s="219">
        <f t="shared" si="110"/>
        <v>1024</v>
      </c>
      <c r="P65" s="220">
        <f t="shared" si="111"/>
        <v>2272</v>
      </c>
      <c r="Q65" s="197">
        <v>2</v>
      </c>
      <c r="R65" s="196">
        <v>44.3</v>
      </c>
      <c r="S65" s="197">
        <v>26</v>
      </c>
      <c r="T65" s="219">
        <f t="shared" si="112"/>
        <v>2303.6</v>
      </c>
      <c r="U65" s="197">
        <v>4</v>
      </c>
      <c r="V65" s="196">
        <v>44.3</v>
      </c>
      <c r="W65" s="207">
        <v>16</v>
      </c>
      <c r="X65" s="219">
        <f t="shared" si="113"/>
        <v>2835.2</v>
      </c>
      <c r="Y65" s="219">
        <f t="shared" si="114"/>
        <v>5138.7999999999993</v>
      </c>
      <c r="Z65" s="197">
        <v>2</v>
      </c>
      <c r="AA65" s="196">
        <v>40</v>
      </c>
      <c r="AB65" s="197">
        <v>2</v>
      </c>
      <c r="AC65" s="400">
        <f t="shared" si="115"/>
        <v>160</v>
      </c>
      <c r="AD65" s="197">
        <v>4</v>
      </c>
      <c r="AE65" s="196">
        <v>90</v>
      </c>
      <c r="AF65" s="197">
        <v>2</v>
      </c>
      <c r="AG65" s="198">
        <f t="shared" si="116"/>
        <v>720</v>
      </c>
      <c r="AH65" s="200">
        <f t="shared" si="117"/>
        <v>880</v>
      </c>
      <c r="AI65" s="199">
        <f t="shared" si="118"/>
        <v>16765.8</v>
      </c>
      <c r="AJ65" s="201">
        <f t="shared" ref="AJ65" si="123">AI65/E65</f>
        <v>0.50322057808326082</v>
      </c>
      <c r="AK65" s="208">
        <f>(E65-AI65)*$AK$15</f>
        <v>1820.6320000000001</v>
      </c>
      <c r="AL65" s="196">
        <v>0</v>
      </c>
      <c r="AM65" s="196">
        <v>0</v>
      </c>
      <c r="AN65" s="196">
        <v>0</v>
      </c>
      <c r="AO65" s="196">
        <v>0</v>
      </c>
      <c r="AP65" s="286">
        <v>3.56E-2</v>
      </c>
      <c r="AQ65" s="196">
        <f t="shared" si="119"/>
        <v>1186.0852</v>
      </c>
      <c r="AR65" s="221">
        <f t="shared" si="120"/>
        <v>1186.0852</v>
      </c>
      <c r="AS65" s="221">
        <f t="shared" si="121"/>
        <v>3006.7172</v>
      </c>
      <c r="AT65" s="203">
        <f t="shared" si="122"/>
        <v>30310.282800000001</v>
      </c>
      <c r="AV65" s="206"/>
      <c r="AW65" s="216"/>
    </row>
    <row r="66" spans="2:49" s="131" customFormat="1" ht="18" hidden="1" customHeight="1">
      <c r="B66" s="194" t="s">
        <v>1844</v>
      </c>
      <c r="C66" s="194">
        <v>104</v>
      </c>
      <c r="D66" s="324" t="s">
        <v>2051</v>
      </c>
      <c r="E66" s="196">
        <v>40937</v>
      </c>
      <c r="F66" s="196">
        <v>7513.97</v>
      </c>
      <c r="G66" s="196">
        <v>5124.1400000000003</v>
      </c>
      <c r="H66" s="197">
        <v>6</v>
      </c>
      <c r="I66" s="196">
        <v>24</v>
      </c>
      <c r="J66" s="197">
        <v>26</v>
      </c>
      <c r="K66" s="219">
        <f t="shared" si="109"/>
        <v>3744</v>
      </c>
      <c r="L66" s="197">
        <v>0</v>
      </c>
      <c r="M66" s="196">
        <v>0</v>
      </c>
      <c r="N66" s="197">
        <v>0</v>
      </c>
      <c r="O66" s="219">
        <f t="shared" si="110"/>
        <v>0</v>
      </c>
      <c r="P66" s="220">
        <f t="shared" si="111"/>
        <v>3744</v>
      </c>
      <c r="Q66" s="197">
        <v>6</v>
      </c>
      <c r="R66" s="196">
        <v>44.3</v>
      </c>
      <c r="S66" s="197">
        <v>26</v>
      </c>
      <c r="T66" s="219">
        <f t="shared" si="112"/>
        <v>6910.7999999999993</v>
      </c>
      <c r="U66" s="197">
        <v>0</v>
      </c>
      <c r="V66" s="196">
        <v>0</v>
      </c>
      <c r="W66" s="207">
        <v>0</v>
      </c>
      <c r="X66" s="219">
        <f t="shared" si="113"/>
        <v>0</v>
      </c>
      <c r="Y66" s="219">
        <f t="shared" si="114"/>
        <v>6910.7999999999993</v>
      </c>
      <c r="Z66" s="197">
        <v>6</v>
      </c>
      <c r="AA66" s="196">
        <v>90</v>
      </c>
      <c r="AB66" s="197">
        <v>2</v>
      </c>
      <c r="AC66" s="399">
        <f t="shared" si="115"/>
        <v>1080</v>
      </c>
      <c r="AD66" s="197">
        <v>0</v>
      </c>
      <c r="AE66" s="196">
        <v>0</v>
      </c>
      <c r="AF66" s="197">
        <v>0</v>
      </c>
      <c r="AG66" s="219">
        <f t="shared" si="116"/>
        <v>0</v>
      </c>
      <c r="AH66" s="219">
        <f t="shared" si="117"/>
        <v>1080</v>
      </c>
      <c r="AI66" s="220">
        <f t="shared" si="118"/>
        <v>24372.91</v>
      </c>
      <c r="AJ66" s="201">
        <f>AI66/E66</f>
        <v>0.59537606566187062</v>
      </c>
      <c r="AK66" s="196">
        <f t="shared" ref="AK66" si="124">(E66-AI66)*$AK$15</f>
        <v>1822.0499</v>
      </c>
      <c r="AL66" s="196">
        <v>0</v>
      </c>
      <c r="AM66" s="196">
        <v>0</v>
      </c>
      <c r="AN66" s="196">
        <v>0</v>
      </c>
      <c r="AO66" s="196">
        <v>0</v>
      </c>
      <c r="AP66" s="247">
        <v>0</v>
      </c>
      <c r="AQ66" s="196">
        <f t="shared" si="119"/>
        <v>0</v>
      </c>
      <c r="AR66" s="221">
        <f t="shared" si="120"/>
        <v>0</v>
      </c>
      <c r="AS66" s="221">
        <f t="shared" si="121"/>
        <v>1822.0499</v>
      </c>
      <c r="AT66" s="203">
        <f>E66-AS66</f>
        <v>39114.950100000002</v>
      </c>
      <c r="AV66" s="206"/>
      <c r="AW66" s="216"/>
    </row>
    <row r="67" spans="2:49" s="131" customFormat="1" ht="18" hidden="1" customHeight="1">
      <c r="B67" s="194" t="s">
        <v>1844</v>
      </c>
      <c r="C67" s="194">
        <v>106</v>
      </c>
      <c r="D67" s="324" t="s">
        <v>1831</v>
      </c>
      <c r="E67" s="213">
        <f>1562-235.74</f>
        <v>1326.26</v>
      </c>
      <c r="F67" s="196">
        <v>395.2</v>
      </c>
      <c r="G67" s="196">
        <v>0</v>
      </c>
      <c r="H67" s="197">
        <v>1</v>
      </c>
      <c r="I67" s="196">
        <v>24</v>
      </c>
      <c r="J67" s="197">
        <v>4</v>
      </c>
      <c r="K67" s="219">
        <f t="shared" si="109"/>
        <v>96</v>
      </c>
      <c r="L67" s="197">
        <v>0</v>
      </c>
      <c r="M67" s="196">
        <v>0</v>
      </c>
      <c r="N67" s="197">
        <v>0</v>
      </c>
      <c r="O67" s="219">
        <f t="shared" si="110"/>
        <v>0</v>
      </c>
      <c r="P67" s="220">
        <f t="shared" si="111"/>
        <v>96</v>
      </c>
      <c r="Q67" s="197">
        <v>1</v>
      </c>
      <c r="R67" s="196">
        <v>44.3</v>
      </c>
      <c r="S67" s="197">
        <v>4</v>
      </c>
      <c r="T67" s="219">
        <f t="shared" si="112"/>
        <v>177.2</v>
      </c>
      <c r="U67" s="197">
        <v>0</v>
      </c>
      <c r="V67" s="196">
        <v>0</v>
      </c>
      <c r="W67" s="207">
        <v>0</v>
      </c>
      <c r="X67" s="219">
        <f t="shared" si="113"/>
        <v>0</v>
      </c>
      <c r="Y67" s="219">
        <f t="shared" si="114"/>
        <v>177.2</v>
      </c>
      <c r="Z67" s="197">
        <v>1</v>
      </c>
      <c r="AA67" s="196">
        <v>90</v>
      </c>
      <c r="AB67" s="197">
        <v>1</v>
      </c>
      <c r="AC67" s="399">
        <f t="shared" si="115"/>
        <v>90</v>
      </c>
      <c r="AD67" s="197">
        <v>0</v>
      </c>
      <c r="AE67" s="196">
        <v>0</v>
      </c>
      <c r="AF67" s="197">
        <v>0</v>
      </c>
      <c r="AG67" s="219">
        <f t="shared" si="116"/>
        <v>0</v>
      </c>
      <c r="AH67" s="219">
        <f t="shared" si="117"/>
        <v>90</v>
      </c>
      <c r="AI67" s="220">
        <f>F67+G67+P67+Y67+AH67</f>
        <v>758.4</v>
      </c>
      <c r="AJ67" s="201">
        <f>AI67/E67</f>
        <v>0.57183357712665694</v>
      </c>
      <c r="AK67" s="196">
        <f>(E67-AI67)*$AK$15</f>
        <v>62.464600000000004</v>
      </c>
      <c r="AL67" s="196">
        <v>0</v>
      </c>
      <c r="AM67" s="196">
        <v>0</v>
      </c>
      <c r="AN67" s="196">
        <v>0</v>
      </c>
      <c r="AO67" s="196">
        <v>0</v>
      </c>
      <c r="AP67" s="247">
        <v>0</v>
      </c>
      <c r="AQ67" s="196">
        <f t="shared" si="119"/>
        <v>0</v>
      </c>
      <c r="AR67" s="221">
        <f t="shared" si="120"/>
        <v>0</v>
      </c>
      <c r="AS67" s="221">
        <f t="shared" si="121"/>
        <v>62.464600000000004</v>
      </c>
      <c r="AT67" s="203">
        <f t="shared" si="122"/>
        <v>1263.7954</v>
      </c>
      <c r="AV67" s="206"/>
      <c r="AW67" s="206"/>
    </row>
    <row r="68" spans="2:49" s="131" customFormat="1" ht="18" hidden="1" customHeight="1">
      <c r="B68" s="194" t="s">
        <v>1844</v>
      </c>
      <c r="C68" s="194">
        <v>107</v>
      </c>
      <c r="D68" s="324" t="s">
        <v>1634</v>
      </c>
      <c r="E68" s="196">
        <v>5870</v>
      </c>
      <c r="F68" s="196">
        <v>1043</v>
      </c>
      <c r="G68" s="196">
        <v>387</v>
      </c>
      <c r="H68" s="197">
        <v>1</v>
      </c>
      <c r="I68" s="196">
        <v>24</v>
      </c>
      <c r="J68" s="197">
        <v>26</v>
      </c>
      <c r="K68" s="219">
        <f t="shared" si="109"/>
        <v>624</v>
      </c>
      <c r="L68" s="197">
        <v>0</v>
      </c>
      <c r="M68" s="196">
        <v>0</v>
      </c>
      <c r="N68" s="197">
        <v>0</v>
      </c>
      <c r="O68" s="219">
        <f t="shared" si="110"/>
        <v>0</v>
      </c>
      <c r="P68" s="220">
        <f t="shared" si="111"/>
        <v>624</v>
      </c>
      <c r="Q68" s="197">
        <v>1</v>
      </c>
      <c r="R68" s="196">
        <v>44.3</v>
      </c>
      <c r="S68" s="197">
        <v>26</v>
      </c>
      <c r="T68" s="219">
        <f t="shared" si="112"/>
        <v>1151.8</v>
      </c>
      <c r="U68" s="197">
        <v>0</v>
      </c>
      <c r="V68" s="196">
        <v>0</v>
      </c>
      <c r="W68" s="207">
        <v>0</v>
      </c>
      <c r="X68" s="219">
        <f t="shared" si="113"/>
        <v>0</v>
      </c>
      <c r="Y68" s="219">
        <f t="shared" si="114"/>
        <v>1151.8</v>
      </c>
      <c r="Z68" s="197">
        <v>1</v>
      </c>
      <c r="AA68" s="196">
        <v>90</v>
      </c>
      <c r="AB68" s="197">
        <v>2</v>
      </c>
      <c r="AC68" s="399">
        <f t="shared" si="115"/>
        <v>180</v>
      </c>
      <c r="AD68" s="197">
        <v>0</v>
      </c>
      <c r="AE68" s="196">
        <v>0</v>
      </c>
      <c r="AF68" s="197">
        <v>0</v>
      </c>
      <c r="AG68" s="219">
        <f t="shared" si="116"/>
        <v>0</v>
      </c>
      <c r="AH68" s="219">
        <f t="shared" si="117"/>
        <v>180</v>
      </c>
      <c r="AI68" s="220">
        <f t="shared" ref="AI68:AI70" si="125">F68+G68+P68+Y68+AH68</f>
        <v>3385.8</v>
      </c>
      <c r="AJ68" s="201">
        <f>AI68/E68</f>
        <v>0.5767972742759796</v>
      </c>
      <c r="AK68" s="196">
        <f>(E68-AI68)*$AK$15</f>
        <v>273.262</v>
      </c>
      <c r="AL68" s="196">
        <v>0</v>
      </c>
      <c r="AM68" s="196">
        <v>0</v>
      </c>
      <c r="AN68" s="196">
        <v>0</v>
      </c>
      <c r="AO68" s="196">
        <v>0</v>
      </c>
      <c r="AP68" s="286">
        <v>3.56E-2</v>
      </c>
      <c r="AQ68" s="196">
        <f t="shared" si="119"/>
        <v>208.97200000000001</v>
      </c>
      <c r="AR68" s="221">
        <f t="shared" si="120"/>
        <v>208.97200000000001</v>
      </c>
      <c r="AS68" s="221">
        <f t="shared" si="121"/>
        <v>482.23400000000004</v>
      </c>
      <c r="AT68" s="203">
        <f t="shared" si="122"/>
        <v>5387.7659999999996</v>
      </c>
      <c r="AV68" s="206"/>
      <c r="AW68" s="206"/>
    </row>
    <row r="69" spans="2:49" s="131" customFormat="1" ht="18" hidden="1" customHeight="1">
      <c r="B69" s="194" t="s">
        <v>1844</v>
      </c>
      <c r="C69" s="194">
        <v>108</v>
      </c>
      <c r="D69" s="324" t="s">
        <v>1833</v>
      </c>
      <c r="E69" s="196">
        <v>8960</v>
      </c>
      <c r="F69" s="196">
        <v>1190</v>
      </c>
      <c r="G69" s="196">
        <v>410</v>
      </c>
      <c r="H69" s="197">
        <v>2</v>
      </c>
      <c r="I69" s="196">
        <v>24</v>
      </c>
      <c r="J69" s="197">
        <v>16</v>
      </c>
      <c r="K69" s="219">
        <f t="shared" si="109"/>
        <v>768</v>
      </c>
      <c r="L69" s="197">
        <v>0</v>
      </c>
      <c r="M69" s="196">
        <v>0</v>
      </c>
      <c r="N69" s="197">
        <v>0</v>
      </c>
      <c r="O69" s="219">
        <f t="shared" si="110"/>
        <v>0</v>
      </c>
      <c r="P69" s="220">
        <f t="shared" si="111"/>
        <v>768</v>
      </c>
      <c r="Q69" s="197">
        <v>2</v>
      </c>
      <c r="R69" s="196">
        <v>44.3</v>
      </c>
      <c r="S69" s="197">
        <v>16</v>
      </c>
      <c r="T69" s="219">
        <f t="shared" si="112"/>
        <v>1417.6</v>
      </c>
      <c r="U69" s="197">
        <v>0</v>
      </c>
      <c r="V69" s="196">
        <v>0</v>
      </c>
      <c r="W69" s="207">
        <v>0</v>
      </c>
      <c r="X69" s="219">
        <f t="shared" si="113"/>
        <v>0</v>
      </c>
      <c r="Y69" s="219">
        <f t="shared" si="114"/>
        <v>1417.6</v>
      </c>
      <c r="Z69" s="197">
        <v>2</v>
      </c>
      <c r="AA69" s="196">
        <v>90</v>
      </c>
      <c r="AB69" s="197">
        <v>2</v>
      </c>
      <c r="AC69" s="399">
        <f t="shared" si="115"/>
        <v>360</v>
      </c>
      <c r="AD69" s="197">
        <v>0</v>
      </c>
      <c r="AE69" s="196">
        <v>0</v>
      </c>
      <c r="AF69" s="197">
        <v>0</v>
      </c>
      <c r="AG69" s="219">
        <f t="shared" si="116"/>
        <v>0</v>
      </c>
      <c r="AH69" s="219">
        <f t="shared" si="117"/>
        <v>360</v>
      </c>
      <c r="AI69" s="220">
        <f t="shared" si="125"/>
        <v>4145.6000000000004</v>
      </c>
      <c r="AJ69" s="201">
        <f>AI69/E69</f>
        <v>0.46267857142857149</v>
      </c>
      <c r="AK69" s="196">
        <f>(E69-AI69)*$AK$15</f>
        <v>529.58399999999995</v>
      </c>
      <c r="AL69" s="196">
        <v>0</v>
      </c>
      <c r="AM69" s="196">
        <v>0</v>
      </c>
      <c r="AN69" s="196">
        <v>0</v>
      </c>
      <c r="AO69" s="196">
        <v>0</v>
      </c>
      <c r="AP69" s="247">
        <v>0</v>
      </c>
      <c r="AQ69" s="196">
        <f t="shared" si="119"/>
        <v>0</v>
      </c>
      <c r="AR69" s="221">
        <f>AL69+AM69+AN69+AO69+AQ69</f>
        <v>0</v>
      </c>
      <c r="AS69" s="221">
        <f>AK69+AR69</f>
        <v>529.58399999999995</v>
      </c>
      <c r="AT69" s="203">
        <f t="shared" si="122"/>
        <v>8430.4159999999993</v>
      </c>
      <c r="AV69" s="206"/>
      <c r="AW69" s="204"/>
    </row>
    <row r="70" spans="2:49" s="131" customFormat="1" ht="18" hidden="1" customHeight="1">
      <c r="B70" s="194" t="s">
        <v>1844</v>
      </c>
      <c r="C70" s="194">
        <v>109</v>
      </c>
      <c r="D70" s="324" t="s">
        <v>1834</v>
      </c>
      <c r="E70" s="196">
        <v>6104</v>
      </c>
      <c r="F70" s="196">
        <v>950.61</v>
      </c>
      <c r="G70" s="196">
        <v>351.9</v>
      </c>
      <c r="H70" s="197">
        <v>1</v>
      </c>
      <c r="I70" s="196">
        <v>24</v>
      </c>
      <c r="J70" s="197">
        <v>26</v>
      </c>
      <c r="K70" s="219">
        <f t="shared" si="109"/>
        <v>624</v>
      </c>
      <c r="L70" s="197">
        <v>0</v>
      </c>
      <c r="M70" s="196">
        <v>0</v>
      </c>
      <c r="N70" s="197">
        <v>0</v>
      </c>
      <c r="O70" s="219">
        <f t="shared" si="110"/>
        <v>0</v>
      </c>
      <c r="P70" s="220">
        <f t="shared" si="111"/>
        <v>624</v>
      </c>
      <c r="Q70" s="197">
        <v>1</v>
      </c>
      <c r="R70" s="196">
        <v>44.3</v>
      </c>
      <c r="S70" s="197">
        <v>26</v>
      </c>
      <c r="T70" s="219">
        <f t="shared" si="112"/>
        <v>1151.8</v>
      </c>
      <c r="U70" s="197">
        <v>0</v>
      </c>
      <c r="V70" s="196">
        <v>0</v>
      </c>
      <c r="W70" s="207">
        <v>0</v>
      </c>
      <c r="X70" s="219">
        <f t="shared" si="113"/>
        <v>0</v>
      </c>
      <c r="Y70" s="219">
        <f t="shared" si="114"/>
        <v>1151.8</v>
      </c>
      <c r="Z70" s="197">
        <v>1</v>
      </c>
      <c r="AA70" s="196">
        <v>90</v>
      </c>
      <c r="AB70" s="197">
        <v>2</v>
      </c>
      <c r="AC70" s="399">
        <f t="shared" si="115"/>
        <v>180</v>
      </c>
      <c r="AD70" s="197">
        <v>0</v>
      </c>
      <c r="AE70" s="196">
        <v>0</v>
      </c>
      <c r="AF70" s="197">
        <v>0</v>
      </c>
      <c r="AG70" s="219">
        <f t="shared" si="116"/>
        <v>0</v>
      </c>
      <c r="AH70" s="219">
        <f t="shared" si="117"/>
        <v>180</v>
      </c>
      <c r="AI70" s="220">
        <f t="shared" si="125"/>
        <v>3258.31</v>
      </c>
      <c r="AJ70" s="201">
        <f>AI70/E70</f>
        <v>0.53379914809960682</v>
      </c>
      <c r="AK70" s="196">
        <f>(E70-AI70)*$AK$15</f>
        <v>313.02590000000004</v>
      </c>
      <c r="AL70" s="196">
        <v>0</v>
      </c>
      <c r="AM70" s="196">
        <v>0</v>
      </c>
      <c r="AN70" s="196">
        <v>0</v>
      </c>
      <c r="AO70" s="196">
        <v>0</v>
      </c>
      <c r="AP70" s="286">
        <v>3.56E-2</v>
      </c>
      <c r="AQ70" s="196">
        <f t="shared" si="119"/>
        <v>217.30240000000001</v>
      </c>
      <c r="AR70" s="221">
        <f t="shared" ref="AR70" si="126">AL70+AM70+AN70+AO70+AQ70</f>
        <v>217.30240000000001</v>
      </c>
      <c r="AS70" s="221">
        <f t="shared" ref="AS70" si="127">AK70+AR70</f>
        <v>530.32830000000001</v>
      </c>
      <c r="AT70" s="203">
        <f t="shared" si="122"/>
        <v>5573.6716999999999</v>
      </c>
      <c r="AV70" s="206"/>
      <c r="AW70" s="204"/>
    </row>
    <row r="71" spans="2:49" s="131" customFormat="1" ht="18" hidden="1" customHeight="1">
      <c r="B71" s="371"/>
      <c r="C71" s="371"/>
      <c r="D71" s="372"/>
      <c r="E71" s="391"/>
      <c r="F71" s="391"/>
      <c r="G71" s="391"/>
      <c r="H71" s="392"/>
      <c r="I71" s="391"/>
      <c r="J71" s="392"/>
      <c r="K71" s="393"/>
      <c r="L71" s="392"/>
      <c r="M71" s="391"/>
      <c r="N71" s="392"/>
      <c r="O71" s="393"/>
      <c r="P71" s="394"/>
      <c r="Q71" s="392"/>
      <c r="R71" s="391"/>
      <c r="S71" s="392"/>
      <c r="T71" s="393"/>
      <c r="U71" s="392"/>
      <c r="V71" s="391"/>
      <c r="W71" s="426"/>
      <c r="X71" s="393"/>
      <c r="Y71" s="393"/>
      <c r="Z71" s="392"/>
      <c r="AA71" s="391"/>
      <c r="AB71" s="392"/>
      <c r="AC71" s="393"/>
      <c r="AD71" s="392"/>
      <c r="AE71" s="391"/>
      <c r="AF71" s="392"/>
      <c r="AG71" s="393"/>
      <c r="AH71" s="393"/>
      <c r="AI71" s="394"/>
      <c r="AJ71" s="395"/>
      <c r="AK71" s="391"/>
      <c r="AL71" s="391"/>
      <c r="AM71" s="391"/>
      <c r="AN71" s="391"/>
      <c r="AO71" s="391"/>
      <c r="AP71" s="428"/>
      <c r="AQ71" s="391"/>
      <c r="AR71" s="396"/>
      <c r="AS71" s="396"/>
      <c r="AT71" s="397"/>
      <c r="AV71" s="206"/>
      <c r="AW71" s="204"/>
    </row>
    <row r="72" spans="2:49" s="131" customFormat="1" ht="18" hidden="1" customHeight="1">
      <c r="B72" s="194" t="s">
        <v>1862</v>
      </c>
      <c r="C72" s="194">
        <v>111</v>
      </c>
      <c r="D72" s="324" t="s">
        <v>1832</v>
      </c>
      <c r="E72" s="196">
        <f>11388+4126</f>
        <v>15514</v>
      </c>
      <c r="F72" s="196">
        <v>871.39</v>
      </c>
      <c r="G72" s="196">
        <v>534.39</v>
      </c>
      <c r="H72" s="197">
        <v>4</v>
      </c>
      <c r="I72" s="196">
        <v>24</v>
      </c>
      <c r="J72" s="197">
        <v>26</v>
      </c>
      <c r="K72" s="219">
        <f t="shared" ref="K72:K79" si="128">H72*I72*J72</f>
        <v>2496</v>
      </c>
      <c r="L72" s="197">
        <v>0</v>
      </c>
      <c r="M72" s="196">
        <v>0</v>
      </c>
      <c r="N72" s="197">
        <v>0</v>
      </c>
      <c r="O72" s="219">
        <f t="shared" ref="O72:O79" si="129">L72*M72*N72</f>
        <v>0</v>
      </c>
      <c r="P72" s="220">
        <f t="shared" ref="P72:P79" si="130">K72+O72</f>
        <v>2496</v>
      </c>
      <c r="Q72" s="197">
        <v>4</v>
      </c>
      <c r="R72" s="196">
        <v>44.3</v>
      </c>
      <c r="S72" s="197">
        <v>26</v>
      </c>
      <c r="T72" s="219">
        <f t="shared" ref="T72:T79" si="131">Q72*R72*S72</f>
        <v>4607.2</v>
      </c>
      <c r="U72" s="197">
        <v>0</v>
      </c>
      <c r="V72" s="196">
        <v>0</v>
      </c>
      <c r="W72" s="207">
        <v>0</v>
      </c>
      <c r="X72" s="219">
        <f t="shared" ref="X72:X79" si="132">U72*V72*W72</f>
        <v>0</v>
      </c>
      <c r="Y72" s="219">
        <f t="shared" ref="Y72:Y79" si="133">T72+X72</f>
        <v>4607.2</v>
      </c>
      <c r="Z72" s="197">
        <v>4</v>
      </c>
      <c r="AA72" s="196">
        <v>90</v>
      </c>
      <c r="AB72" s="197">
        <v>4</v>
      </c>
      <c r="AC72" s="399">
        <f t="shared" ref="AC72:AC79" si="134">Z72*AA72*AB72</f>
        <v>1440</v>
      </c>
      <c r="AD72" s="197">
        <v>0</v>
      </c>
      <c r="AE72" s="196">
        <v>0</v>
      </c>
      <c r="AF72" s="197">
        <v>0</v>
      </c>
      <c r="AG72" s="219">
        <f t="shared" ref="AG72:AG79" si="135">AD72*AE72*AF72</f>
        <v>0</v>
      </c>
      <c r="AH72" s="219">
        <f t="shared" ref="AH72:AH79" si="136">AC72+AG72</f>
        <v>1440</v>
      </c>
      <c r="AI72" s="220">
        <f t="shared" ref="AI72:AI74" si="137">F72+G72+P72+Y72+AH72</f>
        <v>9948.98</v>
      </c>
      <c r="AJ72" s="201">
        <f>AI72/E72</f>
        <v>0.64129044733788831</v>
      </c>
      <c r="AK72" s="196">
        <f>(E72-AI72)*$AK$15</f>
        <v>612.15220000000011</v>
      </c>
      <c r="AL72" s="196">
        <v>0</v>
      </c>
      <c r="AM72" s="196">
        <v>0</v>
      </c>
      <c r="AN72" s="196">
        <v>0</v>
      </c>
      <c r="AO72" s="196">
        <v>0</v>
      </c>
      <c r="AP72" s="247">
        <v>0</v>
      </c>
      <c r="AQ72" s="196">
        <f t="shared" ref="AQ72:AQ79" si="138">AP72*E72</f>
        <v>0</v>
      </c>
      <c r="AR72" s="221">
        <f t="shared" ref="AR72:AR77" si="139">AL72+AM72+AN72+AO72+AQ72</f>
        <v>0</v>
      </c>
      <c r="AS72" s="221">
        <f t="shared" ref="AS72:AS77" si="140">AK72+AR72</f>
        <v>612.15220000000011</v>
      </c>
      <c r="AT72" s="203">
        <f t="shared" ref="AT72:AT73" si="141">E72-AS72</f>
        <v>14901.8478</v>
      </c>
      <c r="AV72" s="206"/>
      <c r="AW72" s="216"/>
    </row>
    <row r="73" spans="2:49" s="131" customFormat="1" ht="18" hidden="1" customHeight="1">
      <c r="B73" s="194" t="s">
        <v>1862</v>
      </c>
      <c r="C73" s="194" t="s">
        <v>1896</v>
      </c>
      <c r="D73" s="324" t="s">
        <v>1720</v>
      </c>
      <c r="E73" s="196">
        <f>33317+2637</f>
        <v>35954</v>
      </c>
      <c r="F73" s="196">
        <v>5925</v>
      </c>
      <c r="G73" s="196">
        <v>2550</v>
      </c>
      <c r="H73" s="197">
        <v>2</v>
      </c>
      <c r="I73" s="196">
        <v>24</v>
      </c>
      <c r="J73" s="197">
        <v>26</v>
      </c>
      <c r="K73" s="219">
        <f t="shared" si="128"/>
        <v>1248</v>
      </c>
      <c r="L73" s="197">
        <v>4</v>
      </c>
      <c r="M73" s="196">
        <v>20</v>
      </c>
      <c r="N73" s="197">
        <v>16</v>
      </c>
      <c r="O73" s="219">
        <f t="shared" si="129"/>
        <v>1280</v>
      </c>
      <c r="P73" s="285">
        <f t="shared" si="130"/>
        <v>2528</v>
      </c>
      <c r="Q73" s="197">
        <v>2</v>
      </c>
      <c r="R73" s="196">
        <v>44.3</v>
      </c>
      <c r="S73" s="197">
        <v>26</v>
      </c>
      <c r="T73" s="219">
        <f t="shared" si="131"/>
        <v>2303.6</v>
      </c>
      <c r="U73" s="197">
        <v>4</v>
      </c>
      <c r="V73" s="196">
        <v>44.3</v>
      </c>
      <c r="W73" s="207">
        <v>16</v>
      </c>
      <c r="X73" s="219">
        <f t="shared" si="132"/>
        <v>2835.2</v>
      </c>
      <c r="Y73" s="219">
        <f t="shared" si="133"/>
        <v>5138.7999999999993</v>
      </c>
      <c r="Z73" s="197">
        <v>2</v>
      </c>
      <c r="AA73" s="196">
        <v>40</v>
      </c>
      <c r="AB73" s="197">
        <v>2</v>
      </c>
      <c r="AC73" s="400">
        <f t="shared" si="134"/>
        <v>160</v>
      </c>
      <c r="AD73" s="197">
        <v>4</v>
      </c>
      <c r="AE73" s="196">
        <v>90</v>
      </c>
      <c r="AF73" s="197">
        <v>2</v>
      </c>
      <c r="AG73" s="198">
        <f t="shared" si="135"/>
        <v>720</v>
      </c>
      <c r="AH73" s="219">
        <f t="shared" si="136"/>
        <v>880</v>
      </c>
      <c r="AI73" s="220">
        <f>F73+G73+P73+Y73+AH73</f>
        <v>17021.8</v>
      </c>
      <c r="AJ73" s="201">
        <f t="shared" ref="AJ73" si="142">AI73/E73</f>
        <v>0.47343271958613781</v>
      </c>
      <c r="AK73" s="196">
        <f>(E73-AI73)*$AK$15</f>
        <v>2082.5419999999999</v>
      </c>
      <c r="AL73" s="196">
        <v>0</v>
      </c>
      <c r="AM73" s="196">
        <v>0</v>
      </c>
      <c r="AN73" s="196">
        <v>0</v>
      </c>
      <c r="AO73" s="196">
        <v>0</v>
      </c>
      <c r="AP73" s="286">
        <v>3.7199999999999997E-2</v>
      </c>
      <c r="AQ73" s="196">
        <f t="shared" si="138"/>
        <v>1337.4887999999999</v>
      </c>
      <c r="AR73" s="221">
        <f t="shared" si="139"/>
        <v>1337.4887999999999</v>
      </c>
      <c r="AS73" s="221">
        <f t="shared" si="140"/>
        <v>3420.0307999999995</v>
      </c>
      <c r="AT73" s="203">
        <f t="shared" si="141"/>
        <v>32533.9692</v>
      </c>
      <c r="AV73" s="206"/>
      <c r="AW73" s="216"/>
    </row>
    <row r="74" spans="2:49" s="131" customFormat="1" ht="18" hidden="1" customHeight="1">
      <c r="B74" s="194" t="s">
        <v>1862</v>
      </c>
      <c r="C74" s="194">
        <v>113</v>
      </c>
      <c r="D74" s="324" t="s">
        <v>2051</v>
      </c>
      <c r="E74" s="196">
        <f>40937</f>
        <v>40937</v>
      </c>
      <c r="F74" s="196">
        <v>7513.97</v>
      </c>
      <c r="G74" s="196">
        <v>5124.1400000000003</v>
      </c>
      <c r="H74" s="197">
        <v>6</v>
      </c>
      <c r="I74" s="196">
        <v>24</v>
      </c>
      <c r="J74" s="197">
        <v>26</v>
      </c>
      <c r="K74" s="219">
        <f t="shared" si="128"/>
        <v>3744</v>
      </c>
      <c r="L74" s="197">
        <v>0</v>
      </c>
      <c r="M74" s="196">
        <v>0</v>
      </c>
      <c r="N74" s="197">
        <v>0</v>
      </c>
      <c r="O74" s="219">
        <f t="shared" si="129"/>
        <v>0</v>
      </c>
      <c r="P74" s="220">
        <f t="shared" si="130"/>
        <v>3744</v>
      </c>
      <c r="Q74" s="197">
        <v>6</v>
      </c>
      <c r="R74" s="196">
        <v>44.3</v>
      </c>
      <c r="S74" s="197">
        <v>26</v>
      </c>
      <c r="T74" s="219">
        <f t="shared" si="131"/>
        <v>6910.7999999999993</v>
      </c>
      <c r="U74" s="197">
        <v>0</v>
      </c>
      <c r="V74" s="196">
        <v>0</v>
      </c>
      <c r="W74" s="207">
        <v>0</v>
      </c>
      <c r="X74" s="219">
        <f t="shared" si="132"/>
        <v>0</v>
      </c>
      <c r="Y74" s="219">
        <f t="shared" si="133"/>
        <v>6910.7999999999993</v>
      </c>
      <c r="Z74" s="197">
        <v>6</v>
      </c>
      <c r="AA74" s="196">
        <v>90</v>
      </c>
      <c r="AB74" s="197">
        <v>2</v>
      </c>
      <c r="AC74" s="399">
        <f t="shared" si="134"/>
        <v>1080</v>
      </c>
      <c r="AD74" s="197">
        <v>0</v>
      </c>
      <c r="AE74" s="196">
        <v>0</v>
      </c>
      <c r="AF74" s="197">
        <v>0</v>
      </c>
      <c r="AG74" s="219">
        <f t="shared" si="135"/>
        <v>0</v>
      </c>
      <c r="AH74" s="219">
        <f t="shared" si="136"/>
        <v>1080</v>
      </c>
      <c r="AI74" s="220">
        <f t="shared" si="137"/>
        <v>24372.91</v>
      </c>
      <c r="AJ74" s="201">
        <f t="shared" ref="AJ74:AJ79" si="143">AI74/E74</f>
        <v>0.59537606566187062</v>
      </c>
      <c r="AK74" s="196">
        <f t="shared" ref="AK74" si="144">(E74-AI74)*$AK$15</f>
        <v>1822.0499</v>
      </c>
      <c r="AL74" s="196">
        <v>0</v>
      </c>
      <c r="AM74" s="196">
        <v>0</v>
      </c>
      <c r="AN74" s="196">
        <v>0</v>
      </c>
      <c r="AO74" s="196">
        <v>0</v>
      </c>
      <c r="AP74" s="247">
        <v>0</v>
      </c>
      <c r="AQ74" s="196">
        <f t="shared" si="138"/>
        <v>0</v>
      </c>
      <c r="AR74" s="221">
        <f t="shared" si="139"/>
        <v>0</v>
      </c>
      <c r="AS74" s="221">
        <f t="shared" si="140"/>
        <v>1822.0499</v>
      </c>
      <c r="AT74" s="203">
        <f>E74-AS74</f>
        <v>39114.950100000002</v>
      </c>
      <c r="AV74" s="206"/>
      <c r="AW74" s="216"/>
    </row>
    <row r="75" spans="2:49" s="131" customFormat="1" ht="18" hidden="1" customHeight="1">
      <c r="B75" s="194" t="s">
        <v>1862</v>
      </c>
      <c r="C75" s="194">
        <v>114</v>
      </c>
      <c r="D75" s="324" t="s">
        <v>2051</v>
      </c>
      <c r="E75" s="196">
        <f>6264</f>
        <v>6264</v>
      </c>
      <c r="F75" s="196">
        <v>1149.75</v>
      </c>
      <c r="G75" s="196">
        <v>784.07</v>
      </c>
      <c r="H75" s="197">
        <v>6</v>
      </c>
      <c r="I75" s="196">
        <v>3.68</v>
      </c>
      <c r="J75" s="197">
        <v>26</v>
      </c>
      <c r="K75" s="219">
        <f t="shared" ref="K75" si="145">H75*I75*J75</f>
        <v>574.08000000000004</v>
      </c>
      <c r="L75" s="197">
        <v>0</v>
      </c>
      <c r="M75" s="196">
        <v>0</v>
      </c>
      <c r="N75" s="197">
        <v>0</v>
      </c>
      <c r="O75" s="219">
        <f t="shared" ref="O75" si="146">L75*M75*N75</f>
        <v>0</v>
      </c>
      <c r="P75" s="220">
        <f t="shared" ref="P75" si="147">K75+O75</f>
        <v>574.08000000000004</v>
      </c>
      <c r="Q75" s="197">
        <v>6</v>
      </c>
      <c r="R75" s="196">
        <v>6.78</v>
      </c>
      <c r="S75" s="197">
        <v>26</v>
      </c>
      <c r="T75" s="219">
        <f t="shared" ref="T75" si="148">Q75*R75*S75</f>
        <v>1057.68</v>
      </c>
      <c r="U75" s="197">
        <v>0</v>
      </c>
      <c r="V75" s="196">
        <v>0</v>
      </c>
      <c r="W75" s="207">
        <v>0</v>
      </c>
      <c r="X75" s="219">
        <f t="shared" ref="X75" si="149">U75*V75*W75</f>
        <v>0</v>
      </c>
      <c r="Y75" s="219">
        <f t="shared" ref="Y75" si="150">T75+X75</f>
        <v>1057.68</v>
      </c>
      <c r="Z75" s="197">
        <v>6</v>
      </c>
      <c r="AA75" s="196">
        <v>13.78</v>
      </c>
      <c r="AB75" s="197">
        <v>2</v>
      </c>
      <c r="AC75" s="399">
        <f t="shared" ref="AC75" si="151">Z75*AA75*AB75</f>
        <v>165.35999999999999</v>
      </c>
      <c r="AD75" s="197">
        <v>0</v>
      </c>
      <c r="AE75" s="196">
        <v>0</v>
      </c>
      <c r="AF75" s="197">
        <v>0</v>
      </c>
      <c r="AG75" s="219">
        <f t="shared" ref="AG75" si="152">AD75*AE75*AF75</f>
        <v>0</v>
      </c>
      <c r="AH75" s="219">
        <f t="shared" ref="AH75" si="153">AC75+AG75</f>
        <v>165.35999999999999</v>
      </c>
      <c r="AI75" s="220">
        <f t="shared" ref="AI75" si="154">F75+G75+P75+Y75+AH75</f>
        <v>3730.94</v>
      </c>
      <c r="AJ75" s="201">
        <f t="shared" si="143"/>
        <v>0.59561621966794387</v>
      </c>
      <c r="AK75" s="196">
        <f t="shared" ref="AK75" si="155">(E75-AI75)*$AK$15</f>
        <v>278.63659999999999</v>
      </c>
      <c r="AL75" s="196">
        <v>0</v>
      </c>
      <c r="AM75" s="196">
        <v>0</v>
      </c>
      <c r="AN75" s="196">
        <v>0</v>
      </c>
      <c r="AO75" s="196">
        <v>0</v>
      </c>
      <c r="AP75" s="247">
        <v>0</v>
      </c>
      <c r="AQ75" s="196">
        <f t="shared" ref="AQ75" si="156">AP75*E75</f>
        <v>0</v>
      </c>
      <c r="AR75" s="221">
        <f t="shared" ref="AR75" si="157">AL75+AM75+AN75+AO75+AQ75</f>
        <v>0</v>
      </c>
      <c r="AS75" s="221">
        <f t="shared" ref="AS75" si="158">AK75+AR75</f>
        <v>278.63659999999999</v>
      </c>
      <c r="AT75" s="203">
        <f>E75-AS75</f>
        <v>5985.3634000000002</v>
      </c>
      <c r="AV75" s="206"/>
      <c r="AW75" s="216"/>
    </row>
    <row r="76" spans="2:49" s="131" customFormat="1" ht="18" hidden="1" customHeight="1">
      <c r="B76" s="194" t="s">
        <v>1862</v>
      </c>
      <c r="C76" s="194">
        <v>115</v>
      </c>
      <c r="D76" s="324" t="s">
        <v>1831</v>
      </c>
      <c r="E76" s="213">
        <f>1562+380</f>
        <v>1942</v>
      </c>
      <c r="F76" s="196">
        <v>395.2</v>
      </c>
      <c r="G76" s="196">
        <v>0</v>
      </c>
      <c r="H76" s="197">
        <v>1</v>
      </c>
      <c r="I76" s="196">
        <v>24</v>
      </c>
      <c r="J76" s="197">
        <v>4</v>
      </c>
      <c r="K76" s="219">
        <f t="shared" si="128"/>
        <v>96</v>
      </c>
      <c r="L76" s="197">
        <v>0</v>
      </c>
      <c r="M76" s="196">
        <v>0</v>
      </c>
      <c r="N76" s="197">
        <v>0</v>
      </c>
      <c r="O76" s="219">
        <f t="shared" si="129"/>
        <v>0</v>
      </c>
      <c r="P76" s="220">
        <f t="shared" si="130"/>
        <v>96</v>
      </c>
      <c r="Q76" s="197">
        <v>1</v>
      </c>
      <c r="R76" s="196">
        <v>44.3</v>
      </c>
      <c r="S76" s="197">
        <v>4</v>
      </c>
      <c r="T76" s="219">
        <f t="shared" si="131"/>
        <v>177.2</v>
      </c>
      <c r="U76" s="197">
        <v>0</v>
      </c>
      <c r="V76" s="196">
        <v>0</v>
      </c>
      <c r="W76" s="207">
        <v>0</v>
      </c>
      <c r="X76" s="219">
        <f t="shared" si="132"/>
        <v>0</v>
      </c>
      <c r="Y76" s="219">
        <f t="shared" si="133"/>
        <v>177.2</v>
      </c>
      <c r="Z76" s="197">
        <v>1</v>
      </c>
      <c r="AA76" s="196">
        <v>90</v>
      </c>
      <c r="AB76" s="197">
        <v>1</v>
      </c>
      <c r="AC76" s="399">
        <f t="shared" si="134"/>
        <v>90</v>
      </c>
      <c r="AD76" s="197">
        <v>0</v>
      </c>
      <c r="AE76" s="196">
        <v>0</v>
      </c>
      <c r="AF76" s="197">
        <v>0</v>
      </c>
      <c r="AG76" s="219">
        <f t="shared" si="135"/>
        <v>0</v>
      </c>
      <c r="AH76" s="219">
        <f t="shared" si="136"/>
        <v>90</v>
      </c>
      <c r="AI76" s="220">
        <f>F76+G76+P76+Y76+AH76</f>
        <v>758.4</v>
      </c>
      <c r="AJ76" s="201">
        <f t="shared" si="143"/>
        <v>0.39052523171987641</v>
      </c>
      <c r="AK76" s="196">
        <f>(E76-AI76)*$AK$15</f>
        <v>130.196</v>
      </c>
      <c r="AL76" s="196">
        <v>0</v>
      </c>
      <c r="AM76" s="196">
        <v>0</v>
      </c>
      <c r="AN76" s="196">
        <v>0</v>
      </c>
      <c r="AO76" s="196">
        <v>0</v>
      </c>
      <c r="AP76" s="247">
        <v>0</v>
      </c>
      <c r="AQ76" s="196">
        <f t="shared" si="138"/>
        <v>0</v>
      </c>
      <c r="AR76" s="221">
        <f t="shared" si="139"/>
        <v>0</v>
      </c>
      <c r="AS76" s="221">
        <f t="shared" si="140"/>
        <v>130.196</v>
      </c>
      <c r="AT76" s="203">
        <f t="shared" ref="AT76:AT79" si="159">E76-AS76</f>
        <v>1811.8040000000001</v>
      </c>
      <c r="AV76" s="206"/>
      <c r="AW76" s="206"/>
    </row>
    <row r="77" spans="2:49" s="131" customFormat="1" ht="18" hidden="1" customHeight="1">
      <c r="B77" s="194" t="s">
        <v>1862</v>
      </c>
      <c r="C77" s="194">
        <v>116</v>
      </c>
      <c r="D77" s="324" t="s">
        <v>1634</v>
      </c>
      <c r="E77" s="196">
        <f>5964+664</f>
        <v>6628</v>
      </c>
      <c r="F77" s="196">
        <v>1043</v>
      </c>
      <c r="G77" s="196">
        <v>387</v>
      </c>
      <c r="H77" s="197">
        <v>1</v>
      </c>
      <c r="I77" s="196">
        <v>24</v>
      </c>
      <c r="J77" s="197">
        <v>26</v>
      </c>
      <c r="K77" s="219">
        <f t="shared" si="128"/>
        <v>624</v>
      </c>
      <c r="L77" s="197">
        <v>0</v>
      </c>
      <c r="M77" s="196">
        <v>0</v>
      </c>
      <c r="N77" s="197">
        <v>0</v>
      </c>
      <c r="O77" s="219">
        <f t="shared" si="129"/>
        <v>0</v>
      </c>
      <c r="P77" s="220">
        <f t="shared" si="130"/>
        <v>624</v>
      </c>
      <c r="Q77" s="197">
        <v>1</v>
      </c>
      <c r="R77" s="196">
        <v>44.3</v>
      </c>
      <c r="S77" s="197">
        <v>26</v>
      </c>
      <c r="T77" s="219">
        <f t="shared" si="131"/>
        <v>1151.8</v>
      </c>
      <c r="U77" s="197">
        <v>0</v>
      </c>
      <c r="V77" s="196">
        <v>0</v>
      </c>
      <c r="W77" s="207">
        <v>0</v>
      </c>
      <c r="X77" s="219">
        <f t="shared" si="132"/>
        <v>0</v>
      </c>
      <c r="Y77" s="219">
        <f t="shared" si="133"/>
        <v>1151.8</v>
      </c>
      <c r="Z77" s="197">
        <v>1</v>
      </c>
      <c r="AA77" s="196">
        <v>90</v>
      </c>
      <c r="AB77" s="197">
        <v>2</v>
      </c>
      <c r="AC77" s="399">
        <f t="shared" si="134"/>
        <v>180</v>
      </c>
      <c r="AD77" s="197">
        <v>0</v>
      </c>
      <c r="AE77" s="196">
        <v>0</v>
      </c>
      <c r="AF77" s="197">
        <v>0</v>
      </c>
      <c r="AG77" s="219">
        <f t="shared" si="135"/>
        <v>0</v>
      </c>
      <c r="AH77" s="219">
        <f t="shared" si="136"/>
        <v>180</v>
      </c>
      <c r="AI77" s="220">
        <f t="shared" ref="AI77:AI79" si="160">F77+G77+P77+Y77+AH77</f>
        <v>3385.8</v>
      </c>
      <c r="AJ77" s="201">
        <f t="shared" si="143"/>
        <v>0.51083283041641525</v>
      </c>
      <c r="AK77" s="196">
        <f>(E77-AI77)*$AK$15</f>
        <v>356.642</v>
      </c>
      <c r="AL77" s="196">
        <v>0</v>
      </c>
      <c r="AM77" s="196">
        <v>0</v>
      </c>
      <c r="AN77" s="196">
        <v>0</v>
      </c>
      <c r="AO77" s="196">
        <v>0</v>
      </c>
      <c r="AP77" s="286">
        <v>3.56E-2</v>
      </c>
      <c r="AQ77" s="196">
        <f t="shared" si="138"/>
        <v>235.95679999999999</v>
      </c>
      <c r="AR77" s="221">
        <f t="shared" si="139"/>
        <v>235.95679999999999</v>
      </c>
      <c r="AS77" s="221">
        <f t="shared" si="140"/>
        <v>592.59879999999998</v>
      </c>
      <c r="AT77" s="203">
        <f t="shared" si="159"/>
        <v>6035.4012000000002</v>
      </c>
      <c r="AV77" s="206"/>
      <c r="AW77" s="206"/>
    </row>
    <row r="78" spans="2:49" s="131" customFormat="1" ht="18" hidden="1" customHeight="1">
      <c r="B78" s="194" t="s">
        <v>1862</v>
      </c>
      <c r="C78" s="194">
        <v>117</v>
      </c>
      <c r="D78" s="324" t="s">
        <v>1833</v>
      </c>
      <c r="E78" s="196">
        <f>8960+2280</f>
        <v>11240</v>
      </c>
      <c r="F78" s="196">
        <v>1190</v>
      </c>
      <c r="G78" s="196">
        <v>410</v>
      </c>
      <c r="H78" s="197">
        <v>2</v>
      </c>
      <c r="I78" s="196">
        <v>24</v>
      </c>
      <c r="J78" s="197">
        <v>16</v>
      </c>
      <c r="K78" s="219">
        <f t="shared" si="128"/>
        <v>768</v>
      </c>
      <c r="L78" s="197">
        <v>0</v>
      </c>
      <c r="M78" s="196">
        <v>0</v>
      </c>
      <c r="N78" s="197">
        <v>0</v>
      </c>
      <c r="O78" s="219">
        <f t="shared" si="129"/>
        <v>0</v>
      </c>
      <c r="P78" s="220">
        <f t="shared" si="130"/>
        <v>768</v>
      </c>
      <c r="Q78" s="197">
        <v>2</v>
      </c>
      <c r="R78" s="196">
        <v>44.3</v>
      </c>
      <c r="S78" s="197">
        <v>16</v>
      </c>
      <c r="T78" s="219">
        <f t="shared" si="131"/>
        <v>1417.6</v>
      </c>
      <c r="U78" s="197">
        <v>0</v>
      </c>
      <c r="V78" s="196">
        <v>0</v>
      </c>
      <c r="W78" s="207">
        <v>0</v>
      </c>
      <c r="X78" s="219">
        <f t="shared" si="132"/>
        <v>0</v>
      </c>
      <c r="Y78" s="219">
        <f t="shared" si="133"/>
        <v>1417.6</v>
      </c>
      <c r="Z78" s="197">
        <v>2</v>
      </c>
      <c r="AA78" s="196">
        <v>90</v>
      </c>
      <c r="AB78" s="197">
        <v>2</v>
      </c>
      <c r="AC78" s="399">
        <f t="shared" si="134"/>
        <v>360</v>
      </c>
      <c r="AD78" s="197">
        <v>0</v>
      </c>
      <c r="AE78" s="196">
        <v>0</v>
      </c>
      <c r="AF78" s="197">
        <v>0</v>
      </c>
      <c r="AG78" s="219">
        <f t="shared" si="135"/>
        <v>0</v>
      </c>
      <c r="AH78" s="219">
        <f t="shared" si="136"/>
        <v>360</v>
      </c>
      <c r="AI78" s="220">
        <f t="shared" si="160"/>
        <v>4145.6000000000004</v>
      </c>
      <c r="AJ78" s="201">
        <f t="shared" si="143"/>
        <v>0.36882562277580072</v>
      </c>
      <c r="AK78" s="196">
        <f>(E78-AI78)*$AK$15</f>
        <v>780.38400000000001</v>
      </c>
      <c r="AL78" s="196">
        <v>0</v>
      </c>
      <c r="AM78" s="196">
        <v>0</v>
      </c>
      <c r="AN78" s="196">
        <v>0</v>
      </c>
      <c r="AO78" s="196">
        <v>0</v>
      </c>
      <c r="AP78" s="247">
        <v>0</v>
      </c>
      <c r="AQ78" s="196">
        <f t="shared" si="138"/>
        <v>0</v>
      </c>
      <c r="AR78" s="221">
        <f>AL78+AM78+AN78+AO78+AQ78</f>
        <v>0</v>
      </c>
      <c r="AS78" s="221">
        <f>AK78+AR78</f>
        <v>780.38400000000001</v>
      </c>
      <c r="AT78" s="203">
        <f t="shared" si="159"/>
        <v>10459.616</v>
      </c>
      <c r="AV78" s="206"/>
      <c r="AW78" s="204"/>
    </row>
    <row r="79" spans="2:49" s="131" customFormat="1" ht="18" hidden="1" customHeight="1">
      <c r="B79" s="194" t="s">
        <v>1862</v>
      </c>
      <c r="C79" s="194" t="s">
        <v>1896</v>
      </c>
      <c r="D79" s="324" t="s">
        <v>1834</v>
      </c>
      <c r="E79" s="196">
        <v>6104</v>
      </c>
      <c r="F79" s="196">
        <v>950.61</v>
      </c>
      <c r="G79" s="196">
        <v>351.9</v>
      </c>
      <c r="H79" s="197">
        <v>1</v>
      </c>
      <c r="I79" s="196">
        <v>24</v>
      </c>
      <c r="J79" s="197">
        <v>26</v>
      </c>
      <c r="K79" s="219">
        <f t="shared" si="128"/>
        <v>624</v>
      </c>
      <c r="L79" s="197">
        <v>0</v>
      </c>
      <c r="M79" s="196">
        <v>0</v>
      </c>
      <c r="N79" s="197">
        <v>0</v>
      </c>
      <c r="O79" s="219">
        <f t="shared" si="129"/>
        <v>0</v>
      </c>
      <c r="P79" s="220">
        <f t="shared" si="130"/>
        <v>624</v>
      </c>
      <c r="Q79" s="197">
        <v>1</v>
      </c>
      <c r="R79" s="196">
        <v>44.3</v>
      </c>
      <c r="S79" s="197">
        <v>26</v>
      </c>
      <c r="T79" s="219">
        <f t="shared" si="131"/>
        <v>1151.8</v>
      </c>
      <c r="U79" s="197">
        <v>0</v>
      </c>
      <c r="V79" s="196">
        <v>0</v>
      </c>
      <c r="W79" s="207">
        <v>0</v>
      </c>
      <c r="X79" s="219">
        <f t="shared" si="132"/>
        <v>0</v>
      </c>
      <c r="Y79" s="219">
        <f t="shared" si="133"/>
        <v>1151.8</v>
      </c>
      <c r="Z79" s="197">
        <v>1</v>
      </c>
      <c r="AA79" s="196">
        <v>90</v>
      </c>
      <c r="AB79" s="197">
        <v>2</v>
      </c>
      <c r="AC79" s="399">
        <f t="shared" si="134"/>
        <v>180</v>
      </c>
      <c r="AD79" s="197">
        <v>0</v>
      </c>
      <c r="AE79" s="196">
        <v>0</v>
      </c>
      <c r="AF79" s="197">
        <v>0</v>
      </c>
      <c r="AG79" s="219">
        <f t="shared" si="135"/>
        <v>0</v>
      </c>
      <c r="AH79" s="219">
        <f t="shared" si="136"/>
        <v>180</v>
      </c>
      <c r="AI79" s="220">
        <f t="shared" si="160"/>
        <v>3258.31</v>
      </c>
      <c r="AJ79" s="201">
        <f t="shared" si="143"/>
        <v>0.53379914809960682</v>
      </c>
      <c r="AK79" s="196">
        <f>(E79-AI79)*$AK$15</f>
        <v>313.02590000000004</v>
      </c>
      <c r="AL79" s="196">
        <v>0</v>
      </c>
      <c r="AM79" s="196">
        <v>0</v>
      </c>
      <c r="AN79" s="196">
        <v>0</v>
      </c>
      <c r="AO79" s="196">
        <v>0</v>
      </c>
      <c r="AP79" s="286">
        <v>3.56E-2</v>
      </c>
      <c r="AQ79" s="196">
        <f t="shared" si="138"/>
        <v>217.30240000000001</v>
      </c>
      <c r="AR79" s="221">
        <f t="shared" ref="AR79" si="161">AL79+AM79+AN79+AO79+AQ79</f>
        <v>217.30240000000001</v>
      </c>
      <c r="AS79" s="221">
        <f t="shared" ref="AS79" si="162">AK79+AR79</f>
        <v>530.32830000000001</v>
      </c>
      <c r="AT79" s="203">
        <f t="shared" si="159"/>
        <v>5573.6716999999999</v>
      </c>
      <c r="AV79" s="206"/>
      <c r="AW79" s="204"/>
    </row>
    <row r="80" spans="2:49" s="131" customFormat="1" ht="18" hidden="1" customHeight="1">
      <c r="B80" s="371"/>
      <c r="C80" s="371"/>
      <c r="D80" s="372"/>
      <c r="E80" s="391"/>
      <c r="F80" s="391"/>
      <c r="G80" s="391"/>
      <c r="H80" s="392"/>
      <c r="I80" s="391"/>
      <c r="J80" s="392"/>
      <c r="K80" s="393"/>
      <c r="L80" s="392"/>
      <c r="M80" s="391"/>
      <c r="N80" s="392"/>
      <c r="O80" s="393"/>
      <c r="P80" s="394"/>
      <c r="Q80" s="392"/>
      <c r="R80" s="391"/>
      <c r="S80" s="392"/>
      <c r="T80" s="393"/>
      <c r="U80" s="392"/>
      <c r="V80" s="391"/>
      <c r="W80" s="426"/>
      <c r="X80" s="393"/>
      <c r="Y80" s="393"/>
      <c r="Z80" s="392"/>
      <c r="AA80" s="391"/>
      <c r="AB80" s="392"/>
      <c r="AC80" s="393"/>
      <c r="AD80" s="392"/>
      <c r="AE80" s="391"/>
      <c r="AF80" s="392"/>
      <c r="AG80" s="393"/>
      <c r="AH80" s="393"/>
      <c r="AI80" s="394"/>
      <c r="AJ80" s="395"/>
      <c r="AK80" s="391"/>
      <c r="AL80" s="391"/>
      <c r="AM80" s="391"/>
      <c r="AN80" s="391"/>
      <c r="AO80" s="391"/>
      <c r="AP80" s="428"/>
      <c r="AQ80" s="391"/>
      <c r="AR80" s="396"/>
      <c r="AS80" s="396"/>
      <c r="AT80" s="397"/>
      <c r="AV80" s="206"/>
      <c r="AW80" s="204"/>
    </row>
    <row r="81" spans="2:50" s="131" customFormat="1" ht="18" hidden="1" customHeight="1">
      <c r="B81" s="194" t="s">
        <v>1885</v>
      </c>
      <c r="C81" s="194">
        <v>119</v>
      </c>
      <c r="D81" s="324" t="s">
        <v>1832</v>
      </c>
      <c r="E81" s="196">
        <f>11388</f>
        <v>11388</v>
      </c>
      <c r="F81" s="196">
        <v>871.39</v>
      </c>
      <c r="G81" s="196">
        <v>534.39</v>
      </c>
      <c r="H81" s="197">
        <v>4</v>
      </c>
      <c r="I81" s="196">
        <v>24</v>
      </c>
      <c r="J81" s="197">
        <v>26</v>
      </c>
      <c r="K81" s="219">
        <f t="shared" ref="K81:K87" si="163">H81*I81*J81</f>
        <v>2496</v>
      </c>
      <c r="L81" s="197">
        <v>0</v>
      </c>
      <c r="M81" s="196">
        <v>0</v>
      </c>
      <c r="N81" s="197">
        <v>0</v>
      </c>
      <c r="O81" s="219">
        <f t="shared" ref="O81:O87" si="164">L81*M81*N81</f>
        <v>0</v>
      </c>
      <c r="P81" s="220">
        <f t="shared" ref="P81:P87" si="165">K81+O81</f>
        <v>2496</v>
      </c>
      <c r="Q81" s="197">
        <v>4</v>
      </c>
      <c r="R81" s="196">
        <v>44.3</v>
      </c>
      <c r="S81" s="197">
        <v>26</v>
      </c>
      <c r="T81" s="219">
        <f t="shared" ref="T81:T87" si="166">Q81*R81*S81</f>
        <v>4607.2</v>
      </c>
      <c r="U81" s="197">
        <v>0</v>
      </c>
      <c r="V81" s="196">
        <v>0</v>
      </c>
      <c r="W81" s="207">
        <v>0</v>
      </c>
      <c r="X81" s="219">
        <f t="shared" ref="X81:X87" si="167">U81*V81*W81</f>
        <v>0</v>
      </c>
      <c r="Y81" s="219">
        <f t="shared" ref="Y81:Y87" si="168">T81+X81</f>
        <v>4607.2</v>
      </c>
      <c r="Z81" s="197">
        <v>4</v>
      </c>
      <c r="AA81" s="196">
        <v>90</v>
      </c>
      <c r="AB81" s="197">
        <v>4</v>
      </c>
      <c r="AC81" s="399">
        <f t="shared" ref="AC81:AC87" si="169">Z81*AA81*AB81</f>
        <v>1440</v>
      </c>
      <c r="AD81" s="197">
        <v>0</v>
      </c>
      <c r="AE81" s="196">
        <v>0</v>
      </c>
      <c r="AF81" s="197">
        <v>0</v>
      </c>
      <c r="AG81" s="219">
        <f t="shared" ref="AG81:AG87" si="170">AD81*AE81*AF81</f>
        <v>0</v>
      </c>
      <c r="AH81" s="219">
        <f t="shared" ref="AH81:AH87" si="171">AC81+AG81</f>
        <v>1440</v>
      </c>
      <c r="AI81" s="220">
        <f t="shared" ref="AI81" si="172">F81+G81+P81+Y81+AH81</f>
        <v>9948.98</v>
      </c>
      <c r="AJ81" s="201">
        <f>AI81/E81</f>
        <v>0.87363716192483309</v>
      </c>
      <c r="AK81" s="196">
        <f>(E81-AI81)*$AK$15</f>
        <v>158.29220000000004</v>
      </c>
      <c r="AL81" s="196">
        <v>0</v>
      </c>
      <c r="AM81" s="196">
        <v>0</v>
      </c>
      <c r="AN81" s="196">
        <v>0</v>
      </c>
      <c r="AO81" s="196">
        <v>0</v>
      </c>
      <c r="AP81" s="247">
        <v>0</v>
      </c>
      <c r="AQ81" s="196">
        <f t="shared" ref="AQ81:AQ87" si="173">AP81*E81</f>
        <v>0</v>
      </c>
      <c r="AR81" s="221">
        <f t="shared" ref="AR81:AR85" si="174">AL81+AM81+AN81+AO81+AQ81</f>
        <v>0</v>
      </c>
      <c r="AS81" s="221">
        <f t="shared" ref="AS81:AS85" si="175">AK81+AR81</f>
        <v>158.29220000000004</v>
      </c>
      <c r="AT81" s="203">
        <f t="shared" ref="AT81:AT82" si="176">E81-AS81</f>
        <v>11229.7078</v>
      </c>
      <c r="AV81" s="206"/>
      <c r="AW81" s="216"/>
    </row>
    <row r="82" spans="2:50" s="131" customFormat="1" ht="18" hidden="1" customHeight="1">
      <c r="B82" s="194" t="s">
        <v>1885</v>
      </c>
      <c r="C82" s="194">
        <v>120</v>
      </c>
      <c r="D82" s="324" t="s">
        <v>1720</v>
      </c>
      <c r="E82" s="196">
        <f>33317</f>
        <v>33317</v>
      </c>
      <c r="F82" s="196">
        <v>5925</v>
      </c>
      <c r="G82" s="196">
        <v>2550</v>
      </c>
      <c r="H82" s="197">
        <v>2</v>
      </c>
      <c r="I82" s="196">
        <v>24</v>
      </c>
      <c r="J82" s="197">
        <v>26</v>
      </c>
      <c r="K82" s="219">
        <f t="shared" si="163"/>
        <v>1248</v>
      </c>
      <c r="L82" s="197">
        <v>4</v>
      </c>
      <c r="M82" s="196">
        <v>20</v>
      </c>
      <c r="N82" s="197">
        <v>16</v>
      </c>
      <c r="O82" s="219">
        <f t="shared" si="164"/>
        <v>1280</v>
      </c>
      <c r="P82" s="285">
        <f t="shared" si="165"/>
        <v>2528</v>
      </c>
      <c r="Q82" s="197">
        <v>2</v>
      </c>
      <c r="R82" s="196">
        <v>44.3</v>
      </c>
      <c r="S82" s="197">
        <v>26</v>
      </c>
      <c r="T82" s="219">
        <f t="shared" si="166"/>
        <v>2303.6</v>
      </c>
      <c r="U82" s="197">
        <v>4</v>
      </c>
      <c r="V82" s="196">
        <v>44.3</v>
      </c>
      <c r="W82" s="207">
        <v>16</v>
      </c>
      <c r="X82" s="219">
        <f t="shared" si="167"/>
        <v>2835.2</v>
      </c>
      <c r="Y82" s="219">
        <f t="shared" si="168"/>
        <v>5138.7999999999993</v>
      </c>
      <c r="Z82" s="197">
        <v>2</v>
      </c>
      <c r="AA82" s="196">
        <v>40</v>
      </c>
      <c r="AB82" s="197">
        <v>2</v>
      </c>
      <c r="AC82" s="400">
        <f t="shared" si="169"/>
        <v>160</v>
      </c>
      <c r="AD82" s="197">
        <v>4</v>
      </c>
      <c r="AE82" s="196">
        <v>90</v>
      </c>
      <c r="AF82" s="197">
        <v>2</v>
      </c>
      <c r="AG82" s="198">
        <f t="shared" si="170"/>
        <v>720</v>
      </c>
      <c r="AH82" s="219">
        <f t="shared" si="171"/>
        <v>880</v>
      </c>
      <c r="AI82" s="220">
        <f>F82+G82+P82+Y82+AH82</f>
        <v>17021.8</v>
      </c>
      <c r="AJ82" s="201">
        <f t="shared" ref="AJ82:AJ87" si="177">AI82/E82</f>
        <v>0.51090434312813271</v>
      </c>
      <c r="AK82" s="196">
        <f>(E82-AI82)*$AK$15</f>
        <v>1792.472</v>
      </c>
      <c r="AL82" s="196">
        <v>0</v>
      </c>
      <c r="AM82" s="196">
        <v>0</v>
      </c>
      <c r="AN82" s="196">
        <v>0</v>
      </c>
      <c r="AO82" s="196">
        <v>0</v>
      </c>
      <c r="AP82" s="286">
        <v>3.7199999999999997E-2</v>
      </c>
      <c r="AQ82" s="196">
        <f t="shared" si="173"/>
        <v>1239.3924</v>
      </c>
      <c r="AR82" s="221">
        <f t="shared" si="174"/>
        <v>1239.3924</v>
      </c>
      <c r="AS82" s="221">
        <f t="shared" si="175"/>
        <v>3031.8643999999999</v>
      </c>
      <c r="AT82" s="203">
        <f t="shared" si="176"/>
        <v>30285.135600000001</v>
      </c>
      <c r="AV82" s="206">
        <v>33228.5</v>
      </c>
      <c r="AW82" s="625">
        <f>AV82-AT82</f>
        <v>2943.3643999999986</v>
      </c>
    </row>
    <row r="83" spans="2:50" s="131" customFormat="1" ht="18" hidden="1" customHeight="1">
      <c r="B83" s="194" t="s">
        <v>1885</v>
      </c>
      <c r="C83" s="194">
        <v>121</v>
      </c>
      <c r="D83" s="324" t="s">
        <v>2051</v>
      </c>
      <c r="E83" s="196">
        <v>35740</v>
      </c>
      <c r="F83" s="196">
        <v>6560.0627256516118</v>
      </c>
      <c r="G83" s="196">
        <v>4473.6244375503829</v>
      </c>
      <c r="H83" s="197">
        <v>5</v>
      </c>
      <c r="I83" s="196">
        <v>24</v>
      </c>
      <c r="J83" s="197">
        <v>26</v>
      </c>
      <c r="K83" s="219">
        <f t="shared" si="163"/>
        <v>3120</v>
      </c>
      <c r="L83" s="197">
        <v>0</v>
      </c>
      <c r="M83" s="196">
        <v>0</v>
      </c>
      <c r="N83" s="197">
        <v>0</v>
      </c>
      <c r="O83" s="219">
        <f t="shared" si="164"/>
        <v>0</v>
      </c>
      <c r="P83" s="220">
        <f t="shared" si="165"/>
        <v>3120</v>
      </c>
      <c r="Q83" s="197">
        <v>5</v>
      </c>
      <c r="R83" s="196">
        <v>44.3</v>
      </c>
      <c r="S83" s="197">
        <v>26</v>
      </c>
      <c r="T83" s="219">
        <f t="shared" si="166"/>
        <v>5759</v>
      </c>
      <c r="U83" s="197">
        <v>0</v>
      </c>
      <c r="V83" s="196">
        <v>0</v>
      </c>
      <c r="W83" s="207">
        <v>0</v>
      </c>
      <c r="X83" s="219">
        <f t="shared" si="167"/>
        <v>0</v>
      </c>
      <c r="Y83" s="219">
        <f t="shared" si="168"/>
        <v>5759</v>
      </c>
      <c r="Z83" s="197">
        <v>5</v>
      </c>
      <c r="AA83" s="196">
        <v>90</v>
      </c>
      <c r="AB83" s="197">
        <v>2</v>
      </c>
      <c r="AC83" s="399">
        <f t="shared" si="169"/>
        <v>900</v>
      </c>
      <c r="AD83" s="197">
        <v>0</v>
      </c>
      <c r="AE83" s="196">
        <v>0</v>
      </c>
      <c r="AF83" s="197">
        <v>0</v>
      </c>
      <c r="AG83" s="219">
        <f t="shared" si="170"/>
        <v>0</v>
      </c>
      <c r="AH83" s="219">
        <f t="shared" si="171"/>
        <v>900</v>
      </c>
      <c r="AI83" s="220">
        <f t="shared" ref="AI83" si="178">F83+G83+P83+Y83+AH83</f>
        <v>20812.687163201994</v>
      </c>
      <c r="AJ83" s="201">
        <f t="shared" si="177"/>
        <v>0.58233595867940668</v>
      </c>
      <c r="AK83" s="196">
        <f t="shared" ref="AK83" si="179">(E83-AI83)*$AK$15</f>
        <v>1642.0044120477808</v>
      </c>
      <c r="AL83" s="196">
        <v>0</v>
      </c>
      <c r="AM83" s="196">
        <v>0</v>
      </c>
      <c r="AN83" s="196">
        <v>0</v>
      </c>
      <c r="AO83" s="196">
        <v>0</v>
      </c>
      <c r="AP83" s="247">
        <v>0</v>
      </c>
      <c r="AQ83" s="196">
        <f t="shared" si="173"/>
        <v>0</v>
      </c>
      <c r="AR83" s="221">
        <f t="shared" si="174"/>
        <v>0</v>
      </c>
      <c r="AS83" s="221">
        <f t="shared" si="175"/>
        <v>1642.0044120477808</v>
      </c>
      <c r="AT83" s="203">
        <f>E83-AS83</f>
        <v>34097.995587952217</v>
      </c>
      <c r="AV83" s="206"/>
      <c r="AW83" s="216"/>
    </row>
    <row r="84" spans="2:50" s="131" customFormat="1" ht="18" hidden="1" customHeight="1">
      <c r="B84" s="194" t="s">
        <v>1885</v>
      </c>
      <c r="C84" s="194">
        <v>122</v>
      </c>
      <c r="D84" s="324" t="s">
        <v>1831</v>
      </c>
      <c r="E84" s="213">
        <f>1562</f>
        <v>1562</v>
      </c>
      <c r="F84" s="196">
        <v>395.2</v>
      </c>
      <c r="G84" s="196">
        <v>0</v>
      </c>
      <c r="H84" s="197">
        <v>1</v>
      </c>
      <c r="I84" s="196">
        <v>24</v>
      </c>
      <c r="J84" s="197">
        <v>4</v>
      </c>
      <c r="K84" s="219">
        <f t="shared" si="163"/>
        <v>96</v>
      </c>
      <c r="L84" s="197">
        <v>0</v>
      </c>
      <c r="M84" s="196">
        <v>0</v>
      </c>
      <c r="N84" s="197">
        <v>0</v>
      </c>
      <c r="O84" s="219">
        <f t="shared" si="164"/>
        <v>0</v>
      </c>
      <c r="P84" s="220">
        <f t="shared" si="165"/>
        <v>96</v>
      </c>
      <c r="Q84" s="197">
        <v>1</v>
      </c>
      <c r="R84" s="196">
        <v>44.3</v>
      </c>
      <c r="S84" s="197">
        <v>4</v>
      </c>
      <c r="T84" s="219">
        <f t="shared" si="166"/>
        <v>177.2</v>
      </c>
      <c r="U84" s="197">
        <v>0</v>
      </c>
      <c r="V84" s="196">
        <v>0</v>
      </c>
      <c r="W84" s="207">
        <v>0</v>
      </c>
      <c r="X84" s="219">
        <f t="shared" si="167"/>
        <v>0</v>
      </c>
      <c r="Y84" s="219">
        <f t="shared" si="168"/>
        <v>177.2</v>
      </c>
      <c r="Z84" s="197">
        <v>1</v>
      </c>
      <c r="AA84" s="196">
        <v>90</v>
      </c>
      <c r="AB84" s="197">
        <v>1</v>
      </c>
      <c r="AC84" s="399">
        <f t="shared" si="169"/>
        <v>90</v>
      </c>
      <c r="AD84" s="197">
        <v>0</v>
      </c>
      <c r="AE84" s="196">
        <v>0</v>
      </c>
      <c r="AF84" s="197">
        <v>0</v>
      </c>
      <c r="AG84" s="219">
        <f t="shared" si="170"/>
        <v>0</v>
      </c>
      <c r="AH84" s="219">
        <f t="shared" si="171"/>
        <v>90</v>
      </c>
      <c r="AI84" s="220">
        <f>F84+G84+P84+Y84+AH84</f>
        <v>758.4</v>
      </c>
      <c r="AJ84" s="201">
        <f t="shared" si="177"/>
        <v>0.48553137003841229</v>
      </c>
      <c r="AK84" s="196">
        <f>(E84-AI84)*$AK$15</f>
        <v>88.396000000000001</v>
      </c>
      <c r="AL84" s="196">
        <v>0</v>
      </c>
      <c r="AM84" s="196">
        <v>0</v>
      </c>
      <c r="AN84" s="196">
        <v>0</v>
      </c>
      <c r="AO84" s="196">
        <v>0</v>
      </c>
      <c r="AP84" s="247">
        <v>0</v>
      </c>
      <c r="AQ84" s="196">
        <f t="shared" si="173"/>
        <v>0</v>
      </c>
      <c r="AR84" s="221">
        <f t="shared" si="174"/>
        <v>0</v>
      </c>
      <c r="AS84" s="221">
        <f t="shared" si="175"/>
        <v>88.396000000000001</v>
      </c>
      <c r="AT84" s="203">
        <f t="shared" ref="AT84:AT87" si="180">E84-AS84</f>
        <v>1473.604</v>
      </c>
      <c r="AV84" s="206"/>
      <c r="AW84" s="206"/>
    </row>
    <row r="85" spans="2:50" s="131" customFormat="1" ht="18" hidden="1" customHeight="1">
      <c r="B85" s="194" t="s">
        <v>1885</v>
      </c>
      <c r="C85" s="194">
        <v>123</v>
      </c>
      <c r="D85" s="324" t="s">
        <v>1634</v>
      </c>
      <c r="E85" s="196">
        <f>5964</f>
        <v>5964</v>
      </c>
      <c r="F85" s="196">
        <v>1043</v>
      </c>
      <c r="G85" s="196">
        <v>387</v>
      </c>
      <c r="H85" s="197">
        <v>1</v>
      </c>
      <c r="I85" s="196">
        <v>24</v>
      </c>
      <c r="J85" s="197">
        <v>26</v>
      </c>
      <c r="K85" s="219">
        <f t="shared" si="163"/>
        <v>624</v>
      </c>
      <c r="L85" s="197">
        <v>0</v>
      </c>
      <c r="M85" s="196">
        <v>0</v>
      </c>
      <c r="N85" s="197">
        <v>0</v>
      </c>
      <c r="O85" s="219">
        <f t="shared" si="164"/>
        <v>0</v>
      </c>
      <c r="P85" s="220">
        <f t="shared" si="165"/>
        <v>624</v>
      </c>
      <c r="Q85" s="197">
        <v>1</v>
      </c>
      <c r="R85" s="196">
        <v>44.3</v>
      </c>
      <c r="S85" s="197">
        <v>26</v>
      </c>
      <c r="T85" s="219">
        <f t="shared" si="166"/>
        <v>1151.8</v>
      </c>
      <c r="U85" s="197">
        <v>0</v>
      </c>
      <c r="V85" s="196">
        <v>0</v>
      </c>
      <c r="W85" s="207">
        <v>0</v>
      </c>
      <c r="X85" s="219">
        <f t="shared" si="167"/>
        <v>0</v>
      </c>
      <c r="Y85" s="219">
        <f t="shared" si="168"/>
        <v>1151.8</v>
      </c>
      <c r="Z85" s="197">
        <v>1</v>
      </c>
      <c r="AA85" s="196">
        <v>90</v>
      </c>
      <c r="AB85" s="197">
        <v>2</v>
      </c>
      <c r="AC85" s="399">
        <f t="shared" si="169"/>
        <v>180</v>
      </c>
      <c r="AD85" s="197">
        <v>0</v>
      </c>
      <c r="AE85" s="196">
        <v>0</v>
      </c>
      <c r="AF85" s="197">
        <v>0</v>
      </c>
      <c r="AG85" s="219">
        <f t="shared" si="170"/>
        <v>0</v>
      </c>
      <c r="AH85" s="219">
        <f t="shared" si="171"/>
        <v>180</v>
      </c>
      <c r="AI85" s="220">
        <f t="shared" ref="AI85:AI86" si="181">F85+G85+P85+Y85+AH85</f>
        <v>3385.8</v>
      </c>
      <c r="AJ85" s="201">
        <f t="shared" si="177"/>
        <v>0.56770623742454729</v>
      </c>
      <c r="AK85" s="196">
        <f>(E85-AI85)*$AK$15</f>
        <v>283.60199999999998</v>
      </c>
      <c r="AL85" s="196">
        <v>0</v>
      </c>
      <c r="AM85" s="196">
        <v>0</v>
      </c>
      <c r="AN85" s="196">
        <v>0</v>
      </c>
      <c r="AO85" s="196">
        <v>0</v>
      </c>
      <c r="AP85" s="286">
        <v>3.56E-2</v>
      </c>
      <c r="AQ85" s="196">
        <f t="shared" si="173"/>
        <v>212.3184</v>
      </c>
      <c r="AR85" s="221">
        <f t="shared" si="174"/>
        <v>212.3184</v>
      </c>
      <c r="AS85" s="221">
        <f t="shared" si="175"/>
        <v>495.92039999999997</v>
      </c>
      <c r="AT85" s="203">
        <f t="shared" si="180"/>
        <v>5468.0796</v>
      </c>
      <c r="AV85" s="206"/>
      <c r="AW85" s="206"/>
    </row>
    <row r="86" spans="2:50" s="131" customFormat="1" ht="18" hidden="1" customHeight="1">
      <c r="B86" s="194" t="s">
        <v>1885</v>
      </c>
      <c r="C86" s="194">
        <v>124</v>
      </c>
      <c r="D86" s="324" t="s">
        <v>1833</v>
      </c>
      <c r="E86" s="196">
        <f>8960</f>
        <v>8960</v>
      </c>
      <c r="F86" s="196">
        <v>1190</v>
      </c>
      <c r="G86" s="196">
        <v>410</v>
      </c>
      <c r="H86" s="197">
        <v>2</v>
      </c>
      <c r="I86" s="196">
        <v>24</v>
      </c>
      <c r="J86" s="197">
        <v>16</v>
      </c>
      <c r="K86" s="219">
        <f t="shared" si="163"/>
        <v>768</v>
      </c>
      <c r="L86" s="197">
        <v>0</v>
      </c>
      <c r="M86" s="196">
        <v>0</v>
      </c>
      <c r="N86" s="197">
        <v>0</v>
      </c>
      <c r="O86" s="219">
        <f t="shared" si="164"/>
        <v>0</v>
      </c>
      <c r="P86" s="220">
        <f t="shared" si="165"/>
        <v>768</v>
      </c>
      <c r="Q86" s="197">
        <v>2</v>
      </c>
      <c r="R86" s="196">
        <v>44.3</v>
      </c>
      <c r="S86" s="197">
        <v>16</v>
      </c>
      <c r="T86" s="219">
        <f t="shared" si="166"/>
        <v>1417.6</v>
      </c>
      <c r="U86" s="197">
        <v>0</v>
      </c>
      <c r="V86" s="196">
        <v>0</v>
      </c>
      <c r="W86" s="207">
        <v>0</v>
      </c>
      <c r="X86" s="219">
        <f t="shared" si="167"/>
        <v>0</v>
      </c>
      <c r="Y86" s="219">
        <f t="shared" si="168"/>
        <v>1417.6</v>
      </c>
      <c r="Z86" s="197">
        <v>2</v>
      </c>
      <c r="AA86" s="196">
        <v>90</v>
      </c>
      <c r="AB86" s="197">
        <v>2</v>
      </c>
      <c r="AC86" s="399">
        <f t="shared" si="169"/>
        <v>360</v>
      </c>
      <c r="AD86" s="197">
        <v>0</v>
      </c>
      <c r="AE86" s="196">
        <v>0</v>
      </c>
      <c r="AF86" s="197">
        <v>0</v>
      </c>
      <c r="AG86" s="219">
        <f t="shared" si="170"/>
        <v>0</v>
      </c>
      <c r="AH86" s="219">
        <f t="shared" si="171"/>
        <v>360</v>
      </c>
      <c r="AI86" s="220">
        <f t="shared" si="181"/>
        <v>4145.6000000000004</v>
      </c>
      <c r="AJ86" s="201">
        <f t="shared" si="177"/>
        <v>0.46267857142857149</v>
      </c>
      <c r="AK86" s="196">
        <f>(E86-AI86)*$AK$15</f>
        <v>529.58399999999995</v>
      </c>
      <c r="AL86" s="196">
        <v>0</v>
      </c>
      <c r="AM86" s="196">
        <v>0</v>
      </c>
      <c r="AN86" s="196">
        <v>0</v>
      </c>
      <c r="AO86" s="196">
        <v>0</v>
      </c>
      <c r="AP86" s="247">
        <v>0</v>
      </c>
      <c r="AQ86" s="196">
        <f t="shared" si="173"/>
        <v>0</v>
      </c>
      <c r="AR86" s="221">
        <f>AL86+AM86+AN86+AO86+AQ86</f>
        <v>0</v>
      </c>
      <c r="AS86" s="221">
        <f>AK86+AR86</f>
        <v>529.58399999999995</v>
      </c>
      <c r="AT86" s="203">
        <f t="shared" si="180"/>
        <v>8430.4159999999993</v>
      </c>
      <c r="AV86" s="206"/>
      <c r="AW86" s="206"/>
    </row>
    <row r="87" spans="2:50" s="131" customFormat="1" ht="18" hidden="1" customHeight="1">
      <c r="B87" s="194" t="s">
        <v>1885</v>
      </c>
      <c r="C87" s="194">
        <v>125</v>
      </c>
      <c r="D87" s="324" t="s">
        <v>1834</v>
      </c>
      <c r="E87" s="196">
        <v>6104</v>
      </c>
      <c r="F87" s="196">
        <v>950.61</v>
      </c>
      <c r="G87" s="196">
        <v>351.9</v>
      </c>
      <c r="H87" s="197">
        <v>1</v>
      </c>
      <c r="I87" s="196">
        <v>24</v>
      </c>
      <c r="J87" s="197">
        <v>26</v>
      </c>
      <c r="K87" s="219">
        <f t="shared" si="163"/>
        <v>624</v>
      </c>
      <c r="L87" s="197">
        <v>0</v>
      </c>
      <c r="M87" s="196">
        <v>0</v>
      </c>
      <c r="N87" s="197">
        <v>0</v>
      </c>
      <c r="O87" s="219">
        <f t="shared" si="164"/>
        <v>0</v>
      </c>
      <c r="P87" s="220">
        <f t="shared" si="165"/>
        <v>624</v>
      </c>
      <c r="Q87" s="197">
        <v>1</v>
      </c>
      <c r="R87" s="196">
        <v>44.3</v>
      </c>
      <c r="S87" s="197">
        <v>26</v>
      </c>
      <c r="T87" s="219">
        <f t="shared" si="166"/>
        <v>1151.8</v>
      </c>
      <c r="U87" s="197">
        <v>0</v>
      </c>
      <c r="V87" s="196">
        <v>0</v>
      </c>
      <c r="W87" s="207">
        <v>0</v>
      </c>
      <c r="X87" s="219">
        <f t="shared" si="167"/>
        <v>0</v>
      </c>
      <c r="Y87" s="219">
        <f t="shared" si="168"/>
        <v>1151.8</v>
      </c>
      <c r="Z87" s="197">
        <v>1</v>
      </c>
      <c r="AA87" s="196">
        <v>90</v>
      </c>
      <c r="AB87" s="197">
        <v>2</v>
      </c>
      <c r="AC87" s="399">
        <f t="shared" si="169"/>
        <v>180</v>
      </c>
      <c r="AD87" s="197">
        <v>0</v>
      </c>
      <c r="AE87" s="196">
        <v>0</v>
      </c>
      <c r="AF87" s="197">
        <v>0</v>
      </c>
      <c r="AG87" s="219">
        <f t="shared" si="170"/>
        <v>0</v>
      </c>
      <c r="AH87" s="219">
        <f t="shared" si="171"/>
        <v>180</v>
      </c>
      <c r="AI87" s="220">
        <f>F87+G87+P87+Y87+AH87</f>
        <v>3258.31</v>
      </c>
      <c r="AJ87" s="201">
        <f t="shared" si="177"/>
        <v>0.53379914809960682</v>
      </c>
      <c r="AK87" s="196">
        <f>(E87-AI87)*$AK$15</f>
        <v>313.02590000000004</v>
      </c>
      <c r="AL87" s="196">
        <v>0</v>
      </c>
      <c r="AM87" s="196">
        <v>0</v>
      </c>
      <c r="AN87" s="196">
        <v>0</v>
      </c>
      <c r="AO87" s="196">
        <v>0</v>
      </c>
      <c r="AP87" s="286">
        <v>3.56E-2</v>
      </c>
      <c r="AQ87" s="196">
        <f t="shared" si="173"/>
        <v>217.30240000000001</v>
      </c>
      <c r="AR87" s="221">
        <f t="shared" ref="AR87" si="182">AL87+AM87+AN87+AO87+AQ87</f>
        <v>217.30240000000001</v>
      </c>
      <c r="AS87" s="221">
        <f t="shared" ref="AS87" si="183">AK87+AR87</f>
        <v>530.32830000000001</v>
      </c>
      <c r="AT87" s="203">
        <f t="shared" si="180"/>
        <v>5573.6716999999999</v>
      </c>
      <c r="AV87" s="206"/>
      <c r="AW87" s="206"/>
    </row>
    <row r="88" spans="2:50" s="131" customFormat="1" ht="18" hidden="1" customHeight="1">
      <c r="B88" s="371"/>
      <c r="C88" s="371"/>
      <c r="D88" s="372"/>
      <c r="E88" s="391"/>
      <c r="F88" s="391"/>
      <c r="G88" s="391"/>
      <c r="H88" s="392"/>
      <c r="I88" s="391"/>
      <c r="J88" s="392"/>
      <c r="K88" s="393"/>
      <c r="L88" s="392"/>
      <c r="M88" s="391"/>
      <c r="N88" s="392"/>
      <c r="O88" s="393"/>
      <c r="P88" s="394"/>
      <c r="Q88" s="392"/>
      <c r="R88" s="391"/>
      <c r="S88" s="392"/>
      <c r="T88" s="393"/>
      <c r="U88" s="392"/>
      <c r="V88" s="391"/>
      <c r="W88" s="426"/>
      <c r="X88" s="393"/>
      <c r="Y88" s="393"/>
      <c r="Z88" s="392"/>
      <c r="AA88" s="391"/>
      <c r="AB88" s="392"/>
      <c r="AC88" s="393"/>
      <c r="AD88" s="392"/>
      <c r="AE88" s="391"/>
      <c r="AF88" s="392"/>
      <c r="AG88" s="393"/>
      <c r="AH88" s="393"/>
      <c r="AI88" s="394"/>
      <c r="AJ88" s="395"/>
      <c r="AK88" s="391"/>
      <c r="AL88" s="391"/>
      <c r="AM88" s="391"/>
      <c r="AN88" s="391"/>
      <c r="AO88" s="391"/>
      <c r="AP88" s="428"/>
      <c r="AQ88" s="391"/>
      <c r="AR88" s="396"/>
      <c r="AS88" s="396"/>
      <c r="AT88" s="397"/>
      <c r="AV88" s="206"/>
      <c r="AW88" s="204"/>
    </row>
    <row r="89" spans="2:50" s="131" customFormat="1" ht="18" hidden="1" customHeight="1">
      <c r="B89" s="194" t="s">
        <v>1926</v>
      </c>
      <c r="C89" s="194">
        <v>126</v>
      </c>
      <c r="D89" s="324" t="s">
        <v>1832</v>
      </c>
      <c r="E89" s="196">
        <f>11388</f>
        <v>11388</v>
      </c>
      <c r="F89" s="196">
        <v>871.39</v>
      </c>
      <c r="G89" s="196">
        <v>534.39</v>
      </c>
      <c r="H89" s="197">
        <v>4</v>
      </c>
      <c r="I89" s="196">
        <v>24</v>
      </c>
      <c r="J89" s="197">
        <v>26</v>
      </c>
      <c r="K89" s="219">
        <f t="shared" ref="K89:K94" si="184">H89*I89*J89</f>
        <v>2496</v>
      </c>
      <c r="L89" s="197">
        <v>0</v>
      </c>
      <c r="M89" s="196">
        <v>0</v>
      </c>
      <c r="N89" s="197">
        <v>0</v>
      </c>
      <c r="O89" s="219">
        <f t="shared" ref="O89:O94" si="185">L89*M89*N89</f>
        <v>0</v>
      </c>
      <c r="P89" s="220">
        <f t="shared" ref="P89:P94" si="186">K89+O89</f>
        <v>2496</v>
      </c>
      <c r="Q89" s="197">
        <v>4</v>
      </c>
      <c r="R89" s="196">
        <v>44.3</v>
      </c>
      <c r="S89" s="197">
        <v>26</v>
      </c>
      <c r="T89" s="219">
        <f t="shared" ref="T89:T94" si="187">Q89*R89*S89</f>
        <v>4607.2</v>
      </c>
      <c r="U89" s="197">
        <v>0</v>
      </c>
      <c r="V89" s="196">
        <v>0</v>
      </c>
      <c r="W89" s="207">
        <v>0</v>
      </c>
      <c r="X89" s="219">
        <f t="shared" ref="X89:X94" si="188">U89*V89*W89</f>
        <v>0</v>
      </c>
      <c r="Y89" s="219">
        <f t="shared" ref="Y89:Y94" si="189">T89+X89</f>
        <v>4607.2</v>
      </c>
      <c r="Z89" s="197">
        <v>4</v>
      </c>
      <c r="AA89" s="196">
        <v>90</v>
      </c>
      <c r="AB89" s="197">
        <v>4</v>
      </c>
      <c r="AC89" s="399">
        <f t="shared" ref="AC89:AC94" si="190">Z89*AA89*AB89</f>
        <v>1440</v>
      </c>
      <c r="AD89" s="197">
        <v>0</v>
      </c>
      <c r="AE89" s="196">
        <v>0</v>
      </c>
      <c r="AF89" s="197">
        <v>0</v>
      </c>
      <c r="AG89" s="219">
        <f t="shared" ref="AG89:AG94" si="191">AD89*AE89*AF89</f>
        <v>0</v>
      </c>
      <c r="AH89" s="219">
        <f t="shared" ref="AH89:AH94" si="192">AC89+AG89</f>
        <v>1440</v>
      </c>
      <c r="AI89" s="220">
        <f t="shared" ref="AI89" si="193">F89+G89+P89+Y89+AH89</f>
        <v>9948.98</v>
      </c>
      <c r="AJ89" s="201">
        <f>AI89/E89</f>
        <v>0.87363716192483309</v>
      </c>
      <c r="AK89" s="196">
        <f>(E89-AI89)*$AK$15</f>
        <v>158.29220000000004</v>
      </c>
      <c r="AL89" s="196">
        <v>0</v>
      </c>
      <c r="AM89" s="196">
        <v>0</v>
      </c>
      <c r="AN89" s="196">
        <v>0</v>
      </c>
      <c r="AO89" s="196">
        <v>0</v>
      </c>
      <c r="AP89" s="247">
        <v>0</v>
      </c>
      <c r="AQ89" s="196">
        <f t="shared" ref="AQ89:AQ94" si="194">AP89*E89</f>
        <v>0</v>
      </c>
      <c r="AR89" s="221">
        <f t="shared" ref="AR89:AR92" si="195">AL89+AM89+AN89+AO89+AQ89</f>
        <v>0</v>
      </c>
      <c r="AS89" s="221">
        <f t="shared" ref="AS89:AS92" si="196">AK89+AR89</f>
        <v>158.29220000000004</v>
      </c>
      <c r="AT89" s="203">
        <f t="shared" ref="AT89" si="197">E89-AS89</f>
        <v>11229.7078</v>
      </c>
      <c r="AV89" s="206"/>
      <c r="AW89" s="216"/>
    </row>
    <row r="90" spans="2:50" s="131" customFormat="1" ht="18" hidden="1" customHeight="1">
      <c r="B90" s="194" t="s">
        <v>1926</v>
      </c>
      <c r="C90" s="194">
        <v>127</v>
      </c>
      <c r="D90" s="324" t="s">
        <v>2051</v>
      </c>
      <c r="E90" s="196">
        <v>35740</v>
      </c>
      <c r="F90" s="196">
        <v>6560.0627256516118</v>
      </c>
      <c r="G90" s="196">
        <v>4473.6244375503829</v>
      </c>
      <c r="H90" s="197">
        <v>5</v>
      </c>
      <c r="I90" s="196">
        <v>24</v>
      </c>
      <c r="J90" s="197">
        <v>26</v>
      </c>
      <c r="K90" s="219">
        <f t="shared" si="184"/>
        <v>3120</v>
      </c>
      <c r="L90" s="197">
        <v>0</v>
      </c>
      <c r="M90" s="196">
        <v>0</v>
      </c>
      <c r="N90" s="197">
        <v>0</v>
      </c>
      <c r="O90" s="219">
        <f t="shared" si="185"/>
        <v>0</v>
      </c>
      <c r="P90" s="220">
        <f t="shared" si="186"/>
        <v>3120</v>
      </c>
      <c r="Q90" s="197">
        <v>5</v>
      </c>
      <c r="R90" s="196">
        <v>44.3</v>
      </c>
      <c r="S90" s="197">
        <v>26</v>
      </c>
      <c r="T90" s="219">
        <f t="shared" si="187"/>
        <v>5759</v>
      </c>
      <c r="U90" s="197">
        <v>0</v>
      </c>
      <c r="V90" s="196">
        <v>0</v>
      </c>
      <c r="W90" s="207">
        <v>0</v>
      </c>
      <c r="X90" s="219">
        <f t="shared" si="188"/>
        <v>0</v>
      </c>
      <c r="Y90" s="219">
        <f t="shared" si="189"/>
        <v>5759</v>
      </c>
      <c r="Z90" s="197">
        <v>5</v>
      </c>
      <c r="AA90" s="196">
        <v>90</v>
      </c>
      <c r="AB90" s="197">
        <v>2</v>
      </c>
      <c r="AC90" s="399">
        <f t="shared" si="190"/>
        <v>900</v>
      </c>
      <c r="AD90" s="197">
        <v>0</v>
      </c>
      <c r="AE90" s="196">
        <v>0</v>
      </c>
      <c r="AF90" s="197">
        <v>0</v>
      </c>
      <c r="AG90" s="219">
        <f t="shared" si="191"/>
        <v>0</v>
      </c>
      <c r="AH90" s="219">
        <f t="shared" si="192"/>
        <v>900</v>
      </c>
      <c r="AI90" s="220">
        <f t="shared" ref="AI90" si="198">F90+G90+P90+Y90+AH90</f>
        <v>20812.687163201994</v>
      </c>
      <c r="AJ90" s="201">
        <f t="shared" ref="AJ90:AJ94" si="199">AI90/E90</f>
        <v>0.58233595867940668</v>
      </c>
      <c r="AK90" s="196">
        <f t="shared" ref="AK90" si="200">(E90-AI90)*$AK$15</f>
        <v>1642.0044120477808</v>
      </c>
      <c r="AL90" s="196">
        <v>0</v>
      </c>
      <c r="AM90" s="196">
        <v>0</v>
      </c>
      <c r="AN90" s="196">
        <v>0</v>
      </c>
      <c r="AO90" s="196">
        <v>0</v>
      </c>
      <c r="AP90" s="247">
        <v>0</v>
      </c>
      <c r="AQ90" s="196">
        <f t="shared" si="194"/>
        <v>0</v>
      </c>
      <c r="AR90" s="221">
        <f t="shared" si="195"/>
        <v>0</v>
      </c>
      <c r="AS90" s="221">
        <f t="shared" si="196"/>
        <v>1642.0044120477808</v>
      </c>
      <c r="AT90" s="203">
        <f>E90-AS90</f>
        <v>34097.995587952217</v>
      </c>
      <c r="AV90" s="206"/>
      <c r="AW90" s="216"/>
    </row>
    <row r="91" spans="2:50" s="131" customFormat="1" ht="18" hidden="1" customHeight="1">
      <c r="B91" s="194" t="s">
        <v>1926</v>
      </c>
      <c r="C91" s="194">
        <v>128</v>
      </c>
      <c r="D91" s="324" t="s">
        <v>1831</v>
      </c>
      <c r="E91" s="213">
        <f>1562</f>
        <v>1562</v>
      </c>
      <c r="F91" s="196">
        <v>395.2</v>
      </c>
      <c r="G91" s="196">
        <v>0</v>
      </c>
      <c r="H91" s="197">
        <v>1</v>
      </c>
      <c r="I91" s="196">
        <v>24</v>
      </c>
      <c r="J91" s="197">
        <v>4</v>
      </c>
      <c r="K91" s="219">
        <f t="shared" si="184"/>
        <v>96</v>
      </c>
      <c r="L91" s="197">
        <v>0</v>
      </c>
      <c r="M91" s="196">
        <v>0</v>
      </c>
      <c r="N91" s="197">
        <v>0</v>
      </c>
      <c r="O91" s="219">
        <f t="shared" si="185"/>
        <v>0</v>
      </c>
      <c r="P91" s="220">
        <f t="shared" si="186"/>
        <v>96</v>
      </c>
      <c r="Q91" s="197">
        <v>1</v>
      </c>
      <c r="R91" s="196">
        <v>44.3</v>
      </c>
      <c r="S91" s="197">
        <v>4</v>
      </c>
      <c r="T91" s="219">
        <f t="shared" si="187"/>
        <v>177.2</v>
      </c>
      <c r="U91" s="197">
        <v>0</v>
      </c>
      <c r="V91" s="196">
        <v>0</v>
      </c>
      <c r="W91" s="207">
        <v>0</v>
      </c>
      <c r="X91" s="219">
        <f t="shared" si="188"/>
        <v>0</v>
      </c>
      <c r="Y91" s="219">
        <f t="shared" si="189"/>
        <v>177.2</v>
      </c>
      <c r="Z91" s="197">
        <v>1</v>
      </c>
      <c r="AA91" s="196">
        <v>90</v>
      </c>
      <c r="AB91" s="197">
        <v>1</v>
      </c>
      <c r="AC91" s="399">
        <f t="shared" si="190"/>
        <v>90</v>
      </c>
      <c r="AD91" s="197">
        <v>0</v>
      </c>
      <c r="AE91" s="196">
        <v>0</v>
      </c>
      <c r="AF91" s="197">
        <v>0</v>
      </c>
      <c r="AG91" s="219">
        <f t="shared" si="191"/>
        <v>0</v>
      </c>
      <c r="AH91" s="219">
        <f t="shared" si="192"/>
        <v>90</v>
      </c>
      <c r="AI91" s="220">
        <f>F91+G91+P91+Y91+AH91</f>
        <v>758.4</v>
      </c>
      <c r="AJ91" s="201">
        <f t="shared" si="199"/>
        <v>0.48553137003841229</v>
      </c>
      <c r="AK91" s="196">
        <f>(E91-AI91)*$AK$15</f>
        <v>88.396000000000001</v>
      </c>
      <c r="AL91" s="196">
        <v>0</v>
      </c>
      <c r="AM91" s="196">
        <v>0</v>
      </c>
      <c r="AN91" s="196">
        <v>0</v>
      </c>
      <c r="AO91" s="196">
        <v>0</v>
      </c>
      <c r="AP91" s="247">
        <v>0</v>
      </c>
      <c r="AQ91" s="196">
        <f t="shared" si="194"/>
        <v>0</v>
      </c>
      <c r="AR91" s="221">
        <f t="shared" si="195"/>
        <v>0</v>
      </c>
      <c r="AS91" s="221">
        <f t="shared" si="196"/>
        <v>88.396000000000001</v>
      </c>
      <c r="AT91" s="203">
        <f t="shared" ref="AT91:AT94" si="201">E91-AS91</f>
        <v>1473.604</v>
      </c>
      <c r="AV91" s="206"/>
      <c r="AW91" s="206"/>
    </row>
    <row r="92" spans="2:50" s="131" customFormat="1" ht="18" hidden="1" customHeight="1">
      <c r="B92" s="194" t="s">
        <v>1926</v>
      </c>
      <c r="C92" s="194">
        <v>129</v>
      </c>
      <c r="D92" s="324" t="s">
        <v>1634</v>
      </c>
      <c r="E92" s="196">
        <f>5964</f>
        <v>5964</v>
      </c>
      <c r="F92" s="196">
        <v>1043</v>
      </c>
      <c r="G92" s="196">
        <v>387</v>
      </c>
      <c r="H92" s="197">
        <v>1</v>
      </c>
      <c r="I92" s="196">
        <v>24</v>
      </c>
      <c r="J92" s="197">
        <v>26</v>
      </c>
      <c r="K92" s="219">
        <f t="shared" si="184"/>
        <v>624</v>
      </c>
      <c r="L92" s="197">
        <v>0</v>
      </c>
      <c r="M92" s="196">
        <v>0</v>
      </c>
      <c r="N92" s="197">
        <v>0</v>
      </c>
      <c r="O92" s="219">
        <f t="shared" si="185"/>
        <v>0</v>
      </c>
      <c r="P92" s="220">
        <f t="shared" si="186"/>
        <v>624</v>
      </c>
      <c r="Q92" s="197">
        <v>1</v>
      </c>
      <c r="R92" s="196">
        <v>44.3</v>
      </c>
      <c r="S92" s="197">
        <v>26</v>
      </c>
      <c r="T92" s="219">
        <f t="shared" si="187"/>
        <v>1151.8</v>
      </c>
      <c r="U92" s="197">
        <v>0</v>
      </c>
      <c r="V92" s="196">
        <v>0</v>
      </c>
      <c r="W92" s="207">
        <v>0</v>
      </c>
      <c r="X92" s="219">
        <f t="shared" si="188"/>
        <v>0</v>
      </c>
      <c r="Y92" s="219">
        <f t="shared" si="189"/>
        <v>1151.8</v>
      </c>
      <c r="Z92" s="197">
        <v>1</v>
      </c>
      <c r="AA92" s="196">
        <v>90</v>
      </c>
      <c r="AB92" s="197">
        <v>2</v>
      </c>
      <c r="AC92" s="399">
        <f t="shared" si="190"/>
        <v>180</v>
      </c>
      <c r="AD92" s="197">
        <v>0</v>
      </c>
      <c r="AE92" s="196">
        <v>0</v>
      </c>
      <c r="AF92" s="197">
        <v>0</v>
      </c>
      <c r="AG92" s="219">
        <f t="shared" si="191"/>
        <v>0</v>
      </c>
      <c r="AH92" s="219">
        <f t="shared" si="192"/>
        <v>180</v>
      </c>
      <c r="AI92" s="220">
        <f t="shared" ref="AI92:AI93" si="202">F92+G92+P92+Y92+AH92</f>
        <v>3385.8</v>
      </c>
      <c r="AJ92" s="201">
        <f t="shared" si="199"/>
        <v>0.56770623742454729</v>
      </c>
      <c r="AK92" s="196">
        <f>(E92-AI92)*$AK$15</f>
        <v>283.60199999999998</v>
      </c>
      <c r="AL92" s="196">
        <v>0</v>
      </c>
      <c r="AM92" s="196">
        <v>0</v>
      </c>
      <c r="AN92" s="196">
        <v>0</v>
      </c>
      <c r="AO92" s="196">
        <v>0</v>
      </c>
      <c r="AP92" s="286">
        <v>0.04</v>
      </c>
      <c r="AQ92" s="196">
        <f t="shared" si="194"/>
        <v>238.56</v>
      </c>
      <c r="AR92" s="221">
        <f t="shared" si="195"/>
        <v>238.56</v>
      </c>
      <c r="AS92" s="221">
        <f t="shared" si="196"/>
        <v>522.16200000000003</v>
      </c>
      <c r="AT92" s="203">
        <f t="shared" si="201"/>
        <v>5441.8379999999997</v>
      </c>
      <c r="AV92" s="206"/>
      <c r="AW92" s="206"/>
    </row>
    <row r="93" spans="2:50" s="131" customFormat="1" ht="18" hidden="1" customHeight="1">
      <c r="B93" s="194" t="s">
        <v>1926</v>
      </c>
      <c r="C93" s="194">
        <v>130</v>
      </c>
      <c r="D93" s="324" t="s">
        <v>1833</v>
      </c>
      <c r="E93" s="196">
        <f>8960</f>
        <v>8960</v>
      </c>
      <c r="F93" s="196">
        <v>1190</v>
      </c>
      <c r="G93" s="196">
        <v>410</v>
      </c>
      <c r="H93" s="197">
        <v>2</v>
      </c>
      <c r="I93" s="196">
        <v>24</v>
      </c>
      <c r="J93" s="197">
        <v>16</v>
      </c>
      <c r="K93" s="219">
        <f t="shared" si="184"/>
        <v>768</v>
      </c>
      <c r="L93" s="197">
        <v>0</v>
      </c>
      <c r="M93" s="196">
        <v>0</v>
      </c>
      <c r="N93" s="197">
        <v>0</v>
      </c>
      <c r="O93" s="219">
        <f t="shared" si="185"/>
        <v>0</v>
      </c>
      <c r="P93" s="220">
        <f t="shared" si="186"/>
        <v>768</v>
      </c>
      <c r="Q93" s="197">
        <v>2</v>
      </c>
      <c r="R93" s="196">
        <v>44.3</v>
      </c>
      <c r="S93" s="197">
        <v>16</v>
      </c>
      <c r="T93" s="219">
        <f t="shared" si="187"/>
        <v>1417.6</v>
      </c>
      <c r="U93" s="197">
        <v>0</v>
      </c>
      <c r="V93" s="196">
        <v>0</v>
      </c>
      <c r="W93" s="207">
        <v>0</v>
      </c>
      <c r="X93" s="219">
        <f t="shared" si="188"/>
        <v>0</v>
      </c>
      <c r="Y93" s="219">
        <f t="shared" si="189"/>
        <v>1417.6</v>
      </c>
      <c r="Z93" s="197">
        <v>2</v>
      </c>
      <c r="AA93" s="196">
        <v>90</v>
      </c>
      <c r="AB93" s="197">
        <v>2</v>
      </c>
      <c r="AC93" s="399">
        <f t="shared" si="190"/>
        <v>360</v>
      </c>
      <c r="AD93" s="197">
        <v>0</v>
      </c>
      <c r="AE93" s="196">
        <v>0</v>
      </c>
      <c r="AF93" s="197">
        <v>0</v>
      </c>
      <c r="AG93" s="219">
        <f t="shared" si="191"/>
        <v>0</v>
      </c>
      <c r="AH93" s="219">
        <f t="shared" si="192"/>
        <v>360</v>
      </c>
      <c r="AI93" s="220">
        <f t="shared" si="202"/>
        <v>4145.6000000000004</v>
      </c>
      <c r="AJ93" s="201">
        <f t="shared" si="199"/>
        <v>0.46267857142857149</v>
      </c>
      <c r="AK93" s="196">
        <f>(E93-AI93)*$AK$15</f>
        <v>529.58399999999995</v>
      </c>
      <c r="AL93" s="196">
        <v>0</v>
      </c>
      <c r="AM93" s="196">
        <v>0</v>
      </c>
      <c r="AN93" s="196">
        <v>0</v>
      </c>
      <c r="AO93" s="196">
        <v>0</v>
      </c>
      <c r="AP93" s="247">
        <v>0</v>
      </c>
      <c r="AQ93" s="196">
        <f t="shared" si="194"/>
        <v>0</v>
      </c>
      <c r="AR93" s="221">
        <f>AL93+AM93+AN93+AO93+AQ93</f>
        <v>0</v>
      </c>
      <c r="AS93" s="221">
        <f>AK93+AR93</f>
        <v>529.58399999999995</v>
      </c>
      <c r="AT93" s="203">
        <f t="shared" si="201"/>
        <v>8430.4159999999993</v>
      </c>
      <c r="AV93" s="206"/>
      <c r="AW93" s="206"/>
    </row>
    <row r="94" spans="2:50" s="131" customFormat="1" ht="18" hidden="1" customHeight="1">
      <c r="B94" s="194" t="s">
        <v>1926</v>
      </c>
      <c r="C94" s="194">
        <v>131</v>
      </c>
      <c r="D94" s="324" t="s">
        <v>1834</v>
      </c>
      <c r="E94" s="196">
        <v>6104</v>
      </c>
      <c r="F94" s="196">
        <v>950.61</v>
      </c>
      <c r="G94" s="196">
        <v>351.9</v>
      </c>
      <c r="H94" s="197">
        <v>1</v>
      </c>
      <c r="I94" s="196">
        <v>24</v>
      </c>
      <c r="J94" s="197">
        <v>26</v>
      </c>
      <c r="K94" s="219">
        <f t="shared" si="184"/>
        <v>624</v>
      </c>
      <c r="L94" s="197">
        <v>0</v>
      </c>
      <c r="M94" s="196">
        <v>0</v>
      </c>
      <c r="N94" s="197">
        <v>0</v>
      </c>
      <c r="O94" s="219">
        <f t="shared" si="185"/>
        <v>0</v>
      </c>
      <c r="P94" s="220">
        <f t="shared" si="186"/>
        <v>624</v>
      </c>
      <c r="Q94" s="197">
        <v>1</v>
      </c>
      <c r="R94" s="196">
        <v>44.3</v>
      </c>
      <c r="S94" s="197">
        <v>26</v>
      </c>
      <c r="T94" s="219">
        <f t="shared" si="187"/>
        <v>1151.8</v>
      </c>
      <c r="U94" s="197">
        <v>0</v>
      </c>
      <c r="V94" s="196">
        <v>0</v>
      </c>
      <c r="W94" s="207">
        <v>0</v>
      </c>
      <c r="X94" s="219">
        <f t="shared" si="188"/>
        <v>0</v>
      </c>
      <c r="Y94" s="219">
        <f t="shared" si="189"/>
        <v>1151.8</v>
      </c>
      <c r="Z94" s="197">
        <v>1</v>
      </c>
      <c r="AA94" s="196">
        <v>90</v>
      </c>
      <c r="AB94" s="197">
        <v>2</v>
      </c>
      <c r="AC94" s="399">
        <f t="shared" si="190"/>
        <v>180</v>
      </c>
      <c r="AD94" s="197">
        <v>0</v>
      </c>
      <c r="AE94" s="196">
        <v>0</v>
      </c>
      <c r="AF94" s="197">
        <v>0</v>
      </c>
      <c r="AG94" s="219">
        <f t="shared" si="191"/>
        <v>0</v>
      </c>
      <c r="AH94" s="219">
        <f t="shared" si="192"/>
        <v>180</v>
      </c>
      <c r="AI94" s="220">
        <f>F94+G94+P94+Y94+AH94</f>
        <v>3258.31</v>
      </c>
      <c r="AJ94" s="201">
        <f t="shared" si="199"/>
        <v>0.53379914809960682</v>
      </c>
      <c r="AK94" s="196">
        <f>(E94-AI94)*$AK$15</f>
        <v>313.02590000000004</v>
      </c>
      <c r="AL94" s="196">
        <v>0</v>
      </c>
      <c r="AM94" s="196">
        <v>0</v>
      </c>
      <c r="AN94" s="196">
        <v>0</v>
      </c>
      <c r="AO94" s="196">
        <v>0</v>
      </c>
      <c r="AP94" s="286">
        <v>0.04</v>
      </c>
      <c r="AQ94" s="196">
        <f t="shared" si="194"/>
        <v>244.16</v>
      </c>
      <c r="AR94" s="221">
        <f t="shared" ref="AR94" si="203">AL94+AM94+AN94+AO94+AQ94</f>
        <v>244.16</v>
      </c>
      <c r="AS94" s="221">
        <f t="shared" ref="AS94" si="204">AK94+AR94</f>
        <v>557.18590000000006</v>
      </c>
      <c r="AT94" s="203">
        <f t="shared" si="201"/>
        <v>5546.8140999999996</v>
      </c>
      <c r="AV94" s="206"/>
      <c r="AW94" s="206"/>
    </row>
    <row r="95" spans="2:50" s="131" customFormat="1" ht="18" hidden="1" customHeight="1">
      <c r="B95" s="194" t="s">
        <v>1926</v>
      </c>
      <c r="C95" s="194">
        <v>132</v>
      </c>
      <c r="D95" s="361" t="s">
        <v>1003</v>
      </c>
      <c r="E95" s="334">
        <f>18328</f>
        <v>18328</v>
      </c>
      <c r="F95" s="334">
        <v>2550</v>
      </c>
      <c r="G95" s="334">
        <v>703.8</v>
      </c>
      <c r="H95" s="335">
        <v>1</v>
      </c>
      <c r="I95" s="334">
        <v>24</v>
      </c>
      <c r="J95" s="335">
        <v>26</v>
      </c>
      <c r="K95" s="336">
        <f t="shared" ref="K95" si="205">H95*I95*J95</f>
        <v>624</v>
      </c>
      <c r="L95" s="335">
        <v>2</v>
      </c>
      <c r="M95" s="334">
        <v>16</v>
      </c>
      <c r="N95" s="335">
        <v>16</v>
      </c>
      <c r="O95" s="336">
        <f t="shared" ref="O95" si="206">L95*M95*N95</f>
        <v>512</v>
      </c>
      <c r="P95" s="337">
        <f t="shared" ref="P95" si="207">K95+O95</f>
        <v>1136</v>
      </c>
      <c r="Q95" s="335">
        <v>1</v>
      </c>
      <c r="R95" s="334">
        <v>44.3</v>
      </c>
      <c r="S95" s="335">
        <v>26</v>
      </c>
      <c r="T95" s="336">
        <f t="shared" ref="T95" si="208">Q95*R95*S95</f>
        <v>1151.8</v>
      </c>
      <c r="U95" s="335">
        <v>2</v>
      </c>
      <c r="V95" s="334">
        <v>44.3</v>
      </c>
      <c r="W95" s="363">
        <v>16</v>
      </c>
      <c r="X95" s="336">
        <f t="shared" ref="X95" si="209">U95*V95*W95</f>
        <v>1417.6</v>
      </c>
      <c r="Y95" s="336">
        <f t="shared" ref="Y95" si="210">T95+X95</f>
        <v>2569.3999999999996</v>
      </c>
      <c r="Z95" s="335">
        <v>1</v>
      </c>
      <c r="AA95" s="334">
        <v>80</v>
      </c>
      <c r="AB95" s="335">
        <v>2</v>
      </c>
      <c r="AC95" s="336">
        <f t="shared" ref="AC95" si="211">Z95*AA95*AB95</f>
        <v>160</v>
      </c>
      <c r="AD95" s="335">
        <v>2</v>
      </c>
      <c r="AE95" s="334">
        <v>80</v>
      </c>
      <c r="AF95" s="335">
        <v>2</v>
      </c>
      <c r="AG95" s="336">
        <f t="shared" ref="AG95" si="212">AD95*AE95*AF95</f>
        <v>320</v>
      </c>
      <c r="AH95" s="336">
        <f t="shared" ref="AH95" si="213">AC95+AG95</f>
        <v>480</v>
      </c>
      <c r="AI95" s="337">
        <f t="shared" ref="AI95" si="214">F95+G95+P95+Y95+AH95</f>
        <v>7439.2</v>
      </c>
      <c r="AJ95" s="338">
        <f t="shared" ref="AJ95" si="215">AI95/E95</f>
        <v>0.40589262330859888</v>
      </c>
      <c r="AK95" s="334">
        <f>(E95-AI95)*$AK$15</f>
        <v>1197.768</v>
      </c>
      <c r="AL95" s="334">
        <v>0</v>
      </c>
      <c r="AM95" s="334">
        <v>0</v>
      </c>
      <c r="AN95" s="334">
        <v>0</v>
      </c>
      <c r="AO95" s="334">
        <v>0</v>
      </c>
      <c r="AP95" s="364">
        <v>0.04</v>
      </c>
      <c r="AQ95" s="334">
        <f t="shared" ref="AQ95" si="216">AP95*E95</f>
        <v>733.12</v>
      </c>
      <c r="AR95" s="339">
        <f t="shared" ref="AR95" si="217">AL95+AM95+AN95+AO95+AQ95</f>
        <v>733.12</v>
      </c>
      <c r="AS95" s="339">
        <f t="shared" ref="AS95" si="218">AK95+AR95</f>
        <v>1930.8879999999999</v>
      </c>
      <c r="AT95" s="203">
        <f t="shared" ref="AT95" si="219">E95-AS95</f>
        <v>16397.112000000001</v>
      </c>
      <c r="AV95" s="206"/>
      <c r="AW95" s="204"/>
      <c r="AX95" s="401"/>
    </row>
    <row r="96" spans="2:50" s="131" customFormat="1" ht="18" hidden="1" customHeight="1">
      <c r="B96" s="371"/>
      <c r="C96" s="371"/>
      <c r="D96" s="372"/>
      <c r="E96" s="391"/>
      <c r="F96" s="391"/>
      <c r="G96" s="391"/>
      <c r="H96" s="392"/>
      <c r="I96" s="391"/>
      <c r="J96" s="392"/>
      <c r="K96" s="393"/>
      <c r="L96" s="392"/>
      <c r="M96" s="391"/>
      <c r="N96" s="392"/>
      <c r="O96" s="393"/>
      <c r="P96" s="394"/>
      <c r="Q96" s="392"/>
      <c r="R96" s="391"/>
      <c r="S96" s="392"/>
      <c r="T96" s="393"/>
      <c r="U96" s="392"/>
      <c r="V96" s="391"/>
      <c r="W96" s="426"/>
      <c r="X96" s="393"/>
      <c r="Y96" s="393"/>
      <c r="Z96" s="392"/>
      <c r="AA96" s="391"/>
      <c r="AB96" s="392"/>
      <c r="AC96" s="393"/>
      <c r="AD96" s="392"/>
      <c r="AE96" s="391"/>
      <c r="AF96" s="392"/>
      <c r="AG96" s="393"/>
      <c r="AH96" s="393"/>
      <c r="AI96" s="394"/>
      <c r="AJ96" s="395"/>
      <c r="AK96" s="391"/>
      <c r="AL96" s="391"/>
      <c r="AM96" s="391"/>
      <c r="AN96" s="391"/>
      <c r="AO96" s="391"/>
      <c r="AP96" s="428"/>
      <c r="AQ96" s="391"/>
      <c r="AR96" s="396"/>
      <c r="AS96" s="396"/>
      <c r="AT96" s="397"/>
      <c r="AV96" s="206"/>
      <c r="AW96" s="204"/>
    </row>
    <row r="97" spans="2:50" s="131" customFormat="1" ht="18" hidden="1" customHeight="1">
      <c r="B97" s="194" t="s">
        <v>1975</v>
      </c>
      <c r="C97" s="194">
        <v>133</v>
      </c>
      <c r="D97" s="324" t="s">
        <v>1832</v>
      </c>
      <c r="E97" s="196">
        <f>11388</f>
        <v>11388</v>
      </c>
      <c r="F97" s="196">
        <v>871.39</v>
      </c>
      <c r="G97" s="196">
        <v>534.39</v>
      </c>
      <c r="H97" s="197">
        <v>4</v>
      </c>
      <c r="I97" s="196">
        <v>24</v>
      </c>
      <c r="J97" s="197">
        <v>26</v>
      </c>
      <c r="K97" s="219">
        <f t="shared" ref="K97:K103" si="220">H97*I97*J97</f>
        <v>2496</v>
      </c>
      <c r="L97" s="197">
        <v>0</v>
      </c>
      <c r="M97" s="196">
        <v>0</v>
      </c>
      <c r="N97" s="197">
        <v>0</v>
      </c>
      <c r="O97" s="219">
        <f t="shared" ref="O97:O103" si="221">L97*M97*N97</f>
        <v>0</v>
      </c>
      <c r="P97" s="220">
        <f t="shared" ref="P97:P103" si="222">K97+O97</f>
        <v>2496</v>
      </c>
      <c r="Q97" s="197">
        <v>4</v>
      </c>
      <c r="R97" s="196">
        <v>44.3</v>
      </c>
      <c r="S97" s="197">
        <v>26</v>
      </c>
      <c r="T97" s="219">
        <f t="shared" ref="T97:T103" si="223">Q97*R97*S97</f>
        <v>4607.2</v>
      </c>
      <c r="U97" s="197">
        <v>0</v>
      </c>
      <c r="V97" s="196">
        <v>0</v>
      </c>
      <c r="W97" s="207">
        <v>0</v>
      </c>
      <c r="X97" s="219">
        <f t="shared" ref="X97:X103" si="224">U97*V97*W97</f>
        <v>0</v>
      </c>
      <c r="Y97" s="219">
        <f t="shared" ref="Y97:Y103" si="225">T97+X97</f>
        <v>4607.2</v>
      </c>
      <c r="Z97" s="197">
        <v>4</v>
      </c>
      <c r="AA97" s="196">
        <v>90</v>
      </c>
      <c r="AB97" s="197">
        <v>4</v>
      </c>
      <c r="AC97" s="399">
        <f t="shared" ref="AC97:AC103" si="226">Z97*AA97*AB97</f>
        <v>1440</v>
      </c>
      <c r="AD97" s="197">
        <v>0</v>
      </c>
      <c r="AE97" s="196">
        <v>0</v>
      </c>
      <c r="AF97" s="197">
        <v>0</v>
      </c>
      <c r="AG97" s="219">
        <f t="shared" ref="AG97:AG103" si="227">AD97*AE97*AF97</f>
        <v>0</v>
      </c>
      <c r="AH97" s="219">
        <f t="shared" ref="AH97:AH103" si="228">AC97+AG97</f>
        <v>1440</v>
      </c>
      <c r="AI97" s="220">
        <f t="shared" ref="AI97:AI98" si="229">F97+G97+P97+Y97+AH97</f>
        <v>9948.98</v>
      </c>
      <c r="AJ97" s="201">
        <f>AI97/E97</f>
        <v>0.87363716192483309</v>
      </c>
      <c r="AK97" s="196">
        <f>(E97-AI97)*$AK$15</f>
        <v>158.29220000000004</v>
      </c>
      <c r="AL97" s="196">
        <v>0</v>
      </c>
      <c r="AM97" s="196">
        <v>0</v>
      </c>
      <c r="AN97" s="196">
        <v>0</v>
      </c>
      <c r="AO97" s="196">
        <v>0</v>
      </c>
      <c r="AP97" s="247">
        <v>0</v>
      </c>
      <c r="AQ97" s="196">
        <f t="shared" ref="AQ97:AQ103" si="230">AP97*E97</f>
        <v>0</v>
      </c>
      <c r="AR97" s="221">
        <f t="shared" ref="AR97:AR100" si="231">AL97+AM97+AN97+AO97+AQ97</f>
        <v>0</v>
      </c>
      <c r="AS97" s="221">
        <f t="shared" ref="AS97:AS100" si="232">AK97+AR97</f>
        <v>158.29220000000004</v>
      </c>
      <c r="AT97" s="203">
        <f t="shared" ref="AT97" si="233">E97-AS97</f>
        <v>11229.7078</v>
      </c>
      <c r="AV97" s="206"/>
      <c r="AW97" s="216"/>
    </row>
    <row r="98" spans="2:50" s="131" customFormat="1" ht="18" hidden="1" customHeight="1">
      <c r="B98" s="194" t="s">
        <v>1975</v>
      </c>
      <c r="C98" s="194">
        <v>134</v>
      </c>
      <c r="D98" s="324" t="s">
        <v>2051</v>
      </c>
      <c r="E98" s="196">
        <v>35740</v>
      </c>
      <c r="F98" s="196">
        <v>6560.0627256516118</v>
      </c>
      <c r="G98" s="196">
        <v>4473.6244375503829</v>
      </c>
      <c r="H98" s="197">
        <v>5</v>
      </c>
      <c r="I98" s="196">
        <v>24</v>
      </c>
      <c r="J98" s="197">
        <v>26</v>
      </c>
      <c r="K98" s="219">
        <f t="shared" si="220"/>
        <v>3120</v>
      </c>
      <c r="L98" s="197">
        <v>0</v>
      </c>
      <c r="M98" s="196">
        <v>0</v>
      </c>
      <c r="N98" s="197">
        <v>0</v>
      </c>
      <c r="O98" s="219">
        <f t="shared" si="221"/>
        <v>0</v>
      </c>
      <c r="P98" s="220">
        <f t="shared" si="222"/>
        <v>3120</v>
      </c>
      <c r="Q98" s="197">
        <v>5</v>
      </c>
      <c r="R98" s="196">
        <v>44.3</v>
      </c>
      <c r="S98" s="197">
        <v>26</v>
      </c>
      <c r="T98" s="219">
        <f t="shared" si="223"/>
        <v>5759</v>
      </c>
      <c r="U98" s="197">
        <v>0</v>
      </c>
      <c r="V98" s="196">
        <v>0</v>
      </c>
      <c r="W98" s="207">
        <v>0</v>
      </c>
      <c r="X98" s="219">
        <f t="shared" si="224"/>
        <v>0</v>
      </c>
      <c r="Y98" s="219">
        <f t="shared" si="225"/>
        <v>5759</v>
      </c>
      <c r="Z98" s="197">
        <v>5</v>
      </c>
      <c r="AA98" s="196">
        <v>90</v>
      </c>
      <c r="AB98" s="197">
        <v>2</v>
      </c>
      <c r="AC98" s="399">
        <f t="shared" si="226"/>
        <v>900</v>
      </c>
      <c r="AD98" s="197">
        <v>0</v>
      </c>
      <c r="AE98" s="196">
        <v>0</v>
      </c>
      <c r="AF98" s="197">
        <v>0</v>
      </c>
      <c r="AG98" s="219">
        <f t="shared" si="227"/>
        <v>0</v>
      </c>
      <c r="AH98" s="219">
        <f t="shared" si="228"/>
        <v>900</v>
      </c>
      <c r="AI98" s="220">
        <f t="shared" si="229"/>
        <v>20812.687163201994</v>
      </c>
      <c r="AJ98" s="201">
        <f t="shared" ref="AJ98:AJ103" si="234">AI98/E98</f>
        <v>0.58233595867940668</v>
      </c>
      <c r="AK98" s="196">
        <f t="shared" ref="AK98" si="235">(E98-AI98)*$AK$15</f>
        <v>1642.0044120477808</v>
      </c>
      <c r="AL98" s="196">
        <v>0</v>
      </c>
      <c r="AM98" s="196">
        <v>0</v>
      </c>
      <c r="AN98" s="196">
        <v>0</v>
      </c>
      <c r="AO98" s="196">
        <v>0</v>
      </c>
      <c r="AP98" s="247">
        <v>0</v>
      </c>
      <c r="AQ98" s="196">
        <f t="shared" si="230"/>
        <v>0</v>
      </c>
      <c r="AR98" s="221">
        <f t="shared" si="231"/>
        <v>0</v>
      </c>
      <c r="AS98" s="221">
        <f t="shared" si="232"/>
        <v>1642.0044120477808</v>
      </c>
      <c r="AT98" s="203">
        <f>E98-AS98</f>
        <v>34097.995587952217</v>
      </c>
      <c r="AV98" s="206"/>
      <c r="AW98" s="216"/>
    </row>
    <row r="99" spans="2:50" s="131" customFormat="1" ht="18" hidden="1" customHeight="1">
      <c r="B99" s="194" t="s">
        <v>1975</v>
      </c>
      <c r="C99" s="194">
        <v>135</v>
      </c>
      <c r="D99" s="324" t="s">
        <v>1831</v>
      </c>
      <c r="E99" s="213">
        <f>1562</f>
        <v>1562</v>
      </c>
      <c r="F99" s="196">
        <v>395.2</v>
      </c>
      <c r="G99" s="196">
        <v>0</v>
      </c>
      <c r="H99" s="197">
        <v>1</v>
      </c>
      <c r="I99" s="196">
        <v>24</v>
      </c>
      <c r="J99" s="197">
        <v>4</v>
      </c>
      <c r="K99" s="219">
        <f t="shared" si="220"/>
        <v>96</v>
      </c>
      <c r="L99" s="197">
        <v>0</v>
      </c>
      <c r="M99" s="196">
        <v>0</v>
      </c>
      <c r="N99" s="197">
        <v>0</v>
      </c>
      <c r="O99" s="219">
        <f t="shared" si="221"/>
        <v>0</v>
      </c>
      <c r="P99" s="220">
        <f t="shared" si="222"/>
        <v>96</v>
      </c>
      <c r="Q99" s="197">
        <v>1</v>
      </c>
      <c r="R99" s="196">
        <v>44.3</v>
      </c>
      <c r="S99" s="197">
        <v>4</v>
      </c>
      <c r="T99" s="219">
        <f t="shared" si="223"/>
        <v>177.2</v>
      </c>
      <c r="U99" s="197">
        <v>0</v>
      </c>
      <c r="V99" s="196">
        <v>0</v>
      </c>
      <c r="W99" s="207">
        <v>0</v>
      </c>
      <c r="X99" s="219">
        <f t="shared" si="224"/>
        <v>0</v>
      </c>
      <c r="Y99" s="219">
        <f t="shared" si="225"/>
        <v>177.2</v>
      </c>
      <c r="Z99" s="197">
        <v>1</v>
      </c>
      <c r="AA99" s="196">
        <v>90</v>
      </c>
      <c r="AB99" s="197">
        <v>1</v>
      </c>
      <c r="AC99" s="399">
        <f t="shared" si="226"/>
        <v>90</v>
      </c>
      <c r="AD99" s="197">
        <v>0</v>
      </c>
      <c r="AE99" s="196">
        <v>0</v>
      </c>
      <c r="AF99" s="197">
        <v>0</v>
      </c>
      <c r="AG99" s="219">
        <f t="shared" si="227"/>
        <v>0</v>
      </c>
      <c r="AH99" s="219">
        <f t="shared" si="228"/>
        <v>90</v>
      </c>
      <c r="AI99" s="220">
        <f>F99+G99+P99+Y99+AH99</f>
        <v>758.4</v>
      </c>
      <c r="AJ99" s="201">
        <f t="shared" si="234"/>
        <v>0.48553137003841229</v>
      </c>
      <c r="AK99" s="196">
        <f>(E99-AI99)*$AK$15</f>
        <v>88.396000000000001</v>
      </c>
      <c r="AL99" s="196">
        <v>0</v>
      </c>
      <c r="AM99" s="196">
        <v>0</v>
      </c>
      <c r="AN99" s="196">
        <v>0</v>
      </c>
      <c r="AO99" s="196">
        <v>0</v>
      </c>
      <c r="AP99" s="247">
        <v>0</v>
      </c>
      <c r="AQ99" s="196">
        <f t="shared" si="230"/>
        <v>0</v>
      </c>
      <c r="AR99" s="221">
        <f t="shared" si="231"/>
        <v>0</v>
      </c>
      <c r="AS99" s="221">
        <f t="shared" si="232"/>
        <v>88.396000000000001</v>
      </c>
      <c r="AT99" s="203">
        <f t="shared" ref="AT99:AT103" si="236">E99-AS99</f>
        <v>1473.604</v>
      </c>
      <c r="AV99" s="206"/>
      <c r="AW99" s="206"/>
    </row>
    <row r="100" spans="2:50" s="131" customFormat="1" ht="18" hidden="1" customHeight="1">
      <c r="B100" s="194" t="s">
        <v>1975</v>
      </c>
      <c r="C100" s="194">
        <v>136</v>
      </c>
      <c r="D100" s="324" t="s">
        <v>1634</v>
      </c>
      <c r="E100" s="196">
        <f>5964</f>
        <v>5964</v>
      </c>
      <c r="F100" s="196">
        <v>1043</v>
      </c>
      <c r="G100" s="196">
        <v>387</v>
      </c>
      <c r="H100" s="197">
        <v>1</v>
      </c>
      <c r="I100" s="196">
        <v>24</v>
      </c>
      <c r="J100" s="197">
        <v>26</v>
      </c>
      <c r="K100" s="219">
        <f t="shared" si="220"/>
        <v>624</v>
      </c>
      <c r="L100" s="197">
        <v>0</v>
      </c>
      <c r="M100" s="196">
        <v>0</v>
      </c>
      <c r="N100" s="197">
        <v>0</v>
      </c>
      <c r="O100" s="219">
        <f t="shared" si="221"/>
        <v>0</v>
      </c>
      <c r="P100" s="220">
        <f t="shared" si="222"/>
        <v>624</v>
      </c>
      <c r="Q100" s="197">
        <v>1</v>
      </c>
      <c r="R100" s="196">
        <v>44.3</v>
      </c>
      <c r="S100" s="197">
        <v>26</v>
      </c>
      <c r="T100" s="219">
        <f t="shared" si="223"/>
        <v>1151.8</v>
      </c>
      <c r="U100" s="197">
        <v>0</v>
      </c>
      <c r="V100" s="196">
        <v>0</v>
      </c>
      <c r="W100" s="207">
        <v>0</v>
      </c>
      <c r="X100" s="219">
        <f t="shared" si="224"/>
        <v>0</v>
      </c>
      <c r="Y100" s="219">
        <f t="shared" si="225"/>
        <v>1151.8</v>
      </c>
      <c r="Z100" s="197">
        <v>1</v>
      </c>
      <c r="AA100" s="196">
        <v>90</v>
      </c>
      <c r="AB100" s="197">
        <v>2</v>
      </c>
      <c r="AC100" s="399">
        <f t="shared" si="226"/>
        <v>180</v>
      </c>
      <c r="AD100" s="197">
        <v>0</v>
      </c>
      <c r="AE100" s="196">
        <v>0</v>
      </c>
      <c r="AF100" s="197">
        <v>0</v>
      </c>
      <c r="AG100" s="219">
        <f t="shared" si="227"/>
        <v>0</v>
      </c>
      <c r="AH100" s="219">
        <f t="shared" si="228"/>
        <v>180</v>
      </c>
      <c r="AI100" s="220">
        <f t="shared" ref="AI100:AI101" si="237">F100+G100+P100+Y100+AH100</f>
        <v>3385.8</v>
      </c>
      <c r="AJ100" s="201">
        <f t="shared" si="234"/>
        <v>0.56770623742454729</v>
      </c>
      <c r="AK100" s="196">
        <f>(E100-AI100)*$AK$15</f>
        <v>283.60199999999998</v>
      </c>
      <c r="AL100" s="196">
        <v>0</v>
      </c>
      <c r="AM100" s="196">
        <v>0</v>
      </c>
      <c r="AN100" s="196">
        <v>0</v>
      </c>
      <c r="AO100" s="196">
        <v>0</v>
      </c>
      <c r="AP100" s="286">
        <v>4.07E-2</v>
      </c>
      <c r="AQ100" s="196">
        <f t="shared" si="230"/>
        <v>242.73480000000001</v>
      </c>
      <c r="AR100" s="221">
        <f t="shared" si="231"/>
        <v>242.73480000000001</v>
      </c>
      <c r="AS100" s="221">
        <f t="shared" si="232"/>
        <v>526.33680000000004</v>
      </c>
      <c r="AT100" s="203">
        <f t="shared" si="236"/>
        <v>5437.6632</v>
      </c>
      <c r="AV100" s="206"/>
      <c r="AW100" s="206"/>
    </row>
    <row r="101" spans="2:50" s="131" customFormat="1" ht="18" hidden="1" customHeight="1">
      <c r="B101" s="194" t="s">
        <v>1975</v>
      </c>
      <c r="C101" s="194">
        <v>137</v>
      </c>
      <c r="D101" s="324" t="s">
        <v>1833</v>
      </c>
      <c r="E101" s="196">
        <f>8960</f>
        <v>8960</v>
      </c>
      <c r="F101" s="196">
        <v>1190</v>
      </c>
      <c r="G101" s="196">
        <v>410</v>
      </c>
      <c r="H101" s="197">
        <v>2</v>
      </c>
      <c r="I101" s="196">
        <v>24</v>
      </c>
      <c r="J101" s="197">
        <v>16</v>
      </c>
      <c r="K101" s="219">
        <f t="shared" si="220"/>
        <v>768</v>
      </c>
      <c r="L101" s="197">
        <v>0</v>
      </c>
      <c r="M101" s="196">
        <v>0</v>
      </c>
      <c r="N101" s="197">
        <v>0</v>
      </c>
      <c r="O101" s="219">
        <f t="shared" si="221"/>
        <v>0</v>
      </c>
      <c r="P101" s="220">
        <f t="shared" si="222"/>
        <v>768</v>
      </c>
      <c r="Q101" s="197">
        <v>2</v>
      </c>
      <c r="R101" s="196">
        <v>44.3</v>
      </c>
      <c r="S101" s="197">
        <v>16</v>
      </c>
      <c r="T101" s="219">
        <f t="shared" si="223"/>
        <v>1417.6</v>
      </c>
      <c r="U101" s="197">
        <v>0</v>
      </c>
      <c r="V101" s="196">
        <v>0</v>
      </c>
      <c r="W101" s="207">
        <v>0</v>
      </c>
      <c r="X101" s="219">
        <f t="shared" si="224"/>
        <v>0</v>
      </c>
      <c r="Y101" s="219">
        <f t="shared" si="225"/>
        <v>1417.6</v>
      </c>
      <c r="Z101" s="197">
        <v>2</v>
      </c>
      <c r="AA101" s="196">
        <v>90</v>
      </c>
      <c r="AB101" s="197">
        <v>2</v>
      </c>
      <c r="AC101" s="399">
        <f t="shared" si="226"/>
        <v>360</v>
      </c>
      <c r="AD101" s="197">
        <v>0</v>
      </c>
      <c r="AE101" s="196">
        <v>0</v>
      </c>
      <c r="AF101" s="197">
        <v>0</v>
      </c>
      <c r="AG101" s="219">
        <f t="shared" si="227"/>
        <v>0</v>
      </c>
      <c r="AH101" s="219">
        <f t="shared" si="228"/>
        <v>360</v>
      </c>
      <c r="AI101" s="220">
        <f t="shared" si="237"/>
        <v>4145.6000000000004</v>
      </c>
      <c r="AJ101" s="201">
        <f t="shared" si="234"/>
        <v>0.46267857142857149</v>
      </c>
      <c r="AK101" s="196">
        <f>(E101-AI101)*$AK$15</f>
        <v>529.58399999999995</v>
      </c>
      <c r="AL101" s="196">
        <v>0</v>
      </c>
      <c r="AM101" s="196">
        <v>0</v>
      </c>
      <c r="AN101" s="196">
        <v>0</v>
      </c>
      <c r="AO101" s="196">
        <v>0</v>
      </c>
      <c r="AP101" s="247">
        <v>0</v>
      </c>
      <c r="AQ101" s="196">
        <f t="shared" si="230"/>
        <v>0</v>
      </c>
      <c r="AR101" s="221">
        <f>AL101+AM101+AN101+AO101+AQ101</f>
        <v>0</v>
      </c>
      <c r="AS101" s="221">
        <f>AK101+AR101</f>
        <v>529.58399999999995</v>
      </c>
      <c r="AT101" s="203">
        <f t="shared" si="236"/>
        <v>8430.4159999999993</v>
      </c>
      <c r="AV101" s="206"/>
      <c r="AW101" s="206"/>
    </row>
    <row r="102" spans="2:50" s="131" customFormat="1" ht="18" hidden="1" customHeight="1">
      <c r="B102" s="194" t="s">
        <v>1975</v>
      </c>
      <c r="C102" s="194">
        <v>138</v>
      </c>
      <c r="D102" s="324" t="s">
        <v>1834</v>
      </c>
      <c r="E102" s="196">
        <v>6104</v>
      </c>
      <c r="F102" s="196">
        <v>950.61</v>
      </c>
      <c r="G102" s="196">
        <v>351.9</v>
      </c>
      <c r="H102" s="197">
        <v>1</v>
      </c>
      <c r="I102" s="196">
        <v>24</v>
      </c>
      <c r="J102" s="197">
        <v>26</v>
      </c>
      <c r="K102" s="219">
        <f t="shared" si="220"/>
        <v>624</v>
      </c>
      <c r="L102" s="197">
        <v>0</v>
      </c>
      <c r="M102" s="196">
        <v>0</v>
      </c>
      <c r="N102" s="197">
        <v>0</v>
      </c>
      <c r="O102" s="219">
        <f t="shared" si="221"/>
        <v>0</v>
      </c>
      <c r="P102" s="220">
        <f t="shared" si="222"/>
        <v>624</v>
      </c>
      <c r="Q102" s="197">
        <v>1</v>
      </c>
      <c r="R102" s="196">
        <v>44.3</v>
      </c>
      <c r="S102" s="197">
        <v>26</v>
      </c>
      <c r="T102" s="219">
        <f t="shared" si="223"/>
        <v>1151.8</v>
      </c>
      <c r="U102" s="197">
        <v>0</v>
      </c>
      <c r="V102" s="196">
        <v>0</v>
      </c>
      <c r="W102" s="207">
        <v>0</v>
      </c>
      <c r="X102" s="219">
        <f t="shared" si="224"/>
        <v>0</v>
      </c>
      <c r="Y102" s="219">
        <f t="shared" si="225"/>
        <v>1151.8</v>
      </c>
      <c r="Z102" s="197">
        <v>1</v>
      </c>
      <c r="AA102" s="196">
        <v>90</v>
      </c>
      <c r="AB102" s="197">
        <v>2</v>
      </c>
      <c r="AC102" s="399">
        <f t="shared" si="226"/>
        <v>180</v>
      </c>
      <c r="AD102" s="197">
        <v>0</v>
      </c>
      <c r="AE102" s="196">
        <v>0</v>
      </c>
      <c r="AF102" s="197">
        <v>0</v>
      </c>
      <c r="AG102" s="219">
        <f t="shared" si="227"/>
        <v>0</v>
      </c>
      <c r="AH102" s="219">
        <f t="shared" si="228"/>
        <v>180</v>
      </c>
      <c r="AI102" s="220">
        <f>F102+G102+P102+Y102+AH102</f>
        <v>3258.31</v>
      </c>
      <c r="AJ102" s="201">
        <f t="shared" si="234"/>
        <v>0.53379914809960682</v>
      </c>
      <c r="AK102" s="196">
        <f>(E102-AI102)*$AK$15</f>
        <v>313.02590000000004</v>
      </c>
      <c r="AL102" s="196">
        <v>0</v>
      </c>
      <c r="AM102" s="196">
        <v>0</v>
      </c>
      <c r="AN102" s="196">
        <v>0</v>
      </c>
      <c r="AO102" s="196">
        <v>0</v>
      </c>
      <c r="AP102" s="286">
        <v>4.07E-2</v>
      </c>
      <c r="AQ102" s="196">
        <f t="shared" si="230"/>
        <v>248.43280000000001</v>
      </c>
      <c r="AR102" s="221">
        <f t="shared" ref="AR102:AR103" si="238">AL102+AM102+AN102+AO102+AQ102</f>
        <v>248.43280000000001</v>
      </c>
      <c r="AS102" s="221">
        <f t="shared" ref="AS102:AS103" si="239">AK102+AR102</f>
        <v>561.45870000000002</v>
      </c>
      <c r="AT102" s="203">
        <f t="shared" si="236"/>
        <v>5542.5412999999999</v>
      </c>
      <c r="AV102" s="206"/>
      <c r="AW102" s="206"/>
    </row>
    <row r="103" spans="2:50" s="131" customFormat="1" ht="18" hidden="1" customHeight="1">
      <c r="B103" s="194" t="s">
        <v>1975</v>
      </c>
      <c r="C103" s="194">
        <v>139</v>
      </c>
      <c r="D103" s="324" t="s">
        <v>1003</v>
      </c>
      <c r="E103" s="196">
        <f>18328</f>
        <v>18328</v>
      </c>
      <c r="F103" s="196">
        <v>2550</v>
      </c>
      <c r="G103" s="196">
        <v>703.8</v>
      </c>
      <c r="H103" s="197">
        <v>1</v>
      </c>
      <c r="I103" s="196">
        <v>24</v>
      </c>
      <c r="J103" s="197">
        <v>26</v>
      </c>
      <c r="K103" s="219">
        <f t="shared" si="220"/>
        <v>624</v>
      </c>
      <c r="L103" s="197">
        <v>2</v>
      </c>
      <c r="M103" s="196">
        <v>16</v>
      </c>
      <c r="N103" s="197">
        <v>16</v>
      </c>
      <c r="O103" s="219">
        <f t="shared" si="221"/>
        <v>512</v>
      </c>
      <c r="P103" s="220">
        <f t="shared" si="222"/>
        <v>1136</v>
      </c>
      <c r="Q103" s="197">
        <v>1</v>
      </c>
      <c r="R103" s="196">
        <v>44.3</v>
      </c>
      <c r="S103" s="197">
        <v>26</v>
      </c>
      <c r="T103" s="219">
        <f t="shared" si="223"/>
        <v>1151.8</v>
      </c>
      <c r="U103" s="197">
        <v>2</v>
      </c>
      <c r="V103" s="196">
        <v>44.3</v>
      </c>
      <c r="W103" s="207">
        <v>16</v>
      </c>
      <c r="X103" s="219">
        <f t="shared" si="224"/>
        <v>1417.6</v>
      </c>
      <c r="Y103" s="219">
        <f t="shared" si="225"/>
        <v>2569.3999999999996</v>
      </c>
      <c r="Z103" s="197">
        <v>1</v>
      </c>
      <c r="AA103" s="196">
        <v>80</v>
      </c>
      <c r="AB103" s="197">
        <v>2</v>
      </c>
      <c r="AC103" s="219">
        <f t="shared" si="226"/>
        <v>160</v>
      </c>
      <c r="AD103" s="197">
        <v>2</v>
      </c>
      <c r="AE103" s="196">
        <v>80</v>
      </c>
      <c r="AF103" s="197">
        <v>2</v>
      </c>
      <c r="AG103" s="219">
        <f t="shared" si="227"/>
        <v>320</v>
      </c>
      <c r="AH103" s="219">
        <f t="shared" si="228"/>
        <v>480</v>
      </c>
      <c r="AI103" s="220">
        <f t="shared" ref="AI103" si="240">F103+G103+P103+Y103+AH103</f>
        <v>7439.2</v>
      </c>
      <c r="AJ103" s="201">
        <f t="shared" si="234"/>
        <v>0.40589262330859888</v>
      </c>
      <c r="AK103" s="196">
        <f>(E103-AI103)*$AK$15</f>
        <v>1197.768</v>
      </c>
      <c r="AL103" s="196">
        <v>0</v>
      </c>
      <c r="AM103" s="196">
        <v>0</v>
      </c>
      <c r="AN103" s="196">
        <v>0</v>
      </c>
      <c r="AO103" s="196">
        <v>0</v>
      </c>
      <c r="AP103" s="286">
        <v>4.07E-2</v>
      </c>
      <c r="AQ103" s="196">
        <f t="shared" si="230"/>
        <v>745.94960000000003</v>
      </c>
      <c r="AR103" s="221">
        <f t="shared" si="238"/>
        <v>745.94960000000003</v>
      </c>
      <c r="AS103" s="221">
        <f t="shared" si="239"/>
        <v>1943.7175999999999</v>
      </c>
      <c r="AT103" s="203">
        <f t="shared" si="236"/>
        <v>16384.2824</v>
      </c>
      <c r="AV103" s="206"/>
      <c r="AW103" s="204"/>
      <c r="AX103" s="401"/>
    </row>
    <row r="104" spans="2:50" s="131" customFormat="1" ht="18" hidden="1" customHeight="1">
      <c r="B104" s="371"/>
      <c r="C104" s="371"/>
      <c r="D104" s="372"/>
      <c r="E104" s="391"/>
      <c r="F104" s="391"/>
      <c r="G104" s="391"/>
      <c r="H104" s="392"/>
      <c r="I104" s="391"/>
      <c r="J104" s="392"/>
      <c r="K104" s="393"/>
      <c r="L104" s="392"/>
      <c r="M104" s="391"/>
      <c r="N104" s="392"/>
      <c r="O104" s="393"/>
      <c r="P104" s="394"/>
      <c r="Q104" s="392"/>
      <c r="R104" s="391"/>
      <c r="S104" s="392"/>
      <c r="T104" s="393"/>
      <c r="U104" s="392"/>
      <c r="V104" s="391"/>
      <c r="W104" s="426"/>
      <c r="X104" s="393"/>
      <c r="Y104" s="393"/>
      <c r="Z104" s="392"/>
      <c r="AA104" s="391"/>
      <c r="AB104" s="392"/>
      <c r="AC104" s="393"/>
      <c r="AD104" s="392"/>
      <c r="AE104" s="391"/>
      <c r="AF104" s="392"/>
      <c r="AG104" s="393"/>
      <c r="AH104" s="393"/>
      <c r="AI104" s="394"/>
      <c r="AJ104" s="395"/>
      <c r="AK104" s="391"/>
      <c r="AL104" s="391"/>
      <c r="AM104" s="391"/>
      <c r="AN104" s="391"/>
      <c r="AO104" s="391"/>
      <c r="AP104" s="428"/>
      <c r="AQ104" s="391"/>
      <c r="AR104" s="396"/>
      <c r="AS104" s="396"/>
      <c r="AT104" s="397"/>
      <c r="AV104" s="206"/>
      <c r="AW104" s="204"/>
    </row>
    <row r="105" spans="2:50" s="131" customFormat="1" ht="18" hidden="1" customHeight="1">
      <c r="B105" s="194" t="s">
        <v>2007</v>
      </c>
      <c r="C105" s="194">
        <v>140</v>
      </c>
      <c r="D105" s="324" t="s">
        <v>1832</v>
      </c>
      <c r="E105" s="196">
        <f>11388</f>
        <v>11388</v>
      </c>
      <c r="F105" s="196">
        <v>871.39</v>
      </c>
      <c r="G105" s="196">
        <v>534.39</v>
      </c>
      <c r="H105" s="197">
        <v>4</v>
      </c>
      <c r="I105" s="196">
        <v>24</v>
      </c>
      <c r="J105" s="197">
        <v>26</v>
      </c>
      <c r="K105" s="219">
        <f t="shared" ref="K105:K111" si="241">H105*I105*J105</f>
        <v>2496</v>
      </c>
      <c r="L105" s="197">
        <v>0</v>
      </c>
      <c r="M105" s="196">
        <v>0</v>
      </c>
      <c r="N105" s="197">
        <v>0</v>
      </c>
      <c r="O105" s="219">
        <f t="shared" ref="O105:O111" si="242">L105*M105*N105</f>
        <v>0</v>
      </c>
      <c r="P105" s="220">
        <f t="shared" ref="P105:P111" si="243">K105+O105</f>
        <v>2496</v>
      </c>
      <c r="Q105" s="197">
        <v>4</v>
      </c>
      <c r="R105" s="196">
        <v>44.3</v>
      </c>
      <c r="S105" s="197">
        <v>26</v>
      </c>
      <c r="T105" s="219">
        <f t="shared" ref="T105:T111" si="244">Q105*R105*S105</f>
        <v>4607.2</v>
      </c>
      <c r="U105" s="197">
        <v>0</v>
      </c>
      <c r="V105" s="196">
        <v>0</v>
      </c>
      <c r="W105" s="207">
        <v>0</v>
      </c>
      <c r="X105" s="219">
        <f t="shared" ref="X105:X111" si="245">U105*V105*W105</f>
        <v>0</v>
      </c>
      <c r="Y105" s="219">
        <f t="shared" ref="Y105:Y111" si="246">T105+X105</f>
        <v>4607.2</v>
      </c>
      <c r="Z105" s="197">
        <v>4</v>
      </c>
      <c r="AA105" s="196">
        <v>90</v>
      </c>
      <c r="AB105" s="197">
        <v>4</v>
      </c>
      <c r="AC105" s="399">
        <f t="shared" ref="AC105:AC111" si="247">Z105*AA105*AB105</f>
        <v>1440</v>
      </c>
      <c r="AD105" s="197">
        <v>0</v>
      </c>
      <c r="AE105" s="196">
        <v>0</v>
      </c>
      <c r="AF105" s="197">
        <v>0</v>
      </c>
      <c r="AG105" s="219">
        <f t="shared" ref="AG105:AG111" si="248">AD105*AE105*AF105</f>
        <v>0</v>
      </c>
      <c r="AH105" s="219">
        <f t="shared" ref="AH105:AH111" si="249">AC105+AG105</f>
        <v>1440</v>
      </c>
      <c r="AI105" s="220">
        <f>F105+G105+P105+Y105+AH105</f>
        <v>9948.98</v>
      </c>
      <c r="AJ105" s="201">
        <f>AI105/E105</f>
        <v>0.87363716192483309</v>
      </c>
      <c r="AK105" s="196">
        <f>(E105-AI105)*$AK$15</f>
        <v>158.29220000000004</v>
      </c>
      <c r="AL105" s="196">
        <v>0</v>
      </c>
      <c r="AM105" s="196">
        <v>0</v>
      </c>
      <c r="AN105" s="196">
        <v>0</v>
      </c>
      <c r="AO105" s="196">
        <v>0</v>
      </c>
      <c r="AP105" s="247">
        <v>0</v>
      </c>
      <c r="AQ105" s="196">
        <f t="shared" ref="AQ105:AQ111" si="250">AP105*E105</f>
        <v>0</v>
      </c>
      <c r="AR105" s="221">
        <f t="shared" ref="AR105:AR108" si="251">AL105+AM105+AN105+AO105+AQ105</f>
        <v>0</v>
      </c>
      <c r="AS105" s="221">
        <f t="shared" ref="AS105:AS108" si="252">AK105+AR105</f>
        <v>158.29220000000004</v>
      </c>
      <c r="AT105" s="203">
        <f t="shared" ref="AT105" si="253">E105-AS105</f>
        <v>11229.7078</v>
      </c>
      <c r="AV105" s="206"/>
      <c r="AW105" s="216"/>
    </row>
    <row r="106" spans="2:50" s="131" customFormat="1" ht="18" hidden="1" customHeight="1">
      <c r="B106" s="194" t="s">
        <v>2007</v>
      </c>
      <c r="C106" s="194">
        <v>141</v>
      </c>
      <c r="D106" s="324" t="s">
        <v>2051</v>
      </c>
      <c r="E106" s="196">
        <v>35740</v>
      </c>
      <c r="F106" s="196">
        <v>6560.0627256516118</v>
      </c>
      <c r="G106" s="196">
        <v>4473.6244375503829</v>
      </c>
      <c r="H106" s="197">
        <v>5</v>
      </c>
      <c r="I106" s="196">
        <v>24</v>
      </c>
      <c r="J106" s="197">
        <v>26</v>
      </c>
      <c r="K106" s="219">
        <f t="shared" si="241"/>
        <v>3120</v>
      </c>
      <c r="L106" s="197">
        <v>0</v>
      </c>
      <c r="M106" s="196">
        <v>0</v>
      </c>
      <c r="N106" s="197">
        <v>0</v>
      </c>
      <c r="O106" s="219">
        <f t="shared" si="242"/>
        <v>0</v>
      </c>
      <c r="P106" s="220">
        <f t="shared" si="243"/>
        <v>3120</v>
      </c>
      <c r="Q106" s="197">
        <v>5</v>
      </c>
      <c r="R106" s="196">
        <v>44.3</v>
      </c>
      <c r="S106" s="197">
        <v>26</v>
      </c>
      <c r="T106" s="219">
        <f t="shared" si="244"/>
        <v>5759</v>
      </c>
      <c r="U106" s="197">
        <v>0</v>
      </c>
      <c r="V106" s="196">
        <v>0</v>
      </c>
      <c r="W106" s="207">
        <v>0</v>
      </c>
      <c r="X106" s="219">
        <f t="shared" si="245"/>
        <v>0</v>
      </c>
      <c r="Y106" s="219">
        <f t="shared" si="246"/>
        <v>5759</v>
      </c>
      <c r="Z106" s="197">
        <v>5</v>
      </c>
      <c r="AA106" s="196">
        <v>90</v>
      </c>
      <c r="AB106" s="197">
        <v>2</v>
      </c>
      <c r="AC106" s="399">
        <f t="shared" si="247"/>
        <v>900</v>
      </c>
      <c r="AD106" s="197">
        <v>0</v>
      </c>
      <c r="AE106" s="196">
        <v>0</v>
      </c>
      <c r="AF106" s="197">
        <v>0</v>
      </c>
      <c r="AG106" s="219">
        <f t="shared" si="248"/>
        <v>0</v>
      </c>
      <c r="AH106" s="219">
        <f t="shared" si="249"/>
        <v>900</v>
      </c>
      <c r="AI106" s="220">
        <f t="shared" ref="AI106" si="254">F106+G106+P106+Y106+AH106</f>
        <v>20812.687163201994</v>
      </c>
      <c r="AJ106" s="201">
        <f t="shared" ref="AJ106:AJ111" si="255">AI106/E106</f>
        <v>0.58233595867940668</v>
      </c>
      <c r="AK106" s="196">
        <f t="shared" ref="AK106" si="256">(E106-AI106)*$AK$15</f>
        <v>1642.0044120477808</v>
      </c>
      <c r="AL106" s="196">
        <v>0</v>
      </c>
      <c r="AM106" s="196">
        <v>0</v>
      </c>
      <c r="AN106" s="196">
        <v>0</v>
      </c>
      <c r="AO106" s="196">
        <v>0</v>
      </c>
      <c r="AP106" s="247">
        <v>0</v>
      </c>
      <c r="AQ106" s="196">
        <f t="shared" si="250"/>
        <v>0</v>
      </c>
      <c r="AR106" s="221">
        <f t="shared" si="251"/>
        <v>0</v>
      </c>
      <c r="AS106" s="221">
        <f t="shared" si="252"/>
        <v>1642.0044120477808</v>
      </c>
      <c r="AT106" s="203">
        <f>E106-AS106</f>
        <v>34097.995587952217</v>
      </c>
      <c r="AV106" s="206"/>
      <c r="AW106" s="216"/>
    </row>
    <row r="107" spans="2:50" s="131" customFormat="1" ht="18" hidden="1" customHeight="1">
      <c r="B107" s="194" t="s">
        <v>2007</v>
      </c>
      <c r="C107" s="194">
        <v>142</v>
      </c>
      <c r="D107" s="324" t="s">
        <v>1831</v>
      </c>
      <c r="E107" s="213">
        <f>1562</f>
        <v>1562</v>
      </c>
      <c r="F107" s="196">
        <v>395.2</v>
      </c>
      <c r="G107" s="196">
        <v>0</v>
      </c>
      <c r="H107" s="197">
        <v>1</v>
      </c>
      <c r="I107" s="196">
        <v>24</v>
      </c>
      <c r="J107" s="197">
        <v>4</v>
      </c>
      <c r="K107" s="219">
        <f t="shared" si="241"/>
        <v>96</v>
      </c>
      <c r="L107" s="197">
        <v>0</v>
      </c>
      <c r="M107" s="196">
        <v>0</v>
      </c>
      <c r="N107" s="197">
        <v>0</v>
      </c>
      <c r="O107" s="219">
        <f t="shared" si="242"/>
        <v>0</v>
      </c>
      <c r="P107" s="220">
        <f t="shared" si="243"/>
        <v>96</v>
      </c>
      <c r="Q107" s="197">
        <v>1</v>
      </c>
      <c r="R107" s="196">
        <v>44.3</v>
      </c>
      <c r="S107" s="197">
        <v>4</v>
      </c>
      <c r="T107" s="219">
        <f t="shared" si="244"/>
        <v>177.2</v>
      </c>
      <c r="U107" s="197">
        <v>0</v>
      </c>
      <c r="V107" s="196">
        <v>0</v>
      </c>
      <c r="W107" s="207">
        <v>0</v>
      </c>
      <c r="X107" s="219">
        <f t="shared" si="245"/>
        <v>0</v>
      </c>
      <c r="Y107" s="219">
        <f t="shared" si="246"/>
        <v>177.2</v>
      </c>
      <c r="Z107" s="197">
        <v>1</v>
      </c>
      <c r="AA107" s="196">
        <v>90</v>
      </c>
      <c r="AB107" s="197">
        <v>1</v>
      </c>
      <c r="AC107" s="399">
        <f t="shared" si="247"/>
        <v>90</v>
      </c>
      <c r="AD107" s="197">
        <v>0</v>
      </c>
      <c r="AE107" s="196">
        <v>0</v>
      </c>
      <c r="AF107" s="197">
        <v>0</v>
      </c>
      <c r="AG107" s="219">
        <f t="shared" si="248"/>
        <v>0</v>
      </c>
      <c r="AH107" s="219">
        <f t="shared" si="249"/>
        <v>90</v>
      </c>
      <c r="AI107" s="220">
        <f>F107+G107+P107+Y107+AH107</f>
        <v>758.4</v>
      </c>
      <c r="AJ107" s="201">
        <f t="shared" si="255"/>
        <v>0.48553137003841229</v>
      </c>
      <c r="AK107" s="196">
        <f t="shared" ref="AK107:AK114" si="257">(E107-AI107)*$AK$15</f>
        <v>88.396000000000001</v>
      </c>
      <c r="AL107" s="196">
        <v>0</v>
      </c>
      <c r="AM107" s="196">
        <v>0</v>
      </c>
      <c r="AN107" s="196">
        <v>0</v>
      </c>
      <c r="AO107" s="196">
        <v>0</v>
      </c>
      <c r="AP107" s="247">
        <v>0</v>
      </c>
      <c r="AQ107" s="196">
        <f t="shared" si="250"/>
        <v>0</v>
      </c>
      <c r="AR107" s="221">
        <f t="shared" si="251"/>
        <v>0</v>
      </c>
      <c r="AS107" s="221">
        <f t="shared" si="252"/>
        <v>88.396000000000001</v>
      </c>
      <c r="AT107" s="203">
        <f t="shared" ref="AT107:AT111" si="258">E107-AS107</f>
        <v>1473.604</v>
      </c>
      <c r="AV107" s="206"/>
      <c r="AW107" s="206"/>
    </row>
    <row r="108" spans="2:50" s="131" customFormat="1" ht="18" hidden="1" customHeight="1">
      <c r="B108" s="194" t="s">
        <v>2007</v>
      </c>
      <c r="C108" s="194">
        <v>143</v>
      </c>
      <c r="D108" s="324" t="s">
        <v>1634</v>
      </c>
      <c r="E108" s="196">
        <f>5964</f>
        <v>5964</v>
      </c>
      <c r="F108" s="196">
        <v>1043</v>
      </c>
      <c r="G108" s="196">
        <v>387</v>
      </c>
      <c r="H108" s="197">
        <v>1</v>
      </c>
      <c r="I108" s="196">
        <v>24</v>
      </c>
      <c r="J108" s="197">
        <v>26</v>
      </c>
      <c r="K108" s="219">
        <f t="shared" si="241"/>
        <v>624</v>
      </c>
      <c r="L108" s="197">
        <v>0</v>
      </c>
      <c r="M108" s="196">
        <v>0</v>
      </c>
      <c r="N108" s="197">
        <v>0</v>
      </c>
      <c r="O108" s="219">
        <f t="shared" si="242"/>
        <v>0</v>
      </c>
      <c r="P108" s="220">
        <f t="shared" si="243"/>
        <v>624</v>
      </c>
      <c r="Q108" s="197">
        <v>1</v>
      </c>
      <c r="R108" s="196">
        <v>44.3</v>
      </c>
      <c r="S108" s="197">
        <v>26</v>
      </c>
      <c r="T108" s="219">
        <f t="shared" si="244"/>
        <v>1151.8</v>
      </c>
      <c r="U108" s="197">
        <v>0</v>
      </c>
      <c r="V108" s="196">
        <v>0</v>
      </c>
      <c r="W108" s="207">
        <v>0</v>
      </c>
      <c r="X108" s="219">
        <f t="shared" si="245"/>
        <v>0</v>
      </c>
      <c r="Y108" s="219">
        <f t="shared" si="246"/>
        <v>1151.8</v>
      </c>
      <c r="Z108" s="197">
        <v>1</v>
      </c>
      <c r="AA108" s="196">
        <v>90</v>
      </c>
      <c r="AB108" s="197">
        <v>2</v>
      </c>
      <c r="AC108" s="399">
        <f t="shared" si="247"/>
        <v>180</v>
      </c>
      <c r="AD108" s="197">
        <v>0</v>
      </c>
      <c r="AE108" s="196">
        <v>0</v>
      </c>
      <c r="AF108" s="197">
        <v>0</v>
      </c>
      <c r="AG108" s="219">
        <f t="shared" si="248"/>
        <v>0</v>
      </c>
      <c r="AH108" s="219">
        <f t="shared" si="249"/>
        <v>180</v>
      </c>
      <c r="AI108" s="220">
        <f t="shared" ref="AI108:AI109" si="259">F108+G108+P108+Y108+AH108</f>
        <v>3385.8</v>
      </c>
      <c r="AJ108" s="201">
        <f t="shared" si="255"/>
        <v>0.56770623742454729</v>
      </c>
      <c r="AK108" s="196">
        <f t="shared" si="257"/>
        <v>283.60199999999998</v>
      </c>
      <c r="AL108" s="196">
        <v>0</v>
      </c>
      <c r="AM108" s="196">
        <v>0</v>
      </c>
      <c r="AN108" s="196">
        <v>0</v>
      </c>
      <c r="AO108" s="196">
        <v>0</v>
      </c>
      <c r="AP108" s="286">
        <v>4.1399999999999999E-2</v>
      </c>
      <c r="AQ108" s="196">
        <f t="shared" si="250"/>
        <v>246.90959999999998</v>
      </c>
      <c r="AR108" s="221">
        <f t="shared" si="251"/>
        <v>246.90959999999998</v>
      </c>
      <c r="AS108" s="221">
        <f t="shared" si="252"/>
        <v>530.51159999999993</v>
      </c>
      <c r="AT108" s="203">
        <f t="shared" si="258"/>
        <v>5433.4884000000002</v>
      </c>
      <c r="AV108" s="206"/>
      <c r="AW108" s="206"/>
    </row>
    <row r="109" spans="2:50" s="131" customFormat="1" ht="18" hidden="1" customHeight="1">
      <c r="B109" s="194" t="s">
        <v>2007</v>
      </c>
      <c r="C109" s="194">
        <v>144</v>
      </c>
      <c r="D109" s="324" t="s">
        <v>1833</v>
      </c>
      <c r="E109" s="196">
        <f>8960</f>
        <v>8960</v>
      </c>
      <c r="F109" s="196">
        <v>1190</v>
      </c>
      <c r="G109" s="196">
        <v>410</v>
      </c>
      <c r="H109" s="197">
        <v>2</v>
      </c>
      <c r="I109" s="196">
        <v>24</v>
      </c>
      <c r="J109" s="197">
        <v>16</v>
      </c>
      <c r="K109" s="219">
        <f t="shared" si="241"/>
        <v>768</v>
      </c>
      <c r="L109" s="197">
        <v>0</v>
      </c>
      <c r="M109" s="196">
        <v>0</v>
      </c>
      <c r="N109" s="197">
        <v>0</v>
      </c>
      <c r="O109" s="219">
        <f t="shared" si="242"/>
        <v>0</v>
      </c>
      <c r="P109" s="220">
        <f t="shared" si="243"/>
        <v>768</v>
      </c>
      <c r="Q109" s="197">
        <v>2</v>
      </c>
      <c r="R109" s="196">
        <v>44.3</v>
      </c>
      <c r="S109" s="197">
        <v>16</v>
      </c>
      <c r="T109" s="219">
        <f t="shared" si="244"/>
        <v>1417.6</v>
      </c>
      <c r="U109" s="197">
        <v>0</v>
      </c>
      <c r="V109" s="196">
        <v>0</v>
      </c>
      <c r="W109" s="207">
        <v>0</v>
      </c>
      <c r="X109" s="219">
        <f t="shared" si="245"/>
        <v>0</v>
      </c>
      <c r="Y109" s="219">
        <f t="shared" si="246"/>
        <v>1417.6</v>
      </c>
      <c r="Z109" s="197">
        <v>2</v>
      </c>
      <c r="AA109" s="196">
        <v>90</v>
      </c>
      <c r="AB109" s="197">
        <v>2</v>
      </c>
      <c r="AC109" s="399">
        <f t="shared" si="247"/>
        <v>360</v>
      </c>
      <c r="AD109" s="197">
        <v>0</v>
      </c>
      <c r="AE109" s="196">
        <v>0</v>
      </c>
      <c r="AF109" s="197">
        <v>0</v>
      </c>
      <c r="AG109" s="219">
        <f t="shared" si="248"/>
        <v>0</v>
      </c>
      <c r="AH109" s="219">
        <f t="shared" si="249"/>
        <v>360</v>
      </c>
      <c r="AI109" s="220">
        <f t="shared" si="259"/>
        <v>4145.6000000000004</v>
      </c>
      <c r="AJ109" s="201">
        <f t="shared" si="255"/>
        <v>0.46267857142857149</v>
      </c>
      <c r="AK109" s="196">
        <f t="shared" si="257"/>
        <v>529.58399999999995</v>
      </c>
      <c r="AL109" s="196">
        <v>0</v>
      </c>
      <c r="AM109" s="196">
        <v>0</v>
      </c>
      <c r="AN109" s="196">
        <v>0</v>
      </c>
      <c r="AO109" s="196">
        <v>0</v>
      </c>
      <c r="AP109" s="247">
        <v>0</v>
      </c>
      <c r="AQ109" s="196">
        <f t="shared" si="250"/>
        <v>0</v>
      </c>
      <c r="AR109" s="221">
        <f>AL109+AM109+AN109+AO109+AQ109</f>
        <v>0</v>
      </c>
      <c r="AS109" s="221">
        <f>AK109+AR109</f>
        <v>529.58399999999995</v>
      </c>
      <c r="AT109" s="203">
        <f t="shared" si="258"/>
        <v>8430.4159999999993</v>
      </c>
      <c r="AV109" s="206"/>
      <c r="AW109" s="206"/>
    </row>
    <row r="110" spans="2:50" s="131" customFormat="1" ht="18" hidden="1" customHeight="1">
      <c r="B110" s="194" t="s">
        <v>2007</v>
      </c>
      <c r="C110" s="194">
        <v>145</v>
      </c>
      <c r="D110" s="324" t="s">
        <v>1834</v>
      </c>
      <c r="E110" s="196">
        <v>6104</v>
      </c>
      <c r="F110" s="196">
        <v>950.61</v>
      </c>
      <c r="G110" s="196">
        <v>351.9</v>
      </c>
      <c r="H110" s="197">
        <v>1</v>
      </c>
      <c r="I110" s="196">
        <v>24</v>
      </c>
      <c r="J110" s="197">
        <v>26</v>
      </c>
      <c r="K110" s="219">
        <f t="shared" si="241"/>
        <v>624</v>
      </c>
      <c r="L110" s="197">
        <v>0</v>
      </c>
      <c r="M110" s="196">
        <v>0</v>
      </c>
      <c r="N110" s="197">
        <v>0</v>
      </c>
      <c r="O110" s="219">
        <f t="shared" si="242"/>
        <v>0</v>
      </c>
      <c r="P110" s="220">
        <f t="shared" si="243"/>
        <v>624</v>
      </c>
      <c r="Q110" s="197">
        <v>1</v>
      </c>
      <c r="R110" s="196">
        <v>44.3</v>
      </c>
      <c r="S110" s="197">
        <v>26</v>
      </c>
      <c r="T110" s="219">
        <f t="shared" si="244"/>
        <v>1151.8</v>
      </c>
      <c r="U110" s="197">
        <v>0</v>
      </c>
      <c r="V110" s="196">
        <v>0</v>
      </c>
      <c r="W110" s="207">
        <v>0</v>
      </c>
      <c r="X110" s="219">
        <f t="shared" si="245"/>
        <v>0</v>
      </c>
      <c r="Y110" s="219">
        <f t="shared" si="246"/>
        <v>1151.8</v>
      </c>
      <c r="Z110" s="197">
        <v>1</v>
      </c>
      <c r="AA110" s="196">
        <v>90</v>
      </c>
      <c r="AB110" s="197">
        <v>2</v>
      </c>
      <c r="AC110" s="399">
        <f t="shared" si="247"/>
        <v>180</v>
      </c>
      <c r="AD110" s="197">
        <v>0</v>
      </c>
      <c r="AE110" s="196">
        <v>0</v>
      </c>
      <c r="AF110" s="197">
        <v>0</v>
      </c>
      <c r="AG110" s="219">
        <f t="shared" si="248"/>
        <v>0</v>
      </c>
      <c r="AH110" s="219">
        <f t="shared" si="249"/>
        <v>180</v>
      </c>
      <c r="AI110" s="220">
        <f>F110+G110+P110+Y110+AH110</f>
        <v>3258.31</v>
      </c>
      <c r="AJ110" s="201">
        <f t="shared" si="255"/>
        <v>0.53379914809960682</v>
      </c>
      <c r="AK110" s="196">
        <f t="shared" si="257"/>
        <v>313.02590000000004</v>
      </c>
      <c r="AL110" s="196">
        <v>0</v>
      </c>
      <c r="AM110" s="196">
        <v>0</v>
      </c>
      <c r="AN110" s="196">
        <v>0</v>
      </c>
      <c r="AO110" s="196">
        <v>0</v>
      </c>
      <c r="AP110" s="286">
        <v>4.1399999999999999E-2</v>
      </c>
      <c r="AQ110" s="196">
        <f t="shared" si="250"/>
        <v>252.7056</v>
      </c>
      <c r="AR110" s="221">
        <f t="shared" ref="AR110:AR111" si="260">AL110+AM110+AN110+AO110+AQ110</f>
        <v>252.7056</v>
      </c>
      <c r="AS110" s="221">
        <f t="shared" ref="AS110:AS111" si="261">AK110+AR110</f>
        <v>565.7315000000001</v>
      </c>
      <c r="AT110" s="203">
        <f t="shared" si="258"/>
        <v>5538.2685000000001</v>
      </c>
      <c r="AV110" s="206"/>
      <c r="AW110" s="206"/>
    </row>
    <row r="111" spans="2:50" s="131" customFormat="1" ht="18" hidden="1" customHeight="1">
      <c r="B111" s="194" t="s">
        <v>2007</v>
      </c>
      <c r="C111" s="194">
        <v>146</v>
      </c>
      <c r="D111" s="324" t="s">
        <v>1003</v>
      </c>
      <c r="E111" s="196">
        <f>18328</f>
        <v>18328</v>
      </c>
      <c r="F111" s="196">
        <v>2550</v>
      </c>
      <c r="G111" s="196">
        <v>703.8</v>
      </c>
      <c r="H111" s="197">
        <v>1</v>
      </c>
      <c r="I111" s="196">
        <v>24</v>
      </c>
      <c r="J111" s="197">
        <v>26</v>
      </c>
      <c r="K111" s="219">
        <f t="shared" si="241"/>
        <v>624</v>
      </c>
      <c r="L111" s="197">
        <v>2</v>
      </c>
      <c r="M111" s="196">
        <v>16</v>
      </c>
      <c r="N111" s="197">
        <v>16</v>
      </c>
      <c r="O111" s="219">
        <f t="shared" si="242"/>
        <v>512</v>
      </c>
      <c r="P111" s="220">
        <f t="shared" si="243"/>
        <v>1136</v>
      </c>
      <c r="Q111" s="197">
        <v>1</v>
      </c>
      <c r="R111" s="196">
        <v>44.3</v>
      </c>
      <c r="S111" s="197">
        <v>26</v>
      </c>
      <c r="T111" s="219">
        <f t="shared" si="244"/>
        <v>1151.8</v>
      </c>
      <c r="U111" s="197">
        <v>2</v>
      </c>
      <c r="V111" s="196">
        <v>44.3</v>
      </c>
      <c r="W111" s="207">
        <v>16</v>
      </c>
      <c r="X111" s="219">
        <f t="shared" si="245"/>
        <v>1417.6</v>
      </c>
      <c r="Y111" s="219">
        <f t="shared" si="246"/>
        <v>2569.3999999999996</v>
      </c>
      <c r="Z111" s="197">
        <v>1</v>
      </c>
      <c r="AA111" s="196">
        <v>80</v>
      </c>
      <c r="AB111" s="197">
        <v>2</v>
      </c>
      <c r="AC111" s="219">
        <f t="shared" si="247"/>
        <v>160</v>
      </c>
      <c r="AD111" s="197">
        <v>2</v>
      </c>
      <c r="AE111" s="196">
        <v>80</v>
      </c>
      <c r="AF111" s="197">
        <v>2</v>
      </c>
      <c r="AG111" s="219">
        <f t="shared" si="248"/>
        <v>320</v>
      </c>
      <c r="AH111" s="219">
        <f t="shared" si="249"/>
        <v>480</v>
      </c>
      <c r="AI111" s="220">
        <f t="shared" ref="AI111" si="262">F111+G111+P111+Y111+AH111</f>
        <v>7439.2</v>
      </c>
      <c r="AJ111" s="201">
        <f t="shared" si="255"/>
        <v>0.40589262330859888</v>
      </c>
      <c r="AK111" s="196">
        <f t="shared" si="257"/>
        <v>1197.768</v>
      </c>
      <c r="AL111" s="196">
        <v>0</v>
      </c>
      <c r="AM111" s="196">
        <v>0</v>
      </c>
      <c r="AN111" s="196">
        <v>0</v>
      </c>
      <c r="AO111" s="196">
        <v>0</v>
      </c>
      <c r="AP111" s="286">
        <v>4.1399999999999999E-2</v>
      </c>
      <c r="AQ111" s="196">
        <f t="shared" si="250"/>
        <v>758.77919999999995</v>
      </c>
      <c r="AR111" s="221">
        <f t="shared" si="260"/>
        <v>758.77919999999995</v>
      </c>
      <c r="AS111" s="221">
        <f t="shared" si="261"/>
        <v>1956.5472</v>
      </c>
      <c r="AT111" s="203">
        <f t="shared" si="258"/>
        <v>16371.452799999999</v>
      </c>
      <c r="AV111" s="206"/>
      <c r="AW111" s="204"/>
      <c r="AX111" s="401"/>
    </row>
    <row r="112" spans="2:50" s="131" customFormat="1" ht="18" hidden="1" customHeight="1">
      <c r="B112" s="194" t="s">
        <v>2007</v>
      </c>
      <c r="C112" s="194">
        <v>147</v>
      </c>
      <c r="D112" s="324" t="s">
        <v>2023</v>
      </c>
      <c r="E112" s="196">
        <f>(5924/30)*14</f>
        <v>2764.5333333333333</v>
      </c>
      <c r="F112" s="196">
        <f>1190/2</f>
        <v>595</v>
      </c>
      <c r="G112" s="196">
        <f>410/2</f>
        <v>205</v>
      </c>
      <c r="H112" s="197">
        <v>1</v>
      </c>
      <c r="I112" s="196">
        <v>24</v>
      </c>
      <c r="J112" s="197">
        <v>14</v>
      </c>
      <c r="K112" s="219">
        <f t="shared" ref="K112" si="263">H112*I112*J112</f>
        <v>336</v>
      </c>
      <c r="L112" s="197">
        <v>0</v>
      </c>
      <c r="M112" s="196">
        <v>0</v>
      </c>
      <c r="N112" s="197">
        <v>0</v>
      </c>
      <c r="O112" s="219">
        <f t="shared" ref="O112" si="264">L112*M112*N112</f>
        <v>0</v>
      </c>
      <c r="P112" s="220">
        <f t="shared" ref="P112" si="265">K112+O112</f>
        <v>336</v>
      </c>
      <c r="Q112" s="197">
        <v>1</v>
      </c>
      <c r="R112" s="196">
        <v>44.3</v>
      </c>
      <c r="S112" s="197">
        <v>14</v>
      </c>
      <c r="T112" s="219">
        <f t="shared" ref="T112" si="266">Q112*R112*S112</f>
        <v>620.19999999999993</v>
      </c>
      <c r="U112" s="197">
        <v>0</v>
      </c>
      <c r="V112" s="196">
        <v>0</v>
      </c>
      <c r="W112" s="207">
        <v>0</v>
      </c>
      <c r="X112" s="219">
        <f t="shared" ref="X112" si="267">U112*V112*W112</f>
        <v>0</v>
      </c>
      <c r="Y112" s="219">
        <f t="shared" ref="Y112" si="268">T112+X112</f>
        <v>620.19999999999993</v>
      </c>
      <c r="Z112" s="197">
        <v>1</v>
      </c>
      <c r="AA112" s="196">
        <v>90</v>
      </c>
      <c r="AB112" s="197">
        <v>2</v>
      </c>
      <c r="AC112" s="399">
        <f t="shared" ref="AC112" si="269">Z112*AA112*AB112</f>
        <v>180</v>
      </c>
      <c r="AD112" s="197">
        <v>0</v>
      </c>
      <c r="AE112" s="196">
        <v>0</v>
      </c>
      <c r="AF112" s="197">
        <v>0</v>
      </c>
      <c r="AG112" s="219">
        <f t="shared" ref="AG112" si="270">AD112*AE112*AF112</f>
        <v>0</v>
      </c>
      <c r="AH112" s="219">
        <f t="shared" ref="AH112" si="271">AC112+AG112</f>
        <v>180</v>
      </c>
      <c r="AI112" s="220">
        <f t="shared" ref="AI112" si="272">F112+G112+P112+Y112+AH112</f>
        <v>1936.1999999999998</v>
      </c>
      <c r="AJ112" s="201">
        <f t="shared" ref="AJ112" si="273">AI112/E112</f>
        <v>0.70037137069547595</v>
      </c>
      <c r="AK112" s="196">
        <f t="shared" si="257"/>
        <v>91.116666666666688</v>
      </c>
      <c r="AL112" s="196">
        <v>0</v>
      </c>
      <c r="AM112" s="196">
        <v>0</v>
      </c>
      <c r="AN112" s="196">
        <v>0</v>
      </c>
      <c r="AO112" s="196">
        <v>0</v>
      </c>
      <c r="AP112" s="247">
        <v>0</v>
      </c>
      <c r="AQ112" s="196">
        <f t="shared" ref="AQ112" si="274">AP112*E112</f>
        <v>0</v>
      </c>
      <c r="AR112" s="221">
        <f>AL112+AM112+AN112+AO112+AQ112</f>
        <v>0</v>
      </c>
      <c r="AS112" s="221">
        <f>AK112+AR112</f>
        <v>91.116666666666688</v>
      </c>
      <c r="AT112" s="203">
        <f t="shared" ref="AT112" si="275">E112-AS112</f>
        <v>2673.4166666666665</v>
      </c>
      <c r="AV112" s="206"/>
      <c r="AW112" s="206"/>
    </row>
    <row r="113" spans="2:50" s="131" customFormat="1" ht="18" hidden="1" customHeight="1">
      <c r="B113" s="194" t="s">
        <v>2007</v>
      </c>
      <c r="C113" s="194">
        <v>148</v>
      </c>
      <c r="D113" s="324" t="s">
        <v>2020</v>
      </c>
      <c r="E113" s="196">
        <f>5924</f>
        <v>5924</v>
      </c>
      <c r="F113" s="196">
        <v>1190</v>
      </c>
      <c r="G113" s="196">
        <v>410</v>
      </c>
      <c r="H113" s="197">
        <v>1</v>
      </c>
      <c r="I113" s="196">
        <v>24</v>
      </c>
      <c r="J113" s="197">
        <v>26</v>
      </c>
      <c r="K113" s="219">
        <f t="shared" ref="K113" si="276">H113*I113*J113</f>
        <v>624</v>
      </c>
      <c r="L113" s="197">
        <v>0</v>
      </c>
      <c r="M113" s="196">
        <v>0</v>
      </c>
      <c r="N113" s="197">
        <v>0</v>
      </c>
      <c r="O113" s="219">
        <f t="shared" ref="O113" si="277">L113*M113*N113</f>
        <v>0</v>
      </c>
      <c r="P113" s="220">
        <f t="shared" ref="P113" si="278">K113+O113</f>
        <v>624</v>
      </c>
      <c r="Q113" s="197">
        <v>1</v>
      </c>
      <c r="R113" s="196">
        <v>44.3</v>
      </c>
      <c r="S113" s="197">
        <v>26</v>
      </c>
      <c r="T113" s="219">
        <f t="shared" ref="T113" si="279">Q113*R113*S113</f>
        <v>1151.8</v>
      </c>
      <c r="U113" s="197">
        <v>0</v>
      </c>
      <c r="V113" s="196">
        <v>0</v>
      </c>
      <c r="W113" s="207">
        <v>0</v>
      </c>
      <c r="X113" s="219">
        <f t="shared" ref="X113" si="280">U113*V113*W113</f>
        <v>0</v>
      </c>
      <c r="Y113" s="219">
        <f t="shared" ref="Y113" si="281">T113+X113</f>
        <v>1151.8</v>
      </c>
      <c r="Z113" s="197">
        <v>1</v>
      </c>
      <c r="AA113" s="196">
        <v>90</v>
      </c>
      <c r="AB113" s="197">
        <v>2</v>
      </c>
      <c r="AC113" s="399">
        <f t="shared" ref="AC113" si="282">Z113*AA113*AB113</f>
        <v>180</v>
      </c>
      <c r="AD113" s="197">
        <v>0</v>
      </c>
      <c r="AE113" s="196">
        <v>0</v>
      </c>
      <c r="AF113" s="197">
        <v>0</v>
      </c>
      <c r="AG113" s="219">
        <f t="shared" ref="AG113" si="283">AD113*AE113*AF113</f>
        <v>0</v>
      </c>
      <c r="AH113" s="219">
        <f t="shared" ref="AH113" si="284">AC113+AG113</f>
        <v>180</v>
      </c>
      <c r="AI113" s="220">
        <f t="shared" ref="AI113" si="285">F113+G113+P113+Y113+AH113</f>
        <v>3555.8</v>
      </c>
      <c r="AJ113" s="201">
        <f t="shared" ref="AJ113" si="286">AI113/E113</f>
        <v>0.60023632680621208</v>
      </c>
      <c r="AK113" s="196">
        <f t="shared" si="257"/>
        <v>260.50200000000001</v>
      </c>
      <c r="AL113" s="196">
        <v>0</v>
      </c>
      <c r="AM113" s="196">
        <v>0</v>
      </c>
      <c r="AN113" s="196">
        <v>0</v>
      </c>
      <c r="AO113" s="196">
        <v>0</v>
      </c>
      <c r="AP113" s="247">
        <v>0</v>
      </c>
      <c r="AQ113" s="196">
        <f t="shared" ref="AQ113" si="287">AP113*E113</f>
        <v>0</v>
      </c>
      <c r="AR113" s="221">
        <f>AL113+AM113+AN113+AO113+AQ113</f>
        <v>0</v>
      </c>
      <c r="AS113" s="221">
        <f>AK113+AR113</f>
        <v>260.50200000000001</v>
      </c>
      <c r="AT113" s="203">
        <f t="shared" ref="AT113:AT114" si="288">E113-AS113</f>
        <v>5663.4979999999996</v>
      </c>
      <c r="AV113" s="206"/>
      <c r="AW113" s="206"/>
    </row>
    <row r="114" spans="2:50" s="131" customFormat="1" ht="18" hidden="1" customHeight="1">
      <c r="B114" s="194" t="s">
        <v>2007</v>
      </c>
      <c r="C114" s="194">
        <v>149</v>
      </c>
      <c r="D114" s="324" t="s">
        <v>2049</v>
      </c>
      <c r="E114" s="196">
        <f>(5707/30)*14</f>
        <v>2663.2666666666664</v>
      </c>
      <c r="F114" s="196">
        <f>1190/2</f>
        <v>595</v>
      </c>
      <c r="G114" s="196">
        <f>410/2</f>
        <v>205</v>
      </c>
      <c r="H114" s="197">
        <v>1</v>
      </c>
      <c r="I114" s="196">
        <v>24</v>
      </c>
      <c r="J114" s="197">
        <v>14</v>
      </c>
      <c r="K114" s="219">
        <f t="shared" ref="K114" si="289">H114*I114*J114</f>
        <v>336</v>
      </c>
      <c r="L114" s="197">
        <v>0</v>
      </c>
      <c r="M114" s="196">
        <v>0</v>
      </c>
      <c r="N114" s="197">
        <v>0</v>
      </c>
      <c r="O114" s="219">
        <f t="shared" ref="O114" si="290">L114*M114*N114</f>
        <v>0</v>
      </c>
      <c r="P114" s="220">
        <f t="shared" ref="P114" si="291">K114+O114</f>
        <v>336</v>
      </c>
      <c r="Q114" s="197">
        <v>1</v>
      </c>
      <c r="R114" s="196">
        <v>44.3</v>
      </c>
      <c r="S114" s="197">
        <v>14</v>
      </c>
      <c r="T114" s="219">
        <f t="shared" ref="T114" si="292">Q114*R114*S114</f>
        <v>620.19999999999993</v>
      </c>
      <c r="U114" s="197">
        <v>0</v>
      </c>
      <c r="V114" s="196">
        <v>0</v>
      </c>
      <c r="W114" s="207">
        <v>0</v>
      </c>
      <c r="X114" s="219">
        <f t="shared" ref="X114" si="293">U114*V114*W114</f>
        <v>0</v>
      </c>
      <c r="Y114" s="219">
        <f t="shared" ref="Y114" si="294">T114+X114</f>
        <v>620.19999999999993</v>
      </c>
      <c r="Z114" s="197">
        <v>1</v>
      </c>
      <c r="AA114" s="196">
        <v>90</v>
      </c>
      <c r="AB114" s="197">
        <v>2</v>
      </c>
      <c r="AC114" s="399">
        <f t="shared" ref="AC114" si="295">Z114*AA114*AB114</f>
        <v>180</v>
      </c>
      <c r="AD114" s="197">
        <v>0</v>
      </c>
      <c r="AE114" s="196">
        <v>0</v>
      </c>
      <c r="AF114" s="197">
        <v>0</v>
      </c>
      <c r="AG114" s="219">
        <f t="shared" ref="AG114" si="296">AD114*AE114*AF114</f>
        <v>0</v>
      </c>
      <c r="AH114" s="219">
        <f t="shared" ref="AH114" si="297">AC114+AG114</f>
        <v>180</v>
      </c>
      <c r="AI114" s="220">
        <f t="shared" ref="AI114" si="298">F114+G114+P114+Y114+AH114</f>
        <v>1936.1999999999998</v>
      </c>
      <c r="AJ114" s="201">
        <f t="shared" ref="AJ114" si="299">AI114/E114</f>
        <v>0.72700192745750836</v>
      </c>
      <c r="AK114" s="196">
        <f t="shared" si="257"/>
        <v>79.977333333333334</v>
      </c>
      <c r="AL114" s="196">
        <v>0</v>
      </c>
      <c r="AM114" s="196">
        <v>0</v>
      </c>
      <c r="AN114" s="196">
        <v>0</v>
      </c>
      <c r="AO114" s="196">
        <v>0</v>
      </c>
      <c r="AP114" s="247">
        <v>0</v>
      </c>
      <c r="AQ114" s="196">
        <f t="shared" ref="AQ114" si="300">AP114*E114</f>
        <v>0</v>
      </c>
      <c r="AR114" s="221">
        <f>AL114+AM114+AN114+AO114+AQ114</f>
        <v>0</v>
      </c>
      <c r="AS114" s="221">
        <f>AK114+AR114</f>
        <v>79.977333333333334</v>
      </c>
      <c r="AT114" s="203">
        <f t="shared" si="288"/>
        <v>2583.2893333333332</v>
      </c>
      <c r="AV114" s="206"/>
      <c r="AW114" s="206"/>
    </row>
    <row r="115" spans="2:50" s="131" customFormat="1" ht="18" hidden="1" customHeight="1">
      <c r="B115" s="371"/>
      <c r="C115" s="371"/>
      <c r="D115" s="372"/>
      <c r="E115" s="391"/>
      <c r="F115" s="391"/>
      <c r="G115" s="391"/>
      <c r="H115" s="392"/>
      <c r="I115" s="391"/>
      <c r="J115" s="392"/>
      <c r="K115" s="393"/>
      <c r="L115" s="392"/>
      <c r="M115" s="391"/>
      <c r="N115" s="392"/>
      <c r="O115" s="393"/>
      <c r="P115" s="394"/>
      <c r="Q115" s="392"/>
      <c r="R115" s="391"/>
      <c r="S115" s="392"/>
      <c r="T115" s="393"/>
      <c r="U115" s="392"/>
      <c r="V115" s="391"/>
      <c r="W115" s="426"/>
      <c r="X115" s="393"/>
      <c r="Y115" s="393"/>
      <c r="Z115" s="392"/>
      <c r="AA115" s="391"/>
      <c r="AB115" s="392"/>
      <c r="AC115" s="393"/>
      <c r="AD115" s="392"/>
      <c r="AE115" s="391"/>
      <c r="AF115" s="392"/>
      <c r="AG115" s="393"/>
      <c r="AH115" s="393"/>
      <c r="AI115" s="394"/>
      <c r="AJ115" s="395"/>
      <c r="AK115" s="391"/>
      <c r="AL115" s="391"/>
      <c r="AM115" s="391"/>
      <c r="AN115" s="391"/>
      <c r="AO115" s="391"/>
      <c r="AP115" s="428"/>
      <c r="AQ115" s="391"/>
      <c r="AR115" s="396"/>
      <c r="AS115" s="396"/>
      <c r="AT115" s="397"/>
      <c r="AV115" s="206"/>
      <c r="AW115" s="204"/>
    </row>
    <row r="116" spans="2:50" s="131" customFormat="1" ht="18" hidden="1" customHeight="1">
      <c r="B116" s="194" t="s">
        <v>2024</v>
      </c>
      <c r="C116" s="194">
        <v>158</v>
      </c>
      <c r="D116" s="324" t="s">
        <v>1832</v>
      </c>
      <c r="E116" s="196">
        <f>11388</f>
        <v>11388</v>
      </c>
      <c r="F116" s="196">
        <v>871.39</v>
      </c>
      <c r="G116" s="196">
        <v>534.39</v>
      </c>
      <c r="H116" s="197">
        <v>4</v>
      </c>
      <c r="I116" s="196">
        <v>24</v>
      </c>
      <c r="J116" s="197">
        <v>26</v>
      </c>
      <c r="K116" s="219">
        <f t="shared" ref="K116" si="301">H116*I116*J116</f>
        <v>2496</v>
      </c>
      <c r="L116" s="197">
        <v>0</v>
      </c>
      <c r="M116" s="196">
        <v>0</v>
      </c>
      <c r="N116" s="197">
        <v>0</v>
      </c>
      <c r="O116" s="219">
        <f t="shared" ref="O116" si="302">L116*M116*N116</f>
        <v>0</v>
      </c>
      <c r="P116" s="220">
        <f t="shared" ref="P116" si="303">K116+O116</f>
        <v>2496</v>
      </c>
      <c r="Q116" s="197">
        <v>4</v>
      </c>
      <c r="R116" s="196">
        <v>44.3</v>
      </c>
      <c r="S116" s="197">
        <v>26</v>
      </c>
      <c r="T116" s="219">
        <f t="shared" ref="T116" si="304">Q116*R116*S116</f>
        <v>4607.2</v>
      </c>
      <c r="U116" s="197">
        <v>0</v>
      </c>
      <c r="V116" s="196">
        <v>0</v>
      </c>
      <c r="W116" s="207">
        <v>0</v>
      </c>
      <c r="X116" s="219">
        <f t="shared" ref="X116" si="305">U116*V116*W116</f>
        <v>0</v>
      </c>
      <c r="Y116" s="219">
        <f t="shared" ref="Y116" si="306">T116+X116</f>
        <v>4607.2</v>
      </c>
      <c r="Z116" s="197">
        <v>4</v>
      </c>
      <c r="AA116" s="196">
        <v>90</v>
      </c>
      <c r="AB116" s="197">
        <v>4</v>
      </c>
      <c r="AC116" s="399">
        <f t="shared" ref="AC116" si="307">Z116*AA116*AB116</f>
        <v>1440</v>
      </c>
      <c r="AD116" s="197">
        <v>0</v>
      </c>
      <c r="AE116" s="196">
        <v>0</v>
      </c>
      <c r="AF116" s="197">
        <v>0</v>
      </c>
      <c r="AG116" s="219">
        <f t="shared" ref="AG116" si="308">AD116*AE116*AF116</f>
        <v>0</v>
      </c>
      <c r="AH116" s="219">
        <f t="shared" ref="AH116" si="309">AC116+AG116</f>
        <v>1440</v>
      </c>
      <c r="AI116" s="220">
        <f t="shared" ref="AI116" si="310">F116+G116+P116+Y116+AH116</f>
        <v>9948.98</v>
      </c>
      <c r="AJ116" s="201">
        <f>AI116/E116</f>
        <v>0.87363716192483309</v>
      </c>
      <c r="AK116" s="196">
        <f>(E116-AI116)*$AK$15</f>
        <v>158.29220000000004</v>
      </c>
      <c r="AL116" s="196">
        <v>0</v>
      </c>
      <c r="AM116" s="196">
        <v>0</v>
      </c>
      <c r="AN116" s="196">
        <v>0</v>
      </c>
      <c r="AO116" s="196">
        <v>0</v>
      </c>
      <c r="AP116" s="247">
        <v>0</v>
      </c>
      <c r="AQ116" s="196">
        <f t="shared" ref="AQ116" si="311">AP116*E116</f>
        <v>0</v>
      </c>
      <c r="AR116" s="221">
        <f t="shared" ref="AR116" si="312">AL116+AM116+AN116+AO116+AQ116</f>
        <v>0</v>
      </c>
      <c r="AS116" s="221">
        <f t="shared" ref="AS116" si="313">AK116+AR116</f>
        <v>158.29220000000004</v>
      </c>
      <c r="AT116" s="203">
        <f t="shared" ref="AT116" si="314">E116-AS116</f>
        <v>11229.7078</v>
      </c>
      <c r="AU116" s="131" t="s">
        <v>1698</v>
      </c>
      <c r="AV116" s="206"/>
      <c r="AW116" s="216"/>
    </row>
    <row r="117" spans="2:50" s="131" customFormat="1" ht="18" hidden="1" customHeight="1">
      <c r="B117" s="194" t="s">
        <v>2024</v>
      </c>
      <c r="C117" s="194">
        <v>150</v>
      </c>
      <c r="D117" s="324" t="s">
        <v>2051</v>
      </c>
      <c r="E117" s="196">
        <v>35740</v>
      </c>
      <c r="F117" s="196">
        <v>6560.0627256516118</v>
      </c>
      <c r="G117" s="196">
        <v>4473.6244375503829</v>
      </c>
      <c r="H117" s="197">
        <v>5</v>
      </c>
      <c r="I117" s="196">
        <v>24</v>
      </c>
      <c r="J117" s="197">
        <v>26</v>
      </c>
      <c r="K117" s="219">
        <f t="shared" ref="K117:K124" si="315">H117*I117*J117</f>
        <v>3120</v>
      </c>
      <c r="L117" s="197">
        <v>0</v>
      </c>
      <c r="M117" s="196">
        <v>0</v>
      </c>
      <c r="N117" s="197">
        <v>0</v>
      </c>
      <c r="O117" s="219">
        <f t="shared" ref="O117:O124" si="316">L117*M117*N117</f>
        <v>0</v>
      </c>
      <c r="P117" s="220">
        <f t="shared" ref="P117:P124" si="317">K117+O117</f>
        <v>3120</v>
      </c>
      <c r="Q117" s="197">
        <v>5</v>
      </c>
      <c r="R117" s="196">
        <v>44.3</v>
      </c>
      <c r="S117" s="197">
        <v>26</v>
      </c>
      <c r="T117" s="219">
        <f t="shared" ref="T117:T124" si="318">Q117*R117*S117</f>
        <v>5759</v>
      </c>
      <c r="U117" s="197">
        <v>0</v>
      </c>
      <c r="V117" s="196">
        <v>0</v>
      </c>
      <c r="W117" s="207">
        <v>0</v>
      </c>
      <c r="X117" s="219">
        <f t="shared" ref="X117:X124" si="319">U117*V117*W117</f>
        <v>0</v>
      </c>
      <c r="Y117" s="219">
        <f t="shared" ref="Y117:Y124" si="320">T117+X117</f>
        <v>5759</v>
      </c>
      <c r="Z117" s="197">
        <v>5</v>
      </c>
      <c r="AA117" s="196">
        <v>90</v>
      </c>
      <c r="AB117" s="197">
        <v>2</v>
      </c>
      <c r="AC117" s="399">
        <f t="shared" ref="AC117:AC124" si="321">Z117*AA117*AB117</f>
        <v>900</v>
      </c>
      <c r="AD117" s="197">
        <v>0</v>
      </c>
      <c r="AE117" s="196">
        <v>0</v>
      </c>
      <c r="AF117" s="197">
        <v>0</v>
      </c>
      <c r="AG117" s="219">
        <f t="shared" ref="AG117:AG124" si="322">AD117*AE117*AF117</f>
        <v>0</v>
      </c>
      <c r="AH117" s="219">
        <f t="shared" ref="AH117:AH124" si="323">AC117+AG117</f>
        <v>900</v>
      </c>
      <c r="AI117" s="220">
        <f t="shared" ref="AI117" si="324">F117+G117+P117+Y117+AH117</f>
        <v>20812.687163201994</v>
      </c>
      <c r="AJ117" s="201">
        <f t="shared" ref="AJ117:AJ124" si="325">AI117/E117</f>
        <v>0.58233595867940668</v>
      </c>
      <c r="AK117" s="196">
        <f t="shared" ref="AK117:AK122" si="326">(E117-AI117)*$AK$15</f>
        <v>1642.0044120477808</v>
      </c>
      <c r="AL117" s="196">
        <v>0</v>
      </c>
      <c r="AM117" s="196">
        <v>0</v>
      </c>
      <c r="AN117" s="196">
        <v>0</v>
      </c>
      <c r="AO117" s="196">
        <v>0</v>
      </c>
      <c r="AP117" s="247">
        <v>0</v>
      </c>
      <c r="AQ117" s="196">
        <f t="shared" ref="AQ117:AQ124" si="327">AP117*E117</f>
        <v>0</v>
      </c>
      <c r="AR117" s="221">
        <f t="shared" ref="AR117:AR119" si="328">AL117+AM117+AN117+AO117+AQ117</f>
        <v>0</v>
      </c>
      <c r="AS117" s="221">
        <f t="shared" ref="AS117:AS119" si="329">AK117+AR117</f>
        <v>1642.0044120477808</v>
      </c>
      <c r="AT117" s="203">
        <f>E117-AS117</f>
        <v>34097.995587952217</v>
      </c>
      <c r="AV117" s="206"/>
      <c r="AW117" s="216"/>
    </row>
    <row r="118" spans="2:50" s="131" customFormat="1" ht="18" hidden="1" customHeight="1">
      <c r="B118" s="194" t="s">
        <v>2024</v>
      </c>
      <c r="C118" s="194">
        <v>151</v>
      </c>
      <c r="D118" s="324" t="s">
        <v>1831</v>
      </c>
      <c r="E118" s="213">
        <f>1562-395.05</f>
        <v>1166.95</v>
      </c>
      <c r="F118" s="196">
        <v>395.2</v>
      </c>
      <c r="G118" s="196">
        <v>0</v>
      </c>
      <c r="H118" s="197">
        <v>1</v>
      </c>
      <c r="I118" s="196">
        <v>24</v>
      </c>
      <c r="J118" s="197">
        <v>4</v>
      </c>
      <c r="K118" s="219">
        <f t="shared" si="315"/>
        <v>96</v>
      </c>
      <c r="L118" s="197">
        <v>0</v>
      </c>
      <c r="M118" s="196">
        <v>0</v>
      </c>
      <c r="N118" s="197">
        <v>0</v>
      </c>
      <c r="O118" s="219">
        <f t="shared" si="316"/>
        <v>0</v>
      </c>
      <c r="P118" s="220">
        <f t="shared" si="317"/>
        <v>96</v>
      </c>
      <c r="Q118" s="197">
        <v>1</v>
      </c>
      <c r="R118" s="196">
        <v>44.3</v>
      </c>
      <c r="S118" s="197">
        <v>4</v>
      </c>
      <c r="T118" s="219">
        <f t="shared" si="318"/>
        <v>177.2</v>
      </c>
      <c r="U118" s="197">
        <v>0</v>
      </c>
      <c r="V118" s="196">
        <v>0</v>
      </c>
      <c r="W118" s="207">
        <v>0</v>
      </c>
      <c r="X118" s="219">
        <f t="shared" si="319"/>
        <v>0</v>
      </c>
      <c r="Y118" s="219">
        <f t="shared" si="320"/>
        <v>177.2</v>
      </c>
      <c r="Z118" s="197">
        <v>1</v>
      </c>
      <c r="AA118" s="196">
        <v>90</v>
      </c>
      <c r="AB118" s="197">
        <v>1</v>
      </c>
      <c r="AC118" s="399">
        <f t="shared" si="321"/>
        <v>90</v>
      </c>
      <c r="AD118" s="197">
        <v>0</v>
      </c>
      <c r="AE118" s="196">
        <v>0</v>
      </c>
      <c r="AF118" s="197">
        <v>0</v>
      </c>
      <c r="AG118" s="219">
        <f t="shared" si="322"/>
        <v>0</v>
      </c>
      <c r="AH118" s="219">
        <f t="shared" si="323"/>
        <v>90</v>
      </c>
      <c r="AI118" s="220">
        <f>F118+G118+P118+Y118+AH118</f>
        <v>758.4</v>
      </c>
      <c r="AJ118" s="201">
        <f t="shared" si="325"/>
        <v>0.64989931016753066</v>
      </c>
      <c r="AK118" s="196">
        <f t="shared" si="326"/>
        <v>44.940500000000007</v>
      </c>
      <c r="AL118" s="196">
        <v>0</v>
      </c>
      <c r="AM118" s="196">
        <v>0</v>
      </c>
      <c r="AN118" s="196">
        <v>0</v>
      </c>
      <c r="AO118" s="196">
        <v>0</v>
      </c>
      <c r="AP118" s="247">
        <v>0</v>
      </c>
      <c r="AQ118" s="196">
        <f t="shared" si="327"/>
        <v>0</v>
      </c>
      <c r="AR118" s="221">
        <f t="shared" si="328"/>
        <v>0</v>
      </c>
      <c r="AS118" s="221">
        <f t="shared" si="329"/>
        <v>44.940500000000007</v>
      </c>
      <c r="AT118" s="203">
        <f t="shared" ref="AT118:AT124" si="330">E118-AS118</f>
        <v>1122.0095000000001</v>
      </c>
      <c r="AU118" s="131" t="s">
        <v>1698</v>
      </c>
      <c r="AV118" s="206"/>
      <c r="AW118" s="206"/>
    </row>
    <row r="119" spans="2:50" s="131" customFormat="1" ht="18" hidden="1" customHeight="1">
      <c r="B119" s="194" t="s">
        <v>2024</v>
      </c>
      <c r="C119" s="194">
        <v>152</v>
      </c>
      <c r="D119" s="324" t="s">
        <v>1634</v>
      </c>
      <c r="E119" s="196">
        <f>5964</f>
        <v>5964</v>
      </c>
      <c r="F119" s="196">
        <v>1043</v>
      </c>
      <c r="G119" s="196">
        <v>387</v>
      </c>
      <c r="H119" s="197">
        <v>1</v>
      </c>
      <c r="I119" s="196">
        <v>24</v>
      </c>
      <c r="J119" s="197">
        <v>26</v>
      </c>
      <c r="K119" s="219">
        <f t="shared" si="315"/>
        <v>624</v>
      </c>
      <c r="L119" s="197">
        <v>0</v>
      </c>
      <c r="M119" s="196">
        <v>0</v>
      </c>
      <c r="N119" s="197">
        <v>0</v>
      </c>
      <c r="O119" s="219">
        <f t="shared" si="316"/>
        <v>0</v>
      </c>
      <c r="P119" s="220">
        <f t="shared" si="317"/>
        <v>624</v>
      </c>
      <c r="Q119" s="197">
        <v>1</v>
      </c>
      <c r="R119" s="196">
        <v>44.3</v>
      </c>
      <c r="S119" s="197">
        <v>26</v>
      </c>
      <c r="T119" s="219">
        <f t="shared" si="318"/>
        <v>1151.8</v>
      </c>
      <c r="U119" s="197">
        <v>0</v>
      </c>
      <c r="V119" s="196">
        <v>0</v>
      </c>
      <c r="W119" s="207">
        <v>0</v>
      </c>
      <c r="X119" s="219">
        <f t="shared" si="319"/>
        <v>0</v>
      </c>
      <c r="Y119" s="219">
        <f t="shared" si="320"/>
        <v>1151.8</v>
      </c>
      <c r="Z119" s="197">
        <v>1</v>
      </c>
      <c r="AA119" s="196">
        <v>90</v>
      </c>
      <c r="AB119" s="197">
        <v>2</v>
      </c>
      <c r="AC119" s="399">
        <f t="shared" si="321"/>
        <v>180</v>
      </c>
      <c r="AD119" s="197">
        <v>0</v>
      </c>
      <c r="AE119" s="196">
        <v>0</v>
      </c>
      <c r="AF119" s="197">
        <v>0</v>
      </c>
      <c r="AG119" s="219">
        <f t="shared" si="322"/>
        <v>0</v>
      </c>
      <c r="AH119" s="219">
        <f t="shared" si="323"/>
        <v>180</v>
      </c>
      <c r="AI119" s="220">
        <f t="shared" ref="AI119:AI120" si="331">F119+G119+P119+Y119+AH119</f>
        <v>3385.8</v>
      </c>
      <c r="AJ119" s="201">
        <f t="shared" si="325"/>
        <v>0.56770623742454729</v>
      </c>
      <c r="AK119" s="196">
        <f t="shared" si="326"/>
        <v>283.60199999999998</v>
      </c>
      <c r="AL119" s="196">
        <v>0</v>
      </c>
      <c r="AM119" s="196">
        <v>0</v>
      </c>
      <c r="AN119" s="196">
        <v>0</v>
      </c>
      <c r="AO119" s="196">
        <v>0</v>
      </c>
      <c r="AP119" s="286">
        <v>4.19E-2</v>
      </c>
      <c r="AQ119" s="196">
        <f t="shared" si="327"/>
        <v>249.89160000000001</v>
      </c>
      <c r="AR119" s="221">
        <f t="shared" si="328"/>
        <v>249.89160000000001</v>
      </c>
      <c r="AS119" s="221">
        <f t="shared" si="329"/>
        <v>533.49360000000001</v>
      </c>
      <c r="AT119" s="203">
        <f t="shared" si="330"/>
        <v>5430.5064000000002</v>
      </c>
      <c r="AU119" s="131" t="s">
        <v>1698</v>
      </c>
      <c r="AV119" s="206"/>
      <c r="AW119" s="206"/>
    </row>
    <row r="120" spans="2:50" s="131" customFormat="1" ht="18" hidden="1" customHeight="1">
      <c r="B120" s="194" t="s">
        <v>2024</v>
      </c>
      <c r="C120" s="194">
        <v>153</v>
      </c>
      <c r="D120" s="324" t="s">
        <v>1833</v>
      </c>
      <c r="E120" s="196">
        <f>8960</f>
        <v>8960</v>
      </c>
      <c r="F120" s="196">
        <v>1190</v>
      </c>
      <c r="G120" s="196">
        <v>410</v>
      </c>
      <c r="H120" s="197">
        <v>2</v>
      </c>
      <c r="I120" s="196">
        <v>24</v>
      </c>
      <c r="J120" s="197">
        <v>16</v>
      </c>
      <c r="K120" s="219">
        <f t="shared" si="315"/>
        <v>768</v>
      </c>
      <c r="L120" s="197">
        <v>0</v>
      </c>
      <c r="M120" s="196">
        <v>0</v>
      </c>
      <c r="N120" s="197">
        <v>0</v>
      </c>
      <c r="O120" s="219">
        <f t="shared" si="316"/>
        <v>0</v>
      </c>
      <c r="P120" s="220">
        <f t="shared" si="317"/>
        <v>768</v>
      </c>
      <c r="Q120" s="197">
        <v>2</v>
      </c>
      <c r="R120" s="196">
        <v>44.3</v>
      </c>
      <c r="S120" s="197">
        <v>16</v>
      </c>
      <c r="T120" s="219">
        <f t="shared" si="318"/>
        <v>1417.6</v>
      </c>
      <c r="U120" s="197">
        <v>0</v>
      </c>
      <c r="V120" s="196">
        <v>0</v>
      </c>
      <c r="W120" s="207">
        <v>0</v>
      </c>
      <c r="X120" s="219">
        <f t="shared" si="319"/>
        <v>0</v>
      </c>
      <c r="Y120" s="219">
        <f t="shared" si="320"/>
        <v>1417.6</v>
      </c>
      <c r="Z120" s="197">
        <v>2</v>
      </c>
      <c r="AA120" s="196">
        <v>90</v>
      </c>
      <c r="AB120" s="197">
        <v>2</v>
      </c>
      <c r="AC120" s="399">
        <f t="shared" si="321"/>
        <v>360</v>
      </c>
      <c r="AD120" s="197">
        <v>0</v>
      </c>
      <c r="AE120" s="196">
        <v>0</v>
      </c>
      <c r="AF120" s="197">
        <v>0</v>
      </c>
      <c r="AG120" s="219">
        <f t="shared" si="322"/>
        <v>0</v>
      </c>
      <c r="AH120" s="219">
        <f t="shared" si="323"/>
        <v>360</v>
      </c>
      <c r="AI120" s="220">
        <f t="shared" si="331"/>
        <v>4145.6000000000004</v>
      </c>
      <c r="AJ120" s="201">
        <f t="shared" si="325"/>
        <v>0.46267857142857149</v>
      </c>
      <c r="AK120" s="196">
        <f t="shared" si="326"/>
        <v>529.58399999999995</v>
      </c>
      <c r="AL120" s="196">
        <v>0</v>
      </c>
      <c r="AM120" s="196">
        <v>0</v>
      </c>
      <c r="AN120" s="196">
        <v>0</v>
      </c>
      <c r="AO120" s="196">
        <v>0</v>
      </c>
      <c r="AP120" s="247">
        <v>0</v>
      </c>
      <c r="AQ120" s="196">
        <f t="shared" si="327"/>
        <v>0</v>
      </c>
      <c r="AR120" s="221">
        <f>AL120+AM120+AN120+AO120+AQ120</f>
        <v>0</v>
      </c>
      <c r="AS120" s="221">
        <f>AK120+AR120</f>
        <v>529.58399999999995</v>
      </c>
      <c r="AT120" s="203">
        <f t="shared" si="330"/>
        <v>8430.4159999999993</v>
      </c>
      <c r="AV120" s="206"/>
      <c r="AW120" s="206"/>
    </row>
    <row r="121" spans="2:50" s="131" customFormat="1" ht="18" hidden="1" customHeight="1">
      <c r="B121" s="194" t="s">
        <v>2024</v>
      </c>
      <c r="C121" s="194">
        <v>154</v>
      </c>
      <c r="D121" s="324" t="s">
        <v>1834</v>
      </c>
      <c r="E121" s="196">
        <v>6104</v>
      </c>
      <c r="F121" s="196">
        <v>950.61</v>
      </c>
      <c r="G121" s="196">
        <v>351.9</v>
      </c>
      <c r="H121" s="197">
        <v>1</v>
      </c>
      <c r="I121" s="196">
        <v>24</v>
      </c>
      <c r="J121" s="197">
        <v>26</v>
      </c>
      <c r="K121" s="219">
        <f t="shared" si="315"/>
        <v>624</v>
      </c>
      <c r="L121" s="197">
        <v>0</v>
      </c>
      <c r="M121" s="196">
        <v>0</v>
      </c>
      <c r="N121" s="197">
        <v>0</v>
      </c>
      <c r="O121" s="219">
        <f t="shared" si="316"/>
        <v>0</v>
      </c>
      <c r="P121" s="220">
        <f t="shared" si="317"/>
        <v>624</v>
      </c>
      <c r="Q121" s="197">
        <v>1</v>
      </c>
      <c r="R121" s="196">
        <v>44.3</v>
      </c>
      <c r="S121" s="197">
        <v>26</v>
      </c>
      <c r="T121" s="219">
        <f t="shared" si="318"/>
        <v>1151.8</v>
      </c>
      <c r="U121" s="197">
        <v>0</v>
      </c>
      <c r="V121" s="196">
        <v>0</v>
      </c>
      <c r="W121" s="207">
        <v>0</v>
      </c>
      <c r="X121" s="219">
        <f t="shared" si="319"/>
        <v>0</v>
      </c>
      <c r="Y121" s="219">
        <f t="shared" si="320"/>
        <v>1151.8</v>
      </c>
      <c r="Z121" s="197">
        <v>1</v>
      </c>
      <c r="AA121" s="196">
        <v>90</v>
      </c>
      <c r="AB121" s="197">
        <v>2</v>
      </c>
      <c r="AC121" s="399">
        <f t="shared" si="321"/>
        <v>180</v>
      </c>
      <c r="AD121" s="197">
        <v>0</v>
      </c>
      <c r="AE121" s="196">
        <v>0</v>
      </c>
      <c r="AF121" s="197">
        <v>0</v>
      </c>
      <c r="AG121" s="219">
        <f t="shared" si="322"/>
        <v>0</v>
      </c>
      <c r="AH121" s="219">
        <f t="shared" si="323"/>
        <v>180</v>
      </c>
      <c r="AI121" s="220">
        <f>F121+G121+P121+Y121+AH121</f>
        <v>3258.31</v>
      </c>
      <c r="AJ121" s="201">
        <f t="shared" si="325"/>
        <v>0.53379914809960682</v>
      </c>
      <c r="AK121" s="196">
        <f t="shared" si="326"/>
        <v>313.02590000000004</v>
      </c>
      <c r="AL121" s="196">
        <v>0</v>
      </c>
      <c r="AM121" s="196">
        <v>0</v>
      </c>
      <c r="AN121" s="196">
        <v>0</v>
      </c>
      <c r="AO121" s="196">
        <v>0</v>
      </c>
      <c r="AP121" s="286">
        <v>4.19E-2</v>
      </c>
      <c r="AQ121" s="196">
        <f t="shared" si="327"/>
        <v>255.7576</v>
      </c>
      <c r="AR121" s="221">
        <f t="shared" ref="AR121:AR122" si="332">AL121+AM121+AN121+AO121+AQ121</f>
        <v>255.7576</v>
      </c>
      <c r="AS121" s="221">
        <f t="shared" ref="AS121:AS122" si="333">AK121+AR121</f>
        <v>568.7835</v>
      </c>
      <c r="AT121" s="203">
        <f t="shared" si="330"/>
        <v>5535.2165000000005</v>
      </c>
      <c r="AU121" s="131" t="s">
        <v>1698</v>
      </c>
      <c r="AV121" s="206"/>
      <c r="AW121" s="206"/>
    </row>
    <row r="122" spans="2:50" s="131" customFormat="1" ht="18" hidden="1" customHeight="1">
      <c r="B122" s="194" t="s">
        <v>2024</v>
      </c>
      <c r="C122" s="194">
        <v>155</v>
      </c>
      <c r="D122" s="324" t="s">
        <v>1003</v>
      </c>
      <c r="E122" s="196">
        <f>18328</f>
        <v>18328</v>
      </c>
      <c r="F122" s="196">
        <v>2550</v>
      </c>
      <c r="G122" s="196">
        <v>703.8</v>
      </c>
      <c r="H122" s="197">
        <v>1</v>
      </c>
      <c r="I122" s="196">
        <v>24</v>
      </c>
      <c r="J122" s="197">
        <v>26</v>
      </c>
      <c r="K122" s="219">
        <f t="shared" si="315"/>
        <v>624</v>
      </c>
      <c r="L122" s="197">
        <v>2</v>
      </c>
      <c r="M122" s="196">
        <v>16</v>
      </c>
      <c r="N122" s="197">
        <v>16</v>
      </c>
      <c r="O122" s="219">
        <f t="shared" si="316"/>
        <v>512</v>
      </c>
      <c r="P122" s="220">
        <f t="shared" si="317"/>
        <v>1136</v>
      </c>
      <c r="Q122" s="197">
        <v>1</v>
      </c>
      <c r="R122" s="196">
        <v>44.3</v>
      </c>
      <c r="S122" s="197">
        <v>26</v>
      </c>
      <c r="T122" s="219">
        <f t="shared" si="318"/>
        <v>1151.8</v>
      </c>
      <c r="U122" s="197">
        <v>2</v>
      </c>
      <c r="V122" s="196">
        <v>44.3</v>
      </c>
      <c r="W122" s="207">
        <v>16</v>
      </c>
      <c r="X122" s="219">
        <f t="shared" si="319"/>
        <v>1417.6</v>
      </c>
      <c r="Y122" s="219">
        <f t="shared" si="320"/>
        <v>2569.3999999999996</v>
      </c>
      <c r="Z122" s="197">
        <v>1</v>
      </c>
      <c r="AA122" s="196">
        <v>80</v>
      </c>
      <c r="AB122" s="197">
        <v>2</v>
      </c>
      <c r="AC122" s="219">
        <f t="shared" si="321"/>
        <v>160</v>
      </c>
      <c r="AD122" s="197">
        <v>2</v>
      </c>
      <c r="AE122" s="196">
        <v>80</v>
      </c>
      <c r="AF122" s="197">
        <v>2</v>
      </c>
      <c r="AG122" s="219">
        <f t="shared" si="322"/>
        <v>320</v>
      </c>
      <c r="AH122" s="219">
        <f t="shared" si="323"/>
        <v>480</v>
      </c>
      <c r="AI122" s="220">
        <f t="shared" ref="AI122" si="334">F122+G122+P122+Y122+AH122</f>
        <v>7439.2</v>
      </c>
      <c r="AJ122" s="201">
        <f t="shared" si="325"/>
        <v>0.40589262330859888</v>
      </c>
      <c r="AK122" s="196">
        <f t="shared" si="326"/>
        <v>1197.768</v>
      </c>
      <c r="AL122" s="196">
        <v>0</v>
      </c>
      <c r="AM122" s="196">
        <v>0</v>
      </c>
      <c r="AN122" s="196">
        <v>0</v>
      </c>
      <c r="AO122" s="196">
        <v>0</v>
      </c>
      <c r="AP122" s="286">
        <v>4.19E-2</v>
      </c>
      <c r="AQ122" s="196">
        <f t="shared" si="327"/>
        <v>767.94320000000005</v>
      </c>
      <c r="AR122" s="221">
        <f t="shared" si="332"/>
        <v>767.94320000000005</v>
      </c>
      <c r="AS122" s="221">
        <f t="shared" si="333"/>
        <v>1965.7112000000002</v>
      </c>
      <c r="AT122" s="203">
        <f t="shared" si="330"/>
        <v>16362.2888</v>
      </c>
      <c r="AV122" s="206"/>
      <c r="AW122" s="204"/>
      <c r="AX122" s="401"/>
    </row>
    <row r="123" spans="2:50" s="131" customFormat="1" ht="18" hidden="1" customHeight="1">
      <c r="B123" s="194" t="s">
        <v>2024</v>
      </c>
      <c r="C123" s="194">
        <v>156</v>
      </c>
      <c r="D123" s="324" t="s">
        <v>2050</v>
      </c>
      <c r="E123" s="196">
        <v>5697</v>
      </c>
      <c r="F123" s="196">
        <v>620</v>
      </c>
      <c r="G123" s="196">
        <v>230</v>
      </c>
      <c r="H123" s="197">
        <v>1</v>
      </c>
      <c r="I123" s="196">
        <v>24</v>
      </c>
      <c r="J123" s="197">
        <v>26</v>
      </c>
      <c r="K123" s="219">
        <f t="shared" ref="K123" si="335">H123*I123*J123</f>
        <v>624</v>
      </c>
      <c r="L123" s="197">
        <v>0</v>
      </c>
      <c r="M123" s="196">
        <v>0</v>
      </c>
      <c r="N123" s="197">
        <v>0</v>
      </c>
      <c r="O123" s="219">
        <f t="shared" ref="O123" si="336">L123*M123*N123</f>
        <v>0</v>
      </c>
      <c r="P123" s="220">
        <f t="shared" ref="P123" si="337">K123+O123</f>
        <v>624</v>
      </c>
      <c r="Q123" s="197">
        <v>1</v>
      </c>
      <c r="R123" s="196">
        <v>44.3</v>
      </c>
      <c r="S123" s="197">
        <v>26</v>
      </c>
      <c r="T123" s="219">
        <f t="shared" ref="T123" si="338">Q123*R123*S123</f>
        <v>1151.8</v>
      </c>
      <c r="U123" s="197">
        <v>0</v>
      </c>
      <c r="V123" s="196">
        <v>0</v>
      </c>
      <c r="W123" s="207">
        <v>0</v>
      </c>
      <c r="X123" s="219">
        <f t="shared" ref="X123" si="339">U123*V123*W123</f>
        <v>0</v>
      </c>
      <c r="Y123" s="219">
        <f t="shared" ref="Y123" si="340">T123+X123</f>
        <v>1151.8</v>
      </c>
      <c r="Z123" s="197">
        <v>1</v>
      </c>
      <c r="AA123" s="196">
        <v>90</v>
      </c>
      <c r="AB123" s="197">
        <v>4</v>
      </c>
      <c r="AC123" s="399">
        <f t="shared" ref="AC123" si="341">Z123*AA123*AB123</f>
        <v>360</v>
      </c>
      <c r="AD123" s="197">
        <v>0</v>
      </c>
      <c r="AE123" s="196">
        <v>0</v>
      </c>
      <c r="AF123" s="197">
        <v>0</v>
      </c>
      <c r="AG123" s="219">
        <f t="shared" ref="AG123" si="342">AD123*AE123*AF123</f>
        <v>0</v>
      </c>
      <c r="AH123" s="219">
        <f t="shared" ref="AH123" si="343">AC123+AG123</f>
        <v>360</v>
      </c>
      <c r="AI123" s="220">
        <f>F123+G123+P123+Y123+AH123</f>
        <v>2985.8</v>
      </c>
      <c r="AJ123" s="201">
        <f t="shared" ref="AJ123" si="344">AI123/E123</f>
        <v>0.52410040372125688</v>
      </c>
      <c r="AK123" s="196">
        <f>(E123-AI123)*$AK$15</f>
        <v>298.23199999999997</v>
      </c>
      <c r="AL123" s="196">
        <v>0</v>
      </c>
      <c r="AM123" s="196">
        <v>0</v>
      </c>
      <c r="AN123" s="196">
        <v>0</v>
      </c>
      <c r="AO123" s="196">
        <v>0</v>
      </c>
      <c r="AP123" s="247">
        <v>0</v>
      </c>
      <c r="AQ123" s="196">
        <f t="shared" ref="AQ123" si="345">AP123*E123</f>
        <v>0</v>
      </c>
      <c r="AR123" s="221">
        <f>AL123+AM123+AN123+AO123+AQ123</f>
        <v>0</v>
      </c>
      <c r="AS123" s="221">
        <f>AK123+AR123</f>
        <v>298.23199999999997</v>
      </c>
      <c r="AT123" s="203">
        <f t="shared" si="330"/>
        <v>5398.768</v>
      </c>
      <c r="AV123" s="206"/>
      <c r="AW123" s="206"/>
    </row>
    <row r="124" spans="2:50" s="131" customFormat="1" ht="18" hidden="1" customHeight="1">
      <c r="B124" s="194" t="s">
        <v>2024</v>
      </c>
      <c r="C124" s="194">
        <v>157</v>
      </c>
      <c r="D124" s="324" t="s">
        <v>2049</v>
      </c>
      <c r="E124" s="196">
        <v>5707</v>
      </c>
      <c r="F124" s="196">
        <v>620</v>
      </c>
      <c r="G124" s="196">
        <v>230</v>
      </c>
      <c r="H124" s="197">
        <v>1</v>
      </c>
      <c r="I124" s="196">
        <v>24</v>
      </c>
      <c r="J124" s="197">
        <v>26</v>
      </c>
      <c r="K124" s="219">
        <f t="shared" si="315"/>
        <v>624</v>
      </c>
      <c r="L124" s="197">
        <v>0</v>
      </c>
      <c r="M124" s="196">
        <v>0</v>
      </c>
      <c r="N124" s="197">
        <v>0</v>
      </c>
      <c r="O124" s="219">
        <f t="shared" si="316"/>
        <v>0</v>
      </c>
      <c r="P124" s="220">
        <f t="shared" si="317"/>
        <v>624</v>
      </c>
      <c r="Q124" s="197">
        <v>1</v>
      </c>
      <c r="R124" s="196">
        <v>44.3</v>
      </c>
      <c r="S124" s="197">
        <v>26</v>
      </c>
      <c r="T124" s="219">
        <f t="shared" si="318"/>
        <v>1151.8</v>
      </c>
      <c r="U124" s="197">
        <v>0</v>
      </c>
      <c r="V124" s="196">
        <v>0</v>
      </c>
      <c r="W124" s="207">
        <v>0</v>
      </c>
      <c r="X124" s="219">
        <f t="shared" si="319"/>
        <v>0</v>
      </c>
      <c r="Y124" s="219">
        <f t="shared" si="320"/>
        <v>1151.8</v>
      </c>
      <c r="Z124" s="197">
        <v>1</v>
      </c>
      <c r="AA124" s="196">
        <v>90</v>
      </c>
      <c r="AB124" s="197">
        <v>4</v>
      </c>
      <c r="AC124" s="399">
        <f t="shared" si="321"/>
        <v>360</v>
      </c>
      <c r="AD124" s="197">
        <v>0</v>
      </c>
      <c r="AE124" s="196">
        <v>0</v>
      </c>
      <c r="AF124" s="197">
        <v>0</v>
      </c>
      <c r="AG124" s="219">
        <f t="shared" si="322"/>
        <v>0</v>
      </c>
      <c r="AH124" s="219">
        <f t="shared" si="323"/>
        <v>360</v>
      </c>
      <c r="AI124" s="220">
        <f>F124+G124+P124+Y124+AH124</f>
        <v>2985.8</v>
      </c>
      <c r="AJ124" s="201">
        <f t="shared" si="325"/>
        <v>0.52318205712283161</v>
      </c>
      <c r="AK124" s="196">
        <v>0</v>
      </c>
      <c r="AL124" s="196">
        <v>0</v>
      </c>
      <c r="AM124" s="196">
        <v>0</v>
      </c>
      <c r="AN124" s="196">
        <v>0</v>
      </c>
      <c r="AO124" s="196">
        <v>0</v>
      </c>
      <c r="AP124" s="247">
        <v>0</v>
      </c>
      <c r="AQ124" s="196">
        <f t="shared" si="327"/>
        <v>0</v>
      </c>
      <c r="AR124" s="221">
        <f>AL124+AM124+AN124+AO124+AQ124</f>
        <v>0</v>
      </c>
      <c r="AS124" s="221">
        <f>AK124+AR124</f>
        <v>0</v>
      </c>
      <c r="AT124" s="203">
        <f t="shared" si="330"/>
        <v>5707</v>
      </c>
      <c r="AU124" s="131" t="s">
        <v>1698</v>
      </c>
      <c r="AV124" s="206"/>
      <c r="AW124" s="206"/>
    </row>
    <row r="125" spans="2:50" s="131" customFormat="1" ht="18" hidden="1" customHeight="1">
      <c r="B125" s="371"/>
      <c r="C125" s="371"/>
      <c r="D125" s="372"/>
      <c r="E125" s="391"/>
      <c r="F125" s="391"/>
      <c r="G125" s="391"/>
      <c r="H125" s="392"/>
      <c r="I125" s="391"/>
      <c r="J125" s="392"/>
      <c r="K125" s="393"/>
      <c r="L125" s="392"/>
      <c r="M125" s="391"/>
      <c r="N125" s="392"/>
      <c r="O125" s="393"/>
      <c r="P125" s="394"/>
      <c r="Q125" s="392"/>
      <c r="R125" s="391"/>
      <c r="S125" s="392"/>
      <c r="T125" s="393"/>
      <c r="U125" s="392"/>
      <c r="V125" s="391"/>
      <c r="W125" s="426"/>
      <c r="X125" s="393"/>
      <c r="Y125" s="393"/>
      <c r="Z125" s="392"/>
      <c r="AA125" s="391"/>
      <c r="AB125" s="392"/>
      <c r="AC125" s="393"/>
      <c r="AD125" s="392"/>
      <c r="AE125" s="391"/>
      <c r="AF125" s="392"/>
      <c r="AG125" s="393"/>
      <c r="AH125" s="393"/>
      <c r="AI125" s="394"/>
      <c r="AJ125" s="395"/>
      <c r="AK125" s="391"/>
      <c r="AL125" s="391"/>
      <c r="AM125" s="391"/>
      <c r="AN125" s="391"/>
      <c r="AO125" s="391"/>
      <c r="AP125" s="428"/>
      <c r="AQ125" s="391"/>
      <c r="AR125" s="396"/>
      <c r="AS125" s="396"/>
      <c r="AT125" s="397"/>
      <c r="AV125" s="206"/>
      <c r="AW125" s="204"/>
    </row>
    <row r="126" spans="2:50" s="131" customFormat="1" ht="18" hidden="1" customHeight="1">
      <c r="B126" s="194" t="s">
        <v>2072</v>
      </c>
      <c r="C126" s="194">
        <v>166</v>
      </c>
      <c r="D126" s="324" t="s">
        <v>1832</v>
      </c>
      <c r="E126" s="196">
        <f>11388</f>
        <v>11388</v>
      </c>
      <c r="F126" s="196">
        <v>871.39</v>
      </c>
      <c r="G126" s="196">
        <v>534.39</v>
      </c>
      <c r="H126" s="197">
        <v>4</v>
      </c>
      <c r="I126" s="196">
        <v>24</v>
      </c>
      <c r="J126" s="197">
        <v>26</v>
      </c>
      <c r="K126" s="219">
        <f t="shared" ref="K126:K134" si="346">H126*I126*J126</f>
        <v>2496</v>
      </c>
      <c r="L126" s="197">
        <v>0</v>
      </c>
      <c r="M126" s="196">
        <v>0</v>
      </c>
      <c r="N126" s="197">
        <v>0</v>
      </c>
      <c r="O126" s="219">
        <f t="shared" ref="O126:O134" si="347">L126*M126*N126</f>
        <v>0</v>
      </c>
      <c r="P126" s="220">
        <f t="shared" ref="P126:P134" si="348">K126+O126</f>
        <v>2496</v>
      </c>
      <c r="Q126" s="197">
        <v>4</v>
      </c>
      <c r="R126" s="196">
        <v>44.3</v>
      </c>
      <c r="S126" s="197">
        <v>26</v>
      </c>
      <c r="T126" s="219">
        <f t="shared" ref="T126:T134" si="349">Q126*R126*S126</f>
        <v>4607.2</v>
      </c>
      <c r="U126" s="197">
        <v>0</v>
      </c>
      <c r="V126" s="196">
        <v>0</v>
      </c>
      <c r="W126" s="207">
        <v>0</v>
      </c>
      <c r="X126" s="219">
        <f t="shared" ref="X126:X134" si="350">U126*V126*W126</f>
        <v>0</v>
      </c>
      <c r="Y126" s="219">
        <f t="shared" ref="Y126:Y134" si="351">T126+X126</f>
        <v>4607.2</v>
      </c>
      <c r="Z126" s="197">
        <v>4</v>
      </c>
      <c r="AA126" s="196">
        <v>90</v>
      </c>
      <c r="AB126" s="197">
        <v>4</v>
      </c>
      <c r="AC126" s="399">
        <f t="shared" ref="AC126:AC134" si="352">Z126*AA126*AB126</f>
        <v>1440</v>
      </c>
      <c r="AD126" s="197">
        <v>0</v>
      </c>
      <c r="AE126" s="196">
        <v>0</v>
      </c>
      <c r="AF126" s="197">
        <v>0</v>
      </c>
      <c r="AG126" s="219">
        <f t="shared" ref="AG126:AG134" si="353">AD126*AE126*AF126</f>
        <v>0</v>
      </c>
      <c r="AH126" s="219">
        <f t="shared" ref="AH126:AH134" si="354">AC126+AG126</f>
        <v>1440</v>
      </c>
      <c r="AI126" s="220">
        <f t="shared" ref="AI126:AI127" si="355">F126+G126+P126+Y126+AH126</f>
        <v>9948.98</v>
      </c>
      <c r="AJ126" s="201">
        <f>AI126/E126</f>
        <v>0.87363716192483309</v>
      </c>
      <c r="AK126" s="196">
        <f>(E126-AI126)*$AK$15</f>
        <v>158.29220000000004</v>
      </c>
      <c r="AL126" s="196">
        <v>0</v>
      </c>
      <c r="AM126" s="196">
        <v>0</v>
      </c>
      <c r="AN126" s="196">
        <v>0</v>
      </c>
      <c r="AO126" s="196">
        <v>0</v>
      </c>
      <c r="AP126" s="247">
        <v>0</v>
      </c>
      <c r="AQ126" s="196">
        <f t="shared" ref="AQ126:AQ134" si="356">AP126*E126</f>
        <v>0</v>
      </c>
      <c r="AR126" s="221">
        <f t="shared" ref="AR126:AR129" si="357">AL126+AM126+AN126+AO126+AQ126</f>
        <v>0</v>
      </c>
      <c r="AS126" s="221">
        <f t="shared" ref="AS126:AS129" si="358">AK126+AR126</f>
        <v>158.29220000000004</v>
      </c>
      <c r="AT126" s="203">
        <f t="shared" ref="AT126" si="359">E126-AS126</f>
        <v>11229.7078</v>
      </c>
      <c r="AU126" s="131" t="s">
        <v>1698</v>
      </c>
      <c r="AV126" s="206"/>
      <c r="AW126" s="216"/>
    </row>
    <row r="127" spans="2:50" s="131" customFormat="1" ht="18" hidden="1" customHeight="1">
      <c r="B127" s="194" t="s">
        <v>2072</v>
      </c>
      <c r="C127" s="194">
        <v>159</v>
      </c>
      <c r="D127" s="324" t="s">
        <v>2051</v>
      </c>
      <c r="E127" s="196">
        <v>35740</v>
      </c>
      <c r="F127" s="196">
        <v>6560.0627256516118</v>
      </c>
      <c r="G127" s="196">
        <v>4473.6244375503829</v>
      </c>
      <c r="H127" s="197">
        <v>5</v>
      </c>
      <c r="I127" s="196">
        <v>24</v>
      </c>
      <c r="J127" s="197">
        <v>26</v>
      </c>
      <c r="K127" s="219">
        <f t="shared" si="346"/>
        <v>3120</v>
      </c>
      <c r="L127" s="197">
        <v>0</v>
      </c>
      <c r="M127" s="196">
        <v>0</v>
      </c>
      <c r="N127" s="197">
        <v>0</v>
      </c>
      <c r="O127" s="219">
        <f t="shared" si="347"/>
        <v>0</v>
      </c>
      <c r="P127" s="220">
        <f t="shared" si="348"/>
        <v>3120</v>
      </c>
      <c r="Q127" s="197">
        <v>5</v>
      </c>
      <c r="R127" s="196">
        <v>44.3</v>
      </c>
      <c r="S127" s="197">
        <v>26</v>
      </c>
      <c r="T127" s="219">
        <f t="shared" si="349"/>
        <v>5759</v>
      </c>
      <c r="U127" s="197">
        <v>0</v>
      </c>
      <c r="V127" s="196">
        <v>0</v>
      </c>
      <c r="W127" s="207">
        <v>0</v>
      </c>
      <c r="X127" s="219">
        <f t="shared" si="350"/>
        <v>0</v>
      </c>
      <c r="Y127" s="219">
        <f t="shared" si="351"/>
        <v>5759</v>
      </c>
      <c r="Z127" s="197">
        <v>5</v>
      </c>
      <c r="AA127" s="196">
        <v>90</v>
      </c>
      <c r="AB127" s="197">
        <v>2</v>
      </c>
      <c r="AC127" s="399">
        <f t="shared" si="352"/>
        <v>900</v>
      </c>
      <c r="AD127" s="197">
        <v>0</v>
      </c>
      <c r="AE127" s="196">
        <v>0</v>
      </c>
      <c r="AF127" s="197">
        <v>0</v>
      </c>
      <c r="AG127" s="219">
        <f t="shared" si="353"/>
        <v>0</v>
      </c>
      <c r="AH127" s="219">
        <f t="shared" si="354"/>
        <v>900</v>
      </c>
      <c r="AI127" s="220">
        <f t="shared" si="355"/>
        <v>20812.687163201994</v>
      </c>
      <c r="AJ127" s="201">
        <f t="shared" ref="AJ127:AJ134" si="360">AI127/E127</f>
        <v>0.58233595867940668</v>
      </c>
      <c r="AK127" s="196">
        <f t="shared" ref="AK127:AK132" si="361">(E127-AI127)*$AK$15</f>
        <v>1642.0044120477808</v>
      </c>
      <c r="AL127" s="196">
        <v>0</v>
      </c>
      <c r="AM127" s="196">
        <v>0</v>
      </c>
      <c r="AN127" s="196">
        <v>0</v>
      </c>
      <c r="AO127" s="196">
        <v>0</v>
      </c>
      <c r="AP127" s="247">
        <v>0</v>
      </c>
      <c r="AQ127" s="196">
        <f t="shared" si="356"/>
        <v>0</v>
      </c>
      <c r="AR127" s="221">
        <f t="shared" si="357"/>
        <v>0</v>
      </c>
      <c r="AS127" s="221">
        <f t="shared" si="358"/>
        <v>1642.0044120477808</v>
      </c>
      <c r="AT127" s="203">
        <f>E127-AS127</f>
        <v>34097.995587952217</v>
      </c>
      <c r="AV127" s="206"/>
      <c r="AW127" s="216"/>
    </row>
    <row r="128" spans="2:50" s="131" customFormat="1" ht="18" hidden="1" customHeight="1">
      <c r="B128" s="194" t="s">
        <v>2072</v>
      </c>
      <c r="C128" s="194">
        <v>160</v>
      </c>
      <c r="D128" s="324" t="s">
        <v>1831</v>
      </c>
      <c r="E128" s="213">
        <f>1562</f>
        <v>1562</v>
      </c>
      <c r="F128" s="196">
        <v>395.2</v>
      </c>
      <c r="G128" s="196">
        <v>0</v>
      </c>
      <c r="H128" s="197">
        <v>1</v>
      </c>
      <c r="I128" s="196">
        <v>24</v>
      </c>
      <c r="J128" s="197">
        <v>4</v>
      </c>
      <c r="K128" s="219">
        <f t="shared" si="346"/>
        <v>96</v>
      </c>
      <c r="L128" s="197">
        <v>0</v>
      </c>
      <c r="M128" s="196">
        <v>0</v>
      </c>
      <c r="N128" s="197">
        <v>0</v>
      </c>
      <c r="O128" s="219">
        <f t="shared" si="347"/>
        <v>0</v>
      </c>
      <c r="P128" s="220">
        <f t="shared" si="348"/>
        <v>96</v>
      </c>
      <c r="Q128" s="197">
        <v>1</v>
      </c>
      <c r="R128" s="196">
        <v>44.3</v>
      </c>
      <c r="S128" s="197">
        <v>4</v>
      </c>
      <c r="T128" s="219">
        <f t="shared" si="349"/>
        <v>177.2</v>
      </c>
      <c r="U128" s="197">
        <v>0</v>
      </c>
      <c r="V128" s="196">
        <v>0</v>
      </c>
      <c r="W128" s="207">
        <v>0</v>
      </c>
      <c r="X128" s="219">
        <f t="shared" si="350"/>
        <v>0</v>
      </c>
      <c r="Y128" s="219">
        <f t="shared" si="351"/>
        <v>177.2</v>
      </c>
      <c r="Z128" s="197">
        <v>1</v>
      </c>
      <c r="AA128" s="196">
        <v>90</v>
      </c>
      <c r="AB128" s="197">
        <v>1</v>
      </c>
      <c r="AC128" s="399">
        <f t="shared" si="352"/>
        <v>90</v>
      </c>
      <c r="AD128" s="197">
        <v>0</v>
      </c>
      <c r="AE128" s="196">
        <v>0</v>
      </c>
      <c r="AF128" s="197">
        <v>0</v>
      </c>
      <c r="AG128" s="219">
        <f t="shared" si="353"/>
        <v>0</v>
      </c>
      <c r="AH128" s="219">
        <f t="shared" si="354"/>
        <v>90</v>
      </c>
      <c r="AI128" s="220">
        <f>F128+G128+P128+Y128+AH128</f>
        <v>758.4</v>
      </c>
      <c r="AJ128" s="201">
        <f t="shared" si="360"/>
        <v>0.48553137003841229</v>
      </c>
      <c r="AK128" s="196">
        <f t="shared" si="361"/>
        <v>88.396000000000001</v>
      </c>
      <c r="AL128" s="196">
        <v>0</v>
      </c>
      <c r="AM128" s="196">
        <v>0</v>
      </c>
      <c r="AN128" s="196">
        <v>0</v>
      </c>
      <c r="AO128" s="196">
        <v>0</v>
      </c>
      <c r="AP128" s="247">
        <v>0</v>
      </c>
      <c r="AQ128" s="196">
        <f t="shared" si="356"/>
        <v>0</v>
      </c>
      <c r="AR128" s="221">
        <f t="shared" si="357"/>
        <v>0</v>
      </c>
      <c r="AS128" s="221">
        <f t="shared" si="358"/>
        <v>88.396000000000001</v>
      </c>
      <c r="AT128" s="203">
        <f t="shared" ref="AT128:AT134" si="362">E128-AS128</f>
        <v>1473.604</v>
      </c>
      <c r="AV128" s="206"/>
      <c r="AW128" s="206"/>
    </row>
    <row r="129" spans="2:50" s="131" customFormat="1" ht="18" hidden="1" customHeight="1">
      <c r="B129" s="194" t="s">
        <v>2072</v>
      </c>
      <c r="C129" s="194">
        <v>167</v>
      </c>
      <c r="D129" s="324" t="s">
        <v>1634</v>
      </c>
      <c r="E129" s="196">
        <f>5964</f>
        <v>5964</v>
      </c>
      <c r="F129" s="196">
        <v>1043</v>
      </c>
      <c r="G129" s="196">
        <v>387</v>
      </c>
      <c r="H129" s="197">
        <v>1</v>
      </c>
      <c r="I129" s="196">
        <v>24</v>
      </c>
      <c r="J129" s="197">
        <v>26</v>
      </c>
      <c r="K129" s="219">
        <f t="shared" si="346"/>
        <v>624</v>
      </c>
      <c r="L129" s="197">
        <v>0</v>
      </c>
      <c r="M129" s="196">
        <v>0</v>
      </c>
      <c r="N129" s="197">
        <v>0</v>
      </c>
      <c r="O129" s="219">
        <f t="shared" si="347"/>
        <v>0</v>
      </c>
      <c r="P129" s="220">
        <f t="shared" si="348"/>
        <v>624</v>
      </c>
      <c r="Q129" s="197">
        <v>1</v>
      </c>
      <c r="R129" s="196">
        <v>44.3</v>
      </c>
      <c r="S129" s="197">
        <v>26</v>
      </c>
      <c r="T129" s="219">
        <f t="shared" si="349"/>
        <v>1151.8</v>
      </c>
      <c r="U129" s="197">
        <v>0</v>
      </c>
      <c r="V129" s="196">
        <v>0</v>
      </c>
      <c r="W129" s="207">
        <v>0</v>
      </c>
      <c r="X129" s="219">
        <f t="shared" si="350"/>
        <v>0</v>
      </c>
      <c r="Y129" s="219">
        <f t="shared" si="351"/>
        <v>1151.8</v>
      </c>
      <c r="Z129" s="197">
        <v>1</v>
      </c>
      <c r="AA129" s="196">
        <v>90</v>
      </c>
      <c r="AB129" s="197">
        <v>2</v>
      </c>
      <c r="AC129" s="399">
        <f t="shared" si="352"/>
        <v>180</v>
      </c>
      <c r="AD129" s="197">
        <v>0</v>
      </c>
      <c r="AE129" s="196">
        <v>0</v>
      </c>
      <c r="AF129" s="197">
        <v>0</v>
      </c>
      <c r="AG129" s="219">
        <f t="shared" si="353"/>
        <v>0</v>
      </c>
      <c r="AH129" s="219">
        <f t="shared" si="354"/>
        <v>180</v>
      </c>
      <c r="AI129" s="220">
        <f t="shared" ref="AI129:AI130" si="363">F129+G129+P129+Y129+AH129</f>
        <v>3385.8</v>
      </c>
      <c r="AJ129" s="201">
        <f t="shared" si="360"/>
        <v>0.56770623742454729</v>
      </c>
      <c r="AK129" s="196">
        <f t="shared" si="361"/>
        <v>283.60199999999998</v>
      </c>
      <c r="AL129" s="196">
        <v>0</v>
      </c>
      <c r="AM129" s="196">
        <v>0</v>
      </c>
      <c r="AN129" s="196">
        <v>0</v>
      </c>
      <c r="AO129" s="196">
        <v>0</v>
      </c>
      <c r="AP129" s="286">
        <v>4.2700000000000002E-2</v>
      </c>
      <c r="AQ129" s="196">
        <f t="shared" si="356"/>
        <v>254.6628</v>
      </c>
      <c r="AR129" s="221">
        <f t="shared" si="357"/>
        <v>254.6628</v>
      </c>
      <c r="AS129" s="221">
        <f t="shared" si="358"/>
        <v>538.26479999999992</v>
      </c>
      <c r="AT129" s="203">
        <f t="shared" si="362"/>
        <v>5425.7352000000001</v>
      </c>
      <c r="AU129" s="131" t="s">
        <v>1698</v>
      </c>
      <c r="AV129" s="206"/>
      <c r="AW129" s="206"/>
    </row>
    <row r="130" spans="2:50" s="131" customFormat="1" ht="18" hidden="1" customHeight="1">
      <c r="B130" s="194" t="s">
        <v>2072</v>
      </c>
      <c r="C130" s="194">
        <v>161</v>
      </c>
      <c r="D130" s="324" t="s">
        <v>1833</v>
      </c>
      <c r="E130" s="196">
        <f>8960</f>
        <v>8960</v>
      </c>
      <c r="F130" s="196">
        <v>1190</v>
      </c>
      <c r="G130" s="196">
        <v>410</v>
      </c>
      <c r="H130" s="197">
        <v>2</v>
      </c>
      <c r="I130" s="196">
        <v>24</v>
      </c>
      <c r="J130" s="197">
        <v>16</v>
      </c>
      <c r="K130" s="219">
        <f t="shared" si="346"/>
        <v>768</v>
      </c>
      <c r="L130" s="197">
        <v>0</v>
      </c>
      <c r="M130" s="196">
        <v>0</v>
      </c>
      <c r="N130" s="197">
        <v>0</v>
      </c>
      <c r="O130" s="219">
        <f t="shared" si="347"/>
        <v>0</v>
      </c>
      <c r="P130" s="220">
        <f t="shared" si="348"/>
        <v>768</v>
      </c>
      <c r="Q130" s="197">
        <v>2</v>
      </c>
      <c r="R130" s="196">
        <v>44.3</v>
      </c>
      <c r="S130" s="197">
        <v>16</v>
      </c>
      <c r="T130" s="219">
        <f t="shared" si="349"/>
        <v>1417.6</v>
      </c>
      <c r="U130" s="197">
        <v>0</v>
      </c>
      <c r="V130" s="196">
        <v>0</v>
      </c>
      <c r="W130" s="207">
        <v>0</v>
      </c>
      <c r="X130" s="219">
        <f t="shared" si="350"/>
        <v>0</v>
      </c>
      <c r="Y130" s="219">
        <f t="shared" si="351"/>
        <v>1417.6</v>
      </c>
      <c r="Z130" s="197">
        <v>2</v>
      </c>
      <c r="AA130" s="196">
        <v>90</v>
      </c>
      <c r="AB130" s="197">
        <v>2</v>
      </c>
      <c r="AC130" s="399">
        <f t="shared" si="352"/>
        <v>360</v>
      </c>
      <c r="AD130" s="197">
        <v>0</v>
      </c>
      <c r="AE130" s="196">
        <v>0</v>
      </c>
      <c r="AF130" s="197">
        <v>0</v>
      </c>
      <c r="AG130" s="219">
        <f t="shared" si="353"/>
        <v>0</v>
      </c>
      <c r="AH130" s="219">
        <f t="shared" si="354"/>
        <v>360</v>
      </c>
      <c r="AI130" s="220">
        <f t="shared" si="363"/>
        <v>4145.6000000000004</v>
      </c>
      <c r="AJ130" s="201">
        <f t="shared" si="360"/>
        <v>0.46267857142857149</v>
      </c>
      <c r="AK130" s="196">
        <f t="shared" si="361"/>
        <v>529.58399999999995</v>
      </c>
      <c r="AL130" s="196">
        <v>0</v>
      </c>
      <c r="AM130" s="196">
        <v>0</v>
      </c>
      <c r="AN130" s="196">
        <v>0</v>
      </c>
      <c r="AO130" s="196">
        <v>0</v>
      </c>
      <c r="AP130" s="247">
        <v>0</v>
      </c>
      <c r="AQ130" s="196">
        <f t="shared" si="356"/>
        <v>0</v>
      </c>
      <c r="AR130" s="221">
        <f>AL130+AM130+AN130+AO130+AQ130</f>
        <v>0</v>
      </c>
      <c r="AS130" s="221">
        <f>AK130+AR130</f>
        <v>529.58399999999995</v>
      </c>
      <c r="AT130" s="203">
        <f t="shared" si="362"/>
        <v>8430.4159999999993</v>
      </c>
      <c r="AV130" s="206"/>
      <c r="AW130" s="206"/>
    </row>
    <row r="131" spans="2:50" s="131" customFormat="1" ht="18" hidden="1" customHeight="1">
      <c r="B131" s="194" t="s">
        <v>2072</v>
      </c>
      <c r="C131" s="194">
        <v>162</v>
      </c>
      <c r="D131" s="324" t="s">
        <v>1834</v>
      </c>
      <c r="E131" s="196">
        <v>6104</v>
      </c>
      <c r="F131" s="196">
        <v>950.61</v>
      </c>
      <c r="G131" s="196">
        <v>351.9</v>
      </c>
      <c r="H131" s="197">
        <v>1</v>
      </c>
      <c r="I131" s="196">
        <v>24</v>
      </c>
      <c r="J131" s="197">
        <v>26</v>
      </c>
      <c r="K131" s="219">
        <f t="shared" si="346"/>
        <v>624</v>
      </c>
      <c r="L131" s="197">
        <v>0</v>
      </c>
      <c r="M131" s="196">
        <v>0</v>
      </c>
      <c r="N131" s="197">
        <v>0</v>
      </c>
      <c r="O131" s="219">
        <f t="shared" si="347"/>
        <v>0</v>
      </c>
      <c r="P131" s="220">
        <f t="shared" si="348"/>
        <v>624</v>
      </c>
      <c r="Q131" s="197">
        <v>1</v>
      </c>
      <c r="R131" s="196">
        <v>44.3</v>
      </c>
      <c r="S131" s="197">
        <v>26</v>
      </c>
      <c r="T131" s="219">
        <f t="shared" si="349"/>
        <v>1151.8</v>
      </c>
      <c r="U131" s="197">
        <v>0</v>
      </c>
      <c r="V131" s="196">
        <v>0</v>
      </c>
      <c r="W131" s="207">
        <v>0</v>
      </c>
      <c r="X131" s="219">
        <f t="shared" si="350"/>
        <v>0</v>
      </c>
      <c r="Y131" s="219">
        <f t="shared" si="351"/>
        <v>1151.8</v>
      </c>
      <c r="Z131" s="197">
        <v>1</v>
      </c>
      <c r="AA131" s="196">
        <v>90</v>
      </c>
      <c r="AB131" s="197">
        <v>2</v>
      </c>
      <c r="AC131" s="399">
        <f t="shared" si="352"/>
        <v>180</v>
      </c>
      <c r="AD131" s="197">
        <v>0</v>
      </c>
      <c r="AE131" s="196">
        <v>0</v>
      </c>
      <c r="AF131" s="197">
        <v>0</v>
      </c>
      <c r="AG131" s="219">
        <f t="shared" si="353"/>
        <v>0</v>
      </c>
      <c r="AH131" s="219">
        <f t="shared" si="354"/>
        <v>180</v>
      </c>
      <c r="AI131" s="220">
        <f>F131+G131+P131+Y131+AH131</f>
        <v>3258.31</v>
      </c>
      <c r="AJ131" s="201">
        <f t="shared" si="360"/>
        <v>0.53379914809960682</v>
      </c>
      <c r="AK131" s="196">
        <f t="shared" si="361"/>
        <v>313.02590000000004</v>
      </c>
      <c r="AL131" s="196">
        <v>0</v>
      </c>
      <c r="AM131" s="196">
        <v>0</v>
      </c>
      <c r="AN131" s="196">
        <v>0</v>
      </c>
      <c r="AO131" s="196">
        <v>0</v>
      </c>
      <c r="AP131" s="286">
        <v>4.2700000000000002E-2</v>
      </c>
      <c r="AQ131" s="196">
        <f t="shared" si="356"/>
        <v>260.64080000000001</v>
      </c>
      <c r="AR131" s="221">
        <f t="shared" ref="AR131:AR132" si="364">AL131+AM131+AN131+AO131+AQ131</f>
        <v>260.64080000000001</v>
      </c>
      <c r="AS131" s="221">
        <f t="shared" ref="AS131:AS132" si="365">AK131+AR131</f>
        <v>573.66669999999999</v>
      </c>
      <c r="AT131" s="203">
        <f t="shared" si="362"/>
        <v>5530.3333000000002</v>
      </c>
      <c r="AV131" s="206"/>
      <c r="AW131" s="206"/>
    </row>
    <row r="132" spans="2:50" s="131" customFormat="1" ht="18" hidden="1" customHeight="1">
      <c r="B132" s="194" t="s">
        <v>2072</v>
      </c>
      <c r="C132" s="194">
        <v>163</v>
      </c>
      <c r="D132" s="324" t="s">
        <v>1003</v>
      </c>
      <c r="E132" s="196">
        <f>18328</f>
        <v>18328</v>
      </c>
      <c r="F132" s="196">
        <v>2550</v>
      </c>
      <c r="G132" s="196">
        <v>703.8</v>
      </c>
      <c r="H132" s="197">
        <v>1</v>
      </c>
      <c r="I132" s="196">
        <v>24</v>
      </c>
      <c r="J132" s="197">
        <v>26</v>
      </c>
      <c r="K132" s="219">
        <f t="shared" si="346"/>
        <v>624</v>
      </c>
      <c r="L132" s="197">
        <v>2</v>
      </c>
      <c r="M132" s="196">
        <v>16</v>
      </c>
      <c r="N132" s="197">
        <v>16</v>
      </c>
      <c r="O132" s="219">
        <f t="shared" si="347"/>
        <v>512</v>
      </c>
      <c r="P132" s="220">
        <f t="shared" si="348"/>
        <v>1136</v>
      </c>
      <c r="Q132" s="197">
        <v>1</v>
      </c>
      <c r="R132" s="196">
        <v>44.3</v>
      </c>
      <c r="S132" s="197">
        <v>26</v>
      </c>
      <c r="T132" s="219">
        <f t="shared" si="349"/>
        <v>1151.8</v>
      </c>
      <c r="U132" s="197">
        <v>2</v>
      </c>
      <c r="V132" s="196">
        <v>44.3</v>
      </c>
      <c r="W132" s="207">
        <v>16</v>
      </c>
      <c r="X132" s="219">
        <f t="shared" si="350"/>
        <v>1417.6</v>
      </c>
      <c r="Y132" s="219">
        <f t="shared" si="351"/>
        <v>2569.3999999999996</v>
      </c>
      <c r="Z132" s="197">
        <v>1</v>
      </c>
      <c r="AA132" s="196">
        <v>80</v>
      </c>
      <c r="AB132" s="197">
        <v>2</v>
      </c>
      <c r="AC132" s="219">
        <f t="shared" si="352"/>
        <v>160</v>
      </c>
      <c r="AD132" s="197">
        <v>2</v>
      </c>
      <c r="AE132" s="196">
        <v>80</v>
      </c>
      <c r="AF132" s="197">
        <v>2</v>
      </c>
      <c r="AG132" s="219">
        <f t="shared" si="353"/>
        <v>320</v>
      </c>
      <c r="AH132" s="219">
        <f t="shared" si="354"/>
        <v>480</v>
      </c>
      <c r="AI132" s="220">
        <f t="shared" ref="AI132" si="366">F132+G132+P132+Y132+AH132</f>
        <v>7439.2</v>
      </c>
      <c r="AJ132" s="201">
        <f t="shared" si="360"/>
        <v>0.40589262330859888</v>
      </c>
      <c r="AK132" s="196">
        <f t="shared" si="361"/>
        <v>1197.768</v>
      </c>
      <c r="AL132" s="196">
        <v>0</v>
      </c>
      <c r="AM132" s="196">
        <v>0</v>
      </c>
      <c r="AN132" s="196">
        <v>0</v>
      </c>
      <c r="AO132" s="196">
        <v>0</v>
      </c>
      <c r="AP132" s="286">
        <v>4.2700000000000002E-2</v>
      </c>
      <c r="AQ132" s="196">
        <f t="shared" si="356"/>
        <v>782.60559999999998</v>
      </c>
      <c r="AR132" s="221">
        <f t="shared" si="364"/>
        <v>782.60559999999998</v>
      </c>
      <c r="AS132" s="221">
        <f t="shared" si="365"/>
        <v>1980.3735999999999</v>
      </c>
      <c r="AT132" s="203">
        <f t="shared" si="362"/>
        <v>16347.626400000001</v>
      </c>
      <c r="AV132" s="206"/>
      <c r="AW132" s="204"/>
      <c r="AX132" s="401"/>
    </row>
    <row r="133" spans="2:50" s="131" customFormat="1" ht="18" hidden="1" customHeight="1">
      <c r="B133" s="194" t="s">
        <v>2072</v>
      </c>
      <c r="C133" s="194">
        <v>164</v>
      </c>
      <c r="D133" s="324" t="s">
        <v>2050</v>
      </c>
      <c r="E133" s="196">
        <v>5697</v>
      </c>
      <c r="F133" s="196">
        <v>620</v>
      </c>
      <c r="G133" s="196">
        <v>230</v>
      </c>
      <c r="H133" s="197">
        <v>1</v>
      </c>
      <c r="I133" s="196">
        <v>24</v>
      </c>
      <c r="J133" s="197">
        <v>26</v>
      </c>
      <c r="K133" s="219">
        <f t="shared" si="346"/>
        <v>624</v>
      </c>
      <c r="L133" s="197">
        <v>0</v>
      </c>
      <c r="M133" s="196">
        <v>0</v>
      </c>
      <c r="N133" s="197">
        <v>0</v>
      </c>
      <c r="O133" s="219">
        <f t="shared" si="347"/>
        <v>0</v>
      </c>
      <c r="P133" s="220">
        <f t="shared" si="348"/>
        <v>624</v>
      </c>
      <c r="Q133" s="197">
        <v>1</v>
      </c>
      <c r="R133" s="196">
        <v>44.3</v>
      </c>
      <c r="S133" s="197">
        <v>26</v>
      </c>
      <c r="T133" s="219">
        <f t="shared" si="349"/>
        <v>1151.8</v>
      </c>
      <c r="U133" s="197">
        <v>0</v>
      </c>
      <c r="V133" s="196">
        <v>0</v>
      </c>
      <c r="W133" s="207">
        <v>0</v>
      </c>
      <c r="X133" s="219">
        <f t="shared" si="350"/>
        <v>0</v>
      </c>
      <c r="Y133" s="219">
        <f t="shared" si="351"/>
        <v>1151.8</v>
      </c>
      <c r="Z133" s="197">
        <v>1</v>
      </c>
      <c r="AA133" s="196">
        <v>90</v>
      </c>
      <c r="AB133" s="197">
        <v>4</v>
      </c>
      <c r="AC133" s="399">
        <f t="shared" si="352"/>
        <v>360</v>
      </c>
      <c r="AD133" s="197">
        <v>0</v>
      </c>
      <c r="AE133" s="196">
        <v>0</v>
      </c>
      <c r="AF133" s="197">
        <v>0</v>
      </c>
      <c r="AG133" s="219">
        <f t="shared" si="353"/>
        <v>0</v>
      </c>
      <c r="AH133" s="219">
        <f t="shared" si="354"/>
        <v>360</v>
      </c>
      <c r="AI133" s="220">
        <f>F133+G133+P133+Y133+AH133</f>
        <v>2985.8</v>
      </c>
      <c r="AJ133" s="201">
        <f t="shared" si="360"/>
        <v>0.52410040372125688</v>
      </c>
      <c r="AK133" s="196">
        <f>(E133-AI133)*$AK$15</f>
        <v>298.23199999999997</v>
      </c>
      <c r="AL133" s="196">
        <v>0</v>
      </c>
      <c r="AM133" s="196">
        <v>0</v>
      </c>
      <c r="AN133" s="196">
        <v>0</v>
      </c>
      <c r="AO133" s="196">
        <v>0</v>
      </c>
      <c r="AP133" s="247">
        <v>0</v>
      </c>
      <c r="AQ133" s="196">
        <f t="shared" si="356"/>
        <v>0</v>
      </c>
      <c r="AR133" s="221">
        <f>AL133+AM133+AN133+AO133+AQ133</f>
        <v>0</v>
      </c>
      <c r="AS133" s="221">
        <f>AK133+AR133</f>
        <v>298.23199999999997</v>
      </c>
      <c r="AT133" s="203">
        <f t="shared" si="362"/>
        <v>5398.768</v>
      </c>
      <c r="AV133" s="206"/>
      <c r="AW133" s="206"/>
    </row>
    <row r="134" spans="2:50" s="131" customFormat="1" ht="18" hidden="1" customHeight="1">
      <c r="B134" s="194" t="s">
        <v>2072</v>
      </c>
      <c r="C134" s="194">
        <v>165</v>
      </c>
      <c r="D134" s="324" t="s">
        <v>2049</v>
      </c>
      <c r="E134" s="196">
        <v>5707</v>
      </c>
      <c r="F134" s="196">
        <v>620</v>
      </c>
      <c r="G134" s="196">
        <v>230</v>
      </c>
      <c r="H134" s="197">
        <v>1</v>
      </c>
      <c r="I134" s="196">
        <v>24</v>
      </c>
      <c r="J134" s="197">
        <v>26</v>
      </c>
      <c r="K134" s="219">
        <f t="shared" si="346"/>
        <v>624</v>
      </c>
      <c r="L134" s="197">
        <v>0</v>
      </c>
      <c r="M134" s="196">
        <v>0</v>
      </c>
      <c r="N134" s="197">
        <v>0</v>
      </c>
      <c r="O134" s="219">
        <f t="shared" si="347"/>
        <v>0</v>
      </c>
      <c r="P134" s="220">
        <f t="shared" si="348"/>
        <v>624</v>
      </c>
      <c r="Q134" s="197">
        <v>1</v>
      </c>
      <c r="R134" s="196">
        <v>44.3</v>
      </c>
      <c r="S134" s="197">
        <v>26</v>
      </c>
      <c r="T134" s="219">
        <f t="shared" si="349"/>
        <v>1151.8</v>
      </c>
      <c r="U134" s="197">
        <v>0</v>
      </c>
      <c r="V134" s="196">
        <v>0</v>
      </c>
      <c r="W134" s="207">
        <v>0</v>
      </c>
      <c r="X134" s="219">
        <f t="shared" si="350"/>
        <v>0</v>
      </c>
      <c r="Y134" s="219">
        <f t="shared" si="351"/>
        <v>1151.8</v>
      </c>
      <c r="Z134" s="197">
        <v>1</v>
      </c>
      <c r="AA134" s="196">
        <v>90</v>
      </c>
      <c r="AB134" s="197">
        <v>4</v>
      </c>
      <c r="AC134" s="399">
        <f t="shared" si="352"/>
        <v>360</v>
      </c>
      <c r="AD134" s="197">
        <v>0</v>
      </c>
      <c r="AE134" s="196">
        <v>0</v>
      </c>
      <c r="AF134" s="197">
        <v>0</v>
      </c>
      <c r="AG134" s="219">
        <f t="shared" si="353"/>
        <v>0</v>
      </c>
      <c r="AH134" s="219">
        <f t="shared" si="354"/>
        <v>360</v>
      </c>
      <c r="AI134" s="220">
        <f>F134+G134+P134+Y134+AH134</f>
        <v>2985.8</v>
      </c>
      <c r="AJ134" s="201">
        <f t="shared" si="360"/>
        <v>0.52318205712283161</v>
      </c>
      <c r="AK134" s="196">
        <v>0</v>
      </c>
      <c r="AL134" s="196">
        <v>0</v>
      </c>
      <c r="AM134" s="196">
        <v>0</v>
      </c>
      <c r="AN134" s="196">
        <v>0</v>
      </c>
      <c r="AO134" s="196">
        <v>0</v>
      </c>
      <c r="AP134" s="247">
        <v>0</v>
      </c>
      <c r="AQ134" s="196">
        <f t="shared" si="356"/>
        <v>0</v>
      </c>
      <c r="AR134" s="221">
        <f>AL134+AM134+AN134+AO134+AQ134</f>
        <v>0</v>
      </c>
      <c r="AS134" s="221">
        <f>AK134+AR134</f>
        <v>0</v>
      </c>
      <c r="AT134" s="203">
        <f t="shared" si="362"/>
        <v>5707</v>
      </c>
      <c r="AU134" s="131" t="s">
        <v>1698</v>
      </c>
      <c r="AV134" s="206"/>
      <c r="AW134" s="206"/>
    </row>
    <row r="135" spans="2:50" s="131" customFormat="1" ht="18" hidden="1" customHeight="1">
      <c r="B135" s="371"/>
      <c r="C135" s="371"/>
      <c r="D135" s="372"/>
      <c r="E135" s="391"/>
      <c r="F135" s="391"/>
      <c r="G135" s="391"/>
      <c r="H135" s="392"/>
      <c r="I135" s="391"/>
      <c r="J135" s="392"/>
      <c r="K135" s="393"/>
      <c r="L135" s="392"/>
      <c r="M135" s="391"/>
      <c r="N135" s="392"/>
      <c r="O135" s="393"/>
      <c r="P135" s="394"/>
      <c r="Q135" s="392"/>
      <c r="R135" s="391"/>
      <c r="S135" s="392"/>
      <c r="T135" s="393"/>
      <c r="U135" s="392"/>
      <c r="V135" s="391"/>
      <c r="W135" s="426"/>
      <c r="X135" s="393"/>
      <c r="Y135" s="393"/>
      <c r="Z135" s="392"/>
      <c r="AA135" s="391"/>
      <c r="AB135" s="392"/>
      <c r="AC135" s="393"/>
      <c r="AD135" s="392"/>
      <c r="AE135" s="391"/>
      <c r="AF135" s="392"/>
      <c r="AG135" s="393"/>
      <c r="AH135" s="393"/>
      <c r="AI135" s="394"/>
      <c r="AJ135" s="395"/>
      <c r="AK135" s="391"/>
      <c r="AL135" s="391"/>
      <c r="AM135" s="391"/>
      <c r="AN135" s="391"/>
      <c r="AO135" s="391"/>
      <c r="AP135" s="428"/>
      <c r="AQ135" s="391"/>
      <c r="AR135" s="396"/>
      <c r="AS135" s="396"/>
      <c r="AT135" s="397"/>
      <c r="AV135" s="206"/>
      <c r="AW135" s="204"/>
    </row>
    <row r="136" spans="2:50" s="131" customFormat="1" ht="18" hidden="1" customHeight="1">
      <c r="B136" s="194" t="s">
        <v>2080</v>
      </c>
      <c r="C136" s="194">
        <v>174</v>
      </c>
      <c r="D136" s="324" t="s">
        <v>1832</v>
      </c>
      <c r="E136" s="196">
        <f>11388</f>
        <v>11388</v>
      </c>
      <c r="F136" s="196">
        <v>871.39</v>
      </c>
      <c r="G136" s="196">
        <v>534.39</v>
      </c>
      <c r="H136" s="197">
        <v>4</v>
      </c>
      <c r="I136" s="196">
        <v>24</v>
      </c>
      <c r="J136" s="197">
        <v>26</v>
      </c>
      <c r="K136" s="219">
        <f t="shared" ref="K136:K144" si="367">H136*I136*J136</f>
        <v>2496</v>
      </c>
      <c r="L136" s="197">
        <v>0</v>
      </c>
      <c r="M136" s="196">
        <v>0</v>
      </c>
      <c r="N136" s="197">
        <v>0</v>
      </c>
      <c r="O136" s="219">
        <f t="shared" ref="O136:O144" si="368">L136*M136*N136</f>
        <v>0</v>
      </c>
      <c r="P136" s="220">
        <f t="shared" ref="P136:P144" si="369">K136+O136</f>
        <v>2496</v>
      </c>
      <c r="Q136" s="197">
        <v>4</v>
      </c>
      <c r="R136" s="196">
        <v>44.3</v>
      </c>
      <c r="S136" s="197">
        <v>26</v>
      </c>
      <c r="T136" s="219">
        <f t="shared" ref="T136:T144" si="370">Q136*R136*S136</f>
        <v>4607.2</v>
      </c>
      <c r="U136" s="197">
        <v>0</v>
      </c>
      <c r="V136" s="196">
        <v>0</v>
      </c>
      <c r="W136" s="207">
        <v>0</v>
      </c>
      <c r="X136" s="219">
        <f t="shared" ref="X136:X144" si="371">U136*V136*W136</f>
        <v>0</v>
      </c>
      <c r="Y136" s="219">
        <f t="shared" ref="Y136:Y144" si="372">T136+X136</f>
        <v>4607.2</v>
      </c>
      <c r="Z136" s="197">
        <v>4</v>
      </c>
      <c r="AA136" s="196">
        <v>90</v>
      </c>
      <c r="AB136" s="197">
        <v>4</v>
      </c>
      <c r="AC136" s="399">
        <f t="shared" ref="AC136:AC144" si="373">Z136*AA136*AB136</f>
        <v>1440</v>
      </c>
      <c r="AD136" s="197">
        <v>0</v>
      </c>
      <c r="AE136" s="196">
        <v>0</v>
      </c>
      <c r="AF136" s="197">
        <v>0</v>
      </c>
      <c r="AG136" s="219">
        <f t="shared" ref="AG136:AG144" si="374">AD136*AE136*AF136</f>
        <v>0</v>
      </c>
      <c r="AH136" s="219">
        <f t="shared" ref="AH136:AH144" si="375">AC136+AG136</f>
        <v>1440</v>
      </c>
      <c r="AI136" s="220">
        <f t="shared" ref="AI136:AI137" si="376">F136+G136+P136+Y136+AH136</f>
        <v>9948.98</v>
      </c>
      <c r="AJ136" s="201">
        <f>AI136/E136</f>
        <v>0.87363716192483309</v>
      </c>
      <c r="AK136" s="196">
        <f>(E136-AI136)*$AK$15</f>
        <v>158.29220000000004</v>
      </c>
      <c r="AL136" s="196">
        <v>0</v>
      </c>
      <c r="AM136" s="196">
        <v>0</v>
      </c>
      <c r="AN136" s="196">
        <v>0</v>
      </c>
      <c r="AO136" s="196">
        <v>0</v>
      </c>
      <c r="AP136" s="247">
        <v>0</v>
      </c>
      <c r="AQ136" s="196">
        <f t="shared" ref="AQ136:AQ144" si="377">AP136*E136</f>
        <v>0</v>
      </c>
      <c r="AR136" s="221">
        <f t="shared" ref="AR136:AR139" si="378">AL136+AM136+AN136+AO136+AQ136</f>
        <v>0</v>
      </c>
      <c r="AS136" s="221">
        <f t="shared" ref="AS136:AS139" si="379">AK136+AR136</f>
        <v>158.29220000000004</v>
      </c>
      <c r="AT136" s="203">
        <f t="shared" ref="AT136" si="380">E136-AS136</f>
        <v>11229.7078</v>
      </c>
      <c r="AU136" s="131" t="s">
        <v>1698</v>
      </c>
      <c r="AV136" s="206"/>
      <c r="AW136" s="216"/>
    </row>
    <row r="137" spans="2:50" s="131" customFormat="1" ht="18" hidden="1" customHeight="1">
      <c r="B137" s="194" t="s">
        <v>2080</v>
      </c>
      <c r="C137" s="194">
        <v>176</v>
      </c>
      <c r="D137" s="324" t="s">
        <v>2051</v>
      </c>
      <c r="E137" s="196">
        <v>35740</v>
      </c>
      <c r="F137" s="196">
        <v>6560.0627256516118</v>
      </c>
      <c r="G137" s="196">
        <v>4473.6244375503829</v>
      </c>
      <c r="H137" s="197">
        <v>5</v>
      </c>
      <c r="I137" s="196">
        <v>24</v>
      </c>
      <c r="J137" s="197">
        <v>26</v>
      </c>
      <c r="K137" s="219">
        <f t="shared" si="367"/>
        <v>3120</v>
      </c>
      <c r="L137" s="197">
        <v>0</v>
      </c>
      <c r="M137" s="196">
        <v>0</v>
      </c>
      <c r="N137" s="197">
        <v>0</v>
      </c>
      <c r="O137" s="219">
        <f t="shared" si="368"/>
        <v>0</v>
      </c>
      <c r="P137" s="220">
        <f t="shared" si="369"/>
        <v>3120</v>
      </c>
      <c r="Q137" s="197">
        <v>5</v>
      </c>
      <c r="R137" s="196">
        <v>44.3</v>
      </c>
      <c r="S137" s="197">
        <v>26</v>
      </c>
      <c r="T137" s="219">
        <f t="shared" si="370"/>
        <v>5759</v>
      </c>
      <c r="U137" s="197">
        <v>0</v>
      </c>
      <c r="V137" s="196">
        <v>0</v>
      </c>
      <c r="W137" s="207">
        <v>0</v>
      </c>
      <c r="X137" s="219">
        <f t="shared" si="371"/>
        <v>0</v>
      </c>
      <c r="Y137" s="219">
        <f t="shared" si="372"/>
        <v>5759</v>
      </c>
      <c r="Z137" s="197">
        <v>5</v>
      </c>
      <c r="AA137" s="196">
        <v>90</v>
      </c>
      <c r="AB137" s="197">
        <v>2</v>
      </c>
      <c r="AC137" s="399">
        <f t="shared" si="373"/>
        <v>900</v>
      </c>
      <c r="AD137" s="197">
        <v>0</v>
      </c>
      <c r="AE137" s="196">
        <v>0</v>
      </c>
      <c r="AF137" s="197">
        <v>0</v>
      </c>
      <c r="AG137" s="219">
        <f t="shared" si="374"/>
        <v>0</v>
      </c>
      <c r="AH137" s="219">
        <f t="shared" si="375"/>
        <v>900</v>
      </c>
      <c r="AI137" s="220">
        <f t="shared" si="376"/>
        <v>20812.687163201994</v>
      </c>
      <c r="AJ137" s="201">
        <f t="shared" ref="AJ137:AJ144" si="381">AI137/E137</f>
        <v>0.58233595867940668</v>
      </c>
      <c r="AK137" s="196">
        <f t="shared" ref="AK137:AK142" si="382">(E137-AI137)*$AK$15</f>
        <v>1642.0044120477808</v>
      </c>
      <c r="AL137" s="196">
        <v>0</v>
      </c>
      <c r="AM137" s="196">
        <v>0</v>
      </c>
      <c r="AN137" s="196">
        <v>0</v>
      </c>
      <c r="AO137" s="196">
        <v>0</v>
      </c>
      <c r="AP137" s="247">
        <v>0</v>
      </c>
      <c r="AQ137" s="196">
        <f t="shared" si="377"/>
        <v>0</v>
      </c>
      <c r="AR137" s="221">
        <f t="shared" si="378"/>
        <v>0</v>
      </c>
      <c r="AS137" s="221">
        <f t="shared" si="379"/>
        <v>1642.0044120477808</v>
      </c>
      <c r="AT137" s="203">
        <f>E137-AS137</f>
        <v>34097.995587952217</v>
      </c>
      <c r="AV137" s="206"/>
      <c r="AW137" s="216"/>
    </row>
    <row r="138" spans="2:50" s="131" customFormat="1" ht="18" hidden="1" customHeight="1">
      <c r="B138" s="194" t="s">
        <v>2080</v>
      </c>
      <c r="C138" s="194">
        <v>168</v>
      </c>
      <c r="D138" s="324" t="s">
        <v>1831</v>
      </c>
      <c r="E138" s="213">
        <f>1562</f>
        <v>1562</v>
      </c>
      <c r="F138" s="196">
        <v>395.2</v>
      </c>
      <c r="G138" s="196">
        <v>0</v>
      </c>
      <c r="H138" s="197">
        <v>1</v>
      </c>
      <c r="I138" s="196">
        <v>24</v>
      </c>
      <c r="J138" s="197">
        <v>4</v>
      </c>
      <c r="K138" s="219">
        <f t="shared" si="367"/>
        <v>96</v>
      </c>
      <c r="L138" s="197">
        <v>0</v>
      </c>
      <c r="M138" s="196">
        <v>0</v>
      </c>
      <c r="N138" s="197">
        <v>0</v>
      </c>
      <c r="O138" s="219">
        <f t="shared" si="368"/>
        <v>0</v>
      </c>
      <c r="P138" s="220">
        <f t="shared" si="369"/>
        <v>96</v>
      </c>
      <c r="Q138" s="197">
        <v>1</v>
      </c>
      <c r="R138" s="196">
        <v>44.3</v>
      </c>
      <c r="S138" s="197">
        <v>4</v>
      </c>
      <c r="T138" s="219">
        <f t="shared" si="370"/>
        <v>177.2</v>
      </c>
      <c r="U138" s="197">
        <v>0</v>
      </c>
      <c r="V138" s="196">
        <v>0</v>
      </c>
      <c r="W138" s="207">
        <v>0</v>
      </c>
      <c r="X138" s="219">
        <f t="shared" si="371"/>
        <v>0</v>
      </c>
      <c r="Y138" s="219">
        <f t="shared" si="372"/>
        <v>177.2</v>
      </c>
      <c r="Z138" s="197">
        <v>1</v>
      </c>
      <c r="AA138" s="196">
        <v>90</v>
      </c>
      <c r="AB138" s="197">
        <v>1</v>
      </c>
      <c r="AC138" s="399">
        <f t="shared" si="373"/>
        <v>90</v>
      </c>
      <c r="AD138" s="197">
        <v>0</v>
      </c>
      <c r="AE138" s="196">
        <v>0</v>
      </c>
      <c r="AF138" s="197">
        <v>0</v>
      </c>
      <c r="AG138" s="219">
        <f t="shared" si="374"/>
        <v>0</v>
      </c>
      <c r="AH138" s="219">
        <f t="shared" si="375"/>
        <v>90</v>
      </c>
      <c r="AI138" s="220">
        <f>F138+G138+P138+Y138+AH138</f>
        <v>758.4</v>
      </c>
      <c r="AJ138" s="201">
        <f t="shared" si="381"/>
        <v>0.48553137003841229</v>
      </c>
      <c r="AK138" s="196">
        <f t="shared" si="382"/>
        <v>88.396000000000001</v>
      </c>
      <c r="AL138" s="196">
        <v>0</v>
      </c>
      <c r="AM138" s="196">
        <v>0</v>
      </c>
      <c r="AN138" s="196">
        <v>0</v>
      </c>
      <c r="AO138" s="196">
        <v>0</v>
      </c>
      <c r="AP138" s="247">
        <v>0</v>
      </c>
      <c r="AQ138" s="196">
        <f t="shared" si="377"/>
        <v>0</v>
      </c>
      <c r="AR138" s="221">
        <f t="shared" si="378"/>
        <v>0</v>
      </c>
      <c r="AS138" s="221">
        <f t="shared" si="379"/>
        <v>88.396000000000001</v>
      </c>
      <c r="AT138" s="203">
        <f t="shared" ref="AT138:AT144" si="383">E138-AS138</f>
        <v>1473.604</v>
      </c>
      <c r="AV138" s="206"/>
      <c r="AW138" s="206"/>
    </row>
    <row r="139" spans="2:50" s="131" customFormat="1" ht="18" hidden="1" customHeight="1">
      <c r="B139" s="194" t="s">
        <v>2080</v>
      </c>
      <c r="C139" s="194">
        <v>175</v>
      </c>
      <c r="D139" s="324" t="s">
        <v>1634</v>
      </c>
      <c r="E139" s="196">
        <f>5964</f>
        <v>5964</v>
      </c>
      <c r="F139" s="196">
        <v>1043</v>
      </c>
      <c r="G139" s="196">
        <v>387</v>
      </c>
      <c r="H139" s="197">
        <v>1</v>
      </c>
      <c r="I139" s="196">
        <v>24</v>
      </c>
      <c r="J139" s="197">
        <v>26</v>
      </c>
      <c r="K139" s="219">
        <f t="shared" si="367"/>
        <v>624</v>
      </c>
      <c r="L139" s="197">
        <v>0</v>
      </c>
      <c r="M139" s="196">
        <v>0</v>
      </c>
      <c r="N139" s="197">
        <v>0</v>
      </c>
      <c r="O139" s="219">
        <f t="shared" si="368"/>
        <v>0</v>
      </c>
      <c r="P139" s="220">
        <f t="shared" si="369"/>
        <v>624</v>
      </c>
      <c r="Q139" s="197">
        <v>1</v>
      </c>
      <c r="R139" s="196">
        <v>44.3</v>
      </c>
      <c r="S139" s="197">
        <v>26</v>
      </c>
      <c r="T139" s="219">
        <f t="shared" si="370"/>
        <v>1151.8</v>
      </c>
      <c r="U139" s="197">
        <v>0</v>
      </c>
      <c r="V139" s="196">
        <v>0</v>
      </c>
      <c r="W139" s="207">
        <v>0</v>
      </c>
      <c r="X139" s="219">
        <f t="shared" si="371"/>
        <v>0</v>
      </c>
      <c r="Y139" s="219">
        <f t="shared" si="372"/>
        <v>1151.8</v>
      </c>
      <c r="Z139" s="197">
        <v>1</v>
      </c>
      <c r="AA139" s="196">
        <v>90</v>
      </c>
      <c r="AB139" s="197">
        <v>2</v>
      </c>
      <c r="AC139" s="399">
        <f t="shared" si="373"/>
        <v>180</v>
      </c>
      <c r="AD139" s="197">
        <v>0</v>
      </c>
      <c r="AE139" s="196">
        <v>0</v>
      </c>
      <c r="AF139" s="197">
        <v>0</v>
      </c>
      <c r="AG139" s="219">
        <f t="shared" si="374"/>
        <v>0</v>
      </c>
      <c r="AH139" s="219">
        <f t="shared" si="375"/>
        <v>180</v>
      </c>
      <c r="AI139" s="220">
        <f t="shared" ref="AI139:AI140" si="384">F139+G139+P139+Y139+AH139</f>
        <v>3385.8</v>
      </c>
      <c r="AJ139" s="201">
        <f t="shared" si="381"/>
        <v>0.56770623742454729</v>
      </c>
      <c r="AK139" s="196">
        <f t="shared" si="382"/>
        <v>283.60199999999998</v>
      </c>
      <c r="AL139" s="196">
        <v>0</v>
      </c>
      <c r="AM139" s="196">
        <v>0</v>
      </c>
      <c r="AN139" s="196">
        <v>0</v>
      </c>
      <c r="AO139" s="196">
        <v>0</v>
      </c>
      <c r="AP139" s="286">
        <v>4.2700000000000002E-2</v>
      </c>
      <c r="AQ139" s="196">
        <f t="shared" si="377"/>
        <v>254.6628</v>
      </c>
      <c r="AR139" s="221">
        <f t="shared" si="378"/>
        <v>254.6628</v>
      </c>
      <c r="AS139" s="221">
        <f t="shared" si="379"/>
        <v>538.26479999999992</v>
      </c>
      <c r="AT139" s="203">
        <f t="shared" si="383"/>
        <v>5425.7352000000001</v>
      </c>
      <c r="AU139" s="131" t="s">
        <v>1698</v>
      </c>
      <c r="AV139" s="206"/>
      <c r="AW139" s="206"/>
    </row>
    <row r="140" spans="2:50" s="131" customFormat="1" ht="18" hidden="1" customHeight="1">
      <c r="B140" s="194" t="s">
        <v>2080</v>
      </c>
      <c r="C140" s="194">
        <v>169</v>
      </c>
      <c r="D140" s="324" t="s">
        <v>1833</v>
      </c>
      <c r="E140" s="196">
        <f>8960</f>
        <v>8960</v>
      </c>
      <c r="F140" s="196">
        <v>1190</v>
      </c>
      <c r="G140" s="196">
        <v>410</v>
      </c>
      <c r="H140" s="197">
        <v>2</v>
      </c>
      <c r="I140" s="196">
        <v>24</v>
      </c>
      <c r="J140" s="197">
        <v>16</v>
      </c>
      <c r="K140" s="219">
        <f t="shared" si="367"/>
        <v>768</v>
      </c>
      <c r="L140" s="197">
        <v>0</v>
      </c>
      <c r="M140" s="196">
        <v>0</v>
      </c>
      <c r="N140" s="197">
        <v>0</v>
      </c>
      <c r="O140" s="219">
        <f t="shared" si="368"/>
        <v>0</v>
      </c>
      <c r="P140" s="220">
        <f t="shared" si="369"/>
        <v>768</v>
      </c>
      <c r="Q140" s="197">
        <v>2</v>
      </c>
      <c r="R140" s="196">
        <v>44.3</v>
      </c>
      <c r="S140" s="197">
        <v>16</v>
      </c>
      <c r="T140" s="219">
        <f t="shared" si="370"/>
        <v>1417.6</v>
      </c>
      <c r="U140" s="197">
        <v>0</v>
      </c>
      <c r="V140" s="196">
        <v>0</v>
      </c>
      <c r="W140" s="207">
        <v>0</v>
      </c>
      <c r="X140" s="219">
        <f t="shared" si="371"/>
        <v>0</v>
      </c>
      <c r="Y140" s="219">
        <f t="shared" si="372"/>
        <v>1417.6</v>
      </c>
      <c r="Z140" s="197">
        <v>2</v>
      </c>
      <c r="AA140" s="196">
        <v>90</v>
      </c>
      <c r="AB140" s="197">
        <v>2</v>
      </c>
      <c r="AC140" s="399">
        <f t="shared" si="373"/>
        <v>360</v>
      </c>
      <c r="AD140" s="197">
        <v>0</v>
      </c>
      <c r="AE140" s="196">
        <v>0</v>
      </c>
      <c r="AF140" s="197">
        <v>0</v>
      </c>
      <c r="AG140" s="219">
        <f t="shared" si="374"/>
        <v>0</v>
      </c>
      <c r="AH140" s="219">
        <f t="shared" si="375"/>
        <v>360</v>
      </c>
      <c r="AI140" s="220">
        <f t="shared" si="384"/>
        <v>4145.6000000000004</v>
      </c>
      <c r="AJ140" s="201">
        <f t="shared" si="381"/>
        <v>0.46267857142857149</v>
      </c>
      <c r="AK140" s="196">
        <f t="shared" si="382"/>
        <v>529.58399999999995</v>
      </c>
      <c r="AL140" s="196">
        <v>0</v>
      </c>
      <c r="AM140" s="196">
        <v>0</v>
      </c>
      <c r="AN140" s="196">
        <v>0</v>
      </c>
      <c r="AO140" s="196">
        <v>0</v>
      </c>
      <c r="AP140" s="247">
        <v>0</v>
      </c>
      <c r="AQ140" s="196">
        <f t="shared" si="377"/>
        <v>0</v>
      </c>
      <c r="AR140" s="221">
        <f>AL140+AM140+AN140+AO140+AQ140</f>
        <v>0</v>
      </c>
      <c r="AS140" s="221">
        <f>AK140+AR140</f>
        <v>529.58399999999995</v>
      </c>
      <c r="AT140" s="203">
        <f t="shared" si="383"/>
        <v>8430.4159999999993</v>
      </c>
      <c r="AV140" s="206"/>
      <c r="AW140" s="206"/>
    </row>
    <row r="141" spans="2:50" s="131" customFormat="1" ht="18" hidden="1" customHeight="1">
      <c r="B141" s="194" t="s">
        <v>2080</v>
      </c>
      <c r="C141" s="194">
        <v>170</v>
      </c>
      <c r="D141" s="324" t="s">
        <v>1834</v>
      </c>
      <c r="E141" s="196">
        <v>6104</v>
      </c>
      <c r="F141" s="196">
        <v>950.61</v>
      </c>
      <c r="G141" s="196">
        <v>351.9</v>
      </c>
      <c r="H141" s="197">
        <v>1</v>
      </c>
      <c r="I141" s="196">
        <v>24</v>
      </c>
      <c r="J141" s="197">
        <v>26</v>
      </c>
      <c r="K141" s="219">
        <f t="shared" si="367"/>
        <v>624</v>
      </c>
      <c r="L141" s="197">
        <v>0</v>
      </c>
      <c r="M141" s="196">
        <v>0</v>
      </c>
      <c r="N141" s="197">
        <v>0</v>
      </c>
      <c r="O141" s="219">
        <f t="shared" si="368"/>
        <v>0</v>
      </c>
      <c r="P141" s="220">
        <f t="shared" si="369"/>
        <v>624</v>
      </c>
      <c r="Q141" s="197">
        <v>1</v>
      </c>
      <c r="R141" s="196">
        <v>44.3</v>
      </c>
      <c r="S141" s="197">
        <v>26</v>
      </c>
      <c r="T141" s="219">
        <f t="shared" si="370"/>
        <v>1151.8</v>
      </c>
      <c r="U141" s="197">
        <v>0</v>
      </c>
      <c r="V141" s="196">
        <v>0</v>
      </c>
      <c r="W141" s="207">
        <v>0</v>
      </c>
      <c r="X141" s="219">
        <f t="shared" si="371"/>
        <v>0</v>
      </c>
      <c r="Y141" s="219">
        <f t="shared" si="372"/>
        <v>1151.8</v>
      </c>
      <c r="Z141" s="197">
        <v>1</v>
      </c>
      <c r="AA141" s="196">
        <v>90</v>
      </c>
      <c r="AB141" s="197">
        <v>2</v>
      </c>
      <c r="AC141" s="399">
        <f t="shared" si="373"/>
        <v>180</v>
      </c>
      <c r="AD141" s="197">
        <v>0</v>
      </c>
      <c r="AE141" s="196">
        <v>0</v>
      </c>
      <c r="AF141" s="197">
        <v>0</v>
      </c>
      <c r="AG141" s="219">
        <f t="shared" si="374"/>
        <v>0</v>
      </c>
      <c r="AH141" s="219">
        <f t="shared" si="375"/>
        <v>180</v>
      </c>
      <c r="AI141" s="220">
        <f>F141+G141+P141+Y141+AH141</f>
        <v>3258.31</v>
      </c>
      <c r="AJ141" s="201">
        <f t="shared" si="381"/>
        <v>0.53379914809960682</v>
      </c>
      <c r="AK141" s="196">
        <f t="shared" si="382"/>
        <v>313.02590000000004</v>
      </c>
      <c r="AL141" s="196">
        <v>0</v>
      </c>
      <c r="AM141" s="196">
        <v>0</v>
      </c>
      <c r="AN141" s="196">
        <v>0</v>
      </c>
      <c r="AO141" s="196">
        <v>0</v>
      </c>
      <c r="AP141" s="286">
        <v>4.2700000000000002E-2</v>
      </c>
      <c r="AQ141" s="196">
        <f t="shared" si="377"/>
        <v>260.64080000000001</v>
      </c>
      <c r="AR141" s="221">
        <f t="shared" ref="AR141:AR142" si="385">AL141+AM141+AN141+AO141+AQ141</f>
        <v>260.64080000000001</v>
      </c>
      <c r="AS141" s="221">
        <f t="shared" ref="AS141:AS142" si="386">AK141+AR141</f>
        <v>573.66669999999999</v>
      </c>
      <c r="AT141" s="203">
        <f t="shared" si="383"/>
        <v>5530.3333000000002</v>
      </c>
      <c r="AV141" s="206"/>
      <c r="AW141" s="206"/>
    </row>
    <row r="142" spans="2:50" s="131" customFormat="1" ht="18" hidden="1" customHeight="1">
      <c r="B142" s="194" t="s">
        <v>2080</v>
      </c>
      <c r="C142" s="194">
        <v>171</v>
      </c>
      <c r="D142" s="324" t="s">
        <v>1003</v>
      </c>
      <c r="E142" s="196">
        <f>18328</f>
        <v>18328</v>
      </c>
      <c r="F142" s="196">
        <v>2550</v>
      </c>
      <c r="G142" s="196">
        <v>703.8</v>
      </c>
      <c r="H142" s="197">
        <v>1</v>
      </c>
      <c r="I142" s="196">
        <v>24</v>
      </c>
      <c r="J142" s="197">
        <v>26</v>
      </c>
      <c r="K142" s="219">
        <f t="shared" si="367"/>
        <v>624</v>
      </c>
      <c r="L142" s="197">
        <v>2</v>
      </c>
      <c r="M142" s="196">
        <v>16</v>
      </c>
      <c r="N142" s="197">
        <v>16</v>
      </c>
      <c r="O142" s="219">
        <f t="shared" si="368"/>
        <v>512</v>
      </c>
      <c r="P142" s="220">
        <f t="shared" si="369"/>
        <v>1136</v>
      </c>
      <c r="Q142" s="197">
        <v>1</v>
      </c>
      <c r="R142" s="196">
        <v>44.3</v>
      </c>
      <c r="S142" s="197">
        <v>26</v>
      </c>
      <c r="T142" s="219">
        <f t="shared" si="370"/>
        <v>1151.8</v>
      </c>
      <c r="U142" s="197">
        <v>2</v>
      </c>
      <c r="V142" s="196">
        <v>44.3</v>
      </c>
      <c r="W142" s="207">
        <v>16</v>
      </c>
      <c r="X142" s="219">
        <f t="shared" si="371"/>
        <v>1417.6</v>
      </c>
      <c r="Y142" s="219">
        <f t="shared" si="372"/>
        <v>2569.3999999999996</v>
      </c>
      <c r="Z142" s="197">
        <v>1</v>
      </c>
      <c r="AA142" s="196">
        <v>80</v>
      </c>
      <c r="AB142" s="197">
        <v>2</v>
      </c>
      <c r="AC142" s="219">
        <f t="shared" si="373"/>
        <v>160</v>
      </c>
      <c r="AD142" s="197">
        <v>2</v>
      </c>
      <c r="AE142" s="196">
        <v>80</v>
      </c>
      <c r="AF142" s="197">
        <v>2</v>
      </c>
      <c r="AG142" s="219">
        <f t="shared" si="374"/>
        <v>320</v>
      </c>
      <c r="AH142" s="219">
        <f t="shared" si="375"/>
        <v>480</v>
      </c>
      <c r="AI142" s="220">
        <f t="shared" ref="AI142" si="387">F142+G142+P142+Y142+AH142</f>
        <v>7439.2</v>
      </c>
      <c r="AJ142" s="201">
        <f t="shared" si="381"/>
        <v>0.40589262330859888</v>
      </c>
      <c r="AK142" s="196">
        <f t="shared" si="382"/>
        <v>1197.768</v>
      </c>
      <c r="AL142" s="196">
        <v>0</v>
      </c>
      <c r="AM142" s="196">
        <v>0</v>
      </c>
      <c r="AN142" s="196">
        <v>0</v>
      </c>
      <c r="AO142" s="196">
        <v>0</v>
      </c>
      <c r="AP142" s="286">
        <v>4.2700000000000002E-2</v>
      </c>
      <c r="AQ142" s="196">
        <f t="shared" si="377"/>
        <v>782.60559999999998</v>
      </c>
      <c r="AR142" s="221">
        <f t="shared" si="385"/>
        <v>782.60559999999998</v>
      </c>
      <c r="AS142" s="221">
        <f t="shared" si="386"/>
        <v>1980.3735999999999</v>
      </c>
      <c r="AT142" s="203">
        <f t="shared" si="383"/>
        <v>16347.626400000001</v>
      </c>
      <c r="AV142" s="206"/>
      <c r="AW142" s="204"/>
      <c r="AX142" s="401"/>
    </row>
    <row r="143" spans="2:50" s="131" customFormat="1" ht="18" hidden="1" customHeight="1">
      <c r="B143" s="194" t="s">
        <v>2080</v>
      </c>
      <c r="C143" s="194">
        <v>172</v>
      </c>
      <c r="D143" s="324" t="s">
        <v>2050</v>
      </c>
      <c r="E143" s="196">
        <v>5697</v>
      </c>
      <c r="F143" s="196">
        <v>620</v>
      </c>
      <c r="G143" s="196">
        <v>230</v>
      </c>
      <c r="H143" s="197">
        <v>1</v>
      </c>
      <c r="I143" s="196">
        <v>24</v>
      </c>
      <c r="J143" s="197">
        <v>26</v>
      </c>
      <c r="K143" s="219">
        <f t="shared" si="367"/>
        <v>624</v>
      </c>
      <c r="L143" s="197">
        <v>0</v>
      </c>
      <c r="M143" s="196">
        <v>0</v>
      </c>
      <c r="N143" s="197">
        <v>0</v>
      </c>
      <c r="O143" s="219">
        <f t="shared" si="368"/>
        <v>0</v>
      </c>
      <c r="P143" s="220">
        <f t="shared" si="369"/>
        <v>624</v>
      </c>
      <c r="Q143" s="197">
        <v>1</v>
      </c>
      <c r="R143" s="196">
        <v>44.3</v>
      </c>
      <c r="S143" s="197">
        <v>26</v>
      </c>
      <c r="T143" s="219">
        <f t="shared" si="370"/>
        <v>1151.8</v>
      </c>
      <c r="U143" s="197">
        <v>0</v>
      </c>
      <c r="V143" s="196">
        <v>0</v>
      </c>
      <c r="W143" s="207">
        <v>0</v>
      </c>
      <c r="X143" s="219">
        <f t="shared" si="371"/>
        <v>0</v>
      </c>
      <c r="Y143" s="219">
        <f t="shared" si="372"/>
        <v>1151.8</v>
      </c>
      <c r="Z143" s="197">
        <v>1</v>
      </c>
      <c r="AA143" s="196">
        <v>90</v>
      </c>
      <c r="AB143" s="197">
        <v>4</v>
      </c>
      <c r="AC143" s="399">
        <f t="shared" si="373"/>
        <v>360</v>
      </c>
      <c r="AD143" s="197">
        <v>0</v>
      </c>
      <c r="AE143" s="196">
        <v>0</v>
      </c>
      <c r="AF143" s="197">
        <v>0</v>
      </c>
      <c r="AG143" s="219">
        <f t="shared" si="374"/>
        <v>0</v>
      </c>
      <c r="AH143" s="219">
        <f t="shared" si="375"/>
        <v>360</v>
      </c>
      <c r="AI143" s="220">
        <f>F143+G143+P143+Y143+AH143</f>
        <v>2985.8</v>
      </c>
      <c r="AJ143" s="201">
        <f t="shared" si="381"/>
        <v>0.52410040372125688</v>
      </c>
      <c r="AK143" s="196">
        <f>(E143-AI143)*$AK$15</f>
        <v>298.23199999999997</v>
      </c>
      <c r="AL143" s="196">
        <v>0</v>
      </c>
      <c r="AM143" s="196">
        <v>0</v>
      </c>
      <c r="AN143" s="196">
        <v>0</v>
      </c>
      <c r="AO143" s="196">
        <v>0</v>
      </c>
      <c r="AP143" s="247">
        <v>0</v>
      </c>
      <c r="AQ143" s="196">
        <f t="shared" si="377"/>
        <v>0</v>
      </c>
      <c r="AR143" s="221">
        <f>AL143+AM143+AN143+AO143+AQ143</f>
        <v>0</v>
      </c>
      <c r="AS143" s="221">
        <f>AK143+AR143</f>
        <v>298.23199999999997</v>
      </c>
      <c r="AT143" s="203">
        <f t="shared" si="383"/>
        <v>5398.768</v>
      </c>
      <c r="AV143" s="206"/>
      <c r="AW143" s="206"/>
    </row>
    <row r="144" spans="2:50" s="131" customFormat="1" ht="18" hidden="1" customHeight="1">
      <c r="B144" s="194" t="s">
        <v>2080</v>
      </c>
      <c r="C144" s="194">
        <v>173</v>
      </c>
      <c r="D144" s="324" t="s">
        <v>2049</v>
      </c>
      <c r="E144" s="196">
        <v>5707</v>
      </c>
      <c r="F144" s="196">
        <v>620</v>
      </c>
      <c r="G144" s="196">
        <v>230</v>
      </c>
      <c r="H144" s="197">
        <v>1</v>
      </c>
      <c r="I144" s="196">
        <v>24</v>
      </c>
      <c r="J144" s="197">
        <v>26</v>
      </c>
      <c r="K144" s="219">
        <f t="shared" si="367"/>
        <v>624</v>
      </c>
      <c r="L144" s="197">
        <v>0</v>
      </c>
      <c r="M144" s="196">
        <v>0</v>
      </c>
      <c r="N144" s="197">
        <v>0</v>
      </c>
      <c r="O144" s="219">
        <f t="shared" si="368"/>
        <v>0</v>
      </c>
      <c r="P144" s="220">
        <f t="shared" si="369"/>
        <v>624</v>
      </c>
      <c r="Q144" s="197">
        <v>1</v>
      </c>
      <c r="R144" s="196">
        <v>44.3</v>
      </c>
      <c r="S144" s="197">
        <v>26</v>
      </c>
      <c r="T144" s="219">
        <f t="shared" si="370"/>
        <v>1151.8</v>
      </c>
      <c r="U144" s="197">
        <v>0</v>
      </c>
      <c r="V144" s="196">
        <v>0</v>
      </c>
      <c r="W144" s="207">
        <v>0</v>
      </c>
      <c r="X144" s="219">
        <f t="shared" si="371"/>
        <v>0</v>
      </c>
      <c r="Y144" s="219">
        <f t="shared" si="372"/>
        <v>1151.8</v>
      </c>
      <c r="Z144" s="197">
        <v>1</v>
      </c>
      <c r="AA144" s="196">
        <v>90</v>
      </c>
      <c r="AB144" s="197">
        <v>4</v>
      </c>
      <c r="AC144" s="399">
        <f t="shared" si="373"/>
        <v>360</v>
      </c>
      <c r="AD144" s="197">
        <v>0</v>
      </c>
      <c r="AE144" s="196">
        <v>0</v>
      </c>
      <c r="AF144" s="197">
        <v>0</v>
      </c>
      <c r="AG144" s="219">
        <f t="shared" si="374"/>
        <v>0</v>
      </c>
      <c r="AH144" s="219">
        <f t="shared" si="375"/>
        <v>360</v>
      </c>
      <c r="AI144" s="220">
        <f>F144+G144+P144+Y144+AH144</f>
        <v>2985.8</v>
      </c>
      <c r="AJ144" s="201">
        <f t="shared" si="381"/>
        <v>0.52318205712283161</v>
      </c>
      <c r="AK144" s="196">
        <v>0</v>
      </c>
      <c r="AL144" s="196">
        <v>0</v>
      </c>
      <c r="AM144" s="196">
        <v>0</v>
      </c>
      <c r="AN144" s="196">
        <v>0</v>
      </c>
      <c r="AO144" s="196">
        <v>0</v>
      </c>
      <c r="AP144" s="247">
        <v>0</v>
      </c>
      <c r="AQ144" s="196">
        <f t="shared" si="377"/>
        <v>0</v>
      </c>
      <c r="AR144" s="221">
        <f>AL144+AM144+AN144+AO144+AQ144</f>
        <v>0</v>
      </c>
      <c r="AS144" s="221">
        <f>AK144+AR144</f>
        <v>0</v>
      </c>
      <c r="AT144" s="203">
        <f t="shared" si="383"/>
        <v>5707</v>
      </c>
      <c r="AU144" s="131" t="s">
        <v>1698</v>
      </c>
      <c r="AV144" s="206"/>
      <c r="AW144" s="206"/>
    </row>
    <row r="145" spans="2:50" s="131" customFormat="1" ht="18" hidden="1" customHeight="1">
      <c r="B145" s="371"/>
      <c r="C145" s="371"/>
      <c r="D145" s="372"/>
      <c r="E145" s="391"/>
      <c r="F145" s="391"/>
      <c r="G145" s="391"/>
      <c r="H145" s="392"/>
      <c r="I145" s="391"/>
      <c r="J145" s="392"/>
      <c r="K145" s="393"/>
      <c r="L145" s="392"/>
      <c r="M145" s="391"/>
      <c r="N145" s="392"/>
      <c r="O145" s="393"/>
      <c r="P145" s="394"/>
      <c r="Q145" s="392"/>
      <c r="R145" s="391"/>
      <c r="S145" s="392"/>
      <c r="T145" s="393"/>
      <c r="U145" s="392"/>
      <c r="V145" s="391"/>
      <c r="W145" s="426"/>
      <c r="X145" s="393"/>
      <c r="Y145" s="393"/>
      <c r="Z145" s="392"/>
      <c r="AA145" s="391"/>
      <c r="AB145" s="392"/>
      <c r="AC145" s="393"/>
      <c r="AD145" s="392"/>
      <c r="AE145" s="391"/>
      <c r="AF145" s="392"/>
      <c r="AG145" s="393"/>
      <c r="AH145" s="393"/>
      <c r="AI145" s="394"/>
      <c r="AJ145" s="395"/>
      <c r="AK145" s="391"/>
      <c r="AL145" s="391"/>
      <c r="AM145" s="391"/>
      <c r="AN145" s="391"/>
      <c r="AO145" s="391"/>
      <c r="AP145" s="428"/>
      <c r="AQ145" s="391"/>
      <c r="AR145" s="396"/>
      <c r="AS145" s="396"/>
      <c r="AT145" s="397"/>
      <c r="AV145" s="206"/>
      <c r="AW145" s="204"/>
    </row>
    <row r="146" spans="2:50" s="131" customFormat="1" ht="18" hidden="1" customHeight="1">
      <c r="B146" s="194" t="s">
        <v>2104</v>
      </c>
      <c r="C146" s="194">
        <v>177</v>
      </c>
      <c r="D146" s="324" t="s">
        <v>1832</v>
      </c>
      <c r="E146" s="196">
        <f>11388</f>
        <v>11388</v>
      </c>
      <c r="F146" s="196">
        <v>871.39</v>
      </c>
      <c r="G146" s="196">
        <v>534.39</v>
      </c>
      <c r="H146" s="197">
        <v>4</v>
      </c>
      <c r="I146" s="196">
        <v>24</v>
      </c>
      <c r="J146" s="197">
        <v>26</v>
      </c>
      <c r="K146" s="219">
        <f t="shared" ref="K146:K154" si="388">H146*I146*J146</f>
        <v>2496</v>
      </c>
      <c r="L146" s="197">
        <v>0</v>
      </c>
      <c r="M146" s="196">
        <v>0</v>
      </c>
      <c r="N146" s="197">
        <v>0</v>
      </c>
      <c r="O146" s="219">
        <f t="shared" ref="O146:O154" si="389">L146*M146*N146</f>
        <v>0</v>
      </c>
      <c r="P146" s="220">
        <f t="shared" ref="P146:P154" si="390">K146+O146</f>
        <v>2496</v>
      </c>
      <c r="Q146" s="197">
        <v>4</v>
      </c>
      <c r="R146" s="196">
        <v>44.3</v>
      </c>
      <c r="S146" s="197">
        <v>26</v>
      </c>
      <c r="T146" s="219">
        <f t="shared" ref="T146:T154" si="391">Q146*R146*S146</f>
        <v>4607.2</v>
      </c>
      <c r="U146" s="197">
        <v>0</v>
      </c>
      <c r="V146" s="196">
        <v>0</v>
      </c>
      <c r="W146" s="207">
        <v>0</v>
      </c>
      <c r="X146" s="219">
        <f t="shared" ref="X146:X154" si="392">U146*V146*W146</f>
        <v>0</v>
      </c>
      <c r="Y146" s="219">
        <f t="shared" ref="Y146:Y154" si="393">T146+X146</f>
        <v>4607.2</v>
      </c>
      <c r="Z146" s="197">
        <v>4</v>
      </c>
      <c r="AA146" s="196">
        <v>90</v>
      </c>
      <c r="AB146" s="197">
        <v>4</v>
      </c>
      <c r="AC146" s="399">
        <f t="shared" ref="AC146:AC154" si="394">Z146*AA146*AB146</f>
        <v>1440</v>
      </c>
      <c r="AD146" s="197">
        <v>0</v>
      </c>
      <c r="AE146" s="196">
        <v>0</v>
      </c>
      <c r="AF146" s="197">
        <v>0</v>
      </c>
      <c r="AG146" s="219">
        <f t="shared" ref="AG146:AG154" si="395">AD146*AE146*AF146</f>
        <v>0</v>
      </c>
      <c r="AH146" s="219">
        <f t="shared" ref="AH146:AH154" si="396">AC146+AG146</f>
        <v>1440</v>
      </c>
      <c r="AI146" s="220">
        <f t="shared" ref="AI146:AI147" si="397">F146+G146+P146+Y146+AH146</f>
        <v>9948.98</v>
      </c>
      <c r="AJ146" s="201">
        <f>AI146/E146</f>
        <v>0.87363716192483309</v>
      </c>
      <c r="AK146" s="196">
        <f>(E146-AI146)*$AK$15</f>
        <v>158.29220000000004</v>
      </c>
      <c r="AL146" s="196">
        <v>0</v>
      </c>
      <c r="AM146" s="196">
        <v>0</v>
      </c>
      <c r="AN146" s="196">
        <v>0</v>
      </c>
      <c r="AO146" s="196">
        <v>0</v>
      </c>
      <c r="AP146" s="247">
        <v>0</v>
      </c>
      <c r="AQ146" s="196">
        <f t="shared" ref="AQ146:AQ154" si="398">AP146*E146</f>
        <v>0</v>
      </c>
      <c r="AR146" s="221">
        <f t="shared" ref="AR146:AR149" si="399">AL146+AM146+AN146+AO146+AQ146</f>
        <v>0</v>
      </c>
      <c r="AS146" s="221">
        <f t="shared" ref="AS146:AS149" si="400">AK146+AR146</f>
        <v>158.29220000000004</v>
      </c>
      <c r="AT146" s="203">
        <f t="shared" ref="AT146" si="401">E146-AS146</f>
        <v>11229.7078</v>
      </c>
      <c r="AU146" s="131" t="s">
        <v>1698</v>
      </c>
      <c r="AV146" s="206"/>
      <c r="AW146" s="216"/>
    </row>
    <row r="147" spans="2:50" s="131" customFormat="1" ht="18" hidden="1" customHeight="1">
      <c r="B147" s="194" t="s">
        <v>2104</v>
      </c>
      <c r="C147" s="194">
        <v>178</v>
      </c>
      <c r="D147" s="324" t="s">
        <v>2051</v>
      </c>
      <c r="E147" s="196">
        <v>35740</v>
      </c>
      <c r="F147" s="196">
        <v>6560.0627256516118</v>
      </c>
      <c r="G147" s="196">
        <v>4473.6244375503829</v>
      </c>
      <c r="H147" s="197">
        <v>5</v>
      </c>
      <c r="I147" s="196">
        <v>24</v>
      </c>
      <c r="J147" s="197">
        <v>26</v>
      </c>
      <c r="K147" s="219">
        <f t="shared" si="388"/>
        <v>3120</v>
      </c>
      <c r="L147" s="197">
        <v>0</v>
      </c>
      <c r="M147" s="196">
        <v>0</v>
      </c>
      <c r="N147" s="197">
        <v>0</v>
      </c>
      <c r="O147" s="219">
        <f t="shared" si="389"/>
        <v>0</v>
      </c>
      <c r="P147" s="220">
        <f t="shared" si="390"/>
        <v>3120</v>
      </c>
      <c r="Q147" s="197">
        <v>5</v>
      </c>
      <c r="R147" s="196">
        <v>44.3</v>
      </c>
      <c r="S147" s="197">
        <v>26</v>
      </c>
      <c r="T147" s="219">
        <f t="shared" si="391"/>
        <v>5759</v>
      </c>
      <c r="U147" s="197">
        <v>0</v>
      </c>
      <c r="V147" s="196">
        <v>0</v>
      </c>
      <c r="W147" s="207">
        <v>0</v>
      </c>
      <c r="X147" s="219">
        <f t="shared" si="392"/>
        <v>0</v>
      </c>
      <c r="Y147" s="219">
        <f t="shared" si="393"/>
        <v>5759</v>
      </c>
      <c r="Z147" s="197">
        <v>5</v>
      </c>
      <c r="AA147" s="196">
        <v>90</v>
      </c>
      <c r="AB147" s="197">
        <v>2</v>
      </c>
      <c r="AC147" s="399">
        <f t="shared" si="394"/>
        <v>900</v>
      </c>
      <c r="AD147" s="197">
        <v>0</v>
      </c>
      <c r="AE147" s="196">
        <v>0</v>
      </c>
      <c r="AF147" s="197">
        <v>0</v>
      </c>
      <c r="AG147" s="219">
        <f t="shared" si="395"/>
        <v>0</v>
      </c>
      <c r="AH147" s="219">
        <f t="shared" si="396"/>
        <v>900</v>
      </c>
      <c r="AI147" s="220">
        <f t="shared" si="397"/>
        <v>20812.687163201994</v>
      </c>
      <c r="AJ147" s="201">
        <f t="shared" ref="AJ147:AJ154" si="402">AI147/E147</f>
        <v>0.58233595867940668</v>
      </c>
      <c r="AK147" s="196">
        <f t="shared" ref="AK147:AK152" si="403">(E147-AI147)*$AK$15</f>
        <v>1642.0044120477808</v>
      </c>
      <c r="AL147" s="196">
        <v>0</v>
      </c>
      <c r="AM147" s="196">
        <v>0</v>
      </c>
      <c r="AN147" s="196">
        <v>0</v>
      </c>
      <c r="AO147" s="196">
        <v>0</v>
      </c>
      <c r="AP147" s="247">
        <v>0</v>
      </c>
      <c r="AQ147" s="196">
        <f t="shared" si="398"/>
        <v>0</v>
      </c>
      <c r="AR147" s="221">
        <f t="shared" si="399"/>
        <v>0</v>
      </c>
      <c r="AS147" s="221">
        <f t="shared" si="400"/>
        <v>1642.0044120477808</v>
      </c>
      <c r="AT147" s="203">
        <f>E147-AS147</f>
        <v>34097.995587952217</v>
      </c>
      <c r="AV147" s="206"/>
      <c r="AW147" s="216"/>
    </row>
    <row r="148" spans="2:50" s="131" customFormat="1" ht="18" hidden="1" customHeight="1">
      <c r="B148" s="194" t="s">
        <v>2104</v>
      </c>
      <c r="C148" s="218">
        <v>179</v>
      </c>
      <c r="D148" s="325" t="s">
        <v>1831</v>
      </c>
      <c r="E148" s="213">
        <f>1562</f>
        <v>1562</v>
      </c>
      <c r="F148" s="196">
        <v>395.2</v>
      </c>
      <c r="G148" s="196">
        <v>0</v>
      </c>
      <c r="H148" s="197">
        <v>1</v>
      </c>
      <c r="I148" s="196">
        <v>24</v>
      </c>
      <c r="J148" s="197">
        <v>4</v>
      </c>
      <c r="K148" s="219">
        <f t="shared" si="388"/>
        <v>96</v>
      </c>
      <c r="L148" s="197">
        <v>0</v>
      </c>
      <c r="M148" s="196">
        <v>0</v>
      </c>
      <c r="N148" s="197">
        <v>0</v>
      </c>
      <c r="O148" s="219">
        <f t="shared" si="389"/>
        <v>0</v>
      </c>
      <c r="P148" s="220">
        <f t="shared" si="390"/>
        <v>96</v>
      </c>
      <c r="Q148" s="197">
        <v>1</v>
      </c>
      <c r="R148" s="196">
        <v>44.3</v>
      </c>
      <c r="S148" s="197">
        <v>4</v>
      </c>
      <c r="T148" s="219">
        <f t="shared" si="391"/>
        <v>177.2</v>
      </c>
      <c r="U148" s="197">
        <v>0</v>
      </c>
      <c r="V148" s="196">
        <v>0</v>
      </c>
      <c r="W148" s="207">
        <v>0</v>
      </c>
      <c r="X148" s="219">
        <f t="shared" si="392"/>
        <v>0</v>
      </c>
      <c r="Y148" s="219">
        <f t="shared" si="393"/>
        <v>177.2</v>
      </c>
      <c r="Z148" s="197">
        <v>1</v>
      </c>
      <c r="AA148" s="196">
        <v>90</v>
      </c>
      <c r="AB148" s="197">
        <v>1</v>
      </c>
      <c r="AC148" s="399">
        <f t="shared" si="394"/>
        <v>90</v>
      </c>
      <c r="AD148" s="197">
        <v>0</v>
      </c>
      <c r="AE148" s="196">
        <v>0</v>
      </c>
      <c r="AF148" s="197">
        <v>0</v>
      </c>
      <c r="AG148" s="219">
        <f t="shared" si="395"/>
        <v>0</v>
      </c>
      <c r="AH148" s="219">
        <f t="shared" si="396"/>
        <v>90</v>
      </c>
      <c r="AI148" s="220">
        <f>F148+G148+P148+Y148+AH148</f>
        <v>758.4</v>
      </c>
      <c r="AJ148" s="201">
        <f t="shared" si="402"/>
        <v>0.48553137003841229</v>
      </c>
      <c r="AK148" s="196">
        <f t="shared" si="403"/>
        <v>88.396000000000001</v>
      </c>
      <c r="AL148" s="196">
        <v>0</v>
      </c>
      <c r="AM148" s="196">
        <v>0</v>
      </c>
      <c r="AN148" s="196">
        <v>0</v>
      </c>
      <c r="AO148" s="196">
        <v>0</v>
      </c>
      <c r="AP148" s="247">
        <v>0</v>
      </c>
      <c r="AQ148" s="196">
        <f t="shared" si="398"/>
        <v>0</v>
      </c>
      <c r="AR148" s="221">
        <f t="shared" si="399"/>
        <v>0</v>
      </c>
      <c r="AS148" s="221">
        <f t="shared" si="400"/>
        <v>88.396000000000001</v>
      </c>
      <c r="AT148" s="203">
        <f t="shared" ref="AT148:AT154" si="404">E148-AS148</f>
        <v>1473.604</v>
      </c>
      <c r="AV148" s="206"/>
      <c r="AW148" s="206"/>
    </row>
    <row r="149" spans="2:50" s="131" customFormat="1" ht="18" hidden="1" customHeight="1">
      <c r="B149" s="194" t="s">
        <v>2104</v>
      </c>
      <c r="C149" s="218">
        <v>180</v>
      </c>
      <c r="D149" s="325" t="s">
        <v>1634</v>
      </c>
      <c r="E149" s="196">
        <f>5964</f>
        <v>5964</v>
      </c>
      <c r="F149" s="196">
        <v>1043</v>
      </c>
      <c r="G149" s="196">
        <v>387</v>
      </c>
      <c r="H149" s="197">
        <v>1</v>
      </c>
      <c r="I149" s="196">
        <v>24</v>
      </c>
      <c r="J149" s="197">
        <v>26</v>
      </c>
      <c r="K149" s="219">
        <f t="shared" si="388"/>
        <v>624</v>
      </c>
      <c r="L149" s="197">
        <v>0</v>
      </c>
      <c r="M149" s="196">
        <v>0</v>
      </c>
      <c r="N149" s="197">
        <v>0</v>
      </c>
      <c r="O149" s="219">
        <f t="shared" si="389"/>
        <v>0</v>
      </c>
      <c r="P149" s="220">
        <f t="shared" si="390"/>
        <v>624</v>
      </c>
      <c r="Q149" s="197">
        <v>1</v>
      </c>
      <c r="R149" s="196">
        <v>44.3</v>
      </c>
      <c r="S149" s="197">
        <v>26</v>
      </c>
      <c r="T149" s="219">
        <f t="shared" si="391"/>
        <v>1151.8</v>
      </c>
      <c r="U149" s="197">
        <v>0</v>
      </c>
      <c r="V149" s="196">
        <v>0</v>
      </c>
      <c r="W149" s="207">
        <v>0</v>
      </c>
      <c r="X149" s="219">
        <f t="shared" si="392"/>
        <v>0</v>
      </c>
      <c r="Y149" s="219">
        <f t="shared" si="393"/>
        <v>1151.8</v>
      </c>
      <c r="Z149" s="197">
        <v>1</v>
      </c>
      <c r="AA149" s="196">
        <v>90</v>
      </c>
      <c r="AB149" s="197">
        <v>2</v>
      </c>
      <c r="AC149" s="399">
        <f t="shared" si="394"/>
        <v>180</v>
      </c>
      <c r="AD149" s="197">
        <v>0</v>
      </c>
      <c r="AE149" s="196">
        <v>0</v>
      </c>
      <c r="AF149" s="197">
        <v>0</v>
      </c>
      <c r="AG149" s="219">
        <f t="shared" si="395"/>
        <v>0</v>
      </c>
      <c r="AH149" s="219">
        <f t="shared" si="396"/>
        <v>180</v>
      </c>
      <c r="AI149" s="220">
        <f t="shared" ref="AI149:AI150" si="405">F149+G149+P149+Y149+AH149</f>
        <v>3385.8</v>
      </c>
      <c r="AJ149" s="201">
        <f t="shared" si="402"/>
        <v>0.56770623742454729</v>
      </c>
      <c r="AK149" s="196">
        <f t="shared" si="403"/>
        <v>283.60199999999998</v>
      </c>
      <c r="AL149" s="196">
        <v>0</v>
      </c>
      <c r="AM149" s="196">
        <v>0</v>
      </c>
      <c r="AN149" s="196">
        <v>0</v>
      </c>
      <c r="AO149" s="196">
        <v>0</v>
      </c>
      <c r="AP149" s="286">
        <v>4.3199195171026154E-2</v>
      </c>
      <c r="AQ149" s="196">
        <f t="shared" si="398"/>
        <v>257.64</v>
      </c>
      <c r="AR149" s="221">
        <f t="shared" si="399"/>
        <v>257.64</v>
      </c>
      <c r="AS149" s="221">
        <f t="shared" si="400"/>
        <v>541.24199999999996</v>
      </c>
      <c r="AT149" s="203">
        <f t="shared" si="404"/>
        <v>5422.7579999999998</v>
      </c>
      <c r="AU149" s="131" t="s">
        <v>1698</v>
      </c>
      <c r="AV149" s="206"/>
      <c r="AW149" s="206"/>
    </row>
    <row r="150" spans="2:50" s="131" customFormat="1" ht="18" hidden="1" customHeight="1">
      <c r="B150" s="194" t="s">
        <v>2104</v>
      </c>
      <c r="C150" s="218">
        <v>181</v>
      </c>
      <c r="D150" s="325" t="s">
        <v>1833</v>
      </c>
      <c r="E150" s="196">
        <f>8960</f>
        <v>8960</v>
      </c>
      <c r="F150" s="196">
        <v>1190</v>
      </c>
      <c r="G150" s="196">
        <v>410</v>
      </c>
      <c r="H150" s="197">
        <v>2</v>
      </c>
      <c r="I150" s="196">
        <v>24</v>
      </c>
      <c r="J150" s="197">
        <v>16</v>
      </c>
      <c r="K150" s="219">
        <f t="shared" si="388"/>
        <v>768</v>
      </c>
      <c r="L150" s="197">
        <v>0</v>
      </c>
      <c r="M150" s="196">
        <v>0</v>
      </c>
      <c r="N150" s="197">
        <v>0</v>
      </c>
      <c r="O150" s="219">
        <f t="shared" si="389"/>
        <v>0</v>
      </c>
      <c r="P150" s="220">
        <f t="shared" si="390"/>
        <v>768</v>
      </c>
      <c r="Q150" s="197">
        <v>2</v>
      </c>
      <c r="R150" s="196">
        <v>44.3</v>
      </c>
      <c r="S150" s="197">
        <v>16</v>
      </c>
      <c r="T150" s="219">
        <f t="shared" si="391"/>
        <v>1417.6</v>
      </c>
      <c r="U150" s="197">
        <v>0</v>
      </c>
      <c r="V150" s="196">
        <v>0</v>
      </c>
      <c r="W150" s="207">
        <v>0</v>
      </c>
      <c r="X150" s="219">
        <f t="shared" si="392"/>
        <v>0</v>
      </c>
      <c r="Y150" s="219">
        <f t="shared" si="393"/>
        <v>1417.6</v>
      </c>
      <c r="Z150" s="197">
        <v>2</v>
      </c>
      <c r="AA150" s="196">
        <v>90</v>
      </c>
      <c r="AB150" s="197">
        <v>2</v>
      </c>
      <c r="AC150" s="399">
        <f t="shared" si="394"/>
        <v>360</v>
      </c>
      <c r="AD150" s="197">
        <v>0</v>
      </c>
      <c r="AE150" s="196">
        <v>0</v>
      </c>
      <c r="AF150" s="197">
        <v>0</v>
      </c>
      <c r="AG150" s="219">
        <f t="shared" si="395"/>
        <v>0</v>
      </c>
      <c r="AH150" s="219">
        <f t="shared" si="396"/>
        <v>360</v>
      </c>
      <c r="AI150" s="220">
        <f t="shared" si="405"/>
        <v>4145.6000000000004</v>
      </c>
      <c r="AJ150" s="201">
        <f t="shared" si="402"/>
        <v>0.46267857142857149</v>
      </c>
      <c r="AK150" s="196">
        <f t="shared" si="403"/>
        <v>529.58399999999995</v>
      </c>
      <c r="AL150" s="196">
        <v>0</v>
      </c>
      <c r="AM150" s="196">
        <v>0</v>
      </c>
      <c r="AN150" s="196">
        <v>0</v>
      </c>
      <c r="AO150" s="196">
        <v>0</v>
      </c>
      <c r="AP150" s="247">
        <v>0</v>
      </c>
      <c r="AQ150" s="196">
        <f t="shared" si="398"/>
        <v>0</v>
      </c>
      <c r="AR150" s="221">
        <f>AL150+AM150+AN150+AO150+AQ150</f>
        <v>0</v>
      </c>
      <c r="AS150" s="221">
        <f>AK150+AR150</f>
        <v>529.58399999999995</v>
      </c>
      <c r="AT150" s="203">
        <f t="shared" si="404"/>
        <v>8430.4159999999993</v>
      </c>
      <c r="AV150" s="206"/>
      <c r="AW150" s="206"/>
    </row>
    <row r="151" spans="2:50" s="131" customFormat="1" ht="18" hidden="1" customHeight="1">
      <c r="B151" s="194" t="s">
        <v>2104</v>
      </c>
      <c r="C151" s="218">
        <v>182</v>
      </c>
      <c r="D151" s="325" t="s">
        <v>1834</v>
      </c>
      <c r="E151" s="196">
        <v>6104</v>
      </c>
      <c r="F151" s="196">
        <v>950.61</v>
      </c>
      <c r="G151" s="196">
        <v>351.9</v>
      </c>
      <c r="H151" s="197">
        <v>1</v>
      </c>
      <c r="I151" s="196">
        <v>24</v>
      </c>
      <c r="J151" s="197">
        <v>26</v>
      </c>
      <c r="K151" s="219">
        <f t="shared" si="388"/>
        <v>624</v>
      </c>
      <c r="L151" s="197">
        <v>0</v>
      </c>
      <c r="M151" s="196">
        <v>0</v>
      </c>
      <c r="N151" s="197">
        <v>0</v>
      </c>
      <c r="O151" s="219">
        <f t="shared" si="389"/>
        <v>0</v>
      </c>
      <c r="P151" s="220">
        <f t="shared" si="390"/>
        <v>624</v>
      </c>
      <c r="Q151" s="197">
        <v>1</v>
      </c>
      <c r="R151" s="196">
        <v>44.3</v>
      </c>
      <c r="S151" s="197">
        <v>26</v>
      </c>
      <c r="T151" s="219">
        <f t="shared" si="391"/>
        <v>1151.8</v>
      </c>
      <c r="U151" s="197">
        <v>0</v>
      </c>
      <c r="V151" s="196">
        <v>0</v>
      </c>
      <c r="W151" s="207">
        <v>0</v>
      </c>
      <c r="X151" s="219">
        <f t="shared" si="392"/>
        <v>0</v>
      </c>
      <c r="Y151" s="219">
        <f t="shared" si="393"/>
        <v>1151.8</v>
      </c>
      <c r="Z151" s="197">
        <v>1</v>
      </c>
      <c r="AA151" s="196">
        <v>90</v>
      </c>
      <c r="AB151" s="197">
        <v>2</v>
      </c>
      <c r="AC151" s="399">
        <f t="shared" si="394"/>
        <v>180</v>
      </c>
      <c r="AD151" s="197">
        <v>0</v>
      </c>
      <c r="AE151" s="196">
        <v>0</v>
      </c>
      <c r="AF151" s="197">
        <v>0</v>
      </c>
      <c r="AG151" s="219">
        <f t="shared" si="395"/>
        <v>0</v>
      </c>
      <c r="AH151" s="219">
        <f t="shared" si="396"/>
        <v>180</v>
      </c>
      <c r="AI151" s="220">
        <f>F151+G151+P151+Y151+AH151</f>
        <v>3258.31</v>
      </c>
      <c r="AJ151" s="201">
        <f t="shared" si="402"/>
        <v>0.53379914809960682</v>
      </c>
      <c r="AK151" s="196">
        <f t="shared" si="403"/>
        <v>313.02590000000004</v>
      </c>
      <c r="AL151" s="196">
        <v>0</v>
      </c>
      <c r="AM151" s="196">
        <v>0</v>
      </c>
      <c r="AN151" s="196">
        <v>0</v>
      </c>
      <c r="AO151" s="196">
        <v>0</v>
      </c>
      <c r="AP151" s="286">
        <v>4.3199195171026154E-2</v>
      </c>
      <c r="AQ151" s="196">
        <f t="shared" si="398"/>
        <v>263.68788732394364</v>
      </c>
      <c r="AR151" s="221">
        <f t="shared" ref="AR151:AR152" si="406">AL151+AM151+AN151+AO151+AQ151</f>
        <v>263.68788732394364</v>
      </c>
      <c r="AS151" s="221">
        <f t="shared" ref="AS151:AS152" si="407">AK151+AR151</f>
        <v>576.71378732394373</v>
      </c>
      <c r="AT151" s="203">
        <f t="shared" si="404"/>
        <v>5527.2862126760565</v>
      </c>
      <c r="AV151" s="206"/>
      <c r="AW151" s="206"/>
    </row>
    <row r="152" spans="2:50" s="131" customFormat="1" ht="18" hidden="1" customHeight="1">
      <c r="B152" s="194" t="s">
        <v>2104</v>
      </c>
      <c r="C152" s="218">
        <v>183</v>
      </c>
      <c r="D152" s="325" t="s">
        <v>1003</v>
      </c>
      <c r="E152" s="196">
        <f>18328</f>
        <v>18328</v>
      </c>
      <c r="F152" s="196">
        <v>2550</v>
      </c>
      <c r="G152" s="196">
        <v>703.8</v>
      </c>
      <c r="H152" s="197">
        <v>1</v>
      </c>
      <c r="I152" s="196">
        <v>24</v>
      </c>
      <c r="J152" s="197">
        <v>26</v>
      </c>
      <c r="K152" s="219">
        <f t="shared" si="388"/>
        <v>624</v>
      </c>
      <c r="L152" s="197">
        <v>2</v>
      </c>
      <c r="M152" s="196">
        <v>16</v>
      </c>
      <c r="N152" s="197">
        <v>16</v>
      </c>
      <c r="O152" s="219">
        <f t="shared" si="389"/>
        <v>512</v>
      </c>
      <c r="P152" s="220">
        <f t="shared" si="390"/>
        <v>1136</v>
      </c>
      <c r="Q152" s="197">
        <v>1</v>
      </c>
      <c r="R152" s="196">
        <v>44.3</v>
      </c>
      <c r="S152" s="197">
        <v>26</v>
      </c>
      <c r="T152" s="219">
        <f t="shared" si="391"/>
        <v>1151.8</v>
      </c>
      <c r="U152" s="197">
        <v>2</v>
      </c>
      <c r="V152" s="196">
        <v>44.3</v>
      </c>
      <c r="W152" s="207">
        <v>16</v>
      </c>
      <c r="X152" s="219">
        <f t="shared" si="392"/>
        <v>1417.6</v>
      </c>
      <c r="Y152" s="219">
        <f t="shared" si="393"/>
        <v>2569.3999999999996</v>
      </c>
      <c r="Z152" s="197">
        <v>1</v>
      </c>
      <c r="AA152" s="196">
        <v>80</v>
      </c>
      <c r="AB152" s="197">
        <v>2</v>
      </c>
      <c r="AC152" s="219">
        <f t="shared" si="394"/>
        <v>160</v>
      </c>
      <c r="AD152" s="197">
        <v>2</v>
      </c>
      <c r="AE152" s="196">
        <v>80</v>
      </c>
      <c r="AF152" s="197">
        <v>2</v>
      </c>
      <c r="AG152" s="219">
        <f t="shared" si="395"/>
        <v>320</v>
      </c>
      <c r="AH152" s="219">
        <f t="shared" si="396"/>
        <v>480</v>
      </c>
      <c r="AI152" s="220">
        <f t="shared" ref="AI152" si="408">F152+G152+P152+Y152+AH152</f>
        <v>7439.2</v>
      </c>
      <c r="AJ152" s="201">
        <f t="shared" si="402"/>
        <v>0.40589262330859888</v>
      </c>
      <c r="AK152" s="196">
        <f t="shared" si="403"/>
        <v>1197.768</v>
      </c>
      <c r="AL152" s="196">
        <v>0</v>
      </c>
      <c r="AM152" s="196">
        <v>0</v>
      </c>
      <c r="AN152" s="196">
        <v>0</v>
      </c>
      <c r="AO152" s="196">
        <v>0</v>
      </c>
      <c r="AP152" s="286">
        <v>4.3199195171026154E-2</v>
      </c>
      <c r="AQ152" s="196">
        <f t="shared" si="398"/>
        <v>791.75484909456736</v>
      </c>
      <c r="AR152" s="221">
        <f t="shared" si="406"/>
        <v>791.75484909456736</v>
      </c>
      <c r="AS152" s="221">
        <f t="shared" si="407"/>
        <v>1989.5228490945674</v>
      </c>
      <c r="AT152" s="203">
        <f t="shared" si="404"/>
        <v>16338.477150905434</v>
      </c>
      <c r="AV152" s="206"/>
      <c r="AW152" s="204"/>
      <c r="AX152" s="401"/>
    </row>
    <row r="153" spans="2:50" s="131" customFormat="1" ht="18" hidden="1" customHeight="1">
      <c r="B153" s="194" t="s">
        <v>2104</v>
      </c>
      <c r="C153" s="218">
        <v>184</v>
      </c>
      <c r="D153" s="325" t="s">
        <v>2050</v>
      </c>
      <c r="E153" s="196">
        <v>5697</v>
      </c>
      <c r="F153" s="196">
        <v>620</v>
      </c>
      <c r="G153" s="196">
        <v>230</v>
      </c>
      <c r="H153" s="197">
        <v>1</v>
      </c>
      <c r="I153" s="196">
        <v>24</v>
      </c>
      <c r="J153" s="197">
        <v>26</v>
      </c>
      <c r="K153" s="219">
        <f t="shared" si="388"/>
        <v>624</v>
      </c>
      <c r="L153" s="197">
        <v>0</v>
      </c>
      <c r="M153" s="196">
        <v>0</v>
      </c>
      <c r="N153" s="197">
        <v>0</v>
      </c>
      <c r="O153" s="219">
        <f t="shared" si="389"/>
        <v>0</v>
      </c>
      <c r="P153" s="220">
        <f t="shared" si="390"/>
        <v>624</v>
      </c>
      <c r="Q153" s="197">
        <v>1</v>
      </c>
      <c r="R153" s="196">
        <v>44.3</v>
      </c>
      <c r="S153" s="197">
        <v>26</v>
      </c>
      <c r="T153" s="219">
        <f t="shared" si="391"/>
        <v>1151.8</v>
      </c>
      <c r="U153" s="197">
        <v>0</v>
      </c>
      <c r="V153" s="196">
        <v>0</v>
      </c>
      <c r="W153" s="207">
        <v>0</v>
      </c>
      <c r="X153" s="219">
        <f t="shared" si="392"/>
        <v>0</v>
      </c>
      <c r="Y153" s="219">
        <f t="shared" si="393"/>
        <v>1151.8</v>
      </c>
      <c r="Z153" s="197">
        <v>1</v>
      </c>
      <c r="AA153" s="196">
        <v>90</v>
      </c>
      <c r="AB153" s="197">
        <v>4</v>
      </c>
      <c r="AC153" s="399">
        <f t="shared" si="394"/>
        <v>360</v>
      </c>
      <c r="AD153" s="197">
        <v>0</v>
      </c>
      <c r="AE153" s="196">
        <v>0</v>
      </c>
      <c r="AF153" s="197">
        <v>0</v>
      </c>
      <c r="AG153" s="219">
        <f t="shared" si="395"/>
        <v>0</v>
      </c>
      <c r="AH153" s="219">
        <f t="shared" si="396"/>
        <v>360</v>
      </c>
      <c r="AI153" s="220">
        <f>F153+G153+P153+Y153+AH153</f>
        <v>2985.8</v>
      </c>
      <c r="AJ153" s="201">
        <f t="shared" si="402"/>
        <v>0.52410040372125688</v>
      </c>
      <c r="AK153" s="196">
        <f>(E153-AI153)*$AK$15</f>
        <v>298.23199999999997</v>
      </c>
      <c r="AL153" s="196">
        <v>0</v>
      </c>
      <c r="AM153" s="196">
        <v>0</v>
      </c>
      <c r="AN153" s="196">
        <v>0</v>
      </c>
      <c r="AO153" s="196">
        <v>0</v>
      </c>
      <c r="AP153" s="247">
        <v>0</v>
      </c>
      <c r="AQ153" s="196">
        <f t="shared" si="398"/>
        <v>0</v>
      </c>
      <c r="AR153" s="221">
        <f>AL153+AM153+AN153+AO153+AQ153</f>
        <v>0</v>
      </c>
      <c r="AS153" s="221">
        <f>AK153+AR153</f>
        <v>298.23199999999997</v>
      </c>
      <c r="AT153" s="203">
        <f t="shared" si="404"/>
        <v>5398.768</v>
      </c>
      <c r="AV153" s="206"/>
      <c r="AW153" s="206"/>
    </row>
    <row r="154" spans="2:50" s="131" customFormat="1" ht="18" hidden="1" customHeight="1">
      <c r="B154" s="194" t="s">
        <v>2104</v>
      </c>
      <c r="C154" s="218">
        <v>185</v>
      </c>
      <c r="D154" s="325" t="s">
        <v>2049</v>
      </c>
      <c r="E154" s="196">
        <v>5707</v>
      </c>
      <c r="F154" s="196">
        <v>620</v>
      </c>
      <c r="G154" s="196">
        <v>230</v>
      </c>
      <c r="H154" s="197">
        <v>1</v>
      </c>
      <c r="I154" s="196">
        <v>24</v>
      </c>
      <c r="J154" s="197">
        <v>26</v>
      </c>
      <c r="K154" s="219">
        <f t="shared" si="388"/>
        <v>624</v>
      </c>
      <c r="L154" s="197">
        <v>0</v>
      </c>
      <c r="M154" s="196">
        <v>0</v>
      </c>
      <c r="N154" s="197">
        <v>0</v>
      </c>
      <c r="O154" s="219">
        <f t="shared" si="389"/>
        <v>0</v>
      </c>
      <c r="P154" s="220">
        <f t="shared" si="390"/>
        <v>624</v>
      </c>
      <c r="Q154" s="197">
        <v>1</v>
      </c>
      <c r="R154" s="196">
        <v>44.3</v>
      </c>
      <c r="S154" s="197">
        <v>26</v>
      </c>
      <c r="T154" s="219">
        <f t="shared" si="391"/>
        <v>1151.8</v>
      </c>
      <c r="U154" s="197">
        <v>0</v>
      </c>
      <c r="V154" s="196">
        <v>0</v>
      </c>
      <c r="W154" s="207">
        <v>0</v>
      </c>
      <c r="X154" s="219">
        <f t="shared" si="392"/>
        <v>0</v>
      </c>
      <c r="Y154" s="219">
        <f t="shared" si="393"/>
        <v>1151.8</v>
      </c>
      <c r="Z154" s="197">
        <v>1</v>
      </c>
      <c r="AA154" s="196">
        <v>90</v>
      </c>
      <c r="AB154" s="197">
        <v>4</v>
      </c>
      <c r="AC154" s="399">
        <f t="shared" si="394"/>
        <v>360</v>
      </c>
      <c r="AD154" s="197">
        <v>0</v>
      </c>
      <c r="AE154" s="196">
        <v>0</v>
      </c>
      <c r="AF154" s="197">
        <v>0</v>
      </c>
      <c r="AG154" s="219">
        <f t="shared" si="395"/>
        <v>0</v>
      </c>
      <c r="AH154" s="219">
        <f t="shared" si="396"/>
        <v>360</v>
      </c>
      <c r="AI154" s="220">
        <f>F154+G154+P154+Y154+AH154</f>
        <v>2985.8</v>
      </c>
      <c r="AJ154" s="201">
        <f t="shared" si="402"/>
        <v>0.52318205712283161</v>
      </c>
      <c r="AK154" s="196">
        <v>0</v>
      </c>
      <c r="AL154" s="196">
        <v>0</v>
      </c>
      <c r="AM154" s="196">
        <v>0</v>
      </c>
      <c r="AN154" s="196">
        <v>0</v>
      </c>
      <c r="AO154" s="196">
        <v>0</v>
      </c>
      <c r="AP154" s="247">
        <v>0</v>
      </c>
      <c r="AQ154" s="196">
        <f t="shared" si="398"/>
        <v>0</v>
      </c>
      <c r="AR154" s="221">
        <f>AL154+AM154+AN154+AO154+AQ154</f>
        <v>0</v>
      </c>
      <c r="AS154" s="221">
        <f>AK154+AR154</f>
        <v>0</v>
      </c>
      <c r="AT154" s="203">
        <f t="shared" si="404"/>
        <v>5707</v>
      </c>
      <c r="AU154" s="131" t="s">
        <v>1698</v>
      </c>
      <c r="AV154" s="206"/>
      <c r="AW154" s="206"/>
    </row>
    <row r="155" spans="2:50" s="131" customFormat="1" ht="18" hidden="1" customHeight="1">
      <c r="B155" s="371"/>
      <c r="C155" s="371"/>
      <c r="D155" s="372"/>
      <c r="E155" s="391"/>
      <c r="F155" s="391"/>
      <c r="G155" s="391"/>
      <c r="H155" s="392"/>
      <c r="I155" s="391"/>
      <c r="J155" s="392"/>
      <c r="K155" s="393"/>
      <c r="L155" s="392"/>
      <c r="M155" s="391"/>
      <c r="N155" s="392"/>
      <c r="O155" s="393"/>
      <c r="P155" s="394"/>
      <c r="Q155" s="392"/>
      <c r="R155" s="391"/>
      <c r="S155" s="392"/>
      <c r="T155" s="393"/>
      <c r="U155" s="392"/>
      <c r="V155" s="391"/>
      <c r="W155" s="426"/>
      <c r="X155" s="393"/>
      <c r="Y155" s="393"/>
      <c r="Z155" s="392"/>
      <c r="AA155" s="391"/>
      <c r="AB155" s="392"/>
      <c r="AC155" s="393"/>
      <c r="AD155" s="392"/>
      <c r="AE155" s="391"/>
      <c r="AF155" s="392"/>
      <c r="AG155" s="393"/>
      <c r="AH155" s="393"/>
      <c r="AI155" s="394"/>
      <c r="AJ155" s="395"/>
      <c r="AK155" s="391"/>
      <c r="AL155" s="391"/>
      <c r="AM155" s="391"/>
      <c r="AN155" s="391"/>
      <c r="AO155" s="391"/>
      <c r="AP155" s="428"/>
      <c r="AQ155" s="391"/>
      <c r="AR155" s="396"/>
      <c r="AS155" s="396"/>
      <c r="AT155" s="397"/>
      <c r="AV155" s="206"/>
      <c r="AW155" s="204"/>
    </row>
    <row r="156" spans="2:50" s="131" customFormat="1" ht="18" hidden="1" customHeight="1">
      <c r="B156" s="194" t="s">
        <v>2137</v>
      </c>
      <c r="C156" s="194">
        <v>193</v>
      </c>
      <c r="D156" s="324" t="s">
        <v>1832</v>
      </c>
      <c r="E156" s="196">
        <v>11996</v>
      </c>
      <c r="F156" s="196">
        <v>0</v>
      </c>
      <c r="G156" s="196">
        <v>0</v>
      </c>
      <c r="H156" s="197">
        <v>2</v>
      </c>
      <c r="I156" s="196">
        <v>0</v>
      </c>
      <c r="J156" s="197">
        <v>0</v>
      </c>
      <c r="K156" s="219">
        <f t="shared" ref="K156:K164" si="409">H156*I156*J156</f>
        <v>0</v>
      </c>
      <c r="L156" s="197">
        <v>0</v>
      </c>
      <c r="M156" s="196">
        <v>0</v>
      </c>
      <c r="N156" s="197">
        <v>0</v>
      </c>
      <c r="O156" s="219">
        <f t="shared" ref="O156:O164" si="410">L156*M156*N156</f>
        <v>0</v>
      </c>
      <c r="P156" s="220">
        <f t="shared" ref="P156:P164" si="411">K156+O156</f>
        <v>0</v>
      </c>
      <c r="Q156" s="197">
        <v>2</v>
      </c>
      <c r="R156" s="196">
        <v>26</v>
      </c>
      <c r="S156" s="197">
        <v>0</v>
      </c>
      <c r="T156" s="219">
        <f t="shared" ref="T156:T164" si="412">Q156*R156*S156</f>
        <v>0</v>
      </c>
      <c r="U156" s="197">
        <v>0</v>
      </c>
      <c r="V156" s="196">
        <v>0</v>
      </c>
      <c r="W156" s="207">
        <v>0</v>
      </c>
      <c r="X156" s="219">
        <f t="shared" ref="X156:X164" si="413">U156*V156*W156</f>
        <v>0</v>
      </c>
      <c r="Y156" s="219">
        <f t="shared" ref="Y156:Y164" si="414">T156+X156</f>
        <v>0</v>
      </c>
      <c r="Z156" s="197">
        <v>2</v>
      </c>
      <c r="AA156" s="196">
        <v>0</v>
      </c>
      <c r="AB156" s="197">
        <v>0</v>
      </c>
      <c r="AC156" s="399">
        <f t="shared" ref="AC156:AC164" si="415">Z156*AA156*AB156</f>
        <v>0</v>
      </c>
      <c r="AD156" s="197">
        <v>0</v>
      </c>
      <c r="AE156" s="196">
        <v>0</v>
      </c>
      <c r="AF156" s="197">
        <v>0</v>
      </c>
      <c r="AG156" s="219">
        <f t="shared" ref="AG156:AG164" si="416">AD156*AE156*AF156</f>
        <v>0</v>
      </c>
      <c r="AH156" s="219">
        <f t="shared" ref="AH156:AH164" si="417">AC156+AG156</f>
        <v>0</v>
      </c>
      <c r="AI156" s="220">
        <f t="shared" ref="AI156:AI157" si="418">F156+G156+P156+Y156+AH156</f>
        <v>0</v>
      </c>
      <c r="AJ156" s="201">
        <f>AI156/E156</f>
        <v>0</v>
      </c>
      <c r="AK156" s="196">
        <f>(E156-AI156)*$AK$15</f>
        <v>1319.56</v>
      </c>
      <c r="AL156" s="196">
        <v>0</v>
      </c>
      <c r="AM156" s="196">
        <v>0</v>
      </c>
      <c r="AN156" s="196">
        <v>0</v>
      </c>
      <c r="AO156" s="196">
        <v>0</v>
      </c>
      <c r="AP156" s="247">
        <v>0</v>
      </c>
      <c r="AQ156" s="196">
        <f t="shared" ref="AQ156:AQ164" si="419">AP156*E156</f>
        <v>0</v>
      </c>
      <c r="AR156" s="221">
        <f t="shared" ref="AR156:AR159" si="420">AL156+AM156+AN156+AO156+AQ156</f>
        <v>0</v>
      </c>
      <c r="AS156" s="221">
        <f t="shared" ref="AS156:AS159" si="421">AK156+AR156</f>
        <v>1319.56</v>
      </c>
      <c r="AT156" s="203">
        <f t="shared" ref="AT156" si="422">E156-AS156</f>
        <v>10676.44</v>
      </c>
      <c r="AU156" s="131" t="s">
        <v>1698</v>
      </c>
      <c r="AV156" s="206"/>
      <c r="AW156" s="216"/>
    </row>
    <row r="157" spans="2:50" s="131" customFormat="1" ht="18" hidden="1" customHeight="1">
      <c r="B157" s="194" t="s">
        <v>2137</v>
      </c>
      <c r="C157" s="194">
        <v>195</v>
      </c>
      <c r="D157" s="324" t="s">
        <v>2051</v>
      </c>
      <c r="E157" s="196">
        <v>35740</v>
      </c>
      <c r="F157" s="196">
        <v>6560.0627256516118</v>
      </c>
      <c r="G157" s="196">
        <v>4473.6244375503829</v>
      </c>
      <c r="H157" s="197">
        <v>5</v>
      </c>
      <c r="I157" s="196">
        <v>24</v>
      </c>
      <c r="J157" s="197">
        <v>26</v>
      </c>
      <c r="K157" s="219">
        <f t="shared" si="409"/>
        <v>3120</v>
      </c>
      <c r="L157" s="197">
        <v>0</v>
      </c>
      <c r="M157" s="196">
        <v>0</v>
      </c>
      <c r="N157" s="197">
        <v>0</v>
      </c>
      <c r="O157" s="219">
        <f t="shared" si="410"/>
        <v>0</v>
      </c>
      <c r="P157" s="220">
        <f t="shared" si="411"/>
        <v>3120</v>
      </c>
      <c r="Q157" s="197">
        <v>5</v>
      </c>
      <c r="R157" s="196">
        <v>44.3</v>
      </c>
      <c r="S157" s="197">
        <v>26</v>
      </c>
      <c r="T157" s="219">
        <f t="shared" si="412"/>
        <v>5759</v>
      </c>
      <c r="U157" s="197">
        <v>0</v>
      </c>
      <c r="V157" s="196">
        <v>0</v>
      </c>
      <c r="W157" s="207">
        <v>0</v>
      </c>
      <c r="X157" s="219">
        <f t="shared" si="413"/>
        <v>0</v>
      </c>
      <c r="Y157" s="219">
        <f t="shared" si="414"/>
        <v>5759</v>
      </c>
      <c r="Z157" s="197">
        <v>5</v>
      </c>
      <c r="AA157" s="196">
        <v>90</v>
      </c>
      <c r="AB157" s="197">
        <v>2</v>
      </c>
      <c r="AC157" s="399">
        <f t="shared" si="415"/>
        <v>900</v>
      </c>
      <c r="AD157" s="197">
        <v>0</v>
      </c>
      <c r="AE157" s="196">
        <v>0</v>
      </c>
      <c r="AF157" s="197">
        <v>0</v>
      </c>
      <c r="AG157" s="219">
        <f t="shared" si="416"/>
        <v>0</v>
      </c>
      <c r="AH157" s="219">
        <f t="shared" si="417"/>
        <v>900</v>
      </c>
      <c r="AI157" s="220">
        <f t="shared" si="418"/>
        <v>20812.687163201994</v>
      </c>
      <c r="AJ157" s="201">
        <f t="shared" ref="AJ157" si="423">AI157/E157</f>
        <v>0.58233595867940668</v>
      </c>
      <c r="AK157" s="196">
        <f t="shared" ref="AK157" si="424">(E157-AI157)*$AK$15</f>
        <v>1642.0044120477808</v>
      </c>
      <c r="AL157" s="196">
        <v>0</v>
      </c>
      <c r="AM157" s="196">
        <v>0</v>
      </c>
      <c r="AN157" s="196">
        <v>0</v>
      </c>
      <c r="AO157" s="196">
        <v>0</v>
      </c>
      <c r="AP157" s="247">
        <v>0</v>
      </c>
      <c r="AQ157" s="196">
        <f t="shared" si="419"/>
        <v>0</v>
      </c>
      <c r="AR157" s="221">
        <f t="shared" si="420"/>
        <v>0</v>
      </c>
      <c r="AS157" s="221">
        <f t="shared" si="421"/>
        <v>1642.0044120477808</v>
      </c>
      <c r="AT157" s="203">
        <f>E157-AS157</f>
        <v>34097.995587952217</v>
      </c>
      <c r="AU157" s="131" t="s">
        <v>1698</v>
      </c>
      <c r="AV157" s="206"/>
      <c r="AW157" s="216"/>
    </row>
    <row r="158" spans="2:50" s="131" customFormat="1" ht="18" hidden="1" customHeight="1">
      <c r="B158" s="194" t="s">
        <v>2137</v>
      </c>
      <c r="C158" s="194">
        <v>192</v>
      </c>
      <c r="D158" s="370" t="s">
        <v>1831</v>
      </c>
      <c r="E158" s="1054">
        <f>1562</f>
        <v>1562</v>
      </c>
      <c r="F158" s="196">
        <v>395.2</v>
      </c>
      <c r="G158" s="196">
        <v>0</v>
      </c>
      <c r="H158" s="197">
        <v>1</v>
      </c>
      <c r="I158" s="196">
        <v>24</v>
      </c>
      <c r="J158" s="197">
        <v>4</v>
      </c>
      <c r="K158" s="219">
        <f t="shared" si="409"/>
        <v>96</v>
      </c>
      <c r="L158" s="197">
        <v>0</v>
      </c>
      <c r="M158" s="196">
        <v>0</v>
      </c>
      <c r="N158" s="197">
        <v>0</v>
      </c>
      <c r="O158" s="219">
        <f t="shared" si="410"/>
        <v>0</v>
      </c>
      <c r="P158" s="220">
        <f t="shared" si="411"/>
        <v>96</v>
      </c>
      <c r="Q158" s="197">
        <v>1</v>
      </c>
      <c r="R158" s="196">
        <v>46.38</v>
      </c>
      <c r="S158" s="197">
        <v>4</v>
      </c>
      <c r="T158" s="219">
        <f t="shared" si="412"/>
        <v>185.52</v>
      </c>
      <c r="U158" s="197">
        <v>0</v>
      </c>
      <c r="V158" s="196">
        <v>0</v>
      </c>
      <c r="W158" s="207">
        <v>0</v>
      </c>
      <c r="X158" s="219">
        <f t="shared" si="413"/>
        <v>0</v>
      </c>
      <c r="Y158" s="219">
        <f t="shared" si="414"/>
        <v>185.52</v>
      </c>
      <c r="Z158" s="197">
        <v>1</v>
      </c>
      <c r="AA158" s="196">
        <v>90</v>
      </c>
      <c r="AB158" s="197">
        <v>1</v>
      </c>
      <c r="AC158" s="399">
        <f t="shared" si="415"/>
        <v>90</v>
      </c>
      <c r="AD158" s="197">
        <v>0</v>
      </c>
      <c r="AE158" s="196">
        <v>0</v>
      </c>
      <c r="AF158" s="197">
        <v>0</v>
      </c>
      <c r="AG158" s="219">
        <f t="shared" si="416"/>
        <v>0</v>
      </c>
      <c r="AH158" s="219">
        <f t="shared" si="417"/>
        <v>90</v>
      </c>
      <c r="AI158" s="220">
        <f>F158+G158+P158+Y158+AH158</f>
        <v>766.72</v>
      </c>
      <c r="AJ158" s="201">
        <f t="shared" ref="AJ158:AJ164" si="425">AI158/E158</f>
        <v>0.49085787451984636</v>
      </c>
      <c r="AK158" s="196">
        <f t="shared" ref="AK158:AK162" si="426">(E158-AI158)*$AK$15</f>
        <v>87.480800000000002</v>
      </c>
      <c r="AL158" s="196">
        <v>0</v>
      </c>
      <c r="AM158" s="196">
        <v>0</v>
      </c>
      <c r="AN158" s="196">
        <v>0</v>
      </c>
      <c r="AO158" s="196">
        <v>0</v>
      </c>
      <c r="AP158" s="247">
        <v>0</v>
      </c>
      <c r="AQ158" s="196">
        <f t="shared" si="419"/>
        <v>0</v>
      </c>
      <c r="AR158" s="221">
        <f t="shared" si="420"/>
        <v>0</v>
      </c>
      <c r="AS158" s="221">
        <f t="shared" si="421"/>
        <v>87.480800000000002</v>
      </c>
      <c r="AT158" s="203">
        <f t="shared" ref="AT158:AT164" si="427">E158-AS158</f>
        <v>1474.5192</v>
      </c>
      <c r="AV158" s="206"/>
      <c r="AW158" s="206"/>
    </row>
    <row r="159" spans="2:50" s="131" customFormat="1" ht="18" hidden="1" customHeight="1">
      <c r="B159" s="194" t="s">
        <v>2137</v>
      </c>
      <c r="C159" s="194">
        <v>190</v>
      </c>
      <c r="D159" s="324" t="s">
        <v>1634</v>
      </c>
      <c r="E159" s="196">
        <v>6676</v>
      </c>
      <c r="F159" s="196">
        <v>1043</v>
      </c>
      <c r="G159" s="196">
        <v>387</v>
      </c>
      <c r="H159" s="197">
        <v>1</v>
      </c>
      <c r="I159" s="196">
        <v>24</v>
      </c>
      <c r="J159" s="197">
        <v>26</v>
      </c>
      <c r="K159" s="219">
        <f t="shared" si="409"/>
        <v>624</v>
      </c>
      <c r="L159" s="197">
        <v>0</v>
      </c>
      <c r="M159" s="196">
        <v>0</v>
      </c>
      <c r="N159" s="197">
        <v>0</v>
      </c>
      <c r="O159" s="219">
        <f t="shared" si="410"/>
        <v>0</v>
      </c>
      <c r="P159" s="220">
        <f t="shared" si="411"/>
        <v>624</v>
      </c>
      <c r="Q159" s="197">
        <v>1</v>
      </c>
      <c r="R159" s="196">
        <v>46.38</v>
      </c>
      <c r="S159" s="197">
        <v>26</v>
      </c>
      <c r="T159" s="219">
        <f t="shared" si="412"/>
        <v>1205.8800000000001</v>
      </c>
      <c r="U159" s="197">
        <v>0</v>
      </c>
      <c r="V159" s="196">
        <v>0</v>
      </c>
      <c r="W159" s="207">
        <v>0</v>
      </c>
      <c r="X159" s="219">
        <f t="shared" si="413"/>
        <v>0</v>
      </c>
      <c r="Y159" s="219">
        <f t="shared" si="414"/>
        <v>1205.8800000000001</v>
      </c>
      <c r="Z159" s="197">
        <v>1</v>
      </c>
      <c r="AA159" s="196">
        <v>90</v>
      </c>
      <c r="AB159" s="197">
        <v>2</v>
      </c>
      <c r="AC159" s="399">
        <f t="shared" si="415"/>
        <v>180</v>
      </c>
      <c r="AD159" s="197">
        <v>0</v>
      </c>
      <c r="AE159" s="196">
        <v>0</v>
      </c>
      <c r="AF159" s="197">
        <v>0</v>
      </c>
      <c r="AG159" s="219">
        <f t="shared" si="416"/>
        <v>0</v>
      </c>
      <c r="AH159" s="219">
        <f t="shared" si="417"/>
        <v>180</v>
      </c>
      <c r="AI159" s="220">
        <f t="shared" ref="AI159:AI160" si="428">F159+G159+P159+Y159+AH159</f>
        <v>3439.88</v>
      </c>
      <c r="AJ159" s="201">
        <f t="shared" si="425"/>
        <v>0.51526063511084486</v>
      </c>
      <c r="AK159" s="196">
        <f t="shared" si="426"/>
        <v>355.97319999999996</v>
      </c>
      <c r="AL159" s="196">
        <v>0</v>
      </c>
      <c r="AM159" s="196">
        <v>0</v>
      </c>
      <c r="AN159" s="196">
        <v>0</v>
      </c>
      <c r="AO159" s="196">
        <v>0</v>
      </c>
      <c r="AP159" s="286">
        <v>4.3199195171026154E-2</v>
      </c>
      <c r="AQ159" s="196">
        <f t="shared" si="419"/>
        <v>288.39782696177059</v>
      </c>
      <c r="AR159" s="221">
        <f t="shared" si="420"/>
        <v>288.39782696177059</v>
      </c>
      <c r="AS159" s="221">
        <f t="shared" si="421"/>
        <v>644.37102696177055</v>
      </c>
      <c r="AT159" s="203">
        <f t="shared" si="427"/>
        <v>6031.6289730382296</v>
      </c>
      <c r="AU159" s="131" t="s">
        <v>1698</v>
      </c>
      <c r="AV159" s="206"/>
      <c r="AW159" s="206"/>
    </row>
    <row r="160" spans="2:50" s="131" customFormat="1" ht="18" hidden="1" customHeight="1">
      <c r="B160" s="194" t="s">
        <v>2137</v>
      </c>
      <c r="C160" s="194">
        <v>189</v>
      </c>
      <c r="D160" s="324" t="s">
        <v>1833</v>
      </c>
      <c r="E160" s="196">
        <v>9745</v>
      </c>
      <c r="F160" s="196">
        <v>1190</v>
      </c>
      <c r="G160" s="196">
        <v>410</v>
      </c>
      <c r="H160" s="197">
        <v>2</v>
      </c>
      <c r="I160" s="196">
        <v>24</v>
      </c>
      <c r="J160" s="197">
        <v>16</v>
      </c>
      <c r="K160" s="219">
        <f t="shared" si="409"/>
        <v>768</v>
      </c>
      <c r="L160" s="197">
        <v>0</v>
      </c>
      <c r="M160" s="196">
        <v>0</v>
      </c>
      <c r="N160" s="197">
        <v>0</v>
      </c>
      <c r="O160" s="219">
        <f t="shared" si="410"/>
        <v>0</v>
      </c>
      <c r="P160" s="220">
        <f t="shared" si="411"/>
        <v>768</v>
      </c>
      <c r="Q160" s="197">
        <v>2</v>
      </c>
      <c r="R160" s="196">
        <v>46.38</v>
      </c>
      <c r="S160" s="197">
        <v>16</v>
      </c>
      <c r="T160" s="219">
        <f t="shared" si="412"/>
        <v>1484.16</v>
      </c>
      <c r="U160" s="197">
        <v>0</v>
      </c>
      <c r="V160" s="196">
        <v>0</v>
      </c>
      <c r="W160" s="207">
        <v>0</v>
      </c>
      <c r="X160" s="219">
        <f t="shared" si="413"/>
        <v>0</v>
      </c>
      <c r="Y160" s="219">
        <f t="shared" si="414"/>
        <v>1484.16</v>
      </c>
      <c r="Z160" s="197">
        <v>2</v>
      </c>
      <c r="AA160" s="196">
        <v>90</v>
      </c>
      <c r="AB160" s="197">
        <v>2</v>
      </c>
      <c r="AC160" s="399">
        <f t="shared" si="415"/>
        <v>360</v>
      </c>
      <c r="AD160" s="197">
        <v>0</v>
      </c>
      <c r="AE160" s="196">
        <v>0</v>
      </c>
      <c r="AF160" s="197">
        <v>0</v>
      </c>
      <c r="AG160" s="219">
        <f t="shared" si="416"/>
        <v>0</v>
      </c>
      <c r="AH160" s="219">
        <f t="shared" si="417"/>
        <v>360</v>
      </c>
      <c r="AI160" s="220">
        <f t="shared" si="428"/>
        <v>4212.16</v>
      </c>
      <c r="AJ160" s="201">
        <f t="shared" si="425"/>
        <v>0.43223807080554127</v>
      </c>
      <c r="AK160" s="196">
        <f t="shared" si="426"/>
        <v>608.61239999999998</v>
      </c>
      <c r="AL160" s="196">
        <v>0</v>
      </c>
      <c r="AM160" s="196">
        <v>0</v>
      </c>
      <c r="AN160" s="196">
        <v>0</v>
      </c>
      <c r="AO160" s="196">
        <v>0</v>
      </c>
      <c r="AP160" s="247">
        <v>0</v>
      </c>
      <c r="AQ160" s="196">
        <f t="shared" si="419"/>
        <v>0</v>
      </c>
      <c r="AR160" s="221">
        <f>AL160+AM160+AN160+AO160+AQ160</f>
        <v>0</v>
      </c>
      <c r="AS160" s="221">
        <f>AK160+AR160</f>
        <v>608.61239999999998</v>
      </c>
      <c r="AT160" s="203">
        <f t="shared" si="427"/>
        <v>9136.3876</v>
      </c>
      <c r="AU160" s="131" t="s">
        <v>1698</v>
      </c>
      <c r="AV160" s="206"/>
      <c r="AW160" s="206"/>
    </row>
    <row r="161" spans="2:50" s="131" customFormat="1" ht="18" hidden="1" customHeight="1">
      <c r="B161" s="194" t="s">
        <v>2137</v>
      </c>
      <c r="C161" s="194">
        <v>186</v>
      </c>
      <c r="D161" s="324" t="s">
        <v>1834</v>
      </c>
      <c r="E161" s="196">
        <v>6699</v>
      </c>
      <c r="F161" s="196">
        <v>950.61</v>
      </c>
      <c r="G161" s="196">
        <v>351.9</v>
      </c>
      <c r="H161" s="197">
        <v>1</v>
      </c>
      <c r="I161" s="196">
        <v>24</v>
      </c>
      <c r="J161" s="197">
        <v>26</v>
      </c>
      <c r="K161" s="219">
        <f t="shared" si="409"/>
        <v>624</v>
      </c>
      <c r="L161" s="197">
        <v>0</v>
      </c>
      <c r="M161" s="196">
        <v>0</v>
      </c>
      <c r="N161" s="197">
        <v>0</v>
      </c>
      <c r="O161" s="219">
        <f t="shared" si="410"/>
        <v>0</v>
      </c>
      <c r="P161" s="220">
        <f t="shared" si="411"/>
        <v>624</v>
      </c>
      <c r="Q161" s="197">
        <v>1</v>
      </c>
      <c r="R161" s="196">
        <v>46.38</v>
      </c>
      <c r="S161" s="197">
        <v>26</v>
      </c>
      <c r="T161" s="219">
        <f t="shared" si="412"/>
        <v>1205.8800000000001</v>
      </c>
      <c r="U161" s="197">
        <v>0</v>
      </c>
      <c r="V161" s="196">
        <v>0</v>
      </c>
      <c r="W161" s="207">
        <v>0</v>
      </c>
      <c r="X161" s="219">
        <f t="shared" si="413"/>
        <v>0</v>
      </c>
      <c r="Y161" s="219">
        <f t="shared" si="414"/>
        <v>1205.8800000000001</v>
      </c>
      <c r="Z161" s="197">
        <v>1</v>
      </c>
      <c r="AA161" s="196">
        <v>90</v>
      </c>
      <c r="AB161" s="197">
        <v>2</v>
      </c>
      <c r="AC161" s="399">
        <f t="shared" si="415"/>
        <v>180</v>
      </c>
      <c r="AD161" s="197">
        <v>0</v>
      </c>
      <c r="AE161" s="196">
        <v>0</v>
      </c>
      <c r="AF161" s="197">
        <v>0</v>
      </c>
      <c r="AG161" s="219">
        <f t="shared" si="416"/>
        <v>0</v>
      </c>
      <c r="AH161" s="219">
        <f t="shared" si="417"/>
        <v>180</v>
      </c>
      <c r="AI161" s="220">
        <f>F161+G161+P161+Y161+AH161</f>
        <v>3312.3900000000003</v>
      </c>
      <c r="AJ161" s="201">
        <f t="shared" si="425"/>
        <v>0.49446036721898795</v>
      </c>
      <c r="AK161" s="196">
        <f t="shared" si="426"/>
        <v>372.52709999999996</v>
      </c>
      <c r="AL161" s="196">
        <v>0</v>
      </c>
      <c r="AM161" s="196">
        <v>0</v>
      </c>
      <c r="AN161" s="196">
        <v>0</v>
      </c>
      <c r="AO161" s="196">
        <v>0</v>
      </c>
      <c r="AP161" s="286">
        <v>4.3199195171026154E-2</v>
      </c>
      <c r="AQ161" s="196">
        <f t="shared" si="419"/>
        <v>289.3914084507042</v>
      </c>
      <c r="AR161" s="221">
        <f t="shared" ref="AR161:AR162" si="429">AL161+AM161+AN161+AO161+AQ161</f>
        <v>289.3914084507042</v>
      </c>
      <c r="AS161" s="221">
        <f t="shared" ref="AS161:AS162" si="430">AK161+AR161</f>
        <v>661.91850845070417</v>
      </c>
      <c r="AT161" s="203">
        <f t="shared" si="427"/>
        <v>6037.0814915492956</v>
      </c>
      <c r="AU161" s="131" t="s">
        <v>1698</v>
      </c>
      <c r="AV161" s="206"/>
      <c r="AW161" s="206"/>
    </row>
    <row r="162" spans="2:50" s="131" customFormat="1" ht="18" hidden="1" customHeight="1">
      <c r="B162" s="194" t="s">
        <v>2137</v>
      </c>
      <c r="C162" s="194">
        <v>188</v>
      </c>
      <c r="D162" s="324" t="s">
        <v>1003</v>
      </c>
      <c r="E162" s="196">
        <v>19698</v>
      </c>
      <c r="F162" s="196">
        <v>2550</v>
      </c>
      <c r="G162" s="196">
        <v>703.8</v>
      </c>
      <c r="H162" s="197">
        <v>1</v>
      </c>
      <c r="I162" s="196">
        <v>24</v>
      </c>
      <c r="J162" s="197">
        <v>26</v>
      </c>
      <c r="K162" s="219">
        <f t="shared" si="409"/>
        <v>624</v>
      </c>
      <c r="L162" s="197">
        <v>2</v>
      </c>
      <c r="M162" s="196">
        <v>16</v>
      </c>
      <c r="N162" s="197">
        <v>16</v>
      </c>
      <c r="O162" s="219">
        <f t="shared" si="410"/>
        <v>512</v>
      </c>
      <c r="P162" s="220">
        <f t="shared" si="411"/>
        <v>1136</v>
      </c>
      <c r="Q162" s="197">
        <v>1</v>
      </c>
      <c r="R162" s="196">
        <v>46.38</v>
      </c>
      <c r="S162" s="197">
        <v>26</v>
      </c>
      <c r="T162" s="219">
        <f t="shared" si="412"/>
        <v>1205.8800000000001</v>
      </c>
      <c r="U162" s="197">
        <v>2</v>
      </c>
      <c r="V162" s="196">
        <v>46.38</v>
      </c>
      <c r="W162" s="207">
        <v>16</v>
      </c>
      <c r="X162" s="219">
        <f t="shared" si="413"/>
        <v>1484.16</v>
      </c>
      <c r="Y162" s="219">
        <f t="shared" si="414"/>
        <v>2690.04</v>
      </c>
      <c r="Z162" s="197">
        <v>1</v>
      </c>
      <c r="AA162" s="196">
        <v>90</v>
      </c>
      <c r="AB162" s="197">
        <v>2</v>
      </c>
      <c r="AC162" s="219">
        <f t="shared" si="415"/>
        <v>180</v>
      </c>
      <c r="AD162" s="197">
        <v>2</v>
      </c>
      <c r="AE162" s="196">
        <v>90</v>
      </c>
      <c r="AF162" s="197">
        <v>2</v>
      </c>
      <c r="AG162" s="219">
        <f t="shared" si="416"/>
        <v>360</v>
      </c>
      <c r="AH162" s="219">
        <f t="shared" si="417"/>
        <v>540</v>
      </c>
      <c r="AI162" s="220">
        <f t="shared" ref="AI162" si="431">F162+G162+P162+Y162+AH162</f>
        <v>7619.84</v>
      </c>
      <c r="AJ162" s="201">
        <f t="shared" si="425"/>
        <v>0.38683318103360748</v>
      </c>
      <c r="AK162" s="196">
        <f t="shared" si="426"/>
        <v>1328.5976000000001</v>
      </c>
      <c r="AL162" s="196">
        <v>0</v>
      </c>
      <c r="AM162" s="196">
        <v>0</v>
      </c>
      <c r="AN162" s="196">
        <v>0</v>
      </c>
      <c r="AO162" s="196">
        <v>0</v>
      </c>
      <c r="AP162" s="286">
        <v>4.3199195171026154E-2</v>
      </c>
      <c r="AQ162" s="196">
        <f t="shared" si="419"/>
        <v>850.93774647887324</v>
      </c>
      <c r="AR162" s="221">
        <f t="shared" si="429"/>
        <v>850.93774647887324</v>
      </c>
      <c r="AS162" s="221">
        <f t="shared" si="430"/>
        <v>2179.5353464788732</v>
      </c>
      <c r="AT162" s="203">
        <f t="shared" si="427"/>
        <v>17518.464653521129</v>
      </c>
      <c r="AU162" s="131" t="s">
        <v>1698</v>
      </c>
      <c r="AV162" s="206"/>
      <c r="AW162" s="204"/>
      <c r="AX162" s="401"/>
    </row>
    <row r="163" spans="2:50" s="131" customFormat="1" ht="18" hidden="1" customHeight="1">
      <c r="B163" s="194" t="s">
        <v>2137</v>
      </c>
      <c r="C163" s="194">
        <v>187</v>
      </c>
      <c r="D163" s="324" t="s">
        <v>2050</v>
      </c>
      <c r="E163" s="196">
        <v>6086</v>
      </c>
      <c r="F163" s="196">
        <v>620</v>
      </c>
      <c r="G163" s="196">
        <v>230</v>
      </c>
      <c r="H163" s="197">
        <v>1</v>
      </c>
      <c r="I163" s="196">
        <v>24</v>
      </c>
      <c r="J163" s="197">
        <v>26</v>
      </c>
      <c r="K163" s="219">
        <f t="shared" si="409"/>
        <v>624</v>
      </c>
      <c r="L163" s="197">
        <v>0</v>
      </c>
      <c r="M163" s="196">
        <v>0</v>
      </c>
      <c r="N163" s="197">
        <v>0</v>
      </c>
      <c r="O163" s="219">
        <f t="shared" si="410"/>
        <v>0</v>
      </c>
      <c r="P163" s="220">
        <f t="shared" si="411"/>
        <v>624</v>
      </c>
      <c r="Q163" s="197">
        <v>1</v>
      </c>
      <c r="R163" s="196">
        <v>46.38</v>
      </c>
      <c r="S163" s="197">
        <v>26</v>
      </c>
      <c r="T163" s="219">
        <f t="shared" si="412"/>
        <v>1205.8800000000001</v>
      </c>
      <c r="U163" s="197">
        <v>0</v>
      </c>
      <c r="V163" s="196">
        <v>0</v>
      </c>
      <c r="W163" s="207">
        <v>0</v>
      </c>
      <c r="X163" s="219">
        <f t="shared" si="413"/>
        <v>0</v>
      </c>
      <c r="Y163" s="219">
        <f t="shared" si="414"/>
        <v>1205.8800000000001</v>
      </c>
      <c r="Z163" s="197">
        <v>1</v>
      </c>
      <c r="AA163" s="196">
        <v>90</v>
      </c>
      <c r="AB163" s="197">
        <v>4</v>
      </c>
      <c r="AC163" s="399">
        <f t="shared" si="415"/>
        <v>360</v>
      </c>
      <c r="AD163" s="197">
        <v>0</v>
      </c>
      <c r="AE163" s="196">
        <v>0</v>
      </c>
      <c r="AF163" s="197">
        <v>0</v>
      </c>
      <c r="AG163" s="219">
        <f t="shared" si="416"/>
        <v>0</v>
      </c>
      <c r="AH163" s="219">
        <f t="shared" si="417"/>
        <v>360</v>
      </c>
      <c r="AI163" s="220">
        <f>F163+G163+P163+Y163+AH163</f>
        <v>3039.88</v>
      </c>
      <c r="AJ163" s="201">
        <f t="shared" si="425"/>
        <v>0.49948734801183042</v>
      </c>
      <c r="AK163" s="196">
        <f>(E163-AI163)*$AK$15</f>
        <v>335.07319999999999</v>
      </c>
      <c r="AL163" s="196">
        <v>0</v>
      </c>
      <c r="AM163" s="196">
        <v>0</v>
      </c>
      <c r="AN163" s="196">
        <v>0</v>
      </c>
      <c r="AO163" s="196">
        <v>0</v>
      </c>
      <c r="AP163" s="247">
        <v>0</v>
      </c>
      <c r="AQ163" s="196">
        <f t="shared" si="419"/>
        <v>0</v>
      </c>
      <c r="AR163" s="221">
        <f>AL163+AM163+AN163+AO163+AQ163</f>
        <v>0</v>
      </c>
      <c r="AS163" s="221">
        <f>AK163+AR163</f>
        <v>335.07319999999999</v>
      </c>
      <c r="AT163" s="203">
        <f t="shared" si="427"/>
        <v>5750.9268000000002</v>
      </c>
      <c r="AU163" s="131" t="s">
        <v>1698</v>
      </c>
      <c r="AV163" s="206"/>
      <c r="AW163" s="206"/>
    </row>
    <row r="164" spans="2:50" s="131" customFormat="1" ht="18" hidden="1" customHeight="1">
      <c r="B164" s="194" t="s">
        <v>2137</v>
      </c>
      <c r="C164" s="194">
        <v>194</v>
      </c>
      <c r="D164" s="324" t="s">
        <v>2049</v>
      </c>
      <c r="E164" s="196">
        <f>11996/2</f>
        <v>5998</v>
      </c>
      <c r="F164" s="196">
        <v>0</v>
      </c>
      <c r="G164" s="196">
        <v>0</v>
      </c>
      <c r="H164" s="197">
        <v>1</v>
      </c>
      <c r="I164" s="196">
        <v>0</v>
      </c>
      <c r="J164" s="197">
        <v>0</v>
      </c>
      <c r="K164" s="219">
        <f t="shared" si="409"/>
        <v>0</v>
      </c>
      <c r="L164" s="197">
        <v>0</v>
      </c>
      <c r="M164" s="196">
        <v>0</v>
      </c>
      <c r="N164" s="197">
        <v>0</v>
      </c>
      <c r="O164" s="219">
        <f t="shared" si="410"/>
        <v>0</v>
      </c>
      <c r="P164" s="220">
        <f t="shared" si="411"/>
        <v>0</v>
      </c>
      <c r="Q164" s="197">
        <v>1</v>
      </c>
      <c r="R164" s="196">
        <v>26</v>
      </c>
      <c r="S164" s="197">
        <v>0</v>
      </c>
      <c r="T164" s="219">
        <f t="shared" si="412"/>
        <v>0</v>
      </c>
      <c r="U164" s="197">
        <v>0</v>
      </c>
      <c r="V164" s="196">
        <v>0</v>
      </c>
      <c r="W164" s="207">
        <v>0</v>
      </c>
      <c r="X164" s="219">
        <f t="shared" si="413"/>
        <v>0</v>
      </c>
      <c r="Y164" s="219">
        <f t="shared" si="414"/>
        <v>0</v>
      </c>
      <c r="Z164" s="197">
        <v>1</v>
      </c>
      <c r="AA164" s="196">
        <v>0</v>
      </c>
      <c r="AB164" s="197">
        <v>0</v>
      </c>
      <c r="AC164" s="399">
        <f t="shared" si="415"/>
        <v>0</v>
      </c>
      <c r="AD164" s="197">
        <v>0</v>
      </c>
      <c r="AE164" s="196">
        <v>0</v>
      </c>
      <c r="AF164" s="197">
        <v>0</v>
      </c>
      <c r="AG164" s="219">
        <f t="shared" si="416"/>
        <v>0</v>
      </c>
      <c r="AH164" s="219">
        <f t="shared" si="417"/>
        <v>0</v>
      </c>
      <c r="AI164" s="220">
        <f>F164+G164+P164+Y164+AH164</f>
        <v>0</v>
      </c>
      <c r="AJ164" s="201">
        <f t="shared" si="425"/>
        <v>0</v>
      </c>
      <c r="AK164" s="196">
        <v>0</v>
      </c>
      <c r="AL164" s="196">
        <v>0</v>
      </c>
      <c r="AM164" s="196">
        <v>0</v>
      </c>
      <c r="AN164" s="196">
        <v>0</v>
      </c>
      <c r="AO164" s="196">
        <v>0</v>
      </c>
      <c r="AP164" s="247">
        <v>0</v>
      </c>
      <c r="AQ164" s="196">
        <f t="shared" si="419"/>
        <v>0</v>
      </c>
      <c r="AR164" s="221">
        <f>AL164+AM164+AN164+AO164+AQ164</f>
        <v>0</v>
      </c>
      <c r="AS164" s="221">
        <f>AK164+AR164</f>
        <v>0</v>
      </c>
      <c r="AT164" s="203">
        <f t="shared" si="427"/>
        <v>5998</v>
      </c>
      <c r="AU164" s="131" t="s">
        <v>1698</v>
      </c>
      <c r="AV164" s="206"/>
      <c r="AW164" s="206"/>
    </row>
    <row r="165" spans="2:50" s="131" customFormat="1" ht="18" hidden="1" customHeight="1">
      <c r="B165" s="371"/>
      <c r="C165" s="371"/>
      <c r="D165" s="372"/>
      <c r="E165" s="391"/>
      <c r="F165" s="391"/>
      <c r="G165" s="391"/>
      <c r="H165" s="392"/>
      <c r="I165" s="391"/>
      <c r="J165" s="392"/>
      <c r="K165" s="393"/>
      <c r="L165" s="392"/>
      <c r="M165" s="391"/>
      <c r="N165" s="392"/>
      <c r="O165" s="393"/>
      <c r="P165" s="394"/>
      <c r="Q165" s="392"/>
      <c r="R165" s="391"/>
      <c r="S165" s="392"/>
      <c r="T165" s="393"/>
      <c r="U165" s="392"/>
      <c r="V165" s="391"/>
      <c r="W165" s="426"/>
      <c r="X165" s="393"/>
      <c r="Y165" s="393"/>
      <c r="Z165" s="392"/>
      <c r="AA165" s="391"/>
      <c r="AB165" s="392"/>
      <c r="AC165" s="393"/>
      <c r="AD165" s="392"/>
      <c r="AE165" s="391"/>
      <c r="AF165" s="392"/>
      <c r="AG165" s="393"/>
      <c r="AH165" s="393"/>
      <c r="AI165" s="394"/>
      <c r="AJ165" s="395"/>
      <c r="AK165" s="391"/>
      <c r="AL165" s="391"/>
      <c r="AM165" s="391"/>
      <c r="AN165" s="391"/>
      <c r="AO165" s="391"/>
      <c r="AP165" s="428"/>
      <c r="AQ165" s="391"/>
      <c r="AR165" s="396"/>
      <c r="AS165" s="396"/>
      <c r="AT165" s="397"/>
      <c r="AV165" s="206"/>
      <c r="AW165" s="204"/>
    </row>
    <row r="166" spans="2:50" s="131" customFormat="1" ht="18" customHeight="1">
      <c r="B166" s="194" t="s">
        <v>2258</v>
      </c>
      <c r="C166" s="194">
        <v>196</v>
      </c>
      <c r="D166" s="324" t="s">
        <v>1832</v>
      </c>
      <c r="E166" s="196">
        <v>11996</v>
      </c>
      <c r="F166" s="196">
        <v>0</v>
      </c>
      <c r="G166" s="196">
        <v>0</v>
      </c>
      <c r="H166" s="197">
        <v>2</v>
      </c>
      <c r="I166" s="196">
        <v>0</v>
      </c>
      <c r="J166" s="197">
        <v>0</v>
      </c>
      <c r="K166" s="219">
        <f t="shared" ref="K166:K175" si="432">H166*I166*J166</f>
        <v>0</v>
      </c>
      <c r="L166" s="197">
        <v>0</v>
      </c>
      <c r="M166" s="196">
        <v>0</v>
      </c>
      <c r="N166" s="197">
        <v>0</v>
      </c>
      <c r="O166" s="219">
        <f t="shared" ref="O166:O175" si="433">L166*M166*N166</f>
        <v>0</v>
      </c>
      <c r="P166" s="220">
        <f t="shared" ref="P166:P175" si="434">K166+O166</f>
        <v>0</v>
      </c>
      <c r="Q166" s="197">
        <v>2</v>
      </c>
      <c r="R166" s="196">
        <v>26</v>
      </c>
      <c r="S166" s="197">
        <v>0</v>
      </c>
      <c r="T166" s="219">
        <f t="shared" ref="T166:T175" si="435">Q166*R166*S166</f>
        <v>0</v>
      </c>
      <c r="U166" s="197">
        <v>0</v>
      </c>
      <c r="V166" s="196">
        <v>0</v>
      </c>
      <c r="W166" s="207">
        <v>0</v>
      </c>
      <c r="X166" s="219">
        <f t="shared" ref="X166:X175" si="436">U166*V166*W166</f>
        <v>0</v>
      </c>
      <c r="Y166" s="219">
        <f t="shared" ref="Y166:Y175" si="437">T166+X166</f>
        <v>0</v>
      </c>
      <c r="Z166" s="197">
        <v>2</v>
      </c>
      <c r="AA166" s="196">
        <v>0</v>
      </c>
      <c r="AB166" s="197">
        <v>0</v>
      </c>
      <c r="AC166" s="399">
        <f t="shared" ref="AC166:AC175" si="438">Z166*AA166*AB166</f>
        <v>0</v>
      </c>
      <c r="AD166" s="197">
        <v>0</v>
      </c>
      <c r="AE166" s="196">
        <v>0</v>
      </c>
      <c r="AF166" s="197">
        <v>0</v>
      </c>
      <c r="AG166" s="219">
        <f t="shared" ref="AG166:AG175" si="439">AD166*AE166*AF166</f>
        <v>0</v>
      </c>
      <c r="AH166" s="219">
        <f t="shared" ref="AH166:AH175" si="440">AC166+AG166</f>
        <v>0</v>
      </c>
      <c r="AI166" s="220">
        <f t="shared" ref="AI166" si="441">F166+G166+P166+Y166+AH166</f>
        <v>0</v>
      </c>
      <c r="AJ166" s="201">
        <f>AI166/E166</f>
        <v>0</v>
      </c>
      <c r="AK166" s="196">
        <f>(E166-AI166)*$AK$15</f>
        <v>1319.56</v>
      </c>
      <c r="AL166" s="196">
        <v>0</v>
      </c>
      <c r="AM166" s="196">
        <v>0</v>
      </c>
      <c r="AN166" s="196">
        <v>0</v>
      </c>
      <c r="AO166" s="196">
        <v>0</v>
      </c>
      <c r="AP166" s="247">
        <v>0</v>
      </c>
      <c r="AQ166" s="196">
        <f t="shared" ref="AQ166:AQ175" si="442">AP166*E166</f>
        <v>0</v>
      </c>
      <c r="AR166" s="221">
        <f t="shared" ref="AR166:AR170" si="443">AL166+AM166+AN166+AO166+AQ166</f>
        <v>0</v>
      </c>
      <c r="AS166" s="221">
        <f t="shared" ref="AS166:AS170" si="444">AK166+AR166</f>
        <v>1319.56</v>
      </c>
      <c r="AT166" s="203">
        <f t="shared" ref="AT166" si="445">E166-AS166</f>
        <v>10676.44</v>
      </c>
      <c r="AU166" s="131" t="s">
        <v>1698</v>
      </c>
      <c r="AV166" s="206"/>
      <c r="AW166" s="216"/>
    </row>
    <row r="167" spans="2:50" s="131" customFormat="1" ht="18" customHeight="1">
      <c r="B167" s="1191" t="s">
        <v>2258</v>
      </c>
      <c r="C167" s="1191">
        <v>197</v>
      </c>
      <c r="D167" s="370" t="s">
        <v>2051</v>
      </c>
      <c r="E167" s="196">
        <v>37739</v>
      </c>
      <c r="F167" s="196">
        <f>1961.31+1619.51+39</f>
        <v>3619.8199999999997</v>
      </c>
      <c r="G167" s="196">
        <v>1634.61</v>
      </c>
      <c r="H167" s="197">
        <v>5</v>
      </c>
      <c r="I167" s="196">
        <v>24</v>
      </c>
      <c r="J167" s="197">
        <v>26</v>
      </c>
      <c r="K167" s="219">
        <f t="shared" si="432"/>
        <v>3120</v>
      </c>
      <c r="L167" s="197">
        <v>0</v>
      </c>
      <c r="M167" s="196">
        <v>0</v>
      </c>
      <c r="N167" s="197">
        <v>0</v>
      </c>
      <c r="O167" s="219">
        <f t="shared" si="433"/>
        <v>0</v>
      </c>
      <c r="P167" s="220">
        <f t="shared" si="434"/>
        <v>3120</v>
      </c>
      <c r="Q167" s="197">
        <v>5</v>
      </c>
      <c r="R167" s="196">
        <v>46.38</v>
      </c>
      <c r="S167" s="197">
        <v>26</v>
      </c>
      <c r="T167" s="219">
        <f t="shared" si="435"/>
        <v>6029.4000000000005</v>
      </c>
      <c r="U167" s="197">
        <v>0</v>
      </c>
      <c r="V167" s="196">
        <v>0</v>
      </c>
      <c r="W167" s="207">
        <v>0</v>
      </c>
      <c r="X167" s="219">
        <f t="shared" si="436"/>
        <v>0</v>
      </c>
      <c r="Y167" s="219">
        <f t="shared" si="437"/>
        <v>6029.4000000000005</v>
      </c>
      <c r="Z167" s="197">
        <v>5</v>
      </c>
      <c r="AA167" s="196">
        <v>90</v>
      </c>
      <c r="AB167" s="197">
        <v>2</v>
      </c>
      <c r="AC167" s="399">
        <f t="shared" si="438"/>
        <v>900</v>
      </c>
      <c r="AD167" s="197">
        <v>0</v>
      </c>
      <c r="AE167" s="196">
        <v>0</v>
      </c>
      <c r="AF167" s="197">
        <v>0</v>
      </c>
      <c r="AG167" s="219">
        <f t="shared" si="439"/>
        <v>0</v>
      </c>
      <c r="AH167" s="219">
        <f t="shared" si="440"/>
        <v>900</v>
      </c>
      <c r="AI167" s="220">
        <f>F167+G167+P167+Y167+AH167</f>
        <v>15303.830000000002</v>
      </c>
      <c r="AJ167" s="201">
        <f t="shared" ref="AJ167:AJ175" si="446">AI167/E167</f>
        <v>0.4055176342775379</v>
      </c>
      <c r="AK167" s="196">
        <f t="shared" ref="AK167:AK173" si="447">(E167-AI167)*$AK$15</f>
        <v>2467.8687</v>
      </c>
      <c r="AL167" s="196">
        <v>0</v>
      </c>
      <c r="AM167" s="196">
        <v>0</v>
      </c>
      <c r="AN167" s="196">
        <v>0</v>
      </c>
      <c r="AO167" s="196">
        <v>0</v>
      </c>
      <c r="AP167" s="247">
        <v>0</v>
      </c>
      <c r="AQ167" s="196">
        <f t="shared" si="442"/>
        <v>0</v>
      </c>
      <c r="AR167" s="221">
        <f t="shared" si="443"/>
        <v>0</v>
      </c>
      <c r="AS167" s="221">
        <f t="shared" si="444"/>
        <v>2467.8687</v>
      </c>
      <c r="AT167" s="203">
        <f>E167-AS167</f>
        <v>35271.131300000001</v>
      </c>
      <c r="AU167" s="205">
        <f>AT167-AT157</f>
        <v>1173.1357120477842</v>
      </c>
      <c r="AV167" s="1053"/>
      <c r="AW167" s="216"/>
    </row>
    <row r="168" spans="2:50" s="131" customFormat="1" ht="18" customHeight="1">
      <c r="B168" s="1191" t="s">
        <v>2258</v>
      </c>
      <c r="C168" s="1191" t="s">
        <v>2613</v>
      </c>
      <c r="D168" s="370" t="s">
        <v>2520</v>
      </c>
      <c r="E168" s="196">
        <f>37739-35740</f>
        <v>1999</v>
      </c>
      <c r="F168" s="196">
        <v>0</v>
      </c>
      <c r="G168" s="196">
        <v>0</v>
      </c>
      <c r="H168" s="197">
        <v>0</v>
      </c>
      <c r="I168" s="196">
        <v>0</v>
      </c>
      <c r="J168" s="197">
        <v>0</v>
      </c>
      <c r="K168" s="219">
        <f t="shared" ref="K168" si="448">H168*I168*J168</f>
        <v>0</v>
      </c>
      <c r="L168" s="197">
        <v>0</v>
      </c>
      <c r="M168" s="196">
        <v>0</v>
      </c>
      <c r="N168" s="197">
        <v>0</v>
      </c>
      <c r="O168" s="219">
        <f t="shared" ref="O168" si="449">L168*M168*N168</f>
        <v>0</v>
      </c>
      <c r="P168" s="220">
        <f t="shared" ref="P168" si="450">K168+O168</f>
        <v>0</v>
      </c>
      <c r="Q168" s="197">
        <v>0</v>
      </c>
      <c r="R168" s="196">
        <v>0</v>
      </c>
      <c r="S168" s="197">
        <v>0</v>
      </c>
      <c r="T168" s="219">
        <f t="shared" ref="T168" si="451">Q168*R168*S168</f>
        <v>0</v>
      </c>
      <c r="U168" s="197">
        <v>0</v>
      </c>
      <c r="V168" s="196">
        <v>0</v>
      </c>
      <c r="W168" s="207">
        <v>0</v>
      </c>
      <c r="X168" s="219">
        <f t="shared" ref="X168" si="452">U168*V168*W168</f>
        <v>0</v>
      </c>
      <c r="Y168" s="219">
        <f t="shared" ref="Y168" si="453">T168+X168</f>
        <v>0</v>
      </c>
      <c r="Z168" s="197">
        <v>0</v>
      </c>
      <c r="AA168" s="196">
        <v>0</v>
      </c>
      <c r="AB168" s="197">
        <v>0</v>
      </c>
      <c r="AC168" s="399">
        <f t="shared" ref="AC168" si="454">Z168*AA168*AB168</f>
        <v>0</v>
      </c>
      <c r="AD168" s="197">
        <v>0</v>
      </c>
      <c r="AE168" s="196">
        <v>0</v>
      </c>
      <c r="AF168" s="197">
        <v>0</v>
      </c>
      <c r="AG168" s="219">
        <f t="shared" ref="AG168" si="455">AD168*AE168*AF168</f>
        <v>0</v>
      </c>
      <c r="AH168" s="219">
        <f t="shared" ref="AH168" si="456">AC168+AG168</f>
        <v>0</v>
      </c>
      <c r="AI168" s="220">
        <f t="shared" ref="AI168" si="457">F168+G168+P168+Y168+AH168</f>
        <v>0</v>
      </c>
      <c r="AJ168" s="201">
        <f t="shared" ref="AJ168" si="458">AI168/E168</f>
        <v>0</v>
      </c>
      <c r="AK168" s="196">
        <f t="shared" ref="AK168" si="459">(E168-AI168)*$AK$15</f>
        <v>219.89000000000001</v>
      </c>
      <c r="AL168" s="196">
        <v>0</v>
      </c>
      <c r="AM168" s="196">
        <v>0</v>
      </c>
      <c r="AN168" s="196">
        <v>0</v>
      </c>
      <c r="AO168" s="196">
        <v>0</v>
      </c>
      <c r="AP168" s="247">
        <v>0</v>
      </c>
      <c r="AQ168" s="196">
        <f t="shared" ref="AQ168" si="460">AP168*E168</f>
        <v>0</v>
      </c>
      <c r="AR168" s="221">
        <f t="shared" ref="AR168" si="461">AL168+AM168+AN168+AO168+AQ168</f>
        <v>0</v>
      </c>
      <c r="AS168" s="221">
        <f t="shared" ref="AS168" si="462">AK168+AR168</f>
        <v>219.89000000000001</v>
      </c>
      <c r="AT168" s="203">
        <f>E168-AS168</f>
        <v>1779.11</v>
      </c>
      <c r="AU168" s="205">
        <f>AT168-AT158</f>
        <v>304.59079999999994</v>
      </c>
      <c r="AV168" s="1053"/>
      <c r="AW168" s="216"/>
    </row>
    <row r="169" spans="2:50" s="131" customFormat="1" ht="18" customHeight="1">
      <c r="B169" s="1191" t="s">
        <v>2258</v>
      </c>
      <c r="C169" s="1191">
        <v>199</v>
      </c>
      <c r="D169" s="370" t="s">
        <v>1831</v>
      </c>
      <c r="E169" s="213">
        <f>1562</f>
        <v>1562</v>
      </c>
      <c r="F169" s="196">
        <v>395.2</v>
      </c>
      <c r="G169" s="196">
        <v>0</v>
      </c>
      <c r="H169" s="197">
        <v>1</v>
      </c>
      <c r="I169" s="196">
        <v>24</v>
      </c>
      <c r="J169" s="197">
        <v>4</v>
      </c>
      <c r="K169" s="219">
        <f t="shared" si="432"/>
        <v>96</v>
      </c>
      <c r="L169" s="197">
        <v>0</v>
      </c>
      <c r="M169" s="196">
        <v>0</v>
      </c>
      <c r="N169" s="197">
        <v>0</v>
      </c>
      <c r="O169" s="219">
        <f t="shared" si="433"/>
        <v>0</v>
      </c>
      <c r="P169" s="220">
        <f t="shared" si="434"/>
        <v>96</v>
      </c>
      <c r="Q169" s="197">
        <v>1</v>
      </c>
      <c r="R169" s="196">
        <v>46.38</v>
      </c>
      <c r="S169" s="197">
        <v>4</v>
      </c>
      <c r="T169" s="219">
        <f t="shared" si="435"/>
        <v>185.52</v>
      </c>
      <c r="U169" s="197">
        <v>0</v>
      </c>
      <c r="V169" s="196">
        <v>0</v>
      </c>
      <c r="W169" s="207">
        <v>0</v>
      </c>
      <c r="X169" s="219">
        <f t="shared" si="436"/>
        <v>0</v>
      </c>
      <c r="Y169" s="219">
        <f t="shared" si="437"/>
        <v>185.52</v>
      </c>
      <c r="Z169" s="197">
        <v>1</v>
      </c>
      <c r="AA169" s="196">
        <v>90</v>
      </c>
      <c r="AB169" s="197">
        <v>1</v>
      </c>
      <c r="AC169" s="399">
        <f t="shared" si="438"/>
        <v>90</v>
      </c>
      <c r="AD169" s="197">
        <v>0</v>
      </c>
      <c r="AE169" s="196">
        <v>0</v>
      </c>
      <c r="AF169" s="197">
        <v>0</v>
      </c>
      <c r="AG169" s="219">
        <f t="shared" si="439"/>
        <v>0</v>
      </c>
      <c r="AH169" s="219">
        <f t="shared" si="440"/>
        <v>90</v>
      </c>
      <c r="AI169" s="220">
        <f>F169+G169+P169+Y169+AH169</f>
        <v>766.72</v>
      </c>
      <c r="AJ169" s="201">
        <f t="shared" si="446"/>
        <v>0.49085787451984636</v>
      </c>
      <c r="AK169" s="196">
        <f t="shared" si="447"/>
        <v>87.480800000000002</v>
      </c>
      <c r="AL169" s="196">
        <v>0</v>
      </c>
      <c r="AM169" s="196">
        <v>0</v>
      </c>
      <c r="AN169" s="196">
        <v>0</v>
      </c>
      <c r="AO169" s="196">
        <v>0</v>
      </c>
      <c r="AP169" s="247">
        <v>0</v>
      </c>
      <c r="AQ169" s="196">
        <f t="shared" si="442"/>
        <v>0</v>
      </c>
      <c r="AR169" s="221">
        <f t="shared" si="443"/>
        <v>0</v>
      </c>
      <c r="AS169" s="221">
        <f t="shared" si="444"/>
        <v>87.480800000000002</v>
      </c>
      <c r="AT169" s="203">
        <f t="shared" ref="AT169:AT175" si="463">E169-AS169</f>
        <v>1474.5192</v>
      </c>
      <c r="AV169" s="206"/>
      <c r="AW169" s="206"/>
    </row>
    <row r="170" spans="2:50" s="131" customFormat="1" ht="18" customHeight="1">
      <c r="B170" s="194" t="s">
        <v>2258</v>
      </c>
      <c r="C170" s="194">
        <v>200</v>
      </c>
      <c r="D170" s="324" t="s">
        <v>1634</v>
      </c>
      <c r="E170" s="196">
        <v>6676</v>
      </c>
      <c r="F170" s="196">
        <v>1043</v>
      </c>
      <c r="G170" s="196">
        <v>387</v>
      </c>
      <c r="H170" s="197">
        <v>1</v>
      </c>
      <c r="I170" s="196">
        <v>24</v>
      </c>
      <c r="J170" s="197">
        <v>26</v>
      </c>
      <c r="K170" s="219">
        <f t="shared" si="432"/>
        <v>624</v>
      </c>
      <c r="L170" s="197">
        <v>0</v>
      </c>
      <c r="M170" s="196">
        <v>0</v>
      </c>
      <c r="N170" s="197">
        <v>0</v>
      </c>
      <c r="O170" s="219">
        <f t="shared" si="433"/>
        <v>0</v>
      </c>
      <c r="P170" s="220">
        <f t="shared" si="434"/>
        <v>624</v>
      </c>
      <c r="Q170" s="197">
        <v>1</v>
      </c>
      <c r="R170" s="196">
        <v>46.38</v>
      </c>
      <c r="S170" s="197">
        <v>26</v>
      </c>
      <c r="T170" s="219">
        <f t="shared" si="435"/>
        <v>1205.8800000000001</v>
      </c>
      <c r="U170" s="197">
        <v>0</v>
      </c>
      <c r="V170" s="196">
        <v>0</v>
      </c>
      <c r="W170" s="207">
        <v>0</v>
      </c>
      <c r="X170" s="219">
        <f t="shared" si="436"/>
        <v>0</v>
      </c>
      <c r="Y170" s="219">
        <f t="shared" si="437"/>
        <v>1205.8800000000001</v>
      </c>
      <c r="Z170" s="197">
        <v>1</v>
      </c>
      <c r="AA170" s="196">
        <v>90</v>
      </c>
      <c r="AB170" s="197">
        <v>2</v>
      </c>
      <c r="AC170" s="399">
        <f t="shared" si="438"/>
        <v>180</v>
      </c>
      <c r="AD170" s="197">
        <v>0</v>
      </c>
      <c r="AE170" s="196">
        <v>0</v>
      </c>
      <c r="AF170" s="197">
        <v>0</v>
      </c>
      <c r="AG170" s="219">
        <f t="shared" si="439"/>
        <v>0</v>
      </c>
      <c r="AH170" s="219">
        <f t="shared" si="440"/>
        <v>180</v>
      </c>
      <c r="AI170" s="220">
        <f t="shared" ref="AI170:AI171" si="464">F170+G170+P170+Y170+AH170</f>
        <v>3439.88</v>
      </c>
      <c r="AJ170" s="201">
        <f t="shared" si="446"/>
        <v>0.51526063511084486</v>
      </c>
      <c r="AK170" s="196">
        <f t="shared" si="447"/>
        <v>355.97319999999996</v>
      </c>
      <c r="AL170" s="196">
        <v>0</v>
      </c>
      <c r="AM170" s="196">
        <v>0</v>
      </c>
      <c r="AN170" s="196">
        <v>0</v>
      </c>
      <c r="AO170" s="196">
        <v>0</v>
      </c>
      <c r="AP170" s="286">
        <v>4.3199195171026154E-2</v>
      </c>
      <c r="AQ170" s="196">
        <f t="shared" si="442"/>
        <v>288.39782696177059</v>
      </c>
      <c r="AR170" s="221">
        <f t="shared" si="443"/>
        <v>288.39782696177059</v>
      </c>
      <c r="AS170" s="221">
        <f t="shared" si="444"/>
        <v>644.37102696177055</v>
      </c>
      <c r="AT170" s="203">
        <f t="shared" si="463"/>
        <v>6031.6289730382296</v>
      </c>
      <c r="AU170" s="131" t="s">
        <v>1698</v>
      </c>
      <c r="AV170" s="206"/>
      <c r="AW170" s="206"/>
    </row>
    <row r="171" spans="2:50" s="131" customFormat="1" ht="18" customHeight="1">
      <c r="B171" s="194" t="s">
        <v>2258</v>
      </c>
      <c r="C171" s="194">
        <v>201</v>
      </c>
      <c r="D171" s="324" t="s">
        <v>1833</v>
      </c>
      <c r="E171" s="196">
        <v>9745</v>
      </c>
      <c r="F171" s="196">
        <v>1190</v>
      </c>
      <c r="G171" s="196">
        <v>410</v>
      </c>
      <c r="H171" s="197">
        <v>2</v>
      </c>
      <c r="I171" s="196">
        <v>24</v>
      </c>
      <c r="J171" s="197">
        <v>16</v>
      </c>
      <c r="K171" s="219">
        <f t="shared" si="432"/>
        <v>768</v>
      </c>
      <c r="L171" s="197">
        <v>0</v>
      </c>
      <c r="M171" s="196">
        <v>0</v>
      </c>
      <c r="N171" s="197">
        <v>0</v>
      </c>
      <c r="O171" s="219">
        <f t="shared" si="433"/>
        <v>0</v>
      </c>
      <c r="P171" s="220">
        <f t="shared" si="434"/>
        <v>768</v>
      </c>
      <c r="Q171" s="197">
        <v>2</v>
      </c>
      <c r="R171" s="196">
        <v>46.38</v>
      </c>
      <c r="S171" s="197">
        <v>16</v>
      </c>
      <c r="T171" s="219">
        <f t="shared" si="435"/>
        <v>1484.16</v>
      </c>
      <c r="U171" s="197">
        <v>0</v>
      </c>
      <c r="V171" s="196">
        <v>0</v>
      </c>
      <c r="W171" s="207">
        <v>0</v>
      </c>
      <c r="X171" s="219">
        <f t="shared" si="436"/>
        <v>0</v>
      </c>
      <c r="Y171" s="219">
        <f t="shared" si="437"/>
        <v>1484.16</v>
      </c>
      <c r="Z171" s="197">
        <v>2</v>
      </c>
      <c r="AA171" s="196">
        <v>90</v>
      </c>
      <c r="AB171" s="197">
        <v>2</v>
      </c>
      <c r="AC171" s="399">
        <f t="shared" si="438"/>
        <v>360</v>
      </c>
      <c r="AD171" s="197">
        <v>0</v>
      </c>
      <c r="AE171" s="196">
        <v>0</v>
      </c>
      <c r="AF171" s="197">
        <v>0</v>
      </c>
      <c r="AG171" s="219">
        <f t="shared" si="439"/>
        <v>0</v>
      </c>
      <c r="AH171" s="219">
        <f t="shared" si="440"/>
        <v>360</v>
      </c>
      <c r="AI171" s="220">
        <f t="shared" si="464"/>
        <v>4212.16</v>
      </c>
      <c r="AJ171" s="201">
        <f t="shared" si="446"/>
        <v>0.43223807080554127</v>
      </c>
      <c r="AK171" s="196">
        <f t="shared" si="447"/>
        <v>608.61239999999998</v>
      </c>
      <c r="AL171" s="196">
        <v>0</v>
      </c>
      <c r="AM171" s="196">
        <v>0</v>
      </c>
      <c r="AN171" s="196">
        <v>0</v>
      </c>
      <c r="AO171" s="196">
        <v>0</v>
      </c>
      <c r="AP171" s="247">
        <v>0</v>
      </c>
      <c r="AQ171" s="196">
        <f t="shared" si="442"/>
        <v>0</v>
      </c>
      <c r="AR171" s="221">
        <f>AL171+AM171+AN171+AO171+AQ171</f>
        <v>0</v>
      </c>
      <c r="AS171" s="221">
        <f>AK171+AR171</f>
        <v>608.61239999999998</v>
      </c>
      <c r="AT171" s="203">
        <f t="shared" si="463"/>
        <v>9136.3876</v>
      </c>
      <c r="AU171" s="131" t="s">
        <v>1698</v>
      </c>
      <c r="AV171" s="206"/>
      <c r="AW171" s="206"/>
    </row>
    <row r="172" spans="2:50" s="131" customFormat="1" ht="18" customHeight="1">
      <c r="B172" s="194" t="s">
        <v>2258</v>
      </c>
      <c r="C172" s="194">
        <v>202</v>
      </c>
      <c r="D172" s="324" t="s">
        <v>1834</v>
      </c>
      <c r="E172" s="196">
        <v>6699</v>
      </c>
      <c r="F172" s="196">
        <v>950.61</v>
      </c>
      <c r="G172" s="196">
        <v>351.9</v>
      </c>
      <c r="H172" s="197">
        <v>1</v>
      </c>
      <c r="I172" s="196">
        <v>24</v>
      </c>
      <c r="J172" s="197">
        <v>26</v>
      </c>
      <c r="K172" s="219">
        <f t="shared" si="432"/>
        <v>624</v>
      </c>
      <c r="L172" s="197">
        <v>0</v>
      </c>
      <c r="M172" s="196">
        <v>0</v>
      </c>
      <c r="N172" s="197">
        <v>0</v>
      </c>
      <c r="O172" s="219">
        <f t="shared" si="433"/>
        <v>0</v>
      </c>
      <c r="P172" s="220">
        <f t="shared" si="434"/>
        <v>624</v>
      </c>
      <c r="Q172" s="197">
        <v>1</v>
      </c>
      <c r="R172" s="196">
        <v>46.38</v>
      </c>
      <c r="S172" s="197">
        <v>26</v>
      </c>
      <c r="T172" s="219">
        <f t="shared" si="435"/>
        <v>1205.8800000000001</v>
      </c>
      <c r="U172" s="197">
        <v>0</v>
      </c>
      <c r="V172" s="196">
        <v>0</v>
      </c>
      <c r="W172" s="207">
        <v>0</v>
      </c>
      <c r="X172" s="219">
        <f t="shared" si="436"/>
        <v>0</v>
      </c>
      <c r="Y172" s="219">
        <f t="shared" si="437"/>
        <v>1205.8800000000001</v>
      </c>
      <c r="Z172" s="197">
        <v>1</v>
      </c>
      <c r="AA172" s="196">
        <v>90</v>
      </c>
      <c r="AB172" s="197">
        <v>2</v>
      </c>
      <c r="AC172" s="399">
        <f t="shared" si="438"/>
        <v>180</v>
      </c>
      <c r="AD172" s="197">
        <v>0</v>
      </c>
      <c r="AE172" s="196">
        <v>0</v>
      </c>
      <c r="AF172" s="197">
        <v>0</v>
      </c>
      <c r="AG172" s="219">
        <f t="shared" si="439"/>
        <v>0</v>
      </c>
      <c r="AH172" s="219">
        <f t="shared" si="440"/>
        <v>180</v>
      </c>
      <c r="AI172" s="220">
        <f>F172+G172+P172+Y172+AH172</f>
        <v>3312.3900000000003</v>
      </c>
      <c r="AJ172" s="201">
        <f t="shared" si="446"/>
        <v>0.49446036721898795</v>
      </c>
      <c r="AK172" s="196">
        <f t="shared" si="447"/>
        <v>372.52709999999996</v>
      </c>
      <c r="AL172" s="196">
        <v>0</v>
      </c>
      <c r="AM172" s="196">
        <v>0</v>
      </c>
      <c r="AN172" s="196">
        <v>0</v>
      </c>
      <c r="AO172" s="196">
        <v>0</v>
      </c>
      <c r="AP172" s="286">
        <v>4.3199195171026154E-2</v>
      </c>
      <c r="AQ172" s="196">
        <f t="shared" si="442"/>
        <v>289.3914084507042</v>
      </c>
      <c r="AR172" s="221">
        <f t="shared" ref="AR172:AR173" si="465">AL172+AM172+AN172+AO172+AQ172</f>
        <v>289.3914084507042</v>
      </c>
      <c r="AS172" s="221">
        <f t="shared" ref="AS172:AS173" si="466">AK172+AR172</f>
        <v>661.91850845070417</v>
      </c>
      <c r="AT172" s="203">
        <f t="shared" si="463"/>
        <v>6037.0814915492956</v>
      </c>
      <c r="AU172" s="131" t="s">
        <v>1698</v>
      </c>
      <c r="AV172" s="206"/>
      <c r="AW172" s="206"/>
    </row>
    <row r="173" spans="2:50" s="131" customFormat="1" ht="18" customHeight="1">
      <c r="B173" s="194" t="s">
        <v>2258</v>
      </c>
      <c r="C173" s="194">
        <v>203</v>
      </c>
      <c r="D173" s="324" t="s">
        <v>1003</v>
      </c>
      <c r="E173" s="196">
        <v>19698</v>
      </c>
      <c r="F173" s="196">
        <v>2550</v>
      </c>
      <c r="G173" s="196">
        <v>703.8</v>
      </c>
      <c r="H173" s="197">
        <v>1</v>
      </c>
      <c r="I173" s="196">
        <v>24</v>
      </c>
      <c r="J173" s="197">
        <v>26</v>
      </c>
      <c r="K173" s="219">
        <f t="shared" si="432"/>
        <v>624</v>
      </c>
      <c r="L173" s="197">
        <v>2</v>
      </c>
      <c r="M173" s="196">
        <v>16</v>
      </c>
      <c r="N173" s="197">
        <v>16</v>
      </c>
      <c r="O173" s="219">
        <f t="shared" si="433"/>
        <v>512</v>
      </c>
      <c r="P173" s="220">
        <f t="shared" si="434"/>
        <v>1136</v>
      </c>
      <c r="Q173" s="197">
        <v>1</v>
      </c>
      <c r="R173" s="196">
        <v>46.38</v>
      </c>
      <c r="S173" s="197">
        <v>26</v>
      </c>
      <c r="T173" s="219">
        <f t="shared" si="435"/>
        <v>1205.8800000000001</v>
      </c>
      <c r="U173" s="197">
        <v>2</v>
      </c>
      <c r="V173" s="196">
        <v>46.38</v>
      </c>
      <c r="W173" s="207">
        <v>16</v>
      </c>
      <c r="X173" s="219">
        <f t="shared" si="436"/>
        <v>1484.16</v>
      </c>
      <c r="Y173" s="219">
        <f t="shared" si="437"/>
        <v>2690.04</v>
      </c>
      <c r="Z173" s="197">
        <v>1</v>
      </c>
      <c r="AA173" s="196">
        <v>90</v>
      </c>
      <c r="AB173" s="197">
        <v>2</v>
      </c>
      <c r="AC173" s="219">
        <f t="shared" si="438"/>
        <v>180</v>
      </c>
      <c r="AD173" s="197">
        <v>2</v>
      </c>
      <c r="AE173" s="196">
        <v>90</v>
      </c>
      <c r="AF173" s="197">
        <v>2</v>
      </c>
      <c r="AG173" s="219">
        <f t="shared" si="439"/>
        <v>360</v>
      </c>
      <c r="AH173" s="219">
        <f t="shared" si="440"/>
        <v>540</v>
      </c>
      <c r="AI173" s="220">
        <f t="shared" ref="AI173" si="467">F173+G173+P173+Y173+AH173</f>
        <v>7619.84</v>
      </c>
      <c r="AJ173" s="201">
        <f t="shared" si="446"/>
        <v>0.38683318103360748</v>
      </c>
      <c r="AK173" s="196">
        <f t="shared" si="447"/>
        <v>1328.5976000000001</v>
      </c>
      <c r="AL173" s="196">
        <v>0</v>
      </c>
      <c r="AM173" s="196">
        <v>0</v>
      </c>
      <c r="AN173" s="196">
        <v>0</v>
      </c>
      <c r="AO173" s="196">
        <v>0</v>
      </c>
      <c r="AP173" s="286">
        <v>4.3199195171026154E-2</v>
      </c>
      <c r="AQ173" s="196">
        <f t="shared" si="442"/>
        <v>850.93774647887324</v>
      </c>
      <c r="AR173" s="221">
        <f t="shared" si="465"/>
        <v>850.93774647887324</v>
      </c>
      <c r="AS173" s="221">
        <f t="shared" si="466"/>
        <v>2179.5353464788732</v>
      </c>
      <c r="AT173" s="203">
        <f t="shared" si="463"/>
        <v>17518.464653521129</v>
      </c>
      <c r="AU173" s="131" t="s">
        <v>1698</v>
      </c>
      <c r="AV173" s="206"/>
      <c r="AW173" s="204"/>
      <c r="AX173" s="401"/>
    </row>
    <row r="174" spans="2:50" s="131" customFormat="1" ht="18" customHeight="1">
      <c r="B174" s="194" t="s">
        <v>2258</v>
      </c>
      <c r="C174" s="194">
        <v>204</v>
      </c>
      <c r="D174" s="324" t="s">
        <v>2050</v>
      </c>
      <c r="E174" s="196">
        <v>6086</v>
      </c>
      <c r="F174" s="196">
        <v>620</v>
      </c>
      <c r="G174" s="196">
        <v>230</v>
      </c>
      <c r="H174" s="197">
        <v>1</v>
      </c>
      <c r="I174" s="196">
        <v>24</v>
      </c>
      <c r="J174" s="197">
        <v>26</v>
      </c>
      <c r="K174" s="219">
        <f t="shared" si="432"/>
        <v>624</v>
      </c>
      <c r="L174" s="197">
        <v>0</v>
      </c>
      <c r="M174" s="196">
        <v>0</v>
      </c>
      <c r="N174" s="197">
        <v>0</v>
      </c>
      <c r="O174" s="219">
        <f t="shared" si="433"/>
        <v>0</v>
      </c>
      <c r="P174" s="220">
        <f t="shared" si="434"/>
        <v>624</v>
      </c>
      <c r="Q174" s="197">
        <v>1</v>
      </c>
      <c r="R174" s="196">
        <v>46.38</v>
      </c>
      <c r="S174" s="197">
        <v>26</v>
      </c>
      <c r="T174" s="219">
        <f t="shared" si="435"/>
        <v>1205.8800000000001</v>
      </c>
      <c r="U174" s="197">
        <v>0</v>
      </c>
      <c r="V174" s="196">
        <v>0</v>
      </c>
      <c r="W174" s="207">
        <v>0</v>
      </c>
      <c r="X174" s="219">
        <f t="shared" si="436"/>
        <v>0</v>
      </c>
      <c r="Y174" s="219">
        <f t="shared" si="437"/>
        <v>1205.8800000000001</v>
      </c>
      <c r="Z174" s="197">
        <v>1</v>
      </c>
      <c r="AA174" s="196">
        <v>90</v>
      </c>
      <c r="AB174" s="197">
        <v>4</v>
      </c>
      <c r="AC174" s="399">
        <f t="shared" si="438"/>
        <v>360</v>
      </c>
      <c r="AD174" s="197">
        <v>0</v>
      </c>
      <c r="AE174" s="196">
        <v>0</v>
      </c>
      <c r="AF174" s="197">
        <v>0</v>
      </c>
      <c r="AG174" s="219">
        <f t="shared" si="439"/>
        <v>0</v>
      </c>
      <c r="AH174" s="219">
        <f t="shared" si="440"/>
        <v>360</v>
      </c>
      <c r="AI174" s="220">
        <f>F174+G174+P174+Y174+AH174</f>
        <v>3039.88</v>
      </c>
      <c r="AJ174" s="201">
        <f t="shared" si="446"/>
        <v>0.49948734801183042</v>
      </c>
      <c r="AK174" s="196">
        <f>(E174-AI174)*$AK$15</f>
        <v>335.07319999999999</v>
      </c>
      <c r="AL174" s="196">
        <v>0</v>
      </c>
      <c r="AM174" s="196">
        <v>0</v>
      </c>
      <c r="AN174" s="196">
        <v>0</v>
      </c>
      <c r="AO174" s="196">
        <v>0</v>
      </c>
      <c r="AP174" s="247">
        <v>0</v>
      </c>
      <c r="AQ174" s="196">
        <f t="shared" si="442"/>
        <v>0</v>
      </c>
      <c r="AR174" s="221">
        <f>AL174+AM174+AN174+AO174+AQ174</f>
        <v>0</v>
      </c>
      <c r="AS174" s="221">
        <f>AK174+AR174</f>
        <v>335.07319999999999</v>
      </c>
      <c r="AT174" s="203">
        <f t="shared" si="463"/>
        <v>5750.9268000000002</v>
      </c>
      <c r="AU174" s="131" t="s">
        <v>1698</v>
      </c>
      <c r="AV174" s="206"/>
      <c r="AW174" s="206"/>
    </row>
    <row r="175" spans="2:50" s="131" customFormat="1" ht="18" customHeight="1">
      <c r="B175" s="194" t="s">
        <v>2258</v>
      </c>
      <c r="C175" s="194">
        <v>205</v>
      </c>
      <c r="D175" s="324" t="s">
        <v>2049</v>
      </c>
      <c r="E175" s="196">
        <f>11996/2</f>
        <v>5998</v>
      </c>
      <c r="F175" s="196">
        <v>0</v>
      </c>
      <c r="G175" s="196">
        <v>0</v>
      </c>
      <c r="H175" s="197">
        <v>1</v>
      </c>
      <c r="I175" s="196">
        <v>0</v>
      </c>
      <c r="J175" s="197">
        <v>0</v>
      </c>
      <c r="K175" s="219">
        <f t="shared" si="432"/>
        <v>0</v>
      </c>
      <c r="L175" s="197">
        <v>0</v>
      </c>
      <c r="M175" s="196">
        <v>0</v>
      </c>
      <c r="N175" s="197">
        <v>0</v>
      </c>
      <c r="O175" s="219">
        <f t="shared" si="433"/>
        <v>0</v>
      </c>
      <c r="P175" s="220">
        <f t="shared" si="434"/>
        <v>0</v>
      </c>
      <c r="Q175" s="197">
        <v>1</v>
      </c>
      <c r="R175" s="196">
        <v>26</v>
      </c>
      <c r="S175" s="197">
        <v>0</v>
      </c>
      <c r="T175" s="219">
        <f t="shared" si="435"/>
        <v>0</v>
      </c>
      <c r="U175" s="197">
        <v>0</v>
      </c>
      <c r="V175" s="196">
        <v>0</v>
      </c>
      <c r="W175" s="207">
        <v>0</v>
      </c>
      <c r="X175" s="219">
        <f t="shared" si="436"/>
        <v>0</v>
      </c>
      <c r="Y175" s="219">
        <f t="shared" si="437"/>
        <v>0</v>
      </c>
      <c r="Z175" s="197">
        <v>1</v>
      </c>
      <c r="AA175" s="196">
        <v>0</v>
      </c>
      <c r="AB175" s="197">
        <v>0</v>
      </c>
      <c r="AC175" s="399">
        <f t="shared" si="438"/>
        <v>0</v>
      </c>
      <c r="AD175" s="197">
        <v>0</v>
      </c>
      <c r="AE175" s="196">
        <v>0</v>
      </c>
      <c r="AF175" s="197">
        <v>0</v>
      </c>
      <c r="AG175" s="219">
        <f t="shared" si="439"/>
        <v>0</v>
      </c>
      <c r="AH175" s="219">
        <f t="shared" si="440"/>
        <v>0</v>
      </c>
      <c r="AI175" s="220">
        <f>F175+G175+P175+Y175+AH175</f>
        <v>0</v>
      </c>
      <c r="AJ175" s="201">
        <f t="shared" si="446"/>
        <v>0</v>
      </c>
      <c r="AK175" s="196">
        <v>0</v>
      </c>
      <c r="AL175" s="196">
        <v>0</v>
      </c>
      <c r="AM175" s="196">
        <v>0</v>
      </c>
      <c r="AN175" s="196">
        <v>0</v>
      </c>
      <c r="AO175" s="196">
        <v>0</v>
      </c>
      <c r="AP175" s="247">
        <v>0</v>
      </c>
      <c r="AQ175" s="196">
        <f t="shared" si="442"/>
        <v>0</v>
      </c>
      <c r="AR175" s="221">
        <f>AL175+AM175+AN175+AO175+AQ175</f>
        <v>0</v>
      </c>
      <c r="AS175" s="221">
        <f>AK175+AR175</f>
        <v>0</v>
      </c>
      <c r="AT175" s="203">
        <f t="shared" si="463"/>
        <v>5998</v>
      </c>
      <c r="AU175" s="131" t="s">
        <v>1698</v>
      </c>
      <c r="AV175" s="206"/>
      <c r="AW175" s="206"/>
    </row>
    <row r="176" spans="2:50" s="131" customFormat="1" ht="18" hidden="1" customHeight="1">
      <c r="B176" s="194"/>
      <c r="C176" s="194"/>
      <c r="D176" s="324"/>
      <c r="E176" s="196"/>
      <c r="F176" s="196"/>
      <c r="G176" s="196"/>
      <c r="H176" s="197"/>
      <c r="I176" s="196"/>
      <c r="J176" s="197"/>
      <c r="K176" s="219"/>
      <c r="L176" s="197"/>
      <c r="M176" s="196"/>
      <c r="N176" s="197"/>
      <c r="O176" s="219"/>
      <c r="P176" s="220"/>
      <c r="Q176" s="197"/>
      <c r="R176" s="196"/>
      <c r="S176" s="197"/>
      <c r="T176" s="219"/>
      <c r="U176" s="197"/>
      <c r="V176" s="196"/>
      <c r="W176" s="207"/>
      <c r="X176" s="219"/>
      <c r="Y176" s="219"/>
      <c r="Z176" s="197"/>
      <c r="AA176" s="196"/>
      <c r="AB176" s="197"/>
      <c r="AC176" s="399"/>
      <c r="AD176" s="197"/>
      <c r="AE176" s="196"/>
      <c r="AF176" s="197"/>
      <c r="AG176" s="219"/>
      <c r="AH176" s="219"/>
      <c r="AI176" s="220"/>
      <c r="AJ176" s="201"/>
      <c r="AK176" s="196"/>
      <c r="AL176" s="196"/>
      <c r="AM176" s="196"/>
      <c r="AN176" s="196"/>
      <c r="AO176" s="196"/>
      <c r="AP176" s="247"/>
      <c r="AQ176" s="196"/>
      <c r="AR176" s="221"/>
      <c r="AS176" s="221"/>
      <c r="AT176" s="203"/>
      <c r="AV176" s="206"/>
      <c r="AW176" s="206"/>
    </row>
    <row r="177" spans="2:51" s="131" customFormat="1" ht="18" hidden="1" customHeight="1">
      <c r="B177" s="194"/>
      <c r="C177" s="194"/>
      <c r="D177" s="324"/>
      <c r="E177" s="196"/>
      <c r="F177" s="196"/>
      <c r="G177" s="196"/>
      <c r="H177" s="197"/>
      <c r="I177" s="196"/>
      <c r="J177" s="197"/>
      <c r="K177" s="219"/>
      <c r="L177" s="197"/>
      <c r="M177" s="196"/>
      <c r="N177" s="197"/>
      <c r="O177" s="219"/>
      <c r="P177" s="220"/>
      <c r="Q177" s="197"/>
      <c r="R177" s="196"/>
      <c r="S177" s="197"/>
      <c r="T177" s="219"/>
      <c r="U177" s="197"/>
      <c r="V177" s="196"/>
      <c r="W177" s="207"/>
      <c r="X177" s="219"/>
      <c r="Y177" s="219"/>
      <c r="Z177" s="197"/>
      <c r="AA177" s="196"/>
      <c r="AB177" s="197"/>
      <c r="AC177" s="399"/>
      <c r="AD177" s="197"/>
      <c r="AE177" s="196"/>
      <c r="AF177" s="197"/>
      <c r="AG177" s="219"/>
      <c r="AH177" s="219"/>
      <c r="AI177" s="220"/>
      <c r="AJ177" s="201"/>
      <c r="AK177" s="196"/>
      <c r="AL177" s="196"/>
      <c r="AM177" s="196"/>
      <c r="AN177" s="196"/>
      <c r="AO177" s="196"/>
      <c r="AP177" s="247"/>
      <c r="AQ177" s="196"/>
      <c r="AR177" s="221"/>
      <c r="AS177" s="221"/>
      <c r="AT177" s="203"/>
      <c r="AV177" s="206"/>
      <c r="AW177" s="206"/>
    </row>
    <row r="178" spans="2:51" s="131" customFormat="1" ht="18" hidden="1" customHeight="1">
      <c r="B178" s="194"/>
      <c r="C178" s="194"/>
      <c r="D178" s="324"/>
      <c r="E178" s="196"/>
      <c r="F178" s="196"/>
      <c r="G178" s="196"/>
      <c r="H178" s="197"/>
      <c r="I178" s="196"/>
      <c r="J178" s="197"/>
      <c r="K178" s="219"/>
      <c r="L178" s="197"/>
      <c r="M178" s="196"/>
      <c r="N178" s="197"/>
      <c r="O178" s="219"/>
      <c r="P178" s="220"/>
      <c r="Q178" s="197"/>
      <c r="R178" s="196"/>
      <c r="S178" s="197"/>
      <c r="T178" s="219"/>
      <c r="U178" s="197"/>
      <c r="V178" s="196"/>
      <c r="W178" s="207"/>
      <c r="X178" s="219"/>
      <c r="Y178" s="219"/>
      <c r="Z178" s="197"/>
      <c r="AA178" s="196"/>
      <c r="AB178" s="197"/>
      <c r="AC178" s="399"/>
      <c r="AD178" s="197"/>
      <c r="AE178" s="196"/>
      <c r="AF178" s="197"/>
      <c r="AG178" s="219"/>
      <c r="AH178" s="219"/>
      <c r="AI178" s="220"/>
      <c r="AJ178" s="201"/>
      <c r="AK178" s="196"/>
      <c r="AL178" s="196"/>
      <c r="AM178" s="196"/>
      <c r="AN178" s="196"/>
      <c r="AO178" s="196"/>
      <c r="AP178" s="286"/>
      <c r="AQ178" s="196"/>
      <c r="AR178" s="221"/>
      <c r="AS178" s="221"/>
      <c r="AT178" s="203"/>
      <c r="AV178" s="206"/>
      <c r="AW178" s="206"/>
    </row>
    <row r="179" spans="2:51" s="634" customFormat="1" ht="18" customHeight="1">
      <c r="B179" s="627" t="s">
        <v>284</v>
      </c>
      <c r="C179" s="627" t="s">
        <v>1699</v>
      </c>
      <c r="D179" s="627" t="s">
        <v>1699</v>
      </c>
      <c r="E179" s="626">
        <f t="shared" ref="E179:L179" si="468">SUBTOTAL(9,E17:E178)</f>
        <v>108198</v>
      </c>
      <c r="F179" s="626">
        <f t="shared" si="468"/>
        <v>10368.629999999999</v>
      </c>
      <c r="G179" s="626">
        <f t="shared" si="468"/>
        <v>3717.3099999999995</v>
      </c>
      <c r="H179" s="628">
        <f t="shared" si="468"/>
        <v>15</v>
      </c>
      <c r="I179" s="626">
        <f t="shared" si="468"/>
        <v>168</v>
      </c>
      <c r="J179" s="628">
        <f t="shared" si="468"/>
        <v>150</v>
      </c>
      <c r="K179" s="626">
        <f t="shared" si="468"/>
        <v>6480</v>
      </c>
      <c r="L179" s="628">
        <f t="shared" si="468"/>
        <v>2</v>
      </c>
      <c r="M179" s="627" t="s">
        <v>1699</v>
      </c>
      <c r="N179" s="627" t="s">
        <v>1699</v>
      </c>
      <c r="O179" s="626">
        <f>SUBTOTAL(9,O17:O178)</f>
        <v>512</v>
      </c>
      <c r="P179" s="626">
        <f>SUBTOTAL(9,P17:P178)</f>
        <v>6992</v>
      </c>
      <c r="Q179" s="628">
        <f>SUBTOTAL(9,Q17:Q178)</f>
        <v>15</v>
      </c>
      <c r="R179" s="629" t="s">
        <v>1699</v>
      </c>
      <c r="S179" s="629" t="s">
        <v>1699</v>
      </c>
      <c r="T179" s="626">
        <f>SUBTOTAL(9,T17:T178)</f>
        <v>12522.600000000002</v>
      </c>
      <c r="U179" s="628">
        <f>SUBTOTAL(9,U17:U178)</f>
        <v>2</v>
      </c>
      <c r="V179" s="629" t="s">
        <v>1699</v>
      </c>
      <c r="W179" s="629" t="s">
        <v>1699</v>
      </c>
      <c r="X179" s="626">
        <f>SUBTOTAL(9,X17:X178)</f>
        <v>1484.16</v>
      </c>
      <c r="Y179" s="626">
        <f>SUBTOTAL(9,Y17:Y178)</f>
        <v>14006.760000000002</v>
      </c>
      <c r="Z179" s="628">
        <f>SUBTOTAL(9,Z17:Z178)</f>
        <v>15</v>
      </c>
      <c r="AA179" s="629" t="s">
        <v>1699</v>
      </c>
      <c r="AB179" s="629" t="s">
        <v>1699</v>
      </c>
      <c r="AC179" s="626">
        <f>SUBTOTAL(9,AC17:AC178)</f>
        <v>2250</v>
      </c>
      <c r="AD179" s="628">
        <f>SUBTOTAL(9,AD17:AD178)</f>
        <v>2</v>
      </c>
      <c r="AE179" s="629" t="s">
        <v>1699</v>
      </c>
      <c r="AF179" s="629" t="s">
        <v>1699</v>
      </c>
      <c r="AG179" s="626">
        <f>SUBTOTAL(9,AG17:AG178)</f>
        <v>360</v>
      </c>
      <c r="AH179" s="626">
        <f>SUBTOTAL(9,AH17:AH178)</f>
        <v>2610</v>
      </c>
      <c r="AI179" s="626">
        <f>SUBTOTAL(9,AI17:AI178)</f>
        <v>37694.699999999997</v>
      </c>
      <c r="AJ179" s="629" t="s">
        <v>1699</v>
      </c>
      <c r="AK179" s="630">
        <f>SUBTOTAL(9,AK17:AK178)</f>
        <v>7095.5829999999996</v>
      </c>
      <c r="AL179" s="626">
        <f>SUBTOTAL(9,AL17:AL178)</f>
        <v>0</v>
      </c>
      <c r="AM179" s="626">
        <f>SUBTOTAL(9,AM17:AM178)</f>
        <v>0</v>
      </c>
      <c r="AN179" s="626">
        <f>SUBTOTAL(9,AN17:AN178)</f>
        <v>0</v>
      </c>
      <c r="AO179" s="626">
        <f>SUBTOTAL(9,AO17:AO178)</f>
        <v>0</v>
      </c>
      <c r="AP179" s="631">
        <f>AVERAGE(AP17:AP178)</f>
        <v>1.8150636211762539E-2</v>
      </c>
      <c r="AQ179" s="626">
        <f>SUBTOTAL(9,AQ17:AQ178)</f>
        <v>1428.726981891348</v>
      </c>
      <c r="AR179" s="632">
        <f>SUBTOTAL(9,AR17:AR178)</f>
        <v>1428.726981891348</v>
      </c>
      <c r="AS179" s="632">
        <f>SUBTOTAL(9,AS17:AS178)</f>
        <v>8524.3099818913488</v>
      </c>
      <c r="AT179" s="633">
        <f>SUBTOTAL(9,AT17:AT178)</f>
        <v>99673.690018108653</v>
      </c>
      <c r="AV179" s="635"/>
      <c r="AW179" s="636"/>
      <c r="AX179" s="255"/>
      <c r="AY179" s="637"/>
    </row>
    <row r="180" spans="2:51" ht="5.0999999999999996" customHeight="1">
      <c r="D180" s="148"/>
      <c r="AT180" s="148"/>
      <c r="AV180" s="107"/>
      <c r="AX180" s="257"/>
    </row>
    <row r="181" spans="2:51" ht="21" customHeight="1">
      <c r="D181" s="148"/>
      <c r="E181" s="157"/>
      <c r="F181" s="252"/>
      <c r="G181" s="232"/>
      <c r="H181" s="246"/>
      <c r="K181" s="232"/>
      <c r="X181" s="232"/>
      <c r="Y181" s="232"/>
      <c r="AI181" s="232"/>
      <c r="AJ181" s="1050"/>
      <c r="AK181" s="157"/>
      <c r="AO181" s="332"/>
      <c r="AQ181" s="157"/>
      <c r="AR181" s="232"/>
      <c r="AT181" s="148"/>
      <c r="AV181" s="107"/>
      <c r="AX181" s="523"/>
      <c r="AY181" s="230"/>
    </row>
    <row r="182" spans="2:51" ht="21" customHeight="1">
      <c r="B182" s="233" t="s">
        <v>9</v>
      </c>
      <c r="C182" s="233"/>
      <c r="D182" s="234" t="s">
        <v>1700</v>
      </c>
      <c r="E182" s="234" t="s">
        <v>1701</v>
      </c>
      <c r="F182" s="234" t="s">
        <v>1702</v>
      </c>
      <c r="G182" s="251" t="s">
        <v>1703</v>
      </c>
      <c r="H182" s="246"/>
      <c r="K182" s="232"/>
      <c r="P182" s="157"/>
      <c r="Y182" s="254"/>
      <c r="AH182" s="232"/>
    </row>
    <row r="183" spans="2:51" ht="21" customHeight="1">
      <c r="B183" s="235" t="s">
        <v>1738</v>
      </c>
      <c r="D183" s="646">
        <v>1.9198491704374057E-2</v>
      </c>
      <c r="E183" s="237">
        <f>D183*$E$179</f>
        <v>2077.2384054298641</v>
      </c>
      <c r="F183" s="232">
        <f>AL179</f>
        <v>0</v>
      </c>
      <c r="G183" s="253">
        <f>E183-F183</f>
        <v>2077.2384054298641</v>
      </c>
      <c r="K183" s="232"/>
      <c r="P183" s="157"/>
      <c r="T183" s="157"/>
      <c r="Y183" s="232"/>
    </row>
    <row r="184" spans="2:51" ht="21" customHeight="1">
      <c r="B184" s="235" t="s">
        <v>1739</v>
      </c>
      <c r="D184" s="646">
        <v>2.0708396178984411E-2</v>
      </c>
      <c r="E184" s="237">
        <f>D184*$E$179</f>
        <v>2240.6070497737555</v>
      </c>
      <c r="F184" s="232">
        <f>AM179</f>
        <v>0</v>
      </c>
      <c r="G184" s="253">
        <f t="shared" ref="G184:G186" si="469">E184-F184</f>
        <v>2240.6070497737555</v>
      </c>
      <c r="P184" s="257"/>
      <c r="T184" s="257"/>
      <c r="Y184" s="257"/>
    </row>
    <row r="185" spans="2:51" ht="21" customHeight="1">
      <c r="B185" s="235" t="s">
        <v>1740</v>
      </c>
      <c r="D185" s="646">
        <v>2.0384917043740573E-2</v>
      </c>
      <c r="E185" s="237">
        <f>D185*$E$179</f>
        <v>2205.6072542986426</v>
      </c>
      <c r="F185" s="232">
        <f>AN179</f>
        <v>0</v>
      </c>
      <c r="G185" s="253">
        <f t="shared" si="469"/>
        <v>2205.6072542986426</v>
      </c>
      <c r="P185" s="257"/>
      <c r="T185" s="257"/>
      <c r="Y185" s="1051"/>
    </row>
    <row r="186" spans="2:51" ht="21" customHeight="1">
      <c r="B186" s="235" t="s">
        <v>1741</v>
      </c>
      <c r="D186" s="646">
        <v>4.4220211161387626E-3</v>
      </c>
      <c r="E186" s="237">
        <f>D186*$E$179</f>
        <v>478.45384072398184</v>
      </c>
      <c r="F186" s="232">
        <f>AO179</f>
        <v>0</v>
      </c>
      <c r="G186" s="253">
        <f t="shared" si="469"/>
        <v>478.45384072398184</v>
      </c>
      <c r="H186" s="755">
        <f>SUBTOTAL(9,G183:G186)</f>
        <v>7001.9065502262438</v>
      </c>
      <c r="P186" s="257"/>
      <c r="Q186" s="254"/>
      <c r="R186" s="232"/>
      <c r="T186" s="257"/>
      <c r="Y186" s="257"/>
      <c r="AH186" s="157"/>
    </row>
    <row r="187" spans="2:51" ht="21" customHeight="1">
      <c r="B187" s="235" t="s">
        <v>1708</v>
      </c>
      <c r="D187" s="647">
        <v>4.3199195171026154E-2</v>
      </c>
      <c r="E187" s="241">
        <f>D187*$E$179</f>
        <v>4674.0665191146882</v>
      </c>
      <c r="F187" s="232">
        <f>AQ179</f>
        <v>1428.726981891348</v>
      </c>
      <c r="G187" s="253">
        <f>(E187-F187)</f>
        <v>3245.3395372233399</v>
      </c>
      <c r="H187" s="755">
        <f>G187+H186</f>
        <v>10247.246087449585</v>
      </c>
      <c r="I187" s="157">
        <f>D198</f>
        <v>3067.77</v>
      </c>
      <c r="J187" s="246">
        <f>I187-G187</f>
        <v>-177.56953722333992</v>
      </c>
      <c r="K187" s="160"/>
      <c r="P187" s="257"/>
      <c r="Q187" s="255"/>
      <c r="Y187" s="257"/>
      <c r="AH187" s="997"/>
    </row>
    <row r="188" spans="2:51" ht="21" customHeight="1">
      <c r="B188" s="239" t="s">
        <v>1742</v>
      </c>
      <c r="C188" s="240"/>
      <c r="D188" s="647">
        <v>0</v>
      </c>
      <c r="E188" s="241">
        <f>D188*E179</f>
        <v>0</v>
      </c>
      <c r="F188" s="354">
        <f>AK179</f>
        <v>7095.5829999999996</v>
      </c>
      <c r="G188" s="256">
        <f>(E188-F188)</f>
        <v>-7095.5829999999996</v>
      </c>
      <c r="P188" s="257"/>
      <c r="Q188" s="257"/>
      <c r="Y188" s="1052"/>
      <c r="AH188" s="252"/>
    </row>
    <row r="189" spans="2:51" ht="21" customHeight="1">
      <c r="B189" s="243" t="s">
        <v>284</v>
      </c>
      <c r="C189" s="243"/>
      <c r="D189" s="244">
        <f>SUM(D183:D188)</f>
        <v>0.10791302121426397</v>
      </c>
      <c r="E189" s="245">
        <f>SUM(E183:E188)</f>
        <v>11675.973069340933</v>
      </c>
      <c r="F189" s="245">
        <f>SUM(F183:F188)</f>
        <v>8524.309981891347</v>
      </c>
      <c r="G189" s="245">
        <f>SUM(G183:G188)</f>
        <v>3151.663087449585</v>
      </c>
      <c r="P189" s="257"/>
      <c r="Q189" s="255"/>
      <c r="V189" s="232"/>
      <c r="Y189" s="1052"/>
    </row>
    <row r="190" spans="2:51" ht="21" customHeight="1">
      <c r="D190" s="860"/>
      <c r="E190" s="232"/>
      <c r="F190" s="252"/>
      <c r="G190" s="232"/>
      <c r="AH190" s="161" t="s">
        <v>2046</v>
      </c>
    </row>
    <row r="191" spans="2:51" ht="21" customHeight="1">
      <c r="E191" s="232"/>
      <c r="G191" s="232"/>
      <c r="P191" s="257"/>
      <c r="Y191" s="1051"/>
      <c r="AH191" s="157"/>
      <c r="AI191" s="333"/>
      <c r="AJ191" s="147"/>
      <c r="AL191" s="157"/>
      <c r="AM191" s="333"/>
    </row>
    <row r="193" spans="2:52">
      <c r="C193" s="1066" t="s">
        <v>2253</v>
      </c>
      <c r="D193" s="1066">
        <v>46023</v>
      </c>
      <c r="E193" s="1057" t="s">
        <v>1907</v>
      </c>
    </row>
    <row r="194" spans="2:52">
      <c r="C194" s="1058" t="s">
        <v>2096</v>
      </c>
      <c r="D194" s="1059">
        <v>1999.94</v>
      </c>
      <c r="E194" s="1060">
        <f>D194/D$201</f>
        <v>1.9193282149712092E-2</v>
      </c>
    </row>
    <row r="195" spans="2:52">
      <c r="C195" s="1058" t="s">
        <v>2097</v>
      </c>
      <c r="D195" s="1059">
        <v>2157.23</v>
      </c>
      <c r="E195" s="1060">
        <f t="shared" ref="E195:E198" si="470">D195/D$201</f>
        <v>2.0702783109404991E-2</v>
      </c>
    </row>
    <row r="196" spans="2:52">
      <c r="C196" s="1058" t="s">
        <v>2098</v>
      </c>
      <c r="D196" s="1059">
        <v>2123.5300000000002</v>
      </c>
      <c r="E196" s="1060">
        <f t="shared" si="470"/>
        <v>2.0379366602687143E-2</v>
      </c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</row>
    <row r="197" spans="2:52" s="161" customFormat="1">
      <c r="B197" s="147"/>
      <c r="C197" s="1058" t="s">
        <v>2099</v>
      </c>
      <c r="D197" s="1059">
        <v>460.66</v>
      </c>
      <c r="E197" s="1060">
        <f t="shared" si="470"/>
        <v>4.4209213051823416E-3</v>
      </c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</row>
    <row r="198" spans="2:52">
      <c r="C198" s="1058" t="s">
        <v>2100</v>
      </c>
      <c r="D198" s="1059">
        <v>3067.77</v>
      </c>
      <c r="E198" s="1060">
        <f t="shared" si="470"/>
        <v>2.9441170825335893E-2</v>
      </c>
      <c r="F198" s="341">
        <v>4.3200000000000002E-2</v>
      </c>
    </row>
    <row r="199" spans="2:52">
      <c r="C199" s="1065" t="s">
        <v>2132</v>
      </c>
      <c r="D199" s="1061"/>
      <c r="E199" s="1062"/>
    </row>
    <row r="200" spans="2:52">
      <c r="C200" s="1063" t="s">
        <v>2254</v>
      </c>
      <c r="D200" s="1063">
        <f>SUBTOTAL(9,D194:D199)</f>
        <v>9809.130000000001</v>
      </c>
      <c r="E200" s="1064">
        <f>SUM(E194:E199)</f>
        <v>9.4137523992322475E-2</v>
      </c>
    </row>
    <row r="201" spans="2:52">
      <c r="C201" s="1070" t="s">
        <v>90</v>
      </c>
      <c r="D201" s="1068">
        <v>104200</v>
      </c>
      <c r="E201" s="1075"/>
      <c r="F201" s="1124"/>
    </row>
    <row r="203" spans="2:52">
      <c r="C203" s="1066" t="s">
        <v>2253</v>
      </c>
      <c r="D203" s="1066">
        <v>45992</v>
      </c>
      <c r="E203" s="1057" t="s">
        <v>1907</v>
      </c>
    </row>
    <row r="204" spans="2:52">
      <c r="C204" s="1058" t="s">
        <v>2096</v>
      </c>
      <c r="D204" s="1059" t="s">
        <v>2364</v>
      </c>
      <c r="E204" s="1060" t="e">
        <f>D204/D$221</f>
        <v>#VALUE!</v>
      </c>
    </row>
    <row r="205" spans="2:52">
      <c r="C205" s="1058" t="s">
        <v>2097</v>
      </c>
      <c r="D205" s="1059" t="s">
        <v>2364</v>
      </c>
      <c r="E205" s="1060" t="e">
        <f>D205/D$221</f>
        <v>#VALUE!</v>
      </c>
    </row>
    <row r="206" spans="2:52">
      <c r="C206" s="1058" t="s">
        <v>2098</v>
      </c>
      <c r="D206" s="1059" t="s">
        <v>2364</v>
      </c>
      <c r="E206" s="1060" t="e">
        <f>D206/D$221</f>
        <v>#VALUE!</v>
      </c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</row>
    <row r="207" spans="2:52" s="161" customFormat="1">
      <c r="B207" s="147"/>
      <c r="C207" s="1058" t="s">
        <v>2099</v>
      </c>
      <c r="D207" s="1059" t="s">
        <v>2364</v>
      </c>
      <c r="E207" s="1060" t="e">
        <f>D207/D$221</f>
        <v>#VALUE!</v>
      </c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</row>
    <row r="208" spans="2:52">
      <c r="C208" s="1058" t="s">
        <v>2100</v>
      </c>
      <c r="D208" s="1059" t="s">
        <v>2364</v>
      </c>
      <c r="E208" s="1060" t="e">
        <f>D208/D$221</f>
        <v>#VALUE!</v>
      </c>
    </row>
    <row r="209" spans="2:52">
      <c r="C209" s="1065" t="s">
        <v>2132</v>
      </c>
      <c r="D209" s="1061"/>
      <c r="E209" s="1062"/>
    </row>
    <row r="210" spans="2:52">
      <c r="C210" s="1063" t="s">
        <v>2254</v>
      </c>
      <c r="D210" s="1063">
        <f>SUBTOTAL(9,D204:D209)</f>
        <v>0</v>
      </c>
      <c r="E210" s="1064" t="e">
        <f>SUM(E204:E209)</f>
        <v>#VALUE!</v>
      </c>
    </row>
    <row r="211" spans="2:52">
      <c r="C211" s="1070" t="s">
        <v>90</v>
      </c>
      <c r="D211" s="1068"/>
      <c r="E211" s="1075"/>
    </row>
    <row r="213" spans="2:52">
      <c r="C213" s="1066" t="s">
        <v>2253</v>
      </c>
      <c r="D213" s="1066">
        <v>45962</v>
      </c>
      <c r="E213" s="1057" t="s">
        <v>1907</v>
      </c>
    </row>
    <row r="214" spans="2:52">
      <c r="C214" s="1058" t="s">
        <v>2096</v>
      </c>
      <c r="D214" s="1059">
        <v>1909.29</v>
      </c>
      <c r="E214" s="1060">
        <f>D214/D$221</f>
        <v>1.9198491704374057E-2</v>
      </c>
    </row>
    <row r="215" spans="2:52">
      <c r="C215" s="1058" t="s">
        <v>2097</v>
      </c>
      <c r="D215" s="1059">
        <v>2059.4499999999998</v>
      </c>
      <c r="E215" s="1060">
        <f>D215/D$221</f>
        <v>2.0708396178984411E-2</v>
      </c>
    </row>
    <row r="216" spans="2:52">
      <c r="C216" s="1058" t="s">
        <v>2098</v>
      </c>
      <c r="D216" s="1059">
        <v>2027.28</v>
      </c>
      <c r="E216" s="1060">
        <f>D216/D$221</f>
        <v>2.0384917043740573E-2</v>
      </c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</row>
    <row r="217" spans="2:52" s="161" customFormat="1">
      <c r="B217" s="147"/>
      <c r="C217" s="1058" t="s">
        <v>2099</v>
      </c>
      <c r="D217" s="1059">
        <v>439.77</v>
      </c>
      <c r="E217" s="1060">
        <f>D217/D$221</f>
        <v>4.4220211161387626E-3</v>
      </c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  <c r="AX217" s="147"/>
      <c r="AY217" s="147"/>
      <c r="AZ217" s="147"/>
    </row>
    <row r="218" spans="2:52">
      <c r="C218" s="1058" t="s">
        <v>2100</v>
      </c>
      <c r="D218" s="1059">
        <v>2979.17</v>
      </c>
      <c r="E218" s="1060">
        <f>D218/D$221</f>
        <v>2.9956460532931124E-2</v>
      </c>
    </row>
    <row r="219" spans="2:52">
      <c r="C219" s="1065" t="s">
        <v>2132</v>
      </c>
      <c r="D219" s="1061"/>
      <c r="E219" s="1062"/>
    </row>
    <row r="220" spans="2:52">
      <c r="C220" s="1063" t="s">
        <v>2254</v>
      </c>
      <c r="D220" s="1063">
        <f>SUBTOTAL(9,D214:D219)</f>
        <v>9414.9599999999991</v>
      </c>
      <c r="E220" s="1064">
        <f>SUM(E214:E219)</f>
        <v>9.4670286576168924E-2</v>
      </c>
    </row>
    <row r="221" spans="2:52">
      <c r="C221" s="1070" t="s">
        <v>90</v>
      </c>
      <c r="D221" s="1068">
        <v>99450</v>
      </c>
      <c r="E221" s="1075"/>
    </row>
    <row r="223" spans="2:52">
      <c r="C223" s="1066" t="s">
        <v>2253</v>
      </c>
      <c r="D223" s="1066">
        <v>45931</v>
      </c>
      <c r="E223" s="1057" t="s">
        <v>1907</v>
      </c>
    </row>
    <row r="224" spans="2:52">
      <c r="C224" s="1058" t="s">
        <v>2096</v>
      </c>
      <c r="D224" s="1059">
        <v>1891.03</v>
      </c>
      <c r="E224" s="1060">
        <f>D224/D$231</f>
        <v>1.9014881850175969E-2</v>
      </c>
    </row>
    <row r="225" spans="3:5">
      <c r="C225" s="1058" t="s">
        <v>2097</v>
      </c>
      <c r="D225" s="1059">
        <v>2039.76</v>
      </c>
      <c r="E225" s="1060">
        <f>D225/D$231</f>
        <v>2.0510407239819003E-2</v>
      </c>
    </row>
    <row r="226" spans="3:5">
      <c r="C226" s="1058" t="s">
        <v>2098</v>
      </c>
      <c r="D226" s="1059">
        <v>2007.89</v>
      </c>
      <c r="E226" s="1060">
        <f>D226/D$231</f>
        <v>2.018994469582705E-2</v>
      </c>
    </row>
    <row r="227" spans="3:5">
      <c r="C227" s="1058" t="s">
        <v>2099</v>
      </c>
      <c r="D227" s="1059">
        <v>435.57</v>
      </c>
      <c r="E227" s="1060">
        <f>D227/D$231</f>
        <v>4.3797888386123678E-3</v>
      </c>
    </row>
    <row r="228" spans="3:5">
      <c r="C228" s="1058" t="s">
        <v>2100</v>
      </c>
      <c r="D228" s="1059">
        <v>2950.68</v>
      </c>
      <c r="E228" s="1060">
        <f>D228/D$231</f>
        <v>2.9669984917043739E-2</v>
      </c>
    </row>
    <row r="229" spans="3:5">
      <c r="C229" s="1065" t="s">
        <v>2132</v>
      </c>
      <c r="D229" s="1061"/>
      <c r="E229" s="1062"/>
    </row>
    <row r="230" spans="3:5">
      <c r="C230" s="1063" t="s">
        <v>2254</v>
      </c>
      <c r="D230" s="1063">
        <f>SUBTOTAL(9,D224:D229)</f>
        <v>9324.93</v>
      </c>
      <c r="E230" s="1064">
        <f>SUM(E224:E229)</f>
        <v>9.3765007541478138E-2</v>
      </c>
    </row>
    <row r="231" spans="3:5">
      <c r="C231" s="1070" t="s">
        <v>90</v>
      </c>
      <c r="D231" s="1068">
        <v>99450</v>
      </c>
      <c r="E231" s="1069"/>
    </row>
    <row r="233" spans="3:5">
      <c r="C233" s="1066" t="s">
        <v>2253</v>
      </c>
      <c r="D233" s="1066">
        <v>45901</v>
      </c>
      <c r="E233" s="1057" t="s">
        <v>1907</v>
      </c>
    </row>
    <row r="234" spans="3:5">
      <c r="C234" s="1058" t="s">
        <v>2096</v>
      </c>
      <c r="D234" s="1059">
        <v>1848.14</v>
      </c>
      <c r="E234" s="1060">
        <f>D234/D$241</f>
        <v>1.8657724828491661E-2</v>
      </c>
    </row>
    <row r="235" spans="3:5">
      <c r="C235" s="1058" t="s">
        <v>2097</v>
      </c>
      <c r="D235" s="1059">
        <v>1993.51</v>
      </c>
      <c r="E235" s="1060">
        <f>D235/D$241</f>
        <v>2.0125294091814697E-2</v>
      </c>
    </row>
    <row r="236" spans="3:5">
      <c r="C236" s="1058" t="s">
        <v>2098</v>
      </c>
      <c r="D236" s="1059">
        <v>1962.36</v>
      </c>
      <c r="E236" s="1060">
        <f>D236/D$241</f>
        <v>1.98108221749645E-2</v>
      </c>
    </row>
    <row r="237" spans="3:5">
      <c r="C237" s="1058" t="s">
        <v>2099</v>
      </c>
      <c r="D237" s="1059">
        <v>425.7</v>
      </c>
      <c r="E237" s="1060">
        <f>D237/D$241</f>
        <v>4.2976146068419603E-3</v>
      </c>
    </row>
    <row r="238" spans="3:5">
      <c r="C238" s="1058" t="s">
        <v>2100</v>
      </c>
      <c r="D238" s="1059">
        <v>2878.7</v>
      </c>
      <c r="E238" s="1060">
        <f>D238/D$241</f>
        <v>2.9061647095879609E-2</v>
      </c>
    </row>
    <row r="239" spans="3:5">
      <c r="C239" s="1065" t="s">
        <v>2132</v>
      </c>
      <c r="D239" s="1061"/>
      <c r="E239" s="1062"/>
    </row>
    <row r="240" spans="3:5">
      <c r="C240" s="1072" t="s">
        <v>2254</v>
      </c>
      <c r="D240" s="1063">
        <f>SUBTOTAL(9,D234:D239)</f>
        <v>9108.41</v>
      </c>
      <c r="E240" s="1064">
        <f>SUM(E234:E239)</f>
        <v>9.1953102797992431E-2</v>
      </c>
    </row>
    <row r="241" spans="3:6">
      <c r="C241" s="1073" t="s">
        <v>90</v>
      </c>
      <c r="D241" s="1068">
        <v>99054.95</v>
      </c>
      <c r="E241" s="1069"/>
    </row>
    <row r="243" spans="3:6">
      <c r="C243" s="1074" t="s">
        <v>2253</v>
      </c>
      <c r="D243" s="1056">
        <v>45870</v>
      </c>
      <c r="E243" s="1057" t="s">
        <v>1907</v>
      </c>
    </row>
    <row r="244" spans="3:6">
      <c r="C244" s="1058" t="s">
        <v>2096</v>
      </c>
      <c r="D244" s="1059">
        <v>1832.46</v>
      </c>
      <c r="E244" s="1060">
        <f>D244/D$251</f>
        <v>1.8435619299421113E-2</v>
      </c>
    </row>
    <row r="245" spans="3:6">
      <c r="C245" s="1058" t="s">
        <v>2097</v>
      </c>
      <c r="D245" s="1059">
        <v>1976.58</v>
      </c>
      <c r="E245" s="1060">
        <f>D245/D$251</f>
        <v>1.9885550786838339E-2</v>
      </c>
    </row>
    <row r="246" spans="3:6">
      <c r="C246" s="1058" t="s">
        <v>2098</v>
      </c>
      <c r="D246" s="1059">
        <v>1945.7</v>
      </c>
      <c r="E246" s="1060">
        <f>D246/D$251</f>
        <v>1.9574879926919912E-2</v>
      </c>
    </row>
    <row r="247" spans="3:6">
      <c r="C247" s="1058" t="s">
        <v>2099</v>
      </c>
      <c r="D247" s="1059">
        <v>422.08</v>
      </c>
      <c r="E247" s="1060">
        <f>D247/D$251</f>
        <v>4.246371650076762E-3</v>
      </c>
    </row>
    <row r="248" spans="3:6">
      <c r="C248" s="1058" t="s">
        <v>2100</v>
      </c>
      <c r="D248" s="1059">
        <v>2858.63</v>
      </c>
      <c r="E248" s="1060">
        <f>D248/D$251</f>
        <v>2.8759489646652141E-2</v>
      </c>
    </row>
    <row r="249" spans="3:6">
      <c r="C249" s="1065" t="s">
        <v>2132</v>
      </c>
      <c r="D249" s="1061"/>
      <c r="E249" s="1062"/>
    </row>
    <row r="250" spans="3:6">
      <c r="C250" s="1072" t="s">
        <v>2254</v>
      </c>
      <c r="D250" s="1063">
        <f>SUBTOTAL(9,D244:D249)</f>
        <v>9035.4500000000007</v>
      </c>
      <c r="E250" s="1064">
        <f>SUM(E244:E249)</f>
        <v>9.0901911309908268E-2</v>
      </c>
    </row>
    <row r="251" spans="3:6">
      <c r="C251" s="1073" t="s">
        <v>90</v>
      </c>
      <c r="D251" s="1068">
        <v>99397.8</v>
      </c>
      <c r="E251" s="1069"/>
    </row>
    <row r="253" spans="3:6">
      <c r="C253" s="1074" t="s">
        <v>2253</v>
      </c>
      <c r="D253" s="1056">
        <v>45809</v>
      </c>
      <c r="E253" s="1057" t="s">
        <v>1907</v>
      </c>
      <c r="F253" s="252"/>
    </row>
    <row r="254" spans="3:6">
      <c r="C254" s="1058" t="s">
        <v>2096</v>
      </c>
      <c r="D254" s="1059">
        <v>1593.03</v>
      </c>
      <c r="E254" s="1060">
        <f>D254/D$261</f>
        <v>1.8093155850350953E-2</v>
      </c>
    </row>
    <row r="255" spans="3:6">
      <c r="C255" s="1058" t="s">
        <v>2097</v>
      </c>
      <c r="D255" s="1059">
        <v>1718.32</v>
      </c>
      <c r="E255" s="1060">
        <f>D255/D$261</f>
        <v>1.9516162006224018E-2</v>
      </c>
    </row>
    <row r="256" spans="3:6">
      <c r="C256" s="1058" t="s">
        <v>2098</v>
      </c>
      <c r="D256" s="1059">
        <v>1691.47</v>
      </c>
      <c r="E256" s="1060">
        <f>D256/D$261</f>
        <v>1.921120777775254E-2</v>
      </c>
    </row>
    <row r="257" spans="3:5">
      <c r="C257" s="1058" t="s">
        <v>2099</v>
      </c>
      <c r="D257" s="1059">
        <v>366.94</v>
      </c>
      <c r="E257" s="1060">
        <f>D257/D$261</f>
        <v>4.1675942121163941E-3</v>
      </c>
    </row>
    <row r="258" spans="3:5">
      <c r="C258" s="1058" t="s">
        <v>2100</v>
      </c>
      <c r="D258" s="1059">
        <v>2343.9699999999998</v>
      </c>
      <c r="E258" s="1060">
        <f>D258/D$261</f>
        <v>2.6622106626081818E-2</v>
      </c>
    </row>
    <row r="259" spans="3:5">
      <c r="C259" s="1065" t="s">
        <v>2132</v>
      </c>
      <c r="D259" s="1061"/>
      <c r="E259" s="1062"/>
    </row>
    <row r="260" spans="3:5">
      <c r="C260" s="1072" t="s">
        <v>2254</v>
      </c>
      <c r="D260" s="1063">
        <f>SUBTOTAL(9,D254:D259)</f>
        <v>7713.73</v>
      </c>
      <c r="E260" s="1064">
        <f>SUM(E254:E259)</f>
        <v>8.7610226472525712E-2</v>
      </c>
    </row>
    <row r="261" spans="3:5">
      <c r="C261" s="1073" t="s">
        <v>90</v>
      </c>
      <c r="D261" s="1071">
        <v>88046</v>
      </c>
      <c r="E261" s="1069"/>
    </row>
    <row r="262" spans="3:5">
      <c r="C262" s="161"/>
    </row>
    <row r="263" spans="3:5">
      <c r="C263" s="1074" t="s">
        <v>2253</v>
      </c>
      <c r="D263" s="1056">
        <v>45839</v>
      </c>
      <c r="E263" s="1057" t="s">
        <v>1907</v>
      </c>
    </row>
    <row r="264" spans="3:5">
      <c r="C264" s="1058" t="s">
        <v>2096</v>
      </c>
      <c r="D264" s="1059">
        <v>1608.49</v>
      </c>
      <c r="E264" s="1060">
        <f>D264/D$271</f>
        <v>1.8268745882833972E-2</v>
      </c>
    </row>
    <row r="265" spans="3:5">
      <c r="C265" s="1058" t="s">
        <v>2097</v>
      </c>
      <c r="D265" s="1059">
        <v>1735</v>
      </c>
      <c r="E265" s="1060">
        <f>D265/D$271</f>
        <v>1.9705608431956022E-2</v>
      </c>
    </row>
    <row r="266" spans="3:5">
      <c r="C266" s="1058" t="s">
        <v>2098</v>
      </c>
      <c r="D266" s="1059">
        <v>1707.89</v>
      </c>
      <c r="E266" s="1060">
        <f>D266/D$271</f>
        <v>1.9397701201644597E-2</v>
      </c>
    </row>
    <row r="267" spans="3:5">
      <c r="C267" s="1058" t="s">
        <v>2099</v>
      </c>
      <c r="D267" s="1059">
        <v>370.5</v>
      </c>
      <c r="E267" s="1060">
        <f>D267/D$271</f>
        <v>4.2080276219249027E-3</v>
      </c>
    </row>
    <row r="268" spans="3:5">
      <c r="C268" s="1058" t="s">
        <v>2100</v>
      </c>
      <c r="D268" s="1059">
        <v>2366.73</v>
      </c>
      <c r="E268" s="1060">
        <f>D268/D$271</f>
        <v>2.6880607864071055E-2</v>
      </c>
    </row>
    <row r="269" spans="3:5">
      <c r="C269" s="1065" t="s">
        <v>2132</v>
      </c>
      <c r="D269" s="1061"/>
      <c r="E269" s="1062"/>
    </row>
    <row r="270" spans="3:5">
      <c r="C270" s="1072" t="s">
        <v>2254</v>
      </c>
      <c r="D270" s="1063">
        <f>SUBTOTAL(9,D264:D269)</f>
        <v>7788.6100000000006</v>
      </c>
      <c r="E270" s="1064">
        <f>SUM(E264:E269)</f>
        <v>8.846069100243055E-2</v>
      </c>
    </row>
    <row r="271" spans="3:5">
      <c r="C271" s="1073" t="s">
        <v>90</v>
      </c>
      <c r="D271" s="1071">
        <v>88046</v>
      </c>
      <c r="E271" s="1067"/>
    </row>
  </sheetData>
  <autoFilter ref="B16:AT178" xr:uid="{AF280D0E-3418-4C12-B611-77A373415FA7}">
    <filterColumn colId="0">
      <filters>
        <filter val="02/26"/>
      </filters>
    </filterColumn>
  </autoFilter>
  <mergeCells count="22">
    <mergeCell ref="G13:G15"/>
    <mergeCell ref="F13:F15"/>
    <mergeCell ref="C11:D11"/>
    <mergeCell ref="B13:B15"/>
    <mergeCell ref="C13:C15"/>
    <mergeCell ref="D13:D15"/>
    <mergeCell ref="E13:E15"/>
    <mergeCell ref="AK13:AR13"/>
    <mergeCell ref="AS13:AS14"/>
    <mergeCell ref="AT13:AT15"/>
    <mergeCell ref="H14:K14"/>
    <mergeCell ref="L14:O14"/>
    <mergeCell ref="Q14:T14"/>
    <mergeCell ref="U14:X14"/>
    <mergeCell ref="Z14:AC14"/>
    <mergeCell ref="AD14:AG14"/>
    <mergeCell ref="AP14:AQ14"/>
    <mergeCell ref="AJ13:AJ14"/>
    <mergeCell ref="H13:P13"/>
    <mergeCell ref="Q13:Y13"/>
    <mergeCell ref="Z13:AH13"/>
    <mergeCell ref="AI13:AI15"/>
  </mergeCells>
  <phoneticPr fontId="26" type="noConversion"/>
  <pageMargins left="0.51181102362204722" right="0.51181102362204722" top="0.51181102362204722" bottom="0.43307086614173229" header="0.31496062992125984" footer="0.15748031496062992"/>
  <pageSetup paperSize="9" scale="76" orientation="landscape" horizontalDpi="300" verticalDpi="300" r:id="rId1"/>
  <headerFooter>
    <oddFooter>&amp;L&amp;10&amp;Z&amp;F</oddFooter>
  </headerFooter>
  <colBreaks count="1" manualBreakCount="1">
    <brk id="33" max="48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4A11-EE6B-4C6C-A5E5-F12614E12D58}">
  <sheetPr filterMode="1"/>
  <dimension ref="B1:AX218"/>
  <sheetViews>
    <sheetView showGridLines="0" topLeftCell="A6" zoomScale="56" zoomScaleNormal="56" zoomScaleSheetLayoutView="85" workbookViewId="0">
      <pane xSplit="7" ySplit="11" topLeftCell="AI121" activePane="bottomRight" state="frozen"/>
      <selection activeCell="A6" sqref="A6"/>
      <selection pane="topRight" activeCell="H6" sqref="H6"/>
      <selection pane="bottomLeft" activeCell="A17" sqref="A17"/>
      <selection pane="bottomRight" activeCell="AT124" sqref="AT124"/>
    </sheetView>
  </sheetViews>
  <sheetFormatPr defaultColWidth="8.6640625" defaultRowHeight="18"/>
  <cols>
    <col min="1" max="1" width="1.109375" style="147" customWidth="1"/>
    <col min="2" max="2" width="18.33203125" style="147" customWidth="1"/>
    <col min="3" max="3" width="19.33203125" style="147" customWidth="1"/>
    <col min="4" max="4" width="32.33203125" style="147" customWidth="1"/>
    <col min="5" max="6" width="18.44140625" style="147" customWidth="1"/>
    <col min="7" max="7" width="21.33203125" style="147" customWidth="1"/>
    <col min="8" max="8" width="10.6640625" style="147" hidden="1" customWidth="1"/>
    <col min="9" max="9" width="12.6640625" style="147" hidden="1" customWidth="1"/>
    <col min="10" max="10" width="10.6640625" style="147" hidden="1" customWidth="1"/>
    <col min="11" max="11" width="14.6640625" style="147" hidden="1" customWidth="1"/>
    <col min="12" max="14" width="10.6640625" style="147" hidden="1" customWidth="1"/>
    <col min="15" max="15" width="15.33203125" style="147" hidden="1" customWidth="1"/>
    <col min="16" max="16" width="18.44140625" style="147" customWidth="1"/>
    <col min="17" max="19" width="10.6640625" style="147" hidden="1" customWidth="1"/>
    <col min="20" max="20" width="14.33203125" style="147" hidden="1" customWidth="1"/>
    <col min="21" max="23" width="10.6640625" style="147" hidden="1" customWidth="1"/>
    <col min="24" max="24" width="14.6640625" style="147" hidden="1" customWidth="1"/>
    <col min="25" max="25" width="18.44140625" style="147" customWidth="1"/>
    <col min="26" max="28" width="10.6640625" style="147" hidden="1" customWidth="1"/>
    <col min="29" max="29" width="13.109375" style="147" hidden="1" customWidth="1"/>
    <col min="30" max="32" width="10.6640625" style="147" hidden="1" customWidth="1"/>
    <col min="33" max="33" width="14.6640625" style="147" hidden="1" customWidth="1"/>
    <col min="34" max="35" width="18.44140625" style="147" customWidth="1"/>
    <col min="36" max="36" width="16.6640625" style="161" hidden="1" customWidth="1"/>
    <col min="37" max="37" width="16.33203125" style="147" customWidth="1"/>
    <col min="38" max="38" width="14.33203125" style="147" customWidth="1"/>
    <col min="39" max="39" width="14.6640625" style="147" customWidth="1"/>
    <col min="40" max="40" width="15.44140625" style="147" customWidth="1"/>
    <col min="41" max="42" width="13.109375" style="147" customWidth="1"/>
    <col min="43" max="43" width="15.44140625" style="147" customWidth="1"/>
    <col min="44" max="45" width="18.6640625" style="147" customWidth="1"/>
    <col min="46" max="46" width="19.5546875" style="147" customWidth="1"/>
    <col min="47" max="47" width="23.6640625" style="147" customWidth="1"/>
    <col min="48" max="49" width="16" style="147" bestFit="1" customWidth="1"/>
    <col min="50" max="50" width="14.5546875" style="147" bestFit="1" customWidth="1"/>
    <col min="51" max="51" width="12.44140625" style="147" customWidth="1"/>
    <col min="52" max="52" width="16.33203125" style="147" customWidth="1"/>
    <col min="53" max="53" width="16.6640625" style="147" customWidth="1"/>
    <col min="54" max="16384" width="8.6640625" style="147"/>
  </cols>
  <sheetData>
    <row r="1" spans="2:49" hidden="1">
      <c r="B1" s="147" t="s">
        <v>1229</v>
      </c>
      <c r="AJ1" s="147"/>
    </row>
    <row r="2" spans="2:49" hidden="1">
      <c r="B2" s="147" t="s">
        <v>90</v>
      </c>
      <c r="AJ2" s="147"/>
    </row>
    <row r="3" spans="2:49" ht="5.0999999999999996" hidden="1" customHeight="1">
      <c r="C3" s="148"/>
      <c r="AJ3" s="147"/>
    </row>
    <row r="4" spans="2:49" hidden="1">
      <c r="B4" s="149" t="s">
        <v>1665</v>
      </c>
      <c r="C4" s="149"/>
      <c r="D4" s="150" t="s">
        <v>1666</v>
      </c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</row>
    <row r="5" spans="2:49" hidden="1">
      <c r="B5" s="152" t="s">
        <v>1667</v>
      </c>
      <c r="C5" s="152"/>
      <c r="D5" s="153" t="s">
        <v>1668</v>
      </c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</row>
    <row r="6" spans="2:49" ht="5.0999999999999996" customHeight="1">
      <c r="C6" s="148"/>
      <c r="AJ6" s="147"/>
    </row>
    <row r="7" spans="2:49">
      <c r="B7" s="147" t="s">
        <v>17</v>
      </c>
      <c r="C7" s="155" t="s">
        <v>2133</v>
      </c>
      <c r="D7" s="156" t="s">
        <v>1751</v>
      </c>
      <c r="AJ7" s="147"/>
      <c r="AK7" s="157"/>
    </row>
    <row r="8" spans="2:49">
      <c r="B8" s="147" t="s">
        <v>1669</v>
      </c>
      <c r="C8" s="158" t="s">
        <v>1229</v>
      </c>
      <c r="E8" s="161" t="s">
        <v>1750</v>
      </c>
      <c r="F8" s="230" t="s">
        <v>382</v>
      </c>
      <c r="AJ8" s="147"/>
      <c r="AK8" s="157"/>
    </row>
    <row r="9" spans="2:49">
      <c r="B9" s="147" t="s">
        <v>1670</v>
      </c>
      <c r="C9" s="159" t="s">
        <v>1743</v>
      </c>
      <c r="AJ9" s="147"/>
    </row>
    <row r="10" spans="2:49">
      <c r="B10" s="147" t="s">
        <v>1671</v>
      </c>
      <c r="C10" s="158" t="s">
        <v>1190</v>
      </c>
      <c r="AJ10" s="160"/>
      <c r="AK10" s="157"/>
      <c r="AQ10" s="161"/>
      <c r="AR10" s="162"/>
      <c r="AS10" s="162"/>
    </row>
    <row r="11" spans="2:49">
      <c r="B11" s="147" t="s">
        <v>284</v>
      </c>
      <c r="C11" s="1378">
        <f>E127</f>
        <v>50761</v>
      </c>
      <c r="D11" s="1378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4"/>
      <c r="AK11" s="160"/>
    </row>
    <row r="12" spans="2:49">
      <c r="D12" s="165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6"/>
    </row>
    <row r="13" spans="2:49" ht="31.2" customHeight="1">
      <c r="B13" s="1379" t="s">
        <v>1672</v>
      </c>
      <c r="C13" s="1379" t="s">
        <v>1673</v>
      </c>
      <c r="D13" s="1382" t="s">
        <v>87</v>
      </c>
      <c r="E13" s="1385" t="s">
        <v>1674</v>
      </c>
      <c r="F13" s="1376" t="s">
        <v>1675</v>
      </c>
      <c r="G13" s="1350" t="s">
        <v>1676</v>
      </c>
      <c r="H13" s="1352" t="s">
        <v>25</v>
      </c>
      <c r="I13" s="1353"/>
      <c r="J13" s="1353"/>
      <c r="K13" s="1353"/>
      <c r="L13" s="1353"/>
      <c r="M13" s="1353"/>
      <c r="N13" s="1353"/>
      <c r="O13" s="1353"/>
      <c r="P13" s="1354"/>
      <c r="Q13" s="1355" t="s">
        <v>24</v>
      </c>
      <c r="R13" s="1356"/>
      <c r="S13" s="1356"/>
      <c r="T13" s="1356"/>
      <c r="U13" s="1356"/>
      <c r="V13" s="1356"/>
      <c r="W13" s="1356"/>
      <c r="X13" s="1356"/>
      <c r="Y13" s="1357"/>
      <c r="Z13" s="1390" t="s">
        <v>273</v>
      </c>
      <c r="AA13" s="1391"/>
      <c r="AB13" s="1391"/>
      <c r="AC13" s="1391"/>
      <c r="AD13" s="1391"/>
      <c r="AE13" s="1391"/>
      <c r="AF13" s="1391"/>
      <c r="AG13" s="1391"/>
      <c r="AH13" s="1392"/>
      <c r="AI13" s="1361" t="s">
        <v>2052</v>
      </c>
      <c r="AJ13" s="1361" t="s">
        <v>1677</v>
      </c>
      <c r="AK13" s="1363" t="s">
        <v>1678</v>
      </c>
      <c r="AL13" s="1364"/>
      <c r="AM13" s="1364"/>
      <c r="AN13" s="1364"/>
      <c r="AO13" s="1364"/>
      <c r="AP13" s="1364"/>
      <c r="AQ13" s="1364"/>
      <c r="AR13" s="1365"/>
      <c r="AS13" s="1366" t="s">
        <v>1679</v>
      </c>
      <c r="AT13" s="1368" t="s">
        <v>1680</v>
      </c>
    </row>
    <row r="14" spans="2:49" s="172" customFormat="1">
      <c r="B14" s="1380"/>
      <c r="C14" s="1380"/>
      <c r="D14" s="1383"/>
      <c r="E14" s="1386"/>
      <c r="F14" s="1377"/>
      <c r="G14" s="1351"/>
      <c r="H14" s="1370" t="s">
        <v>1681</v>
      </c>
      <c r="I14" s="1371"/>
      <c r="J14" s="1371"/>
      <c r="K14" s="1372"/>
      <c r="L14" s="1370" t="s">
        <v>1682</v>
      </c>
      <c r="M14" s="1371"/>
      <c r="N14" s="1371"/>
      <c r="O14" s="1372"/>
      <c r="P14" s="169" t="s">
        <v>284</v>
      </c>
      <c r="Q14" s="1373" t="s">
        <v>1681</v>
      </c>
      <c r="R14" s="1374"/>
      <c r="S14" s="1374"/>
      <c r="T14" s="1375"/>
      <c r="U14" s="1373" t="s">
        <v>1682</v>
      </c>
      <c r="V14" s="1374"/>
      <c r="W14" s="1374"/>
      <c r="X14" s="1375"/>
      <c r="Y14" s="169" t="s">
        <v>284</v>
      </c>
      <c r="Z14" s="1358" t="s">
        <v>1681</v>
      </c>
      <c r="AA14" s="1359"/>
      <c r="AB14" s="1359"/>
      <c r="AC14" s="1360"/>
      <c r="AD14" s="1358" t="s">
        <v>1682</v>
      </c>
      <c r="AE14" s="1359"/>
      <c r="AF14" s="1359"/>
      <c r="AG14" s="1360"/>
      <c r="AH14" s="167" t="s">
        <v>284</v>
      </c>
      <c r="AI14" s="1362"/>
      <c r="AJ14" s="1362"/>
      <c r="AK14" s="170" t="s">
        <v>1683</v>
      </c>
      <c r="AL14" s="170" t="s">
        <v>1713</v>
      </c>
      <c r="AM14" s="170" t="s">
        <v>1714</v>
      </c>
      <c r="AN14" s="170" t="s">
        <v>1715</v>
      </c>
      <c r="AO14" s="170" t="s">
        <v>1716</v>
      </c>
      <c r="AP14" s="1388" t="s">
        <v>1688</v>
      </c>
      <c r="AQ14" s="1389"/>
      <c r="AR14" s="171" t="s">
        <v>284</v>
      </c>
      <c r="AS14" s="1367"/>
      <c r="AT14" s="1369"/>
      <c r="AV14" s="147"/>
      <c r="AW14" s="147"/>
    </row>
    <row r="15" spans="2:49" s="172" customFormat="1">
      <c r="B15" s="1381"/>
      <c r="C15" s="1381"/>
      <c r="D15" s="1384"/>
      <c r="E15" s="1387"/>
      <c r="F15" s="1377"/>
      <c r="G15" s="1351"/>
      <c r="H15" s="168" t="s">
        <v>1689</v>
      </c>
      <c r="I15" s="173" t="s">
        <v>1690</v>
      </c>
      <c r="J15" s="173" t="s">
        <v>1691</v>
      </c>
      <c r="K15" s="174" t="s">
        <v>284</v>
      </c>
      <c r="L15" s="173" t="s">
        <v>1689</v>
      </c>
      <c r="M15" s="173" t="s">
        <v>1690</v>
      </c>
      <c r="N15" s="173" t="s">
        <v>1691</v>
      </c>
      <c r="O15" s="174" t="s">
        <v>284</v>
      </c>
      <c r="P15" s="169"/>
      <c r="Q15" s="175" t="s">
        <v>1689</v>
      </c>
      <c r="R15" s="175" t="s">
        <v>1690</v>
      </c>
      <c r="S15" s="175" t="s">
        <v>1691</v>
      </c>
      <c r="T15" s="174" t="s">
        <v>284</v>
      </c>
      <c r="U15" s="175" t="s">
        <v>1689</v>
      </c>
      <c r="V15" s="175" t="s">
        <v>1690</v>
      </c>
      <c r="W15" s="175" t="s">
        <v>1691</v>
      </c>
      <c r="X15" s="174" t="s">
        <v>284</v>
      </c>
      <c r="Y15" s="169"/>
      <c r="Z15" s="176" t="s">
        <v>1689</v>
      </c>
      <c r="AA15" s="176" t="s">
        <v>1690</v>
      </c>
      <c r="AB15" s="176" t="s">
        <v>1692</v>
      </c>
      <c r="AC15" s="177" t="s">
        <v>284</v>
      </c>
      <c r="AD15" s="176" t="s">
        <v>1689</v>
      </c>
      <c r="AE15" s="176" t="s">
        <v>1690</v>
      </c>
      <c r="AF15" s="176" t="s">
        <v>1692</v>
      </c>
      <c r="AG15" s="177" t="s">
        <v>284</v>
      </c>
      <c r="AH15" s="178"/>
      <c r="AI15" s="1362"/>
      <c r="AJ15" s="178" t="s">
        <v>1693</v>
      </c>
      <c r="AK15" s="179">
        <v>0.11</v>
      </c>
      <c r="AL15" s="180">
        <v>0</v>
      </c>
      <c r="AM15" s="180">
        <v>0</v>
      </c>
      <c r="AN15" s="180">
        <v>0</v>
      </c>
      <c r="AO15" s="180">
        <v>0</v>
      </c>
      <c r="AP15" s="180" t="s">
        <v>1693</v>
      </c>
      <c r="AQ15" s="180" t="s">
        <v>1717</v>
      </c>
      <c r="AR15" s="181">
        <f>SUBTOTAL(9,AL15:AQ15)</f>
        <v>0</v>
      </c>
      <c r="AS15" s="182">
        <f>AK15+AR15</f>
        <v>0.11</v>
      </c>
      <c r="AT15" s="1369"/>
      <c r="AV15" s="147"/>
      <c r="AW15" s="147"/>
    </row>
    <row r="16" spans="2:49" s="172" customFormat="1" ht="11.4" customHeight="1">
      <c r="B16" s="183"/>
      <c r="C16" s="183"/>
      <c r="D16" s="184"/>
      <c r="E16" s="185"/>
      <c r="F16" s="186"/>
      <c r="G16" s="187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9"/>
      <c r="AJ16" s="188"/>
      <c r="AK16" s="190"/>
      <c r="AL16" s="191"/>
      <c r="AM16" s="191"/>
      <c r="AN16" s="191"/>
      <c r="AO16" s="191"/>
      <c r="AP16" s="191"/>
      <c r="AQ16" s="191"/>
      <c r="AR16" s="192"/>
      <c r="AS16" s="193"/>
      <c r="AT16" s="188"/>
      <c r="AV16" s="147"/>
    </row>
    <row r="17" spans="2:49" s="131" customFormat="1" ht="18" hidden="1" customHeight="1">
      <c r="B17" s="194" t="s">
        <v>1143</v>
      </c>
      <c r="C17" s="194" t="s">
        <v>1744</v>
      </c>
      <c r="D17" s="195" t="s">
        <v>653</v>
      </c>
      <c r="E17" s="196">
        <v>26672</v>
      </c>
      <c r="F17" s="196">
        <v>3022.7</v>
      </c>
      <c r="G17" s="196">
        <v>5470</v>
      </c>
      <c r="H17" s="197">
        <v>2</v>
      </c>
      <c r="I17" s="196">
        <v>16</v>
      </c>
      <c r="J17" s="197">
        <v>26</v>
      </c>
      <c r="K17" s="198">
        <f t="shared" ref="K17:K46" si="0">H17*I17*J17</f>
        <v>832</v>
      </c>
      <c r="L17" s="197">
        <v>4</v>
      </c>
      <c r="M17" s="196">
        <v>16</v>
      </c>
      <c r="N17" s="197">
        <v>16</v>
      </c>
      <c r="O17" s="198">
        <f t="shared" ref="O17:O46" si="1">L17*M17*N17</f>
        <v>1024</v>
      </c>
      <c r="P17" s="199">
        <f t="shared" ref="P17:P46" si="2">K17+O17</f>
        <v>1856</v>
      </c>
      <c r="Q17" s="197">
        <v>2</v>
      </c>
      <c r="R17" s="196">
        <v>40.5</v>
      </c>
      <c r="S17" s="197">
        <v>26</v>
      </c>
      <c r="T17" s="198">
        <f t="shared" ref="T17:T46" si="3">Q17*R17*S17</f>
        <v>2106</v>
      </c>
      <c r="U17" s="197">
        <v>4</v>
      </c>
      <c r="V17" s="196">
        <v>40.5</v>
      </c>
      <c r="W17" s="207">
        <v>16</v>
      </c>
      <c r="X17" s="198">
        <f t="shared" ref="X17:X46" si="4">U17*V17*W17</f>
        <v>2592</v>
      </c>
      <c r="Y17" s="200">
        <f t="shared" ref="Y17:Y46" si="5">T17+X17</f>
        <v>4698</v>
      </c>
      <c r="Z17" s="197">
        <v>2</v>
      </c>
      <c r="AA17" s="196">
        <v>80</v>
      </c>
      <c r="AB17" s="197">
        <v>1</v>
      </c>
      <c r="AC17" s="198">
        <f t="shared" ref="AC17:AC46" si="6">Z17*AA17*AB17</f>
        <v>160</v>
      </c>
      <c r="AD17" s="197">
        <v>4</v>
      </c>
      <c r="AE17" s="196">
        <v>90</v>
      </c>
      <c r="AF17" s="197">
        <v>1</v>
      </c>
      <c r="AG17" s="198">
        <f t="shared" ref="AG17:AG46" si="7">AD17*AE17*AF17</f>
        <v>360</v>
      </c>
      <c r="AH17" s="200">
        <f t="shared" ref="AH17:AH46" si="8">AC17+AG17</f>
        <v>520</v>
      </c>
      <c r="AI17" s="199">
        <f>F17+G17+P17+Y17+AH17</f>
        <v>15566.7</v>
      </c>
      <c r="AJ17" s="201">
        <f>AI17/E17</f>
        <v>0.583634523095381</v>
      </c>
      <c r="AK17" s="196">
        <f>(E17-AI17)*$AK$15</f>
        <v>1221.5829999999999</v>
      </c>
      <c r="AL17" s="196">
        <v>0</v>
      </c>
      <c r="AM17" s="196">
        <v>0</v>
      </c>
      <c r="AN17" s="196">
        <v>0</v>
      </c>
      <c r="AO17" s="196">
        <v>0</v>
      </c>
      <c r="AP17" s="247">
        <v>0</v>
      </c>
      <c r="AQ17" s="208">
        <f>AP17*E17</f>
        <v>0</v>
      </c>
      <c r="AR17" s="202">
        <f t="shared" ref="AR17:AR126" si="9">AL17+AM17+AN17+AO17+AQ17</f>
        <v>0</v>
      </c>
      <c r="AS17" s="202">
        <f t="shared" ref="AS17:AS46" si="10">AK17+AR17</f>
        <v>1221.5829999999999</v>
      </c>
      <c r="AT17" s="203">
        <f t="shared" ref="AT17:AT46" si="11">E17-AS17</f>
        <v>25450.417000000001</v>
      </c>
      <c r="AV17" s="204"/>
      <c r="AW17" s="205"/>
    </row>
    <row r="18" spans="2:49" s="131" customFormat="1" ht="18" hidden="1" customHeight="1">
      <c r="B18" s="194" t="s">
        <v>1143</v>
      </c>
      <c r="C18" s="194" t="s">
        <v>1745</v>
      </c>
      <c r="D18" s="195" t="s">
        <v>1746</v>
      </c>
      <c r="E18" s="196">
        <v>10999</v>
      </c>
      <c r="F18" s="196">
        <v>1531.4</v>
      </c>
      <c r="G18" s="196">
        <v>2040</v>
      </c>
      <c r="H18" s="197">
        <v>2</v>
      </c>
      <c r="I18" s="196">
        <v>16</v>
      </c>
      <c r="J18" s="197">
        <v>26</v>
      </c>
      <c r="K18" s="198">
        <f t="shared" si="0"/>
        <v>832</v>
      </c>
      <c r="L18" s="197">
        <v>0</v>
      </c>
      <c r="M18" s="196">
        <v>0</v>
      </c>
      <c r="N18" s="197">
        <v>0</v>
      </c>
      <c r="O18" s="198">
        <f t="shared" si="1"/>
        <v>0</v>
      </c>
      <c r="P18" s="199">
        <f t="shared" si="2"/>
        <v>832</v>
      </c>
      <c r="Q18" s="197">
        <v>2</v>
      </c>
      <c r="R18" s="196">
        <v>40.5</v>
      </c>
      <c r="S18" s="197">
        <v>26</v>
      </c>
      <c r="T18" s="198">
        <f t="shared" si="3"/>
        <v>2106</v>
      </c>
      <c r="U18" s="197">
        <v>0</v>
      </c>
      <c r="V18" s="196">
        <v>0</v>
      </c>
      <c r="W18" s="207">
        <v>0</v>
      </c>
      <c r="X18" s="198">
        <f t="shared" si="4"/>
        <v>0</v>
      </c>
      <c r="Y18" s="200">
        <f t="shared" si="5"/>
        <v>2106</v>
      </c>
      <c r="Z18" s="197">
        <v>2</v>
      </c>
      <c r="AA18" s="196">
        <v>80</v>
      </c>
      <c r="AB18" s="197">
        <v>1</v>
      </c>
      <c r="AC18" s="198">
        <f t="shared" si="6"/>
        <v>160</v>
      </c>
      <c r="AD18" s="197">
        <v>0</v>
      </c>
      <c r="AE18" s="196">
        <v>0</v>
      </c>
      <c r="AF18" s="197">
        <v>0</v>
      </c>
      <c r="AG18" s="198">
        <f t="shared" si="7"/>
        <v>0</v>
      </c>
      <c r="AH18" s="200">
        <f t="shared" si="8"/>
        <v>160</v>
      </c>
      <c r="AI18" s="199">
        <f t="shared" ref="AI18:AI21" si="12">F18+G18+P18+Y18+AH18</f>
        <v>6669.4</v>
      </c>
      <c r="AJ18" s="201">
        <f t="shared" ref="AJ18:AJ21" si="13">AI18/E18</f>
        <v>0.6063642149286298</v>
      </c>
      <c r="AK18" s="196">
        <f>(E18-AI18)*$AK$15</f>
        <v>476.25600000000003</v>
      </c>
      <c r="AL18" s="196">
        <v>0</v>
      </c>
      <c r="AM18" s="196">
        <v>0</v>
      </c>
      <c r="AN18" s="196">
        <v>0</v>
      </c>
      <c r="AO18" s="196">
        <v>0</v>
      </c>
      <c r="AP18" s="247">
        <v>0.05</v>
      </c>
      <c r="AQ18" s="208">
        <f>AP18*E18</f>
        <v>549.95000000000005</v>
      </c>
      <c r="AR18" s="202">
        <f t="shared" si="9"/>
        <v>549.95000000000005</v>
      </c>
      <c r="AS18" s="202">
        <f t="shared" si="10"/>
        <v>1026.2060000000001</v>
      </c>
      <c r="AT18" s="203">
        <f t="shared" si="11"/>
        <v>9972.7939999999999</v>
      </c>
      <c r="AV18" s="204"/>
      <c r="AW18" s="205"/>
    </row>
    <row r="19" spans="2:49" s="131" customFormat="1" ht="18" hidden="1" customHeight="1">
      <c r="B19" s="194" t="s">
        <v>1143</v>
      </c>
      <c r="C19" s="194" t="s">
        <v>1747</v>
      </c>
      <c r="D19" s="195" t="s">
        <v>1748</v>
      </c>
      <c r="E19" s="196">
        <v>4920</v>
      </c>
      <c r="F19" s="196">
        <v>0</v>
      </c>
      <c r="G19" s="196">
        <v>0</v>
      </c>
      <c r="H19" s="197">
        <v>1</v>
      </c>
      <c r="I19" s="196">
        <v>16</v>
      </c>
      <c r="J19" s="197">
        <v>26</v>
      </c>
      <c r="K19" s="198">
        <f t="shared" si="0"/>
        <v>416</v>
      </c>
      <c r="L19" s="197">
        <v>0</v>
      </c>
      <c r="M19" s="196">
        <v>0</v>
      </c>
      <c r="N19" s="197">
        <v>0</v>
      </c>
      <c r="O19" s="198">
        <f t="shared" si="1"/>
        <v>0</v>
      </c>
      <c r="P19" s="199">
        <f t="shared" si="2"/>
        <v>416</v>
      </c>
      <c r="Q19" s="197">
        <v>1</v>
      </c>
      <c r="R19" s="196">
        <v>40.5</v>
      </c>
      <c r="S19" s="197">
        <v>26</v>
      </c>
      <c r="T19" s="198">
        <f t="shared" si="3"/>
        <v>1053</v>
      </c>
      <c r="U19" s="197">
        <v>0</v>
      </c>
      <c r="V19" s="196">
        <v>0</v>
      </c>
      <c r="W19" s="207">
        <v>0</v>
      </c>
      <c r="X19" s="198">
        <f t="shared" si="4"/>
        <v>0</v>
      </c>
      <c r="Y19" s="200">
        <f t="shared" si="5"/>
        <v>1053</v>
      </c>
      <c r="Z19" s="197">
        <v>0</v>
      </c>
      <c r="AA19" s="196">
        <v>0</v>
      </c>
      <c r="AB19" s="197">
        <v>0</v>
      </c>
      <c r="AC19" s="198">
        <f t="shared" si="6"/>
        <v>0</v>
      </c>
      <c r="AD19" s="197">
        <v>0</v>
      </c>
      <c r="AE19" s="196">
        <v>0</v>
      </c>
      <c r="AF19" s="197">
        <v>0</v>
      </c>
      <c r="AG19" s="198">
        <f t="shared" si="7"/>
        <v>0</v>
      </c>
      <c r="AH19" s="200">
        <f t="shared" si="8"/>
        <v>0</v>
      </c>
      <c r="AI19" s="199">
        <f t="shared" si="12"/>
        <v>1469</v>
      </c>
      <c r="AJ19" s="201">
        <f t="shared" si="13"/>
        <v>0.29857723577235773</v>
      </c>
      <c r="AK19" s="196">
        <v>379.33</v>
      </c>
      <c r="AL19" s="196">
        <v>0</v>
      </c>
      <c r="AM19" s="196">
        <v>0</v>
      </c>
      <c r="AN19" s="196">
        <v>0</v>
      </c>
      <c r="AO19" s="196">
        <v>0</v>
      </c>
      <c r="AP19" s="247">
        <v>0.05</v>
      </c>
      <c r="AQ19" s="208">
        <f>AP19*E19</f>
        <v>246</v>
      </c>
      <c r="AR19" s="202">
        <f t="shared" si="9"/>
        <v>246</v>
      </c>
      <c r="AS19" s="202">
        <f t="shared" si="10"/>
        <v>625.32999999999993</v>
      </c>
      <c r="AT19" s="203">
        <f t="shared" si="11"/>
        <v>4294.67</v>
      </c>
      <c r="AV19" s="204"/>
      <c r="AW19" s="205"/>
    </row>
    <row r="20" spans="2:49" s="131" customFormat="1" ht="18" hidden="1" customHeight="1">
      <c r="B20" s="194" t="s">
        <v>1152</v>
      </c>
      <c r="C20" s="194">
        <v>67</v>
      </c>
      <c r="D20" s="195" t="s">
        <v>1748</v>
      </c>
      <c r="E20" s="196">
        <v>5392</v>
      </c>
      <c r="F20" s="196">
        <v>0</v>
      </c>
      <c r="G20" s="196">
        <v>0</v>
      </c>
      <c r="H20" s="197">
        <v>1</v>
      </c>
      <c r="I20" s="196">
        <v>19.53</v>
      </c>
      <c r="J20" s="197">
        <v>26</v>
      </c>
      <c r="K20" s="198">
        <f t="shared" si="0"/>
        <v>507.78000000000003</v>
      </c>
      <c r="L20" s="197">
        <v>0</v>
      </c>
      <c r="M20" s="196">
        <v>0</v>
      </c>
      <c r="N20" s="197">
        <v>0</v>
      </c>
      <c r="O20" s="198">
        <f t="shared" si="1"/>
        <v>0</v>
      </c>
      <c r="P20" s="199">
        <f t="shared" si="2"/>
        <v>507.78000000000003</v>
      </c>
      <c r="Q20" s="197">
        <v>1</v>
      </c>
      <c r="R20" s="196">
        <v>42.5</v>
      </c>
      <c r="S20" s="197">
        <v>26</v>
      </c>
      <c r="T20" s="198">
        <f t="shared" si="3"/>
        <v>1105</v>
      </c>
      <c r="U20" s="197">
        <v>0</v>
      </c>
      <c r="V20" s="196">
        <v>0</v>
      </c>
      <c r="W20" s="207">
        <v>0</v>
      </c>
      <c r="X20" s="198">
        <f t="shared" si="4"/>
        <v>0</v>
      </c>
      <c r="Y20" s="200">
        <f t="shared" si="5"/>
        <v>1105</v>
      </c>
      <c r="Z20" s="197">
        <v>0</v>
      </c>
      <c r="AA20" s="196">
        <v>0</v>
      </c>
      <c r="AB20" s="197">
        <v>0</v>
      </c>
      <c r="AC20" s="198">
        <f t="shared" si="6"/>
        <v>0</v>
      </c>
      <c r="AD20" s="197">
        <v>0</v>
      </c>
      <c r="AE20" s="196">
        <v>0</v>
      </c>
      <c r="AF20" s="197">
        <v>0</v>
      </c>
      <c r="AG20" s="198">
        <f t="shared" si="7"/>
        <v>0</v>
      </c>
      <c r="AH20" s="200">
        <f t="shared" si="8"/>
        <v>0</v>
      </c>
      <c r="AI20" s="199">
        <f t="shared" si="12"/>
        <v>1612.78</v>
      </c>
      <c r="AJ20" s="201">
        <f t="shared" si="13"/>
        <v>0.29910608308605341</v>
      </c>
      <c r="AK20" s="196">
        <f t="shared" ref="AK20" si="14">(E20-AI20)*$AK$15</f>
        <v>415.71420000000001</v>
      </c>
      <c r="AL20" s="196">
        <v>0</v>
      </c>
      <c r="AM20" s="196">
        <v>0</v>
      </c>
      <c r="AN20" s="196">
        <v>0</v>
      </c>
      <c r="AO20" s="196">
        <v>0</v>
      </c>
      <c r="AP20" s="247">
        <v>3.1700667655786302E-2</v>
      </c>
      <c r="AQ20" s="196">
        <f>AP20*E20</f>
        <v>170.92999999999975</v>
      </c>
      <c r="AR20" s="202">
        <f t="shared" si="9"/>
        <v>170.92999999999975</v>
      </c>
      <c r="AS20" s="202">
        <f t="shared" si="10"/>
        <v>586.64419999999973</v>
      </c>
      <c r="AT20" s="203">
        <f t="shared" si="11"/>
        <v>4805.3558000000003</v>
      </c>
      <c r="AV20" s="206"/>
      <c r="AW20" s="204"/>
    </row>
    <row r="21" spans="2:49" s="131" customFormat="1" ht="18" hidden="1" customHeight="1">
      <c r="B21" s="194" t="s">
        <v>1152</v>
      </c>
      <c r="C21" s="194">
        <v>69</v>
      </c>
      <c r="D21" s="195" t="s">
        <v>1746</v>
      </c>
      <c r="E21" s="196">
        <v>11906</v>
      </c>
      <c r="F21" s="196">
        <v>1977.4</v>
      </c>
      <c r="G21" s="196">
        <v>2040</v>
      </c>
      <c r="H21" s="197">
        <v>2</v>
      </c>
      <c r="I21" s="196">
        <v>16</v>
      </c>
      <c r="J21" s="197">
        <v>26</v>
      </c>
      <c r="K21" s="198">
        <f t="shared" si="0"/>
        <v>832</v>
      </c>
      <c r="L21" s="197">
        <v>0</v>
      </c>
      <c r="M21" s="196">
        <v>0</v>
      </c>
      <c r="N21" s="197">
        <v>0</v>
      </c>
      <c r="O21" s="198">
        <f t="shared" si="1"/>
        <v>0</v>
      </c>
      <c r="P21" s="199">
        <f t="shared" si="2"/>
        <v>832</v>
      </c>
      <c r="Q21" s="197">
        <v>2</v>
      </c>
      <c r="R21" s="196">
        <v>42.5</v>
      </c>
      <c r="S21" s="197">
        <v>26</v>
      </c>
      <c r="T21" s="198">
        <f t="shared" si="3"/>
        <v>2210</v>
      </c>
      <c r="U21" s="197">
        <v>0</v>
      </c>
      <c r="V21" s="196">
        <v>0</v>
      </c>
      <c r="W21" s="207">
        <v>0</v>
      </c>
      <c r="X21" s="198">
        <f t="shared" si="4"/>
        <v>0</v>
      </c>
      <c r="Y21" s="200">
        <f t="shared" si="5"/>
        <v>2210</v>
      </c>
      <c r="Z21" s="197">
        <v>2</v>
      </c>
      <c r="AA21" s="196">
        <v>80</v>
      </c>
      <c r="AB21" s="197">
        <v>1</v>
      </c>
      <c r="AC21" s="198">
        <f t="shared" si="6"/>
        <v>160</v>
      </c>
      <c r="AD21" s="197">
        <v>0</v>
      </c>
      <c r="AE21" s="196">
        <v>0</v>
      </c>
      <c r="AF21" s="197">
        <v>0</v>
      </c>
      <c r="AG21" s="198">
        <f t="shared" si="7"/>
        <v>0</v>
      </c>
      <c r="AH21" s="200">
        <f t="shared" si="8"/>
        <v>160</v>
      </c>
      <c r="AI21" s="199">
        <f t="shared" si="12"/>
        <v>7219.4</v>
      </c>
      <c r="AJ21" s="201">
        <f t="shared" si="13"/>
        <v>0.60636653788006045</v>
      </c>
      <c r="AK21" s="196">
        <f>(E21-AI21)*$AK$15</f>
        <v>515.52600000000007</v>
      </c>
      <c r="AL21" s="196">
        <v>0</v>
      </c>
      <c r="AM21" s="196">
        <v>0</v>
      </c>
      <c r="AN21" s="196">
        <v>0</v>
      </c>
      <c r="AO21" s="196">
        <v>0</v>
      </c>
      <c r="AP21" s="247">
        <v>3.1700667655786302E-2</v>
      </c>
      <c r="AQ21" s="196">
        <f t="shared" ref="AQ21:AQ43" si="15">AP21*E21</f>
        <v>377.42814910979172</v>
      </c>
      <c r="AR21" s="202">
        <f t="shared" si="9"/>
        <v>377.42814910979172</v>
      </c>
      <c r="AS21" s="202">
        <f t="shared" si="10"/>
        <v>892.95414910979184</v>
      </c>
      <c r="AT21" s="203">
        <f t="shared" si="11"/>
        <v>11013.045850890208</v>
      </c>
      <c r="AV21" s="206"/>
      <c r="AW21" s="204"/>
    </row>
    <row r="22" spans="2:49" s="131" customFormat="1" ht="18" hidden="1" customHeight="1">
      <c r="B22" s="194" t="s">
        <v>1152</v>
      </c>
      <c r="C22" s="194">
        <v>71</v>
      </c>
      <c r="D22" s="195" t="s">
        <v>653</v>
      </c>
      <c r="E22" s="196">
        <v>28822</v>
      </c>
      <c r="F22" s="196">
        <v>2042.9</v>
      </c>
      <c r="G22" s="196">
        <v>2915</v>
      </c>
      <c r="H22" s="197">
        <v>2</v>
      </c>
      <c r="I22" s="196">
        <v>24</v>
      </c>
      <c r="J22" s="197">
        <v>26</v>
      </c>
      <c r="K22" s="198">
        <f t="shared" si="0"/>
        <v>1248</v>
      </c>
      <c r="L22" s="197">
        <v>4</v>
      </c>
      <c r="M22" s="196">
        <v>16</v>
      </c>
      <c r="N22" s="197">
        <v>16</v>
      </c>
      <c r="O22" s="198">
        <f t="shared" si="1"/>
        <v>1024</v>
      </c>
      <c r="P22" s="199">
        <f t="shared" si="2"/>
        <v>2272</v>
      </c>
      <c r="Q22" s="197">
        <v>2</v>
      </c>
      <c r="R22" s="196">
        <v>42.5</v>
      </c>
      <c r="S22" s="197">
        <v>26</v>
      </c>
      <c r="T22" s="198">
        <f t="shared" si="3"/>
        <v>2210</v>
      </c>
      <c r="U22" s="197">
        <v>4</v>
      </c>
      <c r="V22" s="196">
        <v>42.5</v>
      </c>
      <c r="W22" s="207">
        <v>16</v>
      </c>
      <c r="X22" s="198">
        <f t="shared" si="4"/>
        <v>2720</v>
      </c>
      <c r="Y22" s="200">
        <f t="shared" si="5"/>
        <v>4930</v>
      </c>
      <c r="Z22" s="197">
        <v>2</v>
      </c>
      <c r="AA22" s="196">
        <v>80</v>
      </c>
      <c r="AB22" s="197">
        <v>1</v>
      </c>
      <c r="AC22" s="198">
        <f t="shared" si="6"/>
        <v>160</v>
      </c>
      <c r="AD22" s="197">
        <v>4</v>
      </c>
      <c r="AE22" s="196">
        <v>90</v>
      </c>
      <c r="AF22" s="197">
        <v>1</v>
      </c>
      <c r="AG22" s="198">
        <f t="shared" si="7"/>
        <v>360</v>
      </c>
      <c r="AH22" s="200">
        <f t="shared" si="8"/>
        <v>520</v>
      </c>
      <c r="AI22" s="199">
        <f>F22+G22+P22+Y22+AH22</f>
        <v>12679.9</v>
      </c>
      <c r="AJ22" s="201">
        <f>AI22/E22</f>
        <v>0.43993824162098394</v>
      </c>
      <c r="AK22" s="196">
        <f>(E22-AI22)*$AK$15</f>
        <v>1775.6310000000001</v>
      </c>
      <c r="AL22" s="196">
        <v>0</v>
      </c>
      <c r="AM22" s="196">
        <v>0</v>
      </c>
      <c r="AN22" s="196">
        <v>0</v>
      </c>
      <c r="AO22" s="196">
        <v>0</v>
      </c>
      <c r="AP22" s="247">
        <v>3.1700667655786302E-2</v>
      </c>
      <c r="AQ22" s="196">
        <f t="shared" si="15"/>
        <v>913.67664317507285</v>
      </c>
      <c r="AR22" s="202">
        <f t="shared" si="9"/>
        <v>913.67664317507285</v>
      </c>
      <c r="AS22" s="202">
        <f t="shared" si="10"/>
        <v>2689.3076431750728</v>
      </c>
      <c r="AT22" s="203">
        <f t="shared" si="11"/>
        <v>26132.692356824926</v>
      </c>
      <c r="AV22" s="206"/>
      <c r="AW22" s="204"/>
    </row>
    <row r="23" spans="2:49" s="131" customFormat="1" ht="18" hidden="1" customHeight="1">
      <c r="B23" s="194" t="s">
        <v>1152</v>
      </c>
      <c r="C23" s="194">
        <v>72</v>
      </c>
      <c r="D23" s="195" t="s">
        <v>653</v>
      </c>
      <c r="E23" s="196">
        <v>2150</v>
      </c>
      <c r="F23" s="196">
        <v>945.87</v>
      </c>
      <c r="G23" s="196">
        <v>0</v>
      </c>
      <c r="H23" s="197">
        <v>0</v>
      </c>
      <c r="I23" s="196">
        <v>0</v>
      </c>
      <c r="J23" s="197">
        <v>0</v>
      </c>
      <c r="K23" s="198">
        <f t="shared" si="0"/>
        <v>0</v>
      </c>
      <c r="L23" s="197">
        <v>0</v>
      </c>
      <c r="M23" s="196">
        <v>0</v>
      </c>
      <c r="N23" s="197">
        <v>0</v>
      </c>
      <c r="O23" s="198">
        <f t="shared" si="1"/>
        <v>0</v>
      </c>
      <c r="P23" s="199">
        <f t="shared" si="2"/>
        <v>0</v>
      </c>
      <c r="Q23" s="197">
        <v>0</v>
      </c>
      <c r="R23" s="196">
        <v>0</v>
      </c>
      <c r="S23" s="197">
        <v>0</v>
      </c>
      <c r="T23" s="198">
        <f t="shared" si="3"/>
        <v>0</v>
      </c>
      <c r="U23" s="197">
        <v>0</v>
      </c>
      <c r="V23" s="196">
        <v>0</v>
      </c>
      <c r="W23" s="207">
        <v>0</v>
      </c>
      <c r="X23" s="198">
        <f t="shared" si="4"/>
        <v>0</v>
      </c>
      <c r="Y23" s="200">
        <f t="shared" si="5"/>
        <v>0</v>
      </c>
      <c r="Z23" s="197">
        <v>0</v>
      </c>
      <c r="AA23" s="196">
        <v>0</v>
      </c>
      <c r="AB23" s="197">
        <v>0</v>
      </c>
      <c r="AC23" s="198">
        <f t="shared" si="6"/>
        <v>0</v>
      </c>
      <c r="AD23" s="197">
        <v>0</v>
      </c>
      <c r="AE23" s="196">
        <v>0</v>
      </c>
      <c r="AF23" s="197">
        <v>0</v>
      </c>
      <c r="AG23" s="198">
        <f t="shared" si="7"/>
        <v>0</v>
      </c>
      <c r="AH23" s="200">
        <f t="shared" si="8"/>
        <v>0</v>
      </c>
      <c r="AI23" s="199">
        <f>F23+G23+P23+Y23+AH23</f>
        <v>945.87</v>
      </c>
      <c r="AJ23" s="201">
        <f>AI23/E23</f>
        <v>0.43993953488372095</v>
      </c>
      <c r="AK23" s="196">
        <f>(E23-AI23)*$AK$15</f>
        <v>132.45430000000002</v>
      </c>
      <c r="AL23" s="196">
        <v>0</v>
      </c>
      <c r="AM23" s="196">
        <v>0</v>
      </c>
      <c r="AN23" s="196">
        <v>0</v>
      </c>
      <c r="AO23" s="196">
        <v>0</v>
      </c>
      <c r="AP23" s="247">
        <v>3.1700667655786302E-2</v>
      </c>
      <c r="AQ23" s="196">
        <f t="shared" si="15"/>
        <v>68.156435459940553</v>
      </c>
      <c r="AR23" s="202">
        <f t="shared" si="9"/>
        <v>68.156435459940553</v>
      </c>
      <c r="AS23" s="202">
        <f t="shared" si="10"/>
        <v>200.61073545994057</v>
      </c>
      <c r="AT23" s="203">
        <f t="shared" si="11"/>
        <v>1949.3892645400595</v>
      </c>
      <c r="AV23" s="206"/>
      <c r="AW23" s="204"/>
    </row>
    <row r="24" spans="2:49" s="131" customFormat="1" ht="18" hidden="1" customHeight="1">
      <c r="B24" s="194" t="s">
        <v>1152</v>
      </c>
      <c r="C24" s="194">
        <v>73</v>
      </c>
      <c r="D24" s="195" t="s">
        <v>1746</v>
      </c>
      <c r="E24" s="196">
        <v>907</v>
      </c>
      <c r="F24" s="196">
        <v>549.97</v>
      </c>
      <c r="G24" s="196">
        <v>0</v>
      </c>
      <c r="H24" s="197">
        <v>0</v>
      </c>
      <c r="I24" s="196">
        <v>0</v>
      </c>
      <c r="J24" s="197">
        <v>0</v>
      </c>
      <c r="K24" s="198">
        <f t="shared" si="0"/>
        <v>0</v>
      </c>
      <c r="L24" s="197">
        <v>0</v>
      </c>
      <c r="M24" s="196">
        <v>0</v>
      </c>
      <c r="N24" s="197">
        <v>0</v>
      </c>
      <c r="O24" s="198">
        <f t="shared" si="1"/>
        <v>0</v>
      </c>
      <c r="P24" s="199">
        <f t="shared" si="2"/>
        <v>0</v>
      </c>
      <c r="Q24" s="197">
        <v>0</v>
      </c>
      <c r="R24" s="196">
        <v>0</v>
      </c>
      <c r="S24" s="197">
        <v>0</v>
      </c>
      <c r="T24" s="198">
        <f t="shared" si="3"/>
        <v>0</v>
      </c>
      <c r="U24" s="197">
        <v>0</v>
      </c>
      <c r="V24" s="196">
        <v>0</v>
      </c>
      <c r="W24" s="207">
        <v>0</v>
      </c>
      <c r="X24" s="198">
        <f t="shared" si="4"/>
        <v>0</v>
      </c>
      <c r="Y24" s="200">
        <f t="shared" si="5"/>
        <v>0</v>
      </c>
      <c r="Z24" s="197">
        <v>0</v>
      </c>
      <c r="AA24" s="196">
        <v>0</v>
      </c>
      <c r="AB24" s="197">
        <v>0</v>
      </c>
      <c r="AC24" s="198">
        <f t="shared" si="6"/>
        <v>0</v>
      </c>
      <c r="AD24" s="197">
        <v>0</v>
      </c>
      <c r="AE24" s="196">
        <v>0</v>
      </c>
      <c r="AF24" s="197">
        <v>0</v>
      </c>
      <c r="AG24" s="198">
        <f t="shared" si="7"/>
        <v>0</v>
      </c>
      <c r="AH24" s="200">
        <f t="shared" si="8"/>
        <v>0</v>
      </c>
      <c r="AI24" s="199">
        <f t="shared" ref="AI24:AI27" si="16">F24+G24+P24+Y24+AH24</f>
        <v>549.97</v>
      </c>
      <c r="AJ24" s="201">
        <f t="shared" ref="AJ24:AJ27" si="17">AI24/E24</f>
        <v>0.60636163175303204</v>
      </c>
      <c r="AK24" s="196">
        <f>(E24-AI24)*$AK$15</f>
        <v>39.273299999999999</v>
      </c>
      <c r="AL24" s="196">
        <v>0</v>
      </c>
      <c r="AM24" s="196">
        <v>0</v>
      </c>
      <c r="AN24" s="196">
        <v>0</v>
      </c>
      <c r="AO24" s="196">
        <v>0</v>
      </c>
      <c r="AP24" s="247">
        <v>3.1700667655786302E-2</v>
      </c>
      <c r="AQ24" s="196">
        <f t="shared" si="15"/>
        <v>28.752505563798177</v>
      </c>
      <c r="AR24" s="202">
        <f t="shared" si="9"/>
        <v>28.752505563798177</v>
      </c>
      <c r="AS24" s="202">
        <f t="shared" si="10"/>
        <v>68.025805563798173</v>
      </c>
      <c r="AT24" s="203">
        <f t="shared" si="11"/>
        <v>838.97419443620186</v>
      </c>
      <c r="AV24" s="206"/>
    </row>
    <row r="25" spans="2:49" s="131" customFormat="1" ht="18" hidden="1" customHeight="1">
      <c r="B25" s="194" t="s">
        <v>1152</v>
      </c>
      <c r="C25" s="194">
        <v>74</v>
      </c>
      <c r="D25" s="195" t="s">
        <v>1748</v>
      </c>
      <c r="E25" s="196">
        <v>472</v>
      </c>
      <c r="F25" s="196">
        <v>141.18</v>
      </c>
      <c r="G25" s="196">
        <v>0</v>
      </c>
      <c r="H25" s="197">
        <v>0</v>
      </c>
      <c r="I25" s="196">
        <v>0</v>
      </c>
      <c r="J25" s="197">
        <v>0</v>
      </c>
      <c r="K25" s="198">
        <f t="shared" si="0"/>
        <v>0</v>
      </c>
      <c r="L25" s="197">
        <v>0</v>
      </c>
      <c r="M25" s="196">
        <v>0</v>
      </c>
      <c r="N25" s="197">
        <v>0</v>
      </c>
      <c r="O25" s="198">
        <f t="shared" si="1"/>
        <v>0</v>
      </c>
      <c r="P25" s="199">
        <f t="shared" si="2"/>
        <v>0</v>
      </c>
      <c r="Q25" s="197">
        <v>0</v>
      </c>
      <c r="R25" s="196">
        <v>0</v>
      </c>
      <c r="S25" s="197">
        <v>0</v>
      </c>
      <c r="T25" s="198">
        <f t="shared" si="3"/>
        <v>0</v>
      </c>
      <c r="U25" s="197">
        <v>0</v>
      </c>
      <c r="V25" s="196">
        <v>0</v>
      </c>
      <c r="W25" s="207">
        <v>0</v>
      </c>
      <c r="X25" s="198">
        <f t="shared" si="4"/>
        <v>0</v>
      </c>
      <c r="Y25" s="200">
        <f t="shared" si="5"/>
        <v>0</v>
      </c>
      <c r="Z25" s="197">
        <v>0</v>
      </c>
      <c r="AA25" s="196">
        <v>0</v>
      </c>
      <c r="AB25" s="197">
        <v>0</v>
      </c>
      <c r="AC25" s="198">
        <f t="shared" si="6"/>
        <v>0</v>
      </c>
      <c r="AD25" s="197">
        <v>0</v>
      </c>
      <c r="AE25" s="196">
        <v>0</v>
      </c>
      <c r="AF25" s="197">
        <v>0</v>
      </c>
      <c r="AG25" s="198">
        <f t="shared" si="7"/>
        <v>0</v>
      </c>
      <c r="AH25" s="200">
        <f t="shared" si="8"/>
        <v>0</v>
      </c>
      <c r="AI25" s="199">
        <f t="shared" si="16"/>
        <v>141.18</v>
      </c>
      <c r="AJ25" s="201">
        <f t="shared" si="17"/>
        <v>0.29911016949152541</v>
      </c>
      <c r="AK25" s="196">
        <f t="shared" ref="AK25:AK26" si="18">(E25-AI25)*$AK$15</f>
        <v>36.3902</v>
      </c>
      <c r="AL25" s="196">
        <v>0</v>
      </c>
      <c r="AM25" s="196">
        <v>0</v>
      </c>
      <c r="AN25" s="196">
        <v>0</v>
      </c>
      <c r="AO25" s="196">
        <v>0</v>
      </c>
      <c r="AP25" s="247">
        <v>3.1700667655786302E-2</v>
      </c>
      <c r="AQ25" s="196">
        <f t="shared" si="15"/>
        <v>14.962715133531134</v>
      </c>
      <c r="AR25" s="202">
        <f t="shared" si="9"/>
        <v>14.962715133531134</v>
      </c>
      <c r="AS25" s="202">
        <f t="shared" si="10"/>
        <v>51.352915133531134</v>
      </c>
      <c r="AT25" s="203">
        <f t="shared" si="11"/>
        <v>420.64708486646884</v>
      </c>
      <c r="AV25" s="206"/>
      <c r="AW25" s="204"/>
    </row>
    <row r="26" spans="2:49" s="131" customFormat="1" ht="18" hidden="1" customHeight="1">
      <c r="B26" s="194" t="s">
        <v>1171</v>
      </c>
      <c r="C26" s="194">
        <v>75</v>
      </c>
      <c r="D26" s="195" t="s">
        <v>1748</v>
      </c>
      <c r="E26" s="196">
        <v>5392</v>
      </c>
      <c r="F26" s="196">
        <v>0</v>
      </c>
      <c r="G26" s="196">
        <v>0</v>
      </c>
      <c r="H26" s="197">
        <v>1</v>
      </c>
      <c r="I26" s="196">
        <v>19.53</v>
      </c>
      <c r="J26" s="197">
        <v>26</v>
      </c>
      <c r="K26" s="198">
        <f t="shared" si="0"/>
        <v>507.78000000000003</v>
      </c>
      <c r="L26" s="197">
        <v>0</v>
      </c>
      <c r="M26" s="196">
        <v>0</v>
      </c>
      <c r="N26" s="197">
        <v>0</v>
      </c>
      <c r="O26" s="198">
        <f t="shared" si="1"/>
        <v>0</v>
      </c>
      <c r="P26" s="199">
        <f t="shared" si="2"/>
        <v>507.78000000000003</v>
      </c>
      <c r="Q26" s="197">
        <v>1</v>
      </c>
      <c r="R26" s="196">
        <v>42.5</v>
      </c>
      <c r="S26" s="197">
        <v>26</v>
      </c>
      <c r="T26" s="198">
        <f t="shared" si="3"/>
        <v>1105</v>
      </c>
      <c r="U26" s="197">
        <v>0</v>
      </c>
      <c r="V26" s="196">
        <v>0</v>
      </c>
      <c r="W26" s="207">
        <v>0</v>
      </c>
      <c r="X26" s="198">
        <f t="shared" si="4"/>
        <v>0</v>
      </c>
      <c r="Y26" s="200">
        <f t="shared" si="5"/>
        <v>1105</v>
      </c>
      <c r="Z26" s="197">
        <v>0</v>
      </c>
      <c r="AA26" s="196">
        <v>0</v>
      </c>
      <c r="AB26" s="197">
        <v>0</v>
      </c>
      <c r="AC26" s="198">
        <f t="shared" si="6"/>
        <v>0</v>
      </c>
      <c r="AD26" s="197">
        <v>0</v>
      </c>
      <c r="AE26" s="196">
        <v>0</v>
      </c>
      <c r="AF26" s="197">
        <v>0</v>
      </c>
      <c r="AG26" s="198">
        <f t="shared" si="7"/>
        <v>0</v>
      </c>
      <c r="AH26" s="200">
        <f t="shared" si="8"/>
        <v>0</v>
      </c>
      <c r="AI26" s="199">
        <f t="shared" si="16"/>
        <v>1612.78</v>
      </c>
      <c r="AJ26" s="201">
        <f t="shared" si="17"/>
        <v>0.29910608308605341</v>
      </c>
      <c r="AK26" s="196">
        <f t="shared" si="18"/>
        <v>415.71420000000001</v>
      </c>
      <c r="AL26" s="196">
        <v>0</v>
      </c>
      <c r="AM26" s="196">
        <v>0</v>
      </c>
      <c r="AN26" s="196">
        <v>0</v>
      </c>
      <c r="AO26" s="196">
        <v>0</v>
      </c>
      <c r="AP26" s="247">
        <v>3.1700667655786302E-2</v>
      </c>
      <c r="AQ26" s="196">
        <f t="shared" si="15"/>
        <v>170.92999999999975</v>
      </c>
      <c r="AR26" s="202">
        <f t="shared" si="9"/>
        <v>170.92999999999975</v>
      </c>
      <c r="AS26" s="202">
        <f t="shared" si="10"/>
        <v>586.64419999999973</v>
      </c>
      <c r="AT26" s="203">
        <f t="shared" si="11"/>
        <v>4805.3558000000003</v>
      </c>
      <c r="AV26" s="204"/>
    </row>
    <row r="27" spans="2:49" s="131" customFormat="1" ht="18" hidden="1" customHeight="1">
      <c r="B27" s="194" t="s">
        <v>1171</v>
      </c>
      <c r="C27" s="194">
        <v>76</v>
      </c>
      <c r="D27" s="195" t="s">
        <v>1746</v>
      </c>
      <c r="E27" s="196">
        <v>11906</v>
      </c>
      <c r="F27" s="196">
        <v>1977.4</v>
      </c>
      <c r="G27" s="196">
        <v>2040</v>
      </c>
      <c r="H27" s="197">
        <v>2</v>
      </c>
      <c r="I27" s="196">
        <v>16</v>
      </c>
      <c r="J27" s="197">
        <v>26</v>
      </c>
      <c r="K27" s="198">
        <f t="shared" si="0"/>
        <v>832</v>
      </c>
      <c r="L27" s="197">
        <v>0</v>
      </c>
      <c r="M27" s="196">
        <v>0</v>
      </c>
      <c r="N27" s="197">
        <v>0</v>
      </c>
      <c r="O27" s="198">
        <f t="shared" si="1"/>
        <v>0</v>
      </c>
      <c r="P27" s="199">
        <f t="shared" si="2"/>
        <v>832</v>
      </c>
      <c r="Q27" s="197">
        <v>2</v>
      </c>
      <c r="R27" s="196">
        <v>42.5</v>
      </c>
      <c r="S27" s="197">
        <v>26</v>
      </c>
      <c r="T27" s="198">
        <f t="shared" si="3"/>
        <v>2210</v>
      </c>
      <c r="U27" s="197">
        <v>0</v>
      </c>
      <c r="V27" s="196">
        <v>0</v>
      </c>
      <c r="W27" s="207">
        <v>0</v>
      </c>
      <c r="X27" s="198">
        <f t="shared" si="4"/>
        <v>0</v>
      </c>
      <c r="Y27" s="200">
        <f t="shared" si="5"/>
        <v>2210</v>
      </c>
      <c r="Z27" s="197">
        <v>2</v>
      </c>
      <c r="AA27" s="196">
        <v>80</v>
      </c>
      <c r="AB27" s="197">
        <v>1</v>
      </c>
      <c r="AC27" s="198">
        <f t="shared" si="6"/>
        <v>160</v>
      </c>
      <c r="AD27" s="197">
        <v>0</v>
      </c>
      <c r="AE27" s="196">
        <v>0</v>
      </c>
      <c r="AF27" s="197">
        <v>0</v>
      </c>
      <c r="AG27" s="198">
        <f t="shared" si="7"/>
        <v>0</v>
      </c>
      <c r="AH27" s="200">
        <f t="shared" si="8"/>
        <v>160</v>
      </c>
      <c r="AI27" s="199">
        <f t="shared" si="16"/>
        <v>7219.4</v>
      </c>
      <c r="AJ27" s="201">
        <f t="shared" si="17"/>
        <v>0.60636653788006045</v>
      </c>
      <c r="AK27" s="196">
        <f>(E27-AI27)*$AK$15</f>
        <v>515.52600000000007</v>
      </c>
      <c r="AL27" s="196">
        <v>0</v>
      </c>
      <c r="AM27" s="196">
        <v>0</v>
      </c>
      <c r="AN27" s="196">
        <v>0</v>
      </c>
      <c r="AO27" s="196">
        <v>0</v>
      </c>
      <c r="AP27" s="247">
        <v>3.1700667655786302E-2</v>
      </c>
      <c r="AQ27" s="196">
        <f t="shared" si="15"/>
        <v>377.42814910979172</v>
      </c>
      <c r="AR27" s="202">
        <f t="shared" si="9"/>
        <v>377.42814910979172</v>
      </c>
      <c r="AS27" s="202">
        <f t="shared" si="10"/>
        <v>892.95414910979184</v>
      </c>
      <c r="AT27" s="203">
        <f t="shared" si="11"/>
        <v>11013.045850890208</v>
      </c>
      <c r="AV27" s="206"/>
      <c r="AW27" s="204"/>
    </row>
    <row r="28" spans="2:49" s="131" customFormat="1" ht="18" hidden="1" customHeight="1">
      <c r="B28" s="194" t="s">
        <v>1171</v>
      </c>
      <c r="C28" s="194">
        <v>77</v>
      </c>
      <c r="D28" s="195" t="s">
        <v>653</v>
      </c>
      <c r="E28" s="196">
        <v>28822</v>
      </c>
      <c r="F28" s="196">
        <v>2042.9</v>
      </c>
      <c r="G28" s="196">
        <v>2915</v>
      </c>
      <c r="H28" s="197">
        <v>2</v>
      </c>
      <c r="I28" s="196">
        <v>24</v>
      </c>
      <c r="J28" s="197">
        <v>26</v>
      </c>
      <c r="K28" s="198">
        <f t="shared" si="0"/>
        <v>1248</v>
      </c>
      <c r="L28" s="197">
        <v>4</v>
      </c>
      <c r="M28" s="196">
        <v>16</v>
      </c>
      <c r="N28" s="197">
        <v>16</v>
      </c>
      <c r="O28" s="198">
        <f t="shared" si="1"/>
        <v>1024</v>
      </c>
      <c r="P28" s="199">
        <f t="shared" si="2"/>
        <v>2272</v>
      </c>
      <c r="Q28" s="197">
        <v>2</v>
      </c>
      <c r="R28" s="196">
        <v>42.5</v>
      </c>
      <c r="S28" s="197">
        <v>26</v>
      </c>
      <c r="T28" s="198">
        <f t="shared" si="3"/>
        <v>2210</v>
      </c>
      <c r="U28" s="197">
        <v>4</v>
      </c>
      <c r="V28" s="196">
        <v>42.5</v>
      </c>
      <c r="W28" s="207">
        <v>16</v>
      </c>
      <c r="X28" s="198">
        <f t="shared" si="4"/>
        <v>2720</v>
      </c>
      <c r="Y28" s="200">
        <f t="shared" si="5"/>
        <v>4930</v>
      </c>
      <c r="Z28" s="197">
        <v>2</v>
      </c>
      <c r="AA28" s="196">
        <v>80</v>
      </c>
      <c r="AB28" s="197">
        <v>1</v>
      </c>
      <c r="AC28" s="198">
        <f t="shared" si="6"/>
        <v>160</v>
      </c>
      <c r="AD28" s="197">
        <v>4</v>
      </c>
      <c r="AE28" s="196">
        <v>90</v>
      </c>
      <c r="AF28" s="197">
        <v>1</v>
      </c>
      <c r="AG28" s="198">
        <f t="shared" si="7"/>
        <v>360</v>
      </c>
      <c r="AH28" s="200">
        <f t="shared" si="8"/>
        <v>520</v>
      </c>
      <c r="AI28" s="199">
        <f>F28+G28+P28+Y28+AH28</f>
        <v>12679.9</v>
      </c>
      <c r="AJ28" s="201">
        <f>AI28/E28</f>
        <v>0.43993824162098394</v>
      </c>
      <c r="AK28" s="196">
        <f>(E28-AI28)*$AK$15</f>
        <v>1775.6310000000001</v>
      </c>
      <c r="AL28" s="196">
        <v>0</v>
      </c>
      <c r="AM28" s="196">
        <v>0</v>
      </c>
      <c r="AN28" s="196">
        <v>0</v>
      </c>
      <c r="AO28" s="196">
        <v>0</v>
      </c>
      <c r="AP28" s="247">
        <v>3.1700667655786302E-2</v>
      </c>
      <c r="AQ28" s="196">
        <f t="shared" si="15"/>
        <v>913.67664317507285</v>
      </c>
      <c r="AR28" s="202">
        <f t="shared" si="9"/>
        <v>913.67664317507285</v>
      </c>
      <c r="AS28" s="202">
        <f t="shared" si="10"/>
        <v>2689.3076431750728</v>
      </c>
      <c r="AT28" s="203">
        <f t="shared" si="11"/>
        <v>26132.692356824926</v>
      </c>
      <c r="AV28" s="206"/>
      <c r="AW28" s="204"/>
    </row>
    <row r="29" spans="2:49" s="131" customFormat="1" ht="18" hidden="1" customHeight="1">
      <c r="B29" s="194" t="s">
        <v>1179</v>
      </c>
      <c r="C29" s="194">
        <v>79</v>
      </c>
      <c r="D29" s="195" t="s">
        <v>1748</v>
      </c>
      <c r="E29" s="196">
        <v>5392</v>
      </c>
      <c r="F29" s="196">
        <v>0</v>
      </c>
      <c r="G29" s="196">
        <v>0</v>
      </c>
      <c r="H29" s="197">
        <v>1</v>
      </c>
      <c r="I29" s="196">
        <v>19.53</v>
      </c>
      <c r="J29" s="197">
        <v>26</v>
      </c>
      <c r="K29" s="198">
        <f t="shared" si="0"/>
        <v>507.78000000000003</v>
      </c>
      <c r="L29" s="197">
        <v>0</v>
      </c>
      <c r="M29" s="196">
        <v>0</v>
      </c>
      <c r="N29" s="197">
        <v>0</v>
      </c>
      <c r="O29" s="198">
        <f t="shared" si="1"/>
        <v>0</v>
      </c>
      <c r="P29" s="199">
        <f t="shared" si="2"/>
        <v>507.78000000000003</v>
      </c>
      <c r="Q29" s="197">
        <v>1</v>
      </c>
      <c r="R29" s="196">
        <v>42.5</v>
      </c>
      <c r="S29" s="197">
        <v>26</v>
      </c>
      <c r="T29" s="198">
        <f t="shared" si="3"/>
        <v>1105</v>
      </c>
      <c r="U29" s="197">
        <v>0</v>
      </c>
      <c r="V29" s="196">
        <v>0</v>
      </c>
      <c r="W29" s="207">
        <v>0</v>
      </c>
      <c r="X29" s="198">
        <f t="shared" si="4"/>
        <v>0</v>
      </c>
      <c r="Y29" s="200">
        <f t="shared" si="5"/>
        <v>1105</v>
      </c>
      <c r="Z29" s="197">
        <v>0</v>
      </c>
      <c r="AA29" s="196">
        <v>0</v>
      </c>
      <c r="AB29" s="197">
        <v>0</v>
      </c>
      <c r="AC29" s="198">
        <f t="shared" si="6"/>
        <v>0</v>
      </c>
      <c r="AD29" s="197">
        <v>0</v>
      </c>
      <c r="AE29" s="196">
        <v>0</v>
      </c>
      <c r="AF29" s="197">
        <v>0</v>
      </c>
      <c r="AG29" s="198">
        <f t="shared" si="7"/>
        <v>0</v>
      </c>
      <c r="AH29" s="200">
        <f t="shared" si="8"/>
        <v>0</v>
      </c>
      <c r="AI29" s="199">
        <f t="shared" ref="AI29:AI30" si="19">F29+G29+P29+Y29+AH29</f>
        <v>1612.78</v>
      </c>
      <c r="AJ29" s="201">
        <f t="shared" ref="AJ29:AJ30" si="20">AI29/E29</f>
        <v>0.29910608308605341</v>
      </c>
      <c r="AK29" s="196">
        <f t="shared" ref="AK29" si="21">(E29-AI29)*$AK$15</f>
        <v>415.71420000000001</v>
      </c>
      <c r="AL29" s="196">
        <v>0</v>
      </c>
      <c r="AM29" s="196">
        <v>0</v>
      </c>
      <c r="AN29" s="196">
        <v>0</v>
      </c>
      <c r="AO29" s="196">
        <v>0</v>
      </c>
      <c r="AP29" s="247">
        <v>3.1700667655786302E-2</v>
      </c>
      <c r="AQ29" s="196">
        <f t="shared" si="15"/>
        <v>170.92999999999975</v>
      </c>
      <c r="AR29" s="202">
        <f t="shared" si="9"/>
        <v>170.92999999999975</v>
      </c>
      <c r="AS29" s="202">
        <f t="shared" si="10"/>
        <v>586.64419999999973</v>
      </c>
      <c r="AT29" s="203">
        <f t="shared" si="11"/>
        <v>4805.3558000000003</v>
      </c>
      <c r="AV29" s="204"/>
    </row>
    <row r="30" spans="2:49" s="131" customFormat="1" ht="18" hidden="1" customHeight="1">
      <c r="B30" s="194" t="s">
        <v>1179</v>
      </c>
      <c r="C30" s="194">
        <v>80</v>
      </c>
      <c r="D30" s="195" t="s">
        <v>1746</v>
      </c>
      <c r="E30" s="196">
        <v>11906</v>
      </c>
      <c r="F30" s="196">
        <v>1977.4</v>
      </c>
      <c r="G30" s="196">
        <v>2040</v>
      </c>
      <c r="H30" s="197">
        <v>2</v>
      </c>
      <c r="I30" s="196">
        <v>16</v>
      </c>
      <c r="J30" s="197">
        <v>26</v>
      </c>
      <c r="K30" s="198">
        <f t="shared" si="0"/>
        <v>832</v>
      </c>
      <c r="L30" s="197">
        <v>0</v>
      </c>
      <c r="M30" s="196">
        <v>0</v>
      </c>
      <c r="N30" s="197">
        <v>0</v>
      </c>
      <c r="O30" s="198">
        <f t="shared" si="1"/>
        <v>0</v>
      </c>
      <c r="P30" s="199">
        <f t="shared" si="2"/>
        <v>832</v>
      </c>
      <c r="Q30" s="197">
        <v>2</v>
      </c>
      <c r="R30" s="196">
        <v>42.5</v>
      </c>
      <c r="S30" s="197">
        <v>26</v>
      </c>
      <c r="T30" s="198">
        <f t="shared" si="3"/>
        <v>2210</v>
      </c>
      <c r="U30" s="197">
        <v>0</v>
      </c>
      <c r="V30" s="196">
        <v>0</v>
      </c>
      <c r="W30" s="207">
        <v>0</v>
      </c>
      <c r="X30" s="198">
        <f t="shared" si="4"/>
        <v>0</v>
      </c>
      <c r="Y30" s="200">
        <f t="shared" si="5"/>
        <v>2210</v>
      </c>
      <c r="Z30" s="197">
        <v>2</v>
      </c>
      <c r="AA30" s="196">
        <v>80</v>
      </c>
      <c r="AB30" s="197">
        <v>1</v>
      </c>
      <c r="AC30" s="198">
        <f t="shared" si="6"/>
        <v>160</v>
      </c>
      <c r="AD30" s="197">
        <v>0</v>
      </c>
      <c r="AE30" s="196">
        <v>0</v>
      </c>
      <c r="AF30" s="197">
        <v>0</v>
      </c>
      <c r="AG30" s="198">
        <f t="shared" si="7"/>
        <v>0</v>
      </c>
      <c r="AH30" s="200">
        <f t="shared" si="8"/>
        <v>160</v>
      </c>
      <c r="AI30" s="199">
        <f t="shared" si="19"/>
        <v>7219.4</v>
      </c>
      <c r="AJ30" s="201">
        <f t="shared" si="20"/>
        <v>0.60636653788006045</v>
      </c>
      <c r="AK30" s="196">
        <f>(E30-AI30)*$AK$15</f>
        <v>515.52600000000007</v>
      </c>
      <c r="AL30" s="196">
        <v>0</v>
      </c>
      <c r="AM30" s="196">
        <v>0</v>
      </c>
      <c r="AN30" s="196">
        <v>0</v>
      </c>
      <c r="AO30" s="196">
        <v>0</v>
      </c>
      <c r="AP30" s="247">
        <v>3.1700667655786302E-2</v>
      </c>
      <c r="AQ30" s="196">
        <f t="shared" si="15"/>
        <v>377.42814910979172</v>
      </c>
      <c r="AR30" s="202">
        <f t="shared" si="9"/>
        <v>377.42814910979172</v>
      </c>
      <c r="AS30" s="202">
        <f t="shared" si="10"/>
        <v>892.95414910979184</v>
      </c>
      <c r="AT30" s="203">
        <f t="shared" si="11"/>
        <v>11013.045850890208</v>
      </c>
      <c r="AV30" s="206"/>
      <c r="AW30" s="204"/>
    </row>
    <row r="31" spans="2:49" s="131" customFormat="1" ht="18" hidden="1" customHeight="1">
      <c r="B31" s="194" t="s">
        <v>1179</v>
      </c>
      <c r="C31" s="194">
        <v>81</v>
      </c>
      <c r="D31" s="195" t="s">
        <v>653</v>
      </c>
      <c r="E31" s="196">
        <v>28822</v>
      </c>
      <c r="F31" s="196">
        <v>2042.9</v>
      </c>
      <c r="G31" s="196">
        <v>2915</v>
      </c>
      <c r="H31" s="197">
        <v>2</v>
      </c>
      <c r="I31" s="196">
        <v>24</v>
      </c>
      <c r="J31" s="197">
        <v>26</v>
      </c>
      <c r="K31" s="198">
        <f t="shared" si="0"/>
        <v>1248</v>
      </c>
      <c r="L31" s="197">
        <v>4</v>
      </c>
      <c r="M31" s="196">
        <v>16</v>
      </c>
      <c r="N31" s="197">
        <v>16</v>
      </c>
      <c r="O31" s="198">
        <f t="shared" si="1"/>
        <v>1024</v>
      </c>
      <c r="P31" s="199">
        <f t="shared" si="2"/>
        <v>2272</v>
      </c>
      <c r="Q31" s="197">
        <v>2</v>
      </c>
      <c r="R31" s="196">
        <v>42.5</v>
      </c>
      <c r="S31" s="197">
        <v>26</v>
      </c>
      <c r="T31" s="198">
        <f t="shared" si="3"/>
        <v>2210</v>
      </c>
      <c r="U31" s="197">
        <v>4</v>
      </c>
      <c r="V31" s="196">
        <v>42.5</v>
      </c>
      <c r="W31" s="207">
        <v>16</v>
      </c>
      <c r="X31" s="198">
        <f t="shared" si="4"/>
        <v>2720</v>
      </c>
      <c r="Y31" s="200">
        <f t="shared" si="5"/>
        <v>4930</v>
      </c>
      <c r="Z31" s="197">
        <v>2</v>
      </c>
      <c r="AA31" s="196">
        <v>80</v>
      </c>
      <c r="AB31" s="197">
        <v>1</v>
      </c>
      <c r="AC31" s="198">
        <f t="shared" si="6"/>
        <v>160</v>
      </c>
      <c r="AD31" s="197">
        <v>4</v>
      </c>
      <c r="AE31" s="196">
        <v>90</v>
      </c>
      <c r="AF31" s="197">
        <v>1</v>
      </c>
      <c r="AG31" s="198">
        <f t="shared" si="7"/>
        <v>360</v>
      </c>
      <c r="AH31" s="200">
        <f t="shared" si="8"/>
        <v>520</v>
      </c>
      <c r="AI31" s="199">
        <f>F31+G31+P31+Y31+AH31</f>
        <v>12679.9</v>
      </c>
      <c r="AJ31" s="201">
        <f>AI31/E31</f>
        <v>0.43993824162098394</v>
      </c>
      <c r="AK31" s="196">
        <f>(E31-AI31)*$AK$15</f>
        <v>1775.6310000000001</v>
      </c>
      <c r="AL31" s="196">
        <v>0</v>
      </c>
      <c r="AM31" s="196">
        <v>0</v>
      </c>
      <c r="AN31" s="196">
        <v>0</v>
      </c>
      <c r="AO31" s="196">
        <v>0</v>
      </c>
      <c r="AP31" s="247">
        <v>3.1700667655786302E-2</v>
      </c>
      <c r="AQ31" s="196">
        <f t="shared" si="15"/>
        <v>913.67664317507285</v>
      </c>
      <c r="AR31" s="202">
        <f t="shared" si="9"/>
        <v>913.67664317507285</v>
      </c>
      <c r="AS31" s="202">
        <f t="shared" si="10"/>
        <v>2689.3076431750728</v>
      </c>
      <c r="AT31" s="203">
        <f t="shared" si="11"/>
        <v>26132.692356824926</v>
      </c>
      <c r="AV31" s="206"/>
      <c r="AW31" s="204"/>
    </row>
    <row r="32" spans="2:49" s="131" customFormat="1" ht="18" hidden="1" customHeight="1">
      <c r="B32" s="194" t="s">
        <v>1491</v>
      </c>
      <c r="C32" s="194">
        <v>82</v>
      </c>
      <c r="D32" s="195" t="s">
        <v>1748</v>
      </c>
      <c r="E32" s="196">
        <v>5392</v>
      </c>
      <c r="F32" s="196">
        <v>0</v>
      </c>
      <c r="G32" s="196">
        <v>0</v>
      </c>
      <c r="H32" s="197">
        <v>1</v>
      </c>
      <c r="I32" s="196">
        <v>19.53</v>
      </c>
      <c r="J32" s="197">
        <v>26</v>
      </c>
      <c r="K32" s="198">
        <f t="shared" si="0"/>
        <v>507.78000000000003</v>
      </c>
      <c r="L32" s="197">
        <v>0</v>
      </c>
      <c r="M32" s="196">
        <v>0</v>
      </c>
      <c r="N32" s="197">
        <v>0</v>
      </c>
      <c r="O32" s="198">
        <f t="shared" si="1"/>
        <v>0</v>
      </c>
      <c r="P32" s="199">
        <f t="shared" si="2"/>
        <v>507.78000000000003</v>
      </c>
      <c r="Q32" s="197">
        <v>1</v>
      </c>
      <c r="R32" s="196">
        <v>42.5</v>
      </c>
      <c r="S32" s="197">
        <v>26</v>
      </c>
      <c r="T32" s="198">
        <f t="shared" si="3"/>
        <v>1105</v>
      </c>
      <c r="U32" s="197">
        <v>0</v>
      </c>
      <c r="V32" s="196">
        <v>0</v>
      </c>
      <c r="W32" s="207">
        <v>0</v>
      </c>
      <c r="X32" s="198">
        <f t="shared" si="4"/>
        <v>0</v>
      </c>
      <c r="Y32" s="200">
        <f t="shared" si="5"/>
        <v>1105</v>
      </c>
      <c r="Z32" s="197">
        <v>0</v>
      </c>
      <c r="AA32" s="196">
        <v>0</v>
      </c>
      <c r="AB32" s="197">
        <v>0</v>
      </c>
      <c r="AC32" s="198">
        <f t="shared" si="6"/>
        <v>0</v>
      </c>
      <c r="AD32" s="197">
        <v>0</v>
      </c>
      <c r="AE32" s="196">
        <v>0</v>
      </c>
      <c r="AF32" s="197">
        <v>0</v>
      </c>
      <c r="AG32" s="198">
        <f t="shared" si="7"/>
        <v>0</v>
      </c>
      <c r="AH32" s="200">
        <f t="shared" si="8"/>
        <v>0</v>
      </c>
      <c r="AI32" s="199">
        <f t="shared" ref="AI32:AI33" si="22">F32+G32+P32+Y32+AH32</f>
        <v>1612.78</v>
      </c>
      <c r="AJ32" s="201">
        <f t="shared" ref="AJ32:AJ33" si="23">AI32/E32</f>
        <v>0.29910608308605341</v>
      </c>
      <c r="AK32" s="196">
        <f t="shared" ref="AK32" si="24">(E32-AI32)*$AK$15</f>
        <v>415.71420000000001</v>
      </c>
      <c r="AL32" s="196">
        <v>0</v>
      </c>
      <c r="AM32" s="196">
        <v>0</v>
      </c>
      <c r="AN32" s="196">
        <v>0</v>
      </c>
      <c r="AO32" s="196">
        <v>0</v>
      </c>
      <c r="AP32" s="247">
        <v>3.1700667655786302E-2</v>
      </c>
      <c r="AQ32" s="196">
        <f t="shared" si="15"/>
        <v>170.92999999999975</v>
      </c>
      <c r="AR32" s="202">
        <f t="shared" si="9"/>
        <v>170.92999999999975</v>
      </c>
      <c r="AS32" s="202">
        <f t="shared" si="10"/>
        <v>586.64419999999973</v>
      </c>
      <c r="AT32" s="203">
        <f t="shared" si="11"/>
        <v>4805.3558000000003</v>
      </c>
      <c r="AV32" s="204"/>
    </row>
    <row r="33" spans="2:49" s="131" customFormat="1" ht="18" hidden="1" customHeight="1">
      <c r="B33" s="194" t="s">
        <v>1491</v>
      </c>
      <c r="C33" s="194">
        <v>83</v>
      </c>
      <c r="D33" s="195" t="s">
        <v>1746</v>
      </c>
      <c r="E33" s="196">
        <v>11906</v>
      </c>
      <c r="F33" s="196">
        <v>1977.4</v>
      </c>
      <c r="G33" s="196">
        <v>2040</v>
      </c>
      <c r="H33" s="197">
        <v>2</v>
      </c>
      <c r="I33" s="196">
        <v>16</v>
      </c>
      <c r="J33" s="197">
        <v>26</v>
      </c>
      <c r="K33" s="198">
        <f t="shared" si="0"/>
        <v>832</v>
      </c>
      <c r="L33" s="197">
        <v>0</v>
      </c>
      <c r="M33" s="196">
        <v>0</v>
      </c>
      <c r="N33" s="197">
        <v>0</v>
      </c>
      <c r="O33" s="198">
        <f t="shared" si="1"/>
        <v>0</v>
      </c>
      <c r="P33" s="199">
        <f t="shared" si="2"/>
        <v>832</v>
      </c>
      <c r="Q33" s="197">
        <v>2</v>
      </c>
      <c r="R33" s="196">
        <v>42.5</v>
      </c>
      <c r="S33" s="197">
        <v>26</v>
      </c>
      <c r="T33" s="198">
        <f t="shared" si="3"/>
        <v>2210</v>
      </c>
      <c r="U33" s="197">
        <v>0</v>
      </c>
      <c r="V33" s="196">
        <v>0</v>
      </c>
      <c r="W33" s="207">
        <v>0</v>
      </c>
      <c r="X33" s="198">
        <f t="shared" si="4"/>
        <v>0</v>
      </c>
      <c r="Y33" s="200">
        <f t="shared" si="5"/>
        <v>2210</v>
      </c>
      <c r="Z33" s="197">
        <v>2</v>
      </c>
      <c r="AA33" s="196">
        <v>80</v>
      </c>
      <c r="AB33" s="197">
        <v>1</v>
      </c>
      <c r="AC33" s="198">
        <f t="shared" si="6"/>
        <v>160</v>
      </c>
      <c r="AD33" s="197">
        <v>0</v>
      </c>
      <c r="AE33" s="196">
        <v>0</v>
      </c>
      <c r="AF33" s="197">
        <v>0</v>
      </c>
      <c r="AG33" s="198">
        <f t="shared" si="7"/>
        <v>0</v>
      </c>
      <c r="AH33" s="200">
        <f t="shared" si="8"/>
        <v>160</v>
      </c>
      <c r="AI33" s="199">
        <f t="shared" si="22"/>
        <v>7219.4</v>
      </c>
      <c r="AJ33" s="201">
        <f t="shared" si="23"/>
        <v>0.60636653788006045</v>
      </c>
      <c r="AK33" s="196">
        <f>(E33-AI33)*$AK$15</f>
        <v>515.52600000000007</v>
      </c>
      <c r="AL33" s="196">
        <v>0</v>
      </c>
      <c r="AM33" s="196">
        <v>0</v>
      </c>
      <c r="AN33" s="196">
        <v>0</v>
      </c>
      <c r="AO33" s="196">
        <v>0</v>
      </c>
      <c r="AP33" s="247">
        <v>3.1700667655786302E-2</v>
      </c>
      <c r="AQ33" s="196">
        <f t="shared" si="15"/>
        <v>377.42814910979172</v>
      </c>
      <c r="AR33" s="202">
        <f t="shared" si="9"/>
        <v>377.42814910979172</v>
      </c>
      <c r="AS33" s="202">
        <f t="shared" si="10"/>
        <v>892.95414910979184</v>
      </c>
      <c r="AT33" s="203">
        <f t="shared" si="11"/>
        <v>11013.045850890208</v>
      </c>
      <c r="AV33" s="206"/>
      <c r="AW33" s="204"/>
    </row>
    <row r="34" spans="2:49" s="131" customFormat="1" ht="18" hidden="1" customHeight="1">
      <c r="B34" s="194" t="s">
        <v>1491</v>
      </c>
      <c r="C34" s="194">
        <v>84</v>
      </c>
      <c r="D34" s="195" t="s">
        <v>653</v>
      </c>
      <c r="E34" s="196">
        <v>28822</v>
      </c>
      <c r="F34" s="196">
        <v>2042.9</v>
      </c>
      <c r="G34" s="196">
        <v>2915</v>
      </c>
      <c r="H34" s="197">
        <v>2</v>
      </c>
      <c r="I34" s="196">
        <v>24</v>
      </c>
      <c r="J34" s="197">
        <v>26</v>
      </c>
      <c r="K34" s="198">
        <f t="shared" si="0"/>
        <v>1248</v>
      </c>
      <c r="L34" s="197">
        <v>4</v>
      </c>
      <c r="M34" s="196">
        <v>16</v>
      </c>
      <c r="N34" s="197">
        <v>16</v>
      </c>
      <c r="O34" s="198">
        <f t="shared" si="1"/>
        <v>1024</v>
      </c>
      <c r="P34" s="199">
        <f t="shared" si="2"/>
        <v>2272</v>
      </c>
      <c r="Q34" s="197">
        <v>2</v>
      </c>
      <c r="R34" s="196">
        <v>42.5</v>
      </c>
      <c r="S34" s="197">
        <v>26</v>
      </c>
      <c r="T34" s="198">
        <f t="shared" si="3"/>
        <v>2210</v>
      </c>
      <c r="U34" s="197">
        <v>4</v>
      </c>
      <c r="V34" s="196">
        <v>42.5</v>
      </c>
      <c r="W34" s="207">
        <v>16</v>
      </c>
      <c r="X34" s="198">
        <f t="shared" si="4"/>
        <v>2720</v>
      </c>
      <c r="Y34" s="200">
        <f t="shared" si="5"/>
        <v>4930</v>
      </c>
      <c r="Z34" s="197">
        <v>2</v>
      </c>
      <c r="AA34" s="196">
        <v>80</v>
      </c>
      <c r="AB34" s="197">
        <v>1</v>
      </c>
      <c r="AC34" s="198">
        <f t="shared" si="6"/>
        <v>160</v>
      </c>
      <c r="AD34" s="197">
        <v>4</v>
      </c>
      <c r="AE34" s="196">
        <v>90</v>
      </c>
      <c r="AF34" s="197">
        <v>1</v>
      </c>
      <c r="AG34" s="198">
        <f t="shared" si="7"/>
        <v>360</v>
      </c>
      <c r="AH34" s="200">
        <f t="shared" si="8"/>
        <v>520</v>
      </c>
      <c r="AI34" s="199">
        <f>F34+G34+P34+Y34+AH34</f>
        <v>12679.9</v>
      </c>
      <c r="AJ34" s="201">
        <f>AI34/E34</f>
        <v>0.43993824162098394</v>
      </c>
      <c r="AK34" s="196">
        <f>(E34-AI34)*$AK$15</f>
        <v>1775.6310000000001</v>
      </c>
      <c r="AL34" s="196">
        <v>0</v>
      </c>
      <c r="AM34" s="196">
        <v>0</v>
      </c>
      <c r="AN34" s="196">
        <v>0</v>
      </c>
      <c r="AO34" s="196">
        <v>0</v>
      </c>
      <c r="AP34" s="247">
        <v>3.1700667655786302E-2</v>
      </c>
      <c r="AQ34" s="196">
        <f t="shared" si="15"/>
        <v>913.67664317507285</v>
      </c>
      <c r="AR34" s="202">
        <f t="shared" si="9"/>
        <v>913.67664317507285</v>
      </c>
      <c r="AS34" s="202">
        <f t="shared" si="10"/>
        <v>2689.3076431750728</v>
      </c>
      <c r="AT34" s="203">
        <f t="shared" si="11"/>
        <v>26132.692356824926</v>
      </c>
      <c r="AV34" s="206"/>
      <c r="AW34" s="204"/>
    </row>
    <row r="35" spans="2:49" s="131" customFormat="1" ht="18" hidden="1" customHeight="1">
      <c r="B35" s="194" t="s">
        <v>1497</v>
      </c>
      <c r="C35" s="194">
        <v>85</v>
      </c>
      <c r="D35" s="195" t="s">
        <v>1748</v>
      </c>
      <c r="E35" s="196">
        <v>5392</v>
      </c>
      <c r="F35" s="196">
        <v>0</v>
      </c>
      <c r="G35" s="196">
        <v>0</v>
      </c>
      <c r="H35" s="197">
        <v>1</v>
      </c>
      <c r="I35" s="196">
        <v>19.53</v>
      </c>
      <c r="J35" s="197">
        <v>26</v>
      </c>
      <c r="K35" s="198">
        <f t="shared" si="0"/>
        <v>507.78000000000003</v>
      </c>
      <c r="L35" s="197">
        <v>0</v>
      </c>
      <c r="M35" s="196">
        <v>0</v>
      </c>
      <c r="N35" s="197">
        <v>0</v>
      </c>
      <c r="O35" s="198">
        <f t="shared" si="1"/>
        <v>0</v>
      </c>
      <c r="P35" s="199">
        <f t="shared" si="2"/>
        <v>507.78000000000003</v>
      </c>
      <c r="Q35" s="197">
        <v>1</v>
      </c>
      <c r="R35" s="196">
        <v>42.5</v>
      </c>
      <c r="S35" s="197">
        <v>26</v>
      </c>
      <c r="T35" s="198">
        <f t="shared" si="3"/>
        <v>1105</v>
      </c>
      <c r="U35" s="197">
        <v>0</v>
      </c>
      <c r="V35" s="196">
        <v>0</v>
      </c>
      <c r="W35" s="207">
        <v>0</v>
      </c>
      <c r="X35" s="198">
        <f t="shared" si="4"/>
        <v>0</v>
      </c>
      <c r="Y35" s="200">
        <f t="shared" si="5"/>
        <v>1105</v>
      </c>
      <c r="Z35" s="197">
        <v>0</v>
      </c>
      <c r="AA35" s="196">
        <v>0</v>
      </c>
      <c r="AB35" s="197">
        <v>0</v>
      </c>
      <c r="AC35" s="198">
        <f t="shared" si="6"/>
        <v>0</v>
      </c>
      <c r="AD35" s="197">
        <v>0</v>
      </c>
      <c r="AE35" s="196">
        <v>0</v>
      </c>
      <c r="AF35" s="197">
        <v>0</v>
      </c>
      <c r="AG35" s="198">
        <f t="shared" si="7"/>
        <v>0</v>
      </c>
      <c r="AH35" s="200">
        <f t="shared" si="8"/>
        <v>0</v>
      </c>
      <c r="AI35" s="199">
        <f t="shared" ref="AI35:AI36" si="25">F35+G35+P35+Y35+AH35</f>
        <v>1612.78</v>
      </c>
      <c r="AJ35" s="201">
        <f t="shared" ref="AJ35:AJ36" si="26">AI35/E35</f>
        <v>0.29910608308605341</v>
      </c>
      <c r="AK35" s="196">
        <f t="shared" ref="AK35" si="27">(E35-AI35)*$AK$15</f>
        <v>415.71420000000001</v>
      </c>
      <c r="AL35" s="196">
        <v>0</v>
      </c>
      <c r="AM35" s="196">
        <v>0</v>
      </c>
      <c r="AN35" s="196">
        <v>0</v>
      </c>
      <c r="AO35" s="196">
        <v>0</v>
      </c>
      <c r="AP35" s="247">
        <v>3.1700667655786302E-2</v>
      </c>
      <c r="AQ35" s="196">
        <f t="shared" si="15"/>
        <v>170.92999999999975</v>
      </c>
      <c r="AR35" s="202">
        <f t="shared" si="9"/>
        <v>170.92999999999975</v>
      </c>
      <c r="AS35" s="202">
        <f t="shared" si="10"/>
        <v>586.64419999999973</v>
      </c>
      <c r="AT35" s="203">
        <f t="shared" si="11"/>
        <v>4805.3558000000003</v>
      </c>
      <c r="AV35" s="204"/>
    </row>
    <row r="36" spans="2:49" s="131" customFormat="1" ht="18" hidden="1" customHeight="1">
      <c r="B36" s="194" t="s">
        <v>1497</v>
      </c>
      <c r="C36" s="194">
        <v>86</v>
      </c>
      <c r="D36" s="195" t="s">
        <v>1746</v>
      </c>
      <c r="E36" s="196">
        <v>11906</v>
      </c>
      <c r="F36" s="196">
        <v>1977.4</v>
      </c>
      <c r="G36" s="196">
        <v>2040</v>
      </c>
      <c r="H36" s="197">
        <v>2</v>
      </c>
      <c r="I36" s="196">
        <v>16</v>
      </c>
      <c r="J36" s="197">
        <v>26</v>
      </c>
      <c r="K36" s="198">
        <f t="shared" si="0"/>
        <v>832</v>
      </c>
      <c r="L36" s="197">
        <v>0</v>
      </c>
      <c r="M36" s="196">
        <v>0</v>
      </c>
      <c r="N36" s="197">
        <v>0</v>
      </c>
      <c r="O36" s="198">
        <f t="shared" si="1"/>
        <v>0</v>
      </c>
      <c r="P36" s="199">
        <f t="shared" si="2"/>
        <v>832</v>
      </c>
      <c r="Q36" s="197">
        <v>2</v>
      </c>
      <c r="R36" s="196">
        <v>42.5</v>
      </c>
      <c r="S36" s="197">
        <v>26</v>
      </c>
      <c r="T36" s="198">
        <f t="shared" si="3"/>
        <v>2210</v>
      </c>
      <c r="U36" s="197">
        <v>0</v>
      </c>
      <c r="V36" s="196">
        <v>0</v>
      </c>
      <c r="W36" s="207">
        <v>0</v>
      </c>
      <c r="X36" s="198">
        <f t="shared" si="4"/>
        <v>0</v>
      </c>
      <c r="Y36" s="200">
        <f t="shared" si="5"/>
        <v>2210</v>
      </c>
      <c r="Z36" s="197">
        <v>2</v>
      </c>
      <c r="AA36" s="196">
        <v>80</v>
      </c>
      <c r="AB36" s="197">
        <v>1</v>
      </c>
      <c r="AC36" s="198">
        <f t="shared" si="6"/>
        <v>160</v>
      </c>
      <c r="AD36" s="197">
        <v>0</v>
      </c>
      <c r="AE36" s="196">
        <v>0</v>
      </c>
      <c r="AF36" s="197">
        <v>0</v>
      </c>
      <c r="AG36" s="198">
        <f t="shared" si="7"/>
        <v>0</v>
      </c>
      <c r="AH36" s="200">
        <f t="shared" si="8"/>
        <v>160</v>
      </c>
      <c r="AI36" s="199">
        <f t="shared" si="25"/>
        <v>7219.4</v>
      </c>
      <c r="AJ36" s="201">
        <f t="shared" si="26"/>
        <v>0.60636653788006045</v>
      </c>
      <c r="AK36" s="196">
        <f>(E36-AI36)*$AK$15</f>
        <v>515.52600000000007</v>
      </c>
      <c r="AL36" s="196">
        <v>0</v>
      </c>
      <c r="AM36" s="196">
        <v>0</v>
      </c>
      <c r="AN36" s="196">
        <v>0</v>
      </c>
      <c r="AO36" s="196">
        <v>0</v>
      </c>
      <c r="AP36" s="247">
        <v>3.1700667655786302E-2</v>
      </c>
      <c r="AQ36" s="196">
        <f t="shared" si="15"/>
        <v>377.42814910979172</v>
      </c>
      <c r="AR36" s="202">
        <f t="shared" si="9"/>
        <v>377.42814910979172</v>
      </c>
      <c r="AS36" s="202">
        <f t="shared" si="10"/>
        <v>892.95414910979184</v>
      </c>
      <c r="AT36" s="203">
        <f t="shared" si="11"/>
        <v>11013.045850890208</v>
      </c>
      <c r="AV36" s="206"/>
      <c r="AW36" s="204"/>
    </row>
    <row r="37" spans="2:49" s="131" customFormat="1" ht="18" hidden="1" customHeight="1">
      <c r="B37" s="194" t="s">
        <v>1497</v>
      </c>
      <c r="C37" s="194">
        <v>87</v>
      </c>
      <c r="D37" s="195" t="s">
        <v>653</v>
      </c>
      <c r="E37" s="196">
        <v>28822</v>
      </c>
      <c r="F37" s="196">
        <v>2042.9</v>
      </c>
      <c r="G37" s="196">
        <v>2915</v>
      </c>
      <c r="H37" s="197">
        <v>2</v>
      </c>
      <c r="I37" s="196">
        <v>24</v>
      </c>
      <c r="J37" s="197">
        <v>26</v>
      </c>
      <c r="K37" s="198">
        <f t="shared" si="0"/>
        <v>1248</v>
      </c>
      <c r="L37" s="197">
        <v>4</v>
      </c>
      <c r="M37" s="196">
        <v>16</v>
      </c>
      <c r="N37" s="197">
        <v>16</v>
      </c>
      <c r="O37" s="198">
        <f t="shared" si="1"/>
        <v>1024</v>
      </c>
      <c r="P37" s="199">
        <f t="shared" si="2"/>
        <v>2272</v>
      </c>
      <c r="Q37" s="197">
        <v>2</v>
      </c>
      <c r="R37" s="196">
        <v>42.5</v>
      </c>
      <c r="S37" s="197">
        <v>26</v>
      </c>
      <c r="T37" s="198">
        <f t="shared" si="3"/>
        <v>2210</v>
      </c>
      <c r="U37" s="197">
        <v>4</v>
      </c>
      <c r="V37" s="196">
        <v>42.5</v>
      </c>
      <c r="W37" s="207">
        <v>16</v>
      </c>
      <c r="X37" s="198">
        <f t="shared" si="4"/>
        <v>2720</v>
      </c>
      <c r="Y37" s="200">
        <f t="shared" si="5"/>
        <v>4930</v>
      </c>
      <c r="Z37" s="197">
        <v>2</v>
      </c>
      <c r="AA37" s="196">
        <v>80</v>
      </c>
      <c r="AB37" s="197">
        <v>1</v>
      </c>
      <c r="AC37" s="198">
        <f t="shared" si="6"/>
        <v>160</v>
      </c>
      <c r="AD37" s="197">
        <v>4</v>
      </c>
      <c r="AE37" s="196">
        <v>90</v>
      </c>
      <c r="AF37" s="197">
        <v>1</v>
      </c>
      <c r="AG37" s="198">
        <f t="shared" si="7"/>
        <v>360</v>
      </c>
      <c r="AH37" s="200">
        <f t="shared" si="8"/>
        <v>520</v>
      </c>
      <c r="AI37" s="199">
        <f>F37+G37+P37+Y37+AH37</f>
        <v>12679.9</v>
      </c>
      <c r="AJ37" s="201">
        <f>AI37/E37</f>
        <v>0.43993824162098394</v>
      </c>
      <c r="AK37" s="196">
        <f>(E37-AI37)*$AK$15</f>
        <v>1775.6310000000001</v>
      </c>
      <c r="AL37" s="196">
        <v>0</v>
      </c>
      <c r="AM37" s="196">
        <v>0</v>
      </c>
      <c r="AN37" s="196">
        <v>0</v>
      </c>
      <c r="AO37" s="196">
        <v>0</v>
      </c>
      <c r="AP37" s="247">
        <v>3.1700667655786302E-2</v>
      </c>
      <c r="AQ37" s="196">
        <f t="shared" si="15"/>
        <v>913.67664317507285</v>
      </c>
      <c r="AR37" s="202">
        <f t="shared" si="9"/>
        <v>913.67664317507285</v>
      </c>
      <c r="AS37" s="202">
        <f t="shared" si="10"/>
        <v>2689.3076431750728</v>
      </c>
      <c r="AT37" s="203">
        <f t="shared" si="11"/>
        <v>26132.692356824926</v>
      </c>
      <c r="AV37" s="206"/>
      <c r="AW37" s="204"/>
    </row>
    <row r="38" spans="2:49" s="131" customFormat="1" ht="18" hidden="1" customHeight="1">
      <c r="B38" s="194" t="s">
        <v>1517</v>
      </c>
      <c r="C38" s="194">
        <v>88</v>
      </c>
      <c r="D38" s="195" t="s">
        <v>1748</v>
      </c>
      <c r="E38" s="196">
        <v>5392</v>
      </c>
      <c r="F38" s="196">
        <v>0</v>
      </c>
      <c r="G38" s="196">
        <v>0</v>
      </c>
      <c r="H38" s="197">
        <v>1</v>
      </c>
      <c r="I38" s="196">
        <v>19.53</v>
      </c>
      <c r="J38" s="197">
        <v>26</v>
      </c>
      <c r="K38" s="198">
        <f t="shared" si="0"/>
        <v>507.78000000000003</v>
      </c>
      <c r="L38" s="197">
        <v>0</v>
      </c>
      <c r="M38" s="196">
        <v>0</v>
      </c>
      <c r="N38" s="197">
        <v>0</v>
      </c>
      <c r="O38" s="198">
        <f t="shared" si="1"/>
        <v>0</v>
      </c>
      <c r="P38" s="199">
        <f t="shared" si="2"/>
        <v>507.78000000000003</v>
      </c>
      <c r="Q38" s="197">
        <v>1</v>
      </c>
      <c r="R38" s="196">
        <v>42.5</v>
      </c>
      <c r="S38" s="197">
        <v>26</v>
      </c>
      <c r="T38" s="198">
        <f t="shared" si="3"/>
        <v>1105</v>
      </c>
      <c r="U38" s="197">
        <v>0</v>
      </c>
      <c r="V38" s="196">
        <v>0</v>
      </c>
      <c r="W38" s="207">
        <v>0</v>
      </c>
      <c r="X38" s="198">
        <f t="shared" si="4"/>
        <v>0</v>
      </c>
      <c r="Y38" s="200">
        <f t="shared" si="5"/>
        <v>1105</v>
      </c>
      <c r="Z38" s="197">
        <v>0</v>
      </c>
      <c r="AA38" s="196">
        <v>0</v>
      </c>
      <c r="AB38" s="197">
        <v>0</v>
      </c>
      <c r="AC38" s="198">
        <f t="shared" si="6"/>
        <v>0</v>
      </c>
      <c r="AD38" s="197">
        <v>0</v>
      </c>
      <c r="AE38" s="196">
        <v>0</v>
      </c>
      <c r="AF38" s="197">
        <v>0</v>
      </c>
      <c r="AG38" s="198">
        <f t="shared" si="7"/>
        <v>0</v>
      </c>
      <c r="AH38" s="200">
        <f t="shared" si="8"/>
        <v>0</v>
      </c>
      <c r="AI38" s="199">
        <f t="shared" ref="AI38:AI39" si="28">F38+G38+P38+Y38+AH38</f>
        <v>1612.78</v>
      </c>
      <c r="AJ38" s="201">
        <f t="shared" ref="AJ38:AJ39" si="29">AI38/E38</f>
        <v>0.29910608308605341</v>
      </c>
      <c r="AK38" s="196">
        <f t="shared" ref="AK38" si="30">(E38-AI38)*$AK$15</f>
        <v>415.71420000000001</v>
      </c>
      <c r="AL38" s="196">
        <v>0</v>
      </c>
      <c r="AM38" s="196">
        <v>0</v>
      </c>
      <c r="AN38" s="196">
        <v>0</v>
      </c>
      <c r="AO38" s="196">
        <v>0</v>
      </c>
      <c r="AP38" s="247">
        <v>3.1700667655786302E-2</v>
      </c>
      <c r="AQ38" s="196">
        <f t="shared" si="15"/>
        <v>170.92999999999975</v>
      </c>
      <c r="AR38" s="202">
        <f t="shared" si="9"/>
        <v>170.92999999999975</v>
      </c>
      <c r="AS38" s="202">
        <f t="shared" si="10"/>
        <v>586.64419999999973</v>
      </c>
      <c r="AT38" s="203">
        <f t="shared" si="11"/>
        <v>4805.3558000000003</v>
      </c>
      <c r="AV38" s="204"/>
    </row>
    <row r="39" spans="2:49" s="131" customFormat="1" ht="18" hidden="1" customHeight="1">
      <c r="B39" s="194" t="s">
        <v>1517</v>
      </c>
      <c r="C39" s="194">
        <v>89</v>
      </c>
      <c r="D39" s="195" t="s">
        <v>1746</v>
      </c>
      <c r="E39" s="196">
        <v>11906</v>
      </c>
      <c r="F39" s="196">
        <v>1977.4</v>
      </c>
      <c r="G39" s="196">
        <v>2040</v>
      </c>
      <c r="H39" s="197">
        <v>2</v>
      </c>
      <c r="I39" s="196">
        <v>16</v>
      </c>
      <c r="J39" s="197">
        <v>26</v>
      </c>
      <c r="K39" s="198">
        <f t="shared" si="0"/>
        <v>832</v>
      </c>
      <c r="L39" s="197">
        <v>0</v>
      </c>
      <c r="M39" s="196">
        <v>0</v>
      </c>
      <c r="N39" s="197">
        <v>0</v>
      </c>
      <c r="O39" s="198">
        <f t="shared" si="1"/>
        <v>0</v>
      </c>
      <c r="P39" s="199">
        <f t="shared" si="2"/>
        <v>832</v>
      </c>
      <c r="Q39" s="197">
        <v>2</v>
      </c>
      <c r="R39" s="196">
        <v>42.5</v>
      </c>
      <c r="S39" s="197">
        <v>26</v>
      </c>
      <c r="T39" s="198">
        <f t="shared" si="3"/>
        <v>2210</v>
      </c>
      <c r="U39" s="197">
        <v>0</v>
      </c>
      <c r="V39" s="196">
        <v>0</v>
      </c>
      <c r="W39" s="207">
        <v>0</v>
      </c>
      <c r="X39" s="198">
        <f t="shared" si="4"/>
        <v>0</v>
      </c>
      <c r="Y39" s="200">
        <f t="shared" si="5"/>
        <v>2210</v>
      </c>
      <c r="Z39" s="197">
        <v>2</v>
      </c>
      <c r="AA39" s="196">
        <v>80</v>
      </c>
      <c r="AB39" s="197">
        <v>1</v>
      </c>
      <c r="AC39" s="198">
        <f t="shared" si="6"/>
        <v>160</v>
      </c>
      <c r="AD39" s="197">
        <v>0</v>
      </c>
      <c r="AE39" s="196">
        <v>0</v>
      </c>
      <c r="AF39" s="197">
        <v>0</v>
      </c>
      <c r="AG39" s="198">
        <f t="shared" si="7"/>
        <v>0</v>
      </c>
      <c r="AH39" s="200">
        <f t="shared" si="8"/>
        <v>160</v>
      </c>
      <c r="AI39" s="199">
        <f t="shared" si="28"/>
        <v>7219.4</v>
      </c>
      <c r="AJ39" s="201">
        <f t="shared" si="29"/>
        <v>0.60636653788006045</v>
      </c>
      <c r="AK39" s="196">
        <f>(E39-AI39)*$AK$15</f>
        <v>515.52600000000007</v>
      </c>
      <c r="AL39" s="196">
        <v>0</v>
      </c>
      <c r="AM39" s="196">
        <v>0</v>
      </c>
      <c r="AN39" s="196">
        <v>0</v>
      </c>
      <c r="AO39" s="196">
        <v>0</v>
      </c>
      <c r="AP39" s="247">
        <v>3.1700667655786302E-2</v>
      </c>
      <c r="AQ39" s="196">
        <f t="shared" si="15"/>
        <v>377.42814910979172</v>
      </c>
      <c r="AR39" s="202">
        <f t="shared" si="9"/>
        <v>377.42814910979172</v>
      </c>
      <c r="AS39" s="202">
        <f t="shared" si="10"/>
        <v>892.95414910979184</v>
      </c>
      <c r="AT39" s="203">
        <f t="shared" si="11"/>
        <v>11013.045850890208</v>
      </c>
      <c r="AV39" s="206"/>
      <c r="AW39" s="204"/>
    </row>
    <row r="40" spans="2:49" s="131" customFormat="1" ht="18" hidden="1" customHeight="1">
      <c r="B40" s="194" t="s">
        <v>1517</v>
      </c>
      <c r="C40" s="194">
        <v>90</v>
      </c>
      <c r="D40" s="195" t="s">
        <v>653</v>
      </c>
      <c r="E40" s="196">
        <v>28822</v>
      </c>
      <c r="F40" s="196">
        <v>2042.9</v>
      </c>
      <c r="G40" s="196">
        <v>2915</v>
      </c>
      <c r="H40" s="197">
        <v>2</v>
      </c>
      <c r="I40" s="196">
        <v>24</v>
      </c>
      <c r="J40" s="197">
        <v>26</v>
      </c>
      <c r="K40" s="198">
        <f t="shared" si="0"/>
        <v>1248</v>
      </c>
      <c r="L40" s="197">
        <v>4</v>
      </c>
      <c r="M40" s="196">
        <v>16</v>
      </c>
      <c r="N40" s="197">
        <v>16</v>
      </c>
      <c r="O40" s="198">
        <f t="shared" si="1"/>
        <v>1024</v>
      </c>
      <c r="P40" s="199">
        <f t="shared" si="2"/>
        <v>2272</v>
      </c>
      <c r="Q40" s="197">
        <v>2</v>
      </c>
      <c r="R40" s="196">
        <v>42.5</v>
      </c>
      <c r="S40" s="197">
        <v>26</v>
      </c>
      <c r="T40" s="198">
        <f t="shared" si="3"/>
        <v>2210</v>
      </c>
      <c r="U40" s="197">
        <v>4</v>
      </c>
      <c r="V40" s="196">
        <v>42.5</v>
      </c>
      <c r="W40" s="207">
        <v>16</v>
      </c>
      <c r="X40" s="198">
        <f t="shared" si="4"/>
        <v>2720</v>
      </c>
      <c r="Y40" s="200">
        <f t="shared" si="5"/>
        <v>4930</v>
      </c>
      <c r="Z40" s="197">
        <v>2</v>
      </c>
      <c r="AA40" s="196">
        <v>80</v>
      </c>
      <c r="AB40" s="197">
        <v>1</v>
      </c>
      <c r="AC40" s="198">
        <f t="shared" si="6"/>
        <v>160</v>
      </c>
      <c r="AD40" s="197">
        <v>4</v>
      </c>
      <c r="AE40" s="196">
        <v>90</v>
      </c>
      <c r="AF40" s="197">
        <v>1</v>
      </c>
      <c r="AG40" s="198">
        <f t="shared" si="7"/>
        <v>360</v>
      </c>
      <c r="AH40" s="200">
        <f t="shared" si="8"/>
        <v>520</v>
      </c>
      <c r="AI40" s="199">
        <f>F40+G40+P40+Y40+AH40</f>
        <v>12679.9</v>
      </c>
      <c r="AJ40" s="201">
        <f>AI40/E40</f>
        <v>0.43993824162098394</v>
      </c>
      <c r="AK40" s="196">
        <f>(E40-AI40)*$AK$15</f>
        <v>1775.6310000000001</v>
      </c>
      <c r="AL40" s="196">
        <v>0</v>
      </c>
      <c r="AM40" s="196">
        <v>0</v>
      </c>
      <c r="AN40" s="196">
        <v>0</v>
      </c>
      <c r="AO40" s="196">
        <v>0</v>
      </c>
      <c r="AP40" s="247">
        <v>3.1700667655786302E-2</v>
      </c>
      <c r="AQ40" s="196">
        <f t="shared" si="15"/>
        <v>913.67664317507285</v>
      </c>
      <c r="AR40" s="202">
        <f t="shared" si="9"/>
        <v>913.67664317507285</v>
      </c>
      <c r="AS40" s="202">
        <f t="shared" si="10"/>
        <v>2689.3076431750728</v>
      </c>
      <c r="AT40" s="203">
        <f t="shared" si="11"/>
        <v>26132.692356824926</v>
      </c>
      <c r="AV40" s="206"/>
      <c r="AW40" s="204"/>
    </row>
    <row r="41" spans="2:49" s="131" customFormat="1" ht="18" hidden="1" customHeight="1">
      <c r="B41" s="194" t="s">
        <v>1605</v>
      </c>
      <c r="C41" s="194">
        <v>91</v>
      </c>
      <c r="D41" s="195" t="s">
        <v>1748</v>
      </c>
      <c r="E41" s="196">
        <v>5392</v>
      </c>
      <c r="F41" s="196">
        <v>0</v>
      </c>
      <c r="G41" s="196">
        <v>0</v>
      </c>
      <c r="H41" s="197">
        <v>1</v>
      </c>
      <c r="I41" s="196">
        <v>19.53</v>
      </c>
      <c r="J41" s="197">
        <v>26</v>
      </c>
      <c r="K41" s="198">
        <f t="shared" si="0"/>
        <v>507.78000000000003</v>
      </c>
      <c r="L41" s="197">
        <v>0</v>
      </c>
      <c r="M41" s="196">
        <v>0</v>
      </c>
      <c r="N41" s="197">
        <v>0</v>
      </c>
      <c r="O41" s="198">
        <f t="shared" si="1"/>
        <v>0</v>
      </c>
      <c r="P41" s="199">
        <f t="shared" si="2"/>
        <v>507.78000000000003</v>
      </c>
      <c r="Q41" s="197">
        <v>1</v>
      </c>
      <c r="R41" s="196">
        <v>42.5</v>
      </c>
      <c r="S41" s="197">
        <v>26</v>
      </c>
      <c r="T41" s="198">
        <f t="shared" si="3"/>
        <v>1105</v>
      </c>
      <c r="U41" s="197">
        <v>0</v>
      </c>
      <c r="V41" s="196">
        <v>0</v>
      </c>
      <c r="W41" s="207">
        <v>0</v>
      </c>
      <c r="X41" s="198">
        <f t="shared" si="4"/>
        <v>0</v>
      </c>
      <c r="Y41" s="200">
        <f t="shared" si="5"/>
        <v>1105</v>
      </c>
      <c r="Z41" s="197">
        <v>0</v>
      </c>
      <c r="AA41" s="196">
        <v>0</v>
      </c>
      <c r="AB41" s="197">
        <v>0</v>
      </c>
      <c r="AC41" s="198">
        <f t="shared" si="6"/>
        <v>0</v>
      </c>
      <c r="AD41" s="197">
        <v>0</v>
      </c>
      <c r="AE41" s="196">
        <v>0</v>
      </c>
      <c r="AF41" s="197">
        <v>0</v>
      </c>
      <c r="AG41" s="198">
        <f t="shared" si="7"/>
        <v>0</v>
      </c>
      <c r="AH41" s="200">
        <f t="shared" si="8"/>
        <v>0</v>
      </c>
      <c r="AI41" s="199">
        <f t="shared" ref="AI41:AI42" si="31">F41+G41+P41+Y41+AH41</f>
        <v>1612.78</v>
      </c>
      <c r="AJ41" s="201">
        <f t="shared" ref="AJ41:AJ42" si="32">AI41/E41</f>
        <v>0.29910608308605341</v>
      </c>
      <c r="AK41" s="196">
        <f t="shared" ref="AK41" si="33">(E41-AI41)*$AK$15</f>
        <v>415.71420000000001</v>
      </c>
      <c r="AL41" s="196">
        <v>0</v>
      </c>
      <c r="AM41" s="196">
        <v>0</v>
      </c>
      <c r="AN41" s="196">
        <v>0</v>
      </c>
      <c r="AO41" s="196">
        <v>0</v>
      </c>
      <c r="AP41" s="247">
        <v>3.2000000000000001E-2</v>
      </c>
      <c r="AQ41" s="196">
        <f t="shared" si="15"/>
        <v>172.54400000000001</v>
      </c>
      <c r="AR41" s="202">
        <f t="shared" si="9"/>
        <v>172.54400000000001</v>
      </c>
      <c r="AS41" s="202">
        <f t="shared" si="10"/>
        <v>588.25819999999999</v>
      </c>
      <c r="AT41" s="203">
        <f t="shared" si="11"/>
        <v>4803.7417999999998</v>
      </c>
      <c r="AV41" s="204"/>
    </row>
    <row r="42" spans="2:49" s="131" customFormat="1" ht="18" hidden="1" customHeight="1">
      <c r="B42" s="194" t="s">
        <v>1605</v>
      </c>
      <c r="C42" s="194">
        <v>92</v>
      </c>
      <c r="D42" s="195" t="s">
        <v>1746</v>
      </c>
      <c r="E42" s="196">
        <v>11906</v>
      </c>
      <c r="F42" s="196">
        <v>1977.4</v>
      </c>
      <c r="G42" s="196">
        <v>2040</v>
      </c>
      <c r="H42" s="197">
        <v>2</v>
      </c>
      <c r="I42" s="196">
        <v>16</v>
      </c>
      <c r="J42" s="197">
        <v>26</v>
      </c>
      <c r="K42" s="198">
        <f t="shared" si="0"/>
        <v>832</v>
      </c>
      <c r="L42" s="197">
        <v>0</v>
      </c>
      <c r="M42" s="196">
        <v>0</v>
      </c>
      <c r="N42" s="197">
        <v>0</v>
      </c>
      <c r="O42" s="198">
        <f t="shared" si="1"/>
        <v>0</v>
      </c>
      <c r="P42" s="199">
        <f t="shared" si="2"/>
        <v>832</v>
      </c>
      <c r="Q42" s="197">
        <v>2</v>
      </c>
      <c r="R42" s="196">
        <v>42.5</v>
      </c>
      <c r="S42" s="197">
        <v>26</v>
      </c>
      <c r="T42" s="198">
        <f t="shared" si="3"/>
        <v>2210</v>
      </c>
      <c r="U42" s="197">
        <v>0</v>
      </c>
      <c r="V42" s="196">
        <v>0</v>
      </c>
      <c r="W42" s="207">
        <v>0</v>
      </c>
      <c r="X42" s="198">
        <f t="shared" si="4"/>
        <v>0</v>
      </c>
      <c r="Y42" s="200">
        <f t="shared" si="5"/>
        <v>2210</v>
      </c>
      <c r="Z42" s="197">
        <v>2</v>
      </c>
      <c r="AA42" s="196">
        <v>80</v>
      </c>
      <c r="AB42" s="197">
        <v>1</v>
      </c>
      <c r="AC42" s="198">
        <f t="shared" si="6"/>
        <v>160</v>
      </c>
      <c r="AD42" s="197">
        <v>0</v>
      </c>
      <c r="AE42" s="196">
        <v>0</v>
      </c>
      <c r="AF42" s="197">
        <v>0</v>
      </c>
      <c r="AG42" s="198">
        <f t="shared" si="7"/>
        <v>0</v>
      </c>
      <c r="AH42" s="200">
        <f t="shared" si="8"/>
        <v>160</v>
      </c>
      <c r="AI42" s="199">
        <f t="shared" si="31"/>
        <v>7219.4</v>
      </c>
      <c r="AJ42" s="201">
        <f t="shared" si="32"/>
        <v>0.60636653788006045</v>
      </c>
      <c r="AK42" s="196">
        <f>(E42-AI42)*$AK$15</f>
        <v>515.52600000000007</v>
      </c>
      <c r="AL42" s="196">
        <v>0</v>
      </c>
      <c r="AM42" s="196">
        <v>0</v>
      </c>
      <c r="AN42" s="196">
        <v>0</v>
      </c>
      <c r="AO42" s="196">
        <v>0</v>
      </c>
      <c r="AP42" s="247">
        <v>3.2000000000000001E-2</v>
      </c>
      <c r="AQ42" s="196">
        <f t="shared" si="15"/>
        <v>380.99200000000002</v>
      </c>
      <c r="AR42" s="202">
        <f t="shared" si="9"/>
        <v>380.99200000000002</v>
      </c>
      <c r="AS42" s="202">
        <f t="shared" si="10"/>
        <v>896.51800000000003</v>
      </c>
      <c r="AT42" s="203">
        <f t="shared" si="11"/>
        <v>11009.482</v>
      </c>
      <c r="AV42" s="206"/>
      <c r="AW42" s="204"/>
    </row>
    <row r="43" spans="2:49" s="131" customFormat="1" ht="18" hidden="1" customHeight="1">
      <c r="B43" s="194" t="s">
        <v>1605</v>
      </c>
      <c r="C43" s="194">
        <v>93</v>
      </c>
      <c r="D43" s="195" t="s">
        <v>653</v>
      </c>
      <c r="E43" s="196">
        <v>28822</v>
      </c>
      <c r="F43" s="196">
        <v>2044.6</v>
      </c>
      <c r="G43" s="196">
        <v>2915</v>
      </c>
      <c r="H43" s="197">
        <v>2</v>
      </c>
      <c r="I43" s="196">
        <v>24</v>
      </c>
      <c r="J43" s="197">
        <v>26</v>
      </c>
      <c r="K43" s="198">
        <f t="shared" si="0"/>
        <v>1248</v>
      </c>
      <c r="L43" s="197">
        <v>4</v>
      </c>
      <c r="M43" s="196">
        <v>16</v>
      </c>
      <c r="N43" s="197">
        <v>16</v>
      </c>
      <c r="O43" s="198">
        <f t="shared" si="1"/>
        <v>1024</v>
      </c>
      <c r="P43" s="199">
        <f t="shared" si="2"/>
        <v>2272</v>
      </c>
      <c r="Q43" s="197">
        <v>2</v>
      </c>
      <c r="R43" s="196">
        <v>42.5</v>
      </c>
      <c r="S43" s="197">
        <v>26</v>
      </c>
      <c r="T43" s="198">
        <f t="shared" si="3"/>
        <v>2210</v>
      </c>
      <c r="U43" s="197">
        <v>4</v>
      </c>
      <c r="V43" s="196">
        <v>42.5</v>
      </c>
      <c r="W43" s="207">
        <v>16</v>
      </c>
      <c r="X43" s="198">
        <f t="shared" si="4"/>
        <v>2720</v>
      </c>
      <c r="Y43" s="200">
        <f t="shared" si="5"/>
        <v>4930</v>
      </c>
      <c r="Z43" s="197">
        <v>2</v>
      </c>
      <c r="AA43" s="196">
        <v>80</v>
      </c>
      <c r="AB43" s="197">
        <v>1</v>
      </c>
      <c r="AC43" s="198">
        <f t="shared" si="6"/>
        <v>160</v>
      </c>
      <c r="AD43" s="197">
        <v>4</v>
      </c>
      <c r="AE43" s="196">
        <v>90</v>
      </c>
      <c r="AF43" s="197">
        <v>1</v>
      </c>
      <c r="AG43" s="198">
        <f t="shared" si="7"/>
        <v>360</v>
      </c>
      <c r="AH43" s="200">
        <f t="shared" si="8"/>
        <v>520</v>
      </c>
      <c r="AI43" s="199">
        <f>F43+G43+P43+Y43+AH43</f>
        <v>12681.6</v>
      </c>
      <c r="AJ43" s="201">
        <f>AI43/E43</f>
        <v>0.43999722434251615</v>
      </c>
      <c r="AK43" s="196">
        <f>(E43-AI43)*$AK$15</f>
        <v>1775.444</v>
      </c>
      <c r="AL43" s="196">
        <v>0</v>
      </c>
      <c r="AM43" s="196">
        <v>0</v>
      </c>
      <c r="AN43" s="196">
        <v>0</v>
      </c>
      <c r="AO43" s="196">
        <v>0</v>
      </c>
      <c r="AP43" s="247">
        <v>3.2000000000000001E-2</v>
      </c>
      <c r="AQ43" s="196">
        <f t="shared" si="15"/>
        <v>922.30399999999997</v>
      </c>
      <c r="AR43" s="202">
        <f t="shared" si="9"/>
        <v>922.30399999999997</v>
      </c>
      <c r="AS43" s="202">
        <f t="shared" si="10"/>
        <v>2697.748</v>
      </c>
      <c r="AT43" s="203">
        <f t="shared" si="11"/>
        <v>26124.252</v>
      </c>
      <c r="AV43" s="206"/>
      <c r="AW43" s="248"/>
    </row>
    <row r="44" spans="2:49" s="131" customFormat="1" ht="18" hidden="1" customHeight="1">
      <c r="B44" s="194" t="s">
        <v>1608</v>
      </c>
      <c r="C44" s="194">
        <v>94</v>
      </c>
      <c r="D44" s="195" t="s">
        <v>1748</v>
      </c>
      <c r="E44" s="196">
        <v>5392</v>
      </c>
      <c r="F44" s="196">
        <v>0</v>
      </c>
      <c r="G44" s="196">
        <v>0</v>
      </c>
      <c r="H44" s="197">
        <v>1</v>
      </c>
      <c r="I44" s="196">
        <v>19.53</v>
      </c>
      <c r="J44" s="197">
        <v>26</v>
      </c>
      <c r="K44" s="198">
        <f t="shared" si="0"/>
        <v>507.78000000000003</v>
      </c>
      <c r="L44" s="197">
        <v>0</v>
      </c>
      <c r="M44" s="196">
        <v>0</v>
      </c>
      <c r="N44" s="197">
        <v>0</v>
      </c>
      <c r="O44" s="198">
        <f t="shared" si="1"/>
        <v>0</v>
      </c>
      <c r="P44" s="199">
        <f t="shared" si="2"/>
        <v>507.78000000000003</v>
      </c>
      <c r="Q44" s="197">
        <v>1</v>
      </c>
      <c r="R44" s="196">
        <v>42.5</v>
      </c>
      <c r="S44" s="197">
        <v>26</v>
      </c>
      <c r="T44" s="198">
        <f t="shared" si="3"/>
        <v>1105</v>
      </c>
      <c r="U44" s="197">
        <v>0</v>
      </c>
      <c r="V44" s="196">
        <v>0</v>
      </c>
      <c r="W44" s="207">
        <v>0</v>
      </c>
      <c r="X44" s="198">
        <f t="shared" si="4"/>
        <v>0</v>
      </c>
      <c r="Y44" s="200">
        <f t="shared" si="5"/>
        <v>1105</v>
      </c>
      <c r="Z44" s="197">
        <v>0</v>
      </c>
      <c r="AA44" s="196">
        <v>0</v>
      </c>
      <c r="AB44" s="197">
        <v>0</v>
      </c>
      <c r="AC44" s="198">
        <f t="shared" si="6"/>
        <v>0</v>
      </c>
      <c r="AD44" s="197">
        <v>0</v>
      </c>
      <c r="AE44" s="196">
        <v>0</v>
      </c>
      <c r="AF44" s="197">
        <v>0</v>
      </c>
      <c r="AG44" s="198">
        <f t="shared" si="7"/>
        <v>0</v>
      </c>
      <c r="AH44" s="200">
        <f t="shared" si="8"/>
        <v>0</v>
      </c>
      <c r="AI44" s="199">
        <f t="shared" ref="AI44:AI45" si="34">F44+G44+P44+Y44+AH44</f>
        <v>1612.78</v>
      </c>
      <c r="AJ44" s="201">
        <f t="shared" ref="AJ44:AJ45" si="35">AI44/E44</f>
        <v>0.29910608308605341</v>
      </c>
      <c r="AK44" s="196">
        <f t="shared" ref="AK44" si="36">(E44-AI44)*$AK$15</f>
        <v>415.71420000000001</v>
      </c>
      <c r="AL44" s="196">
        <v>0</v>
      </c>
      <c r="AM44" s="196">
        <v>0</v>
      </c>
      <c r="AN44" s="196">
        <v>0</v>
      </c>
      <c r="AO44" s="196">
        <v>0</v>
      </c>
      <c r="AP44" s="258">
        <v>3.1600000000000003E-2</v>
      </c>
      <c r="AQ44" s="196">
        <f t="shared" ref="AQ44:AQ49" si="37">AP44*E44</f>
        <v>170.38720000000001</v>
      </c>
      <c r="AR44" s="202">
        <f t="shared" si="9"/>
        <v>170.38720000000001</v>
      </c>
      <c r="AS44" s="202">
        <f t="shared" si="10"/>
        <v>586.10140000000001</v>
      </c>
      <c r="AT44" s="203">
        <f t="shared" si="11"/>
        <v>4805.8986000000004</v>
      </c>
      <c r="AV44" s="204"/>
    </row>
    <row r="45" spans="2:49" s="131" customFormat="1" ht="18" hidden="1" customHeight="1">
      <c r="B45" s="194" t="s">
        <v>1608</v>
      </c>
      <c r="C45" s="194">
        <v>97</v>
      </c>
      <c r="D45" s="195" t="s">
        <v>1746</v>
      </c>
      <c r="E45" s="196">
        <v>11906</v>
      </c>
      <c r="F45" s="196">
        <v>1977.4</v>
      </c>
      <c r="G45" s="196">
        <v>2040</v>
      </c>
      <c r="H45" s="197">
        <v>2</v>
      </c>
      <c r="I45" s="196">
        <v>16</v>
      </c>
      <c r="J45" s="197">
        <v>26</v>
      </c>
      <c r="K45" s="198">
        <f t="shared" si="0"/>
        <v>832</v>
      </c>
      <c r="L45" s="197">
        <v>0</v>
      </c>
      <c r="M45" s="196">
        <v>0</v>
      </c>
      <c r="N45" s="197">
        <v>0</v>
      </c>
      <c r="O45" s="198">
        <f t="shared" si="1"/>
        <v>0</v>
      </c>
      <c r="P45" s="199">
        <f t="shared" si="2"/>
        <v>832</v>
      </c>
      <c r="Q45" s="197">
        <v>2</v>
      </c>
      <c r="R45" s="196">
        <v>42.5</v>
      </c>
      <c r="S45" s="197">
        <v>26</v>
      </c>
      <c r="T45" s="198">
        <f t="shared" si="3"/>
        <v>2210</v>
      </c>
      <c r="U45" s="197">
        <v>0</v>
      </c>
      <c r="V45" s="196">
        <v>0</v>
      </c>
      <c r="W45" s="207">
        <v>0</v>
      </c>
      <c r="X45" s="198">
        <f t="shared" si="4"/>
        <v>0</v>
      </c>
      <c r="Y45" s="200">
        <f t="shared" si="5"/>
        <v>2210</v>
      </c>
      <c r="Z45" s="197">
        <v>2</v>
      </c>
      <c r="AA45" s="196">
        <v>80</v>
      </c>
      <c r="AB45" s="197">
        <v>1</v>
      </c>
      <c r="AC45" s="198">
        <f t="shared" si="6"/>
        <v>160</v>
      </c>
      <c r="AD45" s="197">
        <v>0</v>
      </c>
      <c r="AE45" s="196">
        <v>0</v>
      </c>
      <c r="AF45" s="197">
        <v>0</v>
      </c>
      <c r="AG45" s="198">
        <f t="shared" si="7"/>
        <v>0</v>
      </c>
      <c r="AH45" s="200">
        <f t="shared" si="8"/>
        <v>160</v>
      </c>
      <c r="AI45" s="199">
        <f t="shared" si="34"/>
        <v>7219.4</v>
      </c>
      <c r="AJ45" s="201">
        <f t="shared" si="35"/>
        <v>0.60636653788006045</v>
      </c>
      <c r="AK45" s="196">
        <f>(E45-AI45)*$AK$15</f>
        <v>515.52600000000007</v>
      </c>
      <c r="AL45" s="196">
        <v>0</v>
      </c>
      <c r="AM45" s="196">
        <v>0</v>
      </c>
      <c r="AN45" s="196">
        <v>0</v>
      </c>
      <c r="AO45" s="196">
        <v>0</v>
      </c>
      <c r="AP45" s="258">
        <v>3.1600000000000003E-2</v>
      </c>
      <c r="AQ45" s="196">
        <f t="shared" si="37"/>
        <v>376.22960000000006</v>
      </c>
      <c r="AR45" s="202">
        <f t="shared" si="9"/>
        <v>376.22960000000006</v>
      </c>
      <c r="AS45" s="202">
        <f t="shared" si="10"/>
        <v>891.75560000000019</v>
      </c>
      <c r="AT45" s="203">
        <f t="shared" si="11"/>
        <v>11014.2444</v>
      </c>
      <c r="AV45" s="206"/>
      <c r="AW45" s="204"/>
    </row>
    <row r="46" spans="2:49" s="131" customFormat="1" ht="18" hidden="1" customHeight="1">
      <c r="B46" s="194" t="s">
        <v>1608</v>
      </c>
      <c r="C46" s="194">
        <v>99</v>
      </c>
      <c r="D46" s="195" t="s">
        <v>653</v>
      </c>
      <c r="E46" s="196">
        <v>30822</v>
      </c>
      <c r="F46" s="196">
        <v>2042.9</v>
      </c>
      <c r="G46" s="196">
        <v>2915</v>
      </c>
      <c r="H46" s="197">
        <v>2</v>
      </c>
      <c r="I46" s="196">
        <v>24</v>
      </c>
      <c r="J46" s="197">
        <v>26</v>
      </c>
      <c r="K46" s="198">
        <f t="shared" si="0"/>
        <v>1248</v>
      </c>
      <c r="L46" s="197">
        <v>4</v>
      </c>
      <c r="M46" s="196">
        <v>16</v>
      </c>
      <c r="N46" s="197">
        <v>16</v>
      </c>
      <c r="O46" s="198">
        <f t="shared" si="1"/>
        <v>1024</v>
      </c>
      <c r="P46" s="199">
        <f t="shared" si="2"/>
        <v>2272</v>
      </c>
      <c r="Q46" s="197">
        <v>2</v>
      </c>
      <c r="R46" s="196">
        <v>42.5</v>
      </c>
      <c r="S46" s="197">
        <v>26</v>
      </c>
      <c r="T46" s="198">
        <f t="shared" si="3"/>
        <v>2210</v>
      </c>
      <c r="U46" s="197">
        <v>4</v>
      </c>
      <c r="V46" s="196">
        <v>42.5</v>
      </c>
      <c r="W46" s="207">
        <v>16</v>
      </c>
      <c r="X46" s="198">
        <f t="shared" si="4"/>
        <v>2720</v>
      </c>
      <c r="Y46" s="200">
        <f t="shared" si="5"/>
        <v>4930</v>
      </c>
      <c r="Z46" s="197">
        <v>2</v>
      </c>
      <c r="AA46" s="196">
        <v>80</v>
      </c>
      <c r="AB46" s="197">
        <v>1</v>
      </c>
      <c r="AC46" s="198">
        <f t="shared" si="6"/>
        <v>160</v>
      </c>
      <c r="AD46" s="197">
        <v>4</v>
      </c>
      <c r="AE46" s="196">
        <v>90</v>
      </c>
      <c r="AF46" s="197">
        <v>1</v>
      </c>
      <c r="AG46" s="198">
        <f t="shared" si="7"/>
        <v>360</v>
      </c>
      <c r="AH46" s="200">
        <f t="shared" si="8"/>
        <v>520</v>
      </c>
      <c r="AI46" s="199">
        <f>F46+G46+P46+Y46+AH46</f>
        <v>12679.9</v>
      </c>
      <c r="AJ46" s="201">
        <f>AI46/E46</f>
        <v>0.4113912140678736</v>
      </c>
      <c r="AK46" s="196">
        <f>(E46-AI46)*$AK$15</f>
        <v>1995.6309999999999</v>
      </c>
      <c r="AL46" s="196">
        <v>0</v>
      </c>
      <c r="AM46" s="196">
        <v>0</v>
      </c>
      <c r="AN46" s="196">
        <v>0</v>
      </c>
      <c r="AO46" s="196">
        <v>0</v>
      </c>
      <c r="AP46" s="258">
        <v>3.1600000000000003E-2</v>
      </c>
      <c r="AQ46" s="196">
        <f t="shared" si="37"/>
        <v>973.97520000000009</v>
      </c>
      <c r="AR46" s="202">
        <f t="shared" si="9"/>
        <v>973.97520000000009</v>
      </c>
      <c r="AS46" s="202">
        <f t="shared" si="10"/>
        <v>2969.6062000000002</v>
      </c>
      <c r="AT46" s="203">
        <f t="shared" si="11"/>
        <v>27852.393799999998</v>
      </c>
      <c r="AV46" s="206"/>
      <c r="AW46" s="248"/>
    </row>
    <row r="47" spans="2:49" s="131" customFormat="1" ht="18" hidden="1" customHeight="1">
      <c r="B47" s="194" t="s">
        <v>1616</v>
      </c>
      <c r="C47" s="194">
        <v>100</v>
      </c>
      <c r="D47" s="195" t="s">
        <v>1748</v>
      </c>
      <c r="E47" s="196">
        <v>5392</v>
      </c>
      <c r="F47" s="196">
        <v>0</v>
      </c>
      <c r="G47" s="196">
        <v>0</v>
      </c>
      <c r="H47" s="197">
        <v>1</v>
      </c>
      <c r="I47" s="196">
        <v>24</v>
      </c>
      <c r="J47" s="197">
        <v>26</v>
      </c>
      <c r="K47" s="198">
        <f t="shared" ref="K47:K49" si="38">H47*I47*J47</f>
        <v>624</v>
      </c>
      <c r="L47" s="197">
        <v>0</v>
      </c>
      <c r="M47" s="196">
        <v>0</v>
      </c>
      <c r="N47" s="197">
        <v>0</v>
      </c>
      <c r="O47" s="198">
        <f t="shared" ref="O47:O49" si="39">L47*M47*N47</f>
        <v>0</v>
      </c>
      <c r="P47" s="199">
        <f t="shared" ref="P47:P49" si="40">K47+O47</f>
        <v>624</v>
      </c>
      <c r="Q47" s="197">
        <v>1</v>
      </c>
      <c r="R47" s="196">
        <v>42.5</v>
      </c>
      <c r="S47" s="197">
        <v>26</v>
      </c>
      <c r="T47" s="198">
        <f t="shared" ref="T47:T49" si="41">Q47*R47*S47</f>
        <v>1105</v>
      </c>
      <c r="U47" s="197">
        <v>0</v>
      </c>
      <c r="V47" s="196">
        <v>0</v>
      </c>
      <c r="W47" s="207">
        <v>0</v>
      </c>
      <c r="X47" s="198">
        <f t="shared" ref="X47:X49" si="42">U47*V47*W47</f>
        <v>0</v>
      </c>
      <c r="Y47" s="200">
        <f t="shared" ref="Y47:Y49" si="43">T47+X47</f>
        <v>1105</v>
      </c>
      <c r="Z47" s="197">
        <v>0</v>
      </c>
      <c r="AA47" s="196">
        <v>0</v>
      </c>
      <c r="AB47" s="197">
        <v>0</v>
      </c>
      <c r="AC47" s="198">
        <f t="shared" ref="AC47:AC49" si="44">Z47*AA47*AB47</f>
        <v>0</v>
      </c>
      <c r="AD47" s="197">
        <v>0</v>
      </c>
      <c r="AE47" s="196">
        <v>0</v>
      </c>
      <c r="AF47" s="197">
        <v>0</v>
      </c>
      <c r="AG47" s="198">
        <f t="shared" ref="AG47:AG49" si="45">AD47*AE47*AF47</f>
        <v>0</v>
      </c>
      <c r="AH47" s="200">
        <f t="shared" ref="AH47:AH49" si="46">AC47+AG47</f>
        <v>0</v>
      </c>
      <c r="AI47" s="199">
        <f t="shared" ref="AI47:AI48" si="47">F47+G47+P47+Y47+AH47</f>
        <v>1729</v>
      </c>
      <c r="AJ47" s="201">
        <f t="shared" ref="AJ47:AJ48" si="48">AI47/E47</f>
        <v>0.32066023738872401</v>
      </c>
      <c r="AK47" s="196">
        <f t="shared" ref="AK47" si="49">(E47-AI47)*$AK$15</f>
        <v>402.93</v>
      </c>
      <c r="AL47" s="196">
        <v>0</v>
      </c>
      <c r="AM47" s="196">
        <v>0</v>
      </c>
      <c r="AN47" s="196">
        <v>0</v>
      </c>
      <c r="AO47" s="196">
        <v>0</v>
      </c>
      <c r="AP47" s="258">
        <v>3.1600000000000003E-2</v>
      </c>
      <c r="AQ47" s="196">
        <f t="shared" si="37"/>
        <v>170.38720000000001</v>
      </c>
      <c r="AR47" s="202">
        <f t="shared" si="9"/>
        <v>170.38720000000001</v>
      </c>
      <c r="AS47" s="202">
        <f t="shared" ref="AS47:AS49" si="50">AK47+AR47</f>
        <v>573.31719999999996</v>
      </c>
      <c r="AT47" s="203">
        <f t="shared" ref="AT47:AT49" si="51">E47-AS47</f>
        <v>4818.6828000000005</v>
      </c>
      <c r="AV47" s="204"/>
    </row>
    <row r="48" spans="2:49" s="131" customFormat="1" ht="18" hidden="1" customHeight="1">
      <c r="B48" s="194" t="s">
        <v>1616</v>
      </c>
      <c r="C48" s="194">
        <v>102</v>
      </c>
      <c r="D48" s="195" t="s">
        <v>1746</v>
      </c>
      <c r="E48" s="196">
        <v>11906</v>
      </c>
      <c r="F48" s="196">
        <v>1977.4</v>
      </c>
      <c r="G48" s="196">
        <v>2040</v>
      </c>
      <c r="H48" s="197">
        <v>2</v>
      </c>
      <c r="I48" s="196">
        <v>24</v>
      </c>
      <c r="J48" s="197">
        <v>26</v>
      </c>
      <c r="K48" s="198">
        <f t="shared" si="38"/>
        <v>1248</v>
      </c>
      <c r="L48" s="197">
        <v>0</v>
      </c>
      <c r="M48" s="196">
        <v>0</v>
      </c>
      <c r="N48" s="197">
        <v>0</v>
      </c>
      <c r="O48" s="198">
        <f t="shared" si="39"/>
        <v>0</v>
      </c>
      <c r="P48" s="199">
        <f t="shared" si="40"/>
        <v>1248</v>
      </c>
      <c r="Q48" s="197">
        <v>2</v>
      </c>
      <c r="R48" s="196">
        <v>42.5</v>
      </c>
      <c r="S48" s="197">
        <v>26</v>
      </c>
      <c r="T48" s="198">
        <f t="shared" si="41"/>
        <v>2210</v>
      </c>
      <c r="U48" s="197">
        <v>0</v>
      </c>
      <c r="V48" s="196">
        <v>0</v>
      </c>
      <c r="W48" s="207">
        <v>0</v>
      </c>
      <c r="X48" s="198">
        <f t="shared" si="42"/>
        <v>0</v>
      </c>
      <c r="Y48" s="200">
        <f t="shared" si="43"/>
        <v>2210</v>
      </c>
      <c r="Z48" s="197">
        <v>2</v>
      </c>
      <c r="AA48" s="196">
        <v>80</v>
      </c>
      <c r="AB48" s="197">
        <v>2</v>
      </c>
      <c r="AC48" s="198">
        <f t="shared" si="44"/>
        <v>320</v>
      </c>
      <c r="AD48" s="197">
        <v>0</v>
      </c>
      <c r="AE48" s="196">
        <v>0</v>
      </c>
      <c r="AF48" s="197">
        <v>0</v>
      </c>
      <c r="AG48" s="198">
        <f t="shared" si="45"/>
        <v>0</v>
      </c>
      <c r="AH48" s="200">
        <f t="shared" si="46"/>
        <v>320</v>
      </c>
      <c r="AI48" s="199">
        <f t="shared" si="47"/>
        <v>7795.4</v>
      </c>
      <c r="AJ48" s="201">
        <f t="shared" si="48"/>
        <v>0.65474550646732732</v>
      </c>
      <c r="AK48" s="196">
        <f>(E48-AI48)*$AK$15</f>
        <v>452.16600000000005</v>
      </c>
      <c r="AL48" s="196">
        <v>0</v>
      </c>
      <c r="AM48" s="196">
        <v>0</v>
      </c>
      <c r="AN48" s="196">
        <v>0</v>
      </c>
      <c r="AO48" s="196">
        <v>0</v>
      </c>
      <c r="AP48" s="258">
        <v>3.1600000000000003E-2</v>
      </c>
      <c r="AQ48" s="196">
        <f t="shared" si="37"/>
        <v>376.22960000000006</v>
      </c>
      <c r="AR48" s="202">
        <f t="shared" si="9"/>
        <v>376.22960000000006</v>
      </c>
      <c r="AS48" s="202">
        <f t="shared" si="50"/>
        <v>828.39560000000006</v>
      </c>
      <c r="AT48" s="203">
        <f t="shared" si="51"/>
        <v>11077.6044</v>
      </c>
      <c r="AV48" s="206"/>
      <c r="AW48" s="204"/>
    </row>
    <row r="49" spans="2:49" s="131" customFormat="1" ht="18" hidden="1" customHeight="1">
      <c r="B49" s="194" t="s">
        <v>1616</v>
      </c>
      <c r="C49" s="194">
        <v>103</v>
      </c>
      <c r="D49" s="195" t="s">
        <v>653</v>
      </c>
      <c r="E49" s="196">
        <v>30822</v>
      </c>
      <c r="F49" s="196">
        <v>5625.8</v>
      </c>
      <c r="G49" s="196">
        <v>2550</v>
      </c>
      <c r="H49" s="197">
        <v>2</v>
      </c>
      <c r="I49" s="196">
        <v>24</v>
      </c>
      <c r="J49" s="197">
        <v>26</v>
      </c>
      <c r="K49" s="198">
        <f t="shared" si="38"/>
        <v>1248</v>
      </c>
      <c r="L49" s="197">
        <v>4</v>
      </c>
      <c r="M49" s="196">
        <v>16</v>
      </c>
      <c r="N49" s="197">
        <v>16</v>
      </c>
      <c r="O49" s="198">
        <f t="shared" si="39"/>
        <v>1024</v>
      </c>
      <c r="P49" s="199">
        <f t="shared" si="40"/>
        <v>2272</v>
      </c>
      <c r="Q49" s="197">
        <v>2</v>
      </c>
      <c r="R49" s="196">
        <v>42.5</v>
      </c>
      <c r="S49" s="197">
        <v>26</v>
      </c>
      <c r="T49" s="198">
        <f t="shared" si="41"/>
        <v>2210</v>
      </c>
      <c r="U49" s="197">
        <v>4</v>
      </c>
      <c r="V49" s="196">
        <v>42.5</v>
      </c>
      <c r="W49" s="207">
        <v>16</v>
      </c>
      <c r="X49" s="198">
        <f t="shared" si="42"/>
        <v>2720</v>
      </c>
      <c r="Y49" s="200">
        <f t="shared" si="43"/>
        <v>4930</v>
      </c>
      <c r="Z49" s="197">
        <v>2</v>
      </c>
      <c r="AA49" s="196">
        <v>80</v>
      </c>
      <c r="AB49" s="197">
        <v>2</v>
      </c>
      <c r="AC49" s="198">
        <f t="shared" si="44"/>
        <v>320</v>
      </c>
      <c r="AD49" s="197">
        <v>4</v>
      </c>
      <c r="AE49" s="196">
        <v>90</v>
      </c>
      <c r="AF49" s="197">
        <v>2</v>
      </c>
      <c r="AG49" s="198">
        <f t="shared" si="45"/>
        <v>720</v>
      </c>
      <c r="AH49" s="200">
        <f t="shared" si="46"/>
        <v>1040</v>
      </c>
      <c r="AI49" s="199">
        <f>F49+G49+P49+Y49+AH49</f>
        <v>16417.8</v>
      </c>
      <c r="AJ49" s="201">
        <f>AI49/E49</f>
        <v>0.53266497956005443</v>
      </c>
      <c r="AK49" s="196">
        <f>(E49-AI49)*$AK$15</f>
        <v>1584.462</v>
      </c>
      <c r="AL49" s="196">
        <v>0</v>
      </c>
      <c r="AM49" s="196">
        <v>0</v>
      </c>
      <c r="AN49" s="196">
        <v>0</v>
      </c>
      <c r="AO49" s="196">
        <v>0</v>
      </c>
      <c r="AP49" s="258">
        <v>3.1600000000000003E-2</v>
      </c>
      <c r="AQ49" s="196">
        <f t="shared" si="37"/>
        <v>973.97520000000009</v>
      </c>
      <c r="AR49" s="202">
        <f t="shared" si="9"/>
        <v>973.97520000000009</v>
      </c>
      <c r="AS49" s="202">
        <f t="shared" si="50"/>
        <v>2558.4372000000003</v>
      </c>
      <c r="AT49" s="203">
        <f t="shared" si="51"/>
        <v>28263.5628</v>
      </c>
      <c r="AV49" s="206"/>
      <c r="AW49" s="248"/>
    </row>
    <row r="50" spans="2:49" s="131" customFormat="1" ht="18" hidden="1" customHeight="1">
      <c r="B50" s="194" t="s">
        <v>1617</v>
      </c>
      <c r="C50" s="194">
        <v>104</v>
      </c>
      <c r="D50" s="195" t="s">
        <v>1748</v>
      </c>
      <c r="E50" s="196">
        <v>5392</v>
      </c>
      <c r="F50" s="196">
        <v>0</v>
      </c>
      <c r="G50" s="196">
        <v>0</v>
      </c>
      <c r="H50" s="197">
        <v>1</v>
      </c>
      <c r="I50" s="196">
        <v>24</v>
      </c>
      <c r="J50" s="197">
        <v>26</v>
      </c>
      <c r="K50" s="198">
        <f t="shared" ref="K50:K52" si="52">H50*I50*J50</f>
        <v>624</v>
      </c>
      <c r="L50" s="197">
        <v>0</v>
      </c>
      <c r="M50" s="196">
        <v>0</v>
      </c>
      <c r="N50" s="197">
        <v>0</v>
      </c>
      <c r="O50" s="198">
        <f t="shared" ref="O50:O52" si="53">L50*M50*N50</f>
        <v>0</v>
      </c>
      <c r="P50" s="199">
        <f t="shared" ref="P50:P52" si="54">K50+O50</f>
        <v>624</v>
      </c>
      <c r="Q50" s="197">
        <v>1</v>
      </c>
      <c r="R50" s="196">
        <v>42.5</v>
      </c>
      <c r="S50" s="197">
        <v>26</v>
      </c>
      <c r="T50" s="198">
        <f t="shared" ref="T50:T52" si="55">Q50*R50*S50</f>
        <v>1105</v>
      </c>
      <c r="U50" s="197">
        <v>0</v>
      </c>
      <c r="V50" s="196">
        <v>0</v>
      </c>
      <c r="W50" s="207">
        <v>0</v>
      </c>
      <c r="X50" s="198">
        <f t="shared" ref="X50:X52" si="56">U50*V50*W50</f>
        <v>0</v>
      </c>
      <c r="Y50" s="200">
        <f t="shared" ref="Y50:Y52" si="57">T50+X50</f>
        <v>1105</v>
      </c>
      <c r="Z50" s="197">
        <v>0</v>
      </c>
      <c r="AA50" s="196">
        <v>0</v>
      </c>
      <c r="AB50" s="197">
        <v>0</v>
      </c>
      <c r="AC50" s="198">
        <f t="shared" ref="AC50:AC52" si="58">Z50*AA50*AB50</f>
        <v>0</v>
      </c>
      <c r="AD50" s="197">
        <v>0</v>
      </c>
      <c r="AE50" s="196">
        <v>0</v>
      </c>
      <c r="AF50" s="197">
        <v>0</v>
      </c>
      <c r="AG50" s="198">
        <f t="shared" ref="AG50:AG52" si="59">AD50*AE50*AF50</f>
        <v>0</v>
      </c>
      <c r="AH50" s="200">
        <f t="shared" ref="AH50:AH52" si="60">AC50+AG50</f>
        <v>0</v>
      </c>
      <c r="AI50" s="199">
        <f t="shared" ref="AI50:AI51" si="61">F50+G50+P50+Y50+AH50</f>
        <v>1729</v>
      </c>
      <c r="AJ50" s="201">
        <f t="shared" ref="AJ50:AJ51" si="62">AI50/E50</f>
        <v>0.32066023738872401</v>
      </c>
      <c r="AK50" s="196">
        <f t="shared" ref="AK50" si="63">(E50-AI50)*$AK$15</f>
        <v>402.93</v>
      </c>
      <c r="AL50" s="196">
        <v>0</v>
      </c>
      <c r="AM50" s="196">
        <v>0</v>
      </c>
      <c r="AN50" s="196">
        <v>0</v>
      </c>
      <c r="AO50" s="196">
        <v>0</v>
      </c>
      <c r="AP50" s="258">
        <v>3.2099406528189912E-2</v>
      </c>
      <c r="AQ50" s="196">
        <f t="shared" ref="AQ50:AQ55" si="64">AP50*E50</f>
        <v>173.08</v>
      </c>
      <c r="AR50" s="202">
        <f t="shared" ref="AR50:AR52" si="65">AL50+AM50+AN50+AO50+AQ50</f>
        <v>173.08</v>
      </c>
      <c r="AS50" s="202">
        <f t="shared" ref="AS50:AS52" si="66">AK50+AR50</f>
        <v>576.01</v>
      </c>
      <c r="AT50" s="203">
        <f t="shared" ref="AT50:AT52" si="67">E50-AS50</f>
        <v>4815.99</v>
      </c>
      <c r="AV50" s="204">
        <v>173.08</v>
      </c>
      <c r="AW50" s="270">
        <f>AV50/E50</f>
        <v>3.2099406528189912E-2</v>
      </c>
    </row>
    <row r="51" spans="2:49" s="131" customFormat="1" ht="18" hidden="1" customHeight="1">
      <c r="B51" s="194" t="s">
        <v>1617</v>
      </c>
      <c r="C51" s="194">
        <v>105</v>
      </c>
      <c r="D51" s="195" t="s">
        <v>1746</v>
      </c>
      <c r="E51" s="196">
        <v>11906</v>
      </c>
      <c r="F51" s="196">
        <v>1977.4</v>
      </c>
      <c r="G51" s="196">
        <v>2040</v>
      </c>
      <c r="H51" s="197">
        <v>2</v>
      </c>
      <c r="I51" s="196">
        <v>24</v>
      </c>
      <c r="J51" s="197">
        <v>26</v>
      </c>
      <c r="K51" s="198">
        <f t="shared" si="52"/>
        <v>1248</v>
      </c>
      <c r="L51" s="197">
        <v>0</v>
      </c>
      <c r="M51" s="196">
        <v>0</v>
      </c>
      <c r="N51" s="197">
        <v>0</v>
      </c>
      <c r="O51" s="198">
        <f t="shared" si="53"/>
        <v>0</v>
      </c>
      <c r="P51" s="199">
        <f t="shared" si="54"/>
        <v>1248</v>
      </c>
      <c r="Q51" s="197">
        <v>2</v>
      </c>
      <c r="R51" s="196">
        <v>42.5</v>
      </c>
      <c r="S51" s="197">
        <v>26</v>
      </c>
      <c r="T51" s="198">
        <f t="shared" si="55"/>
        <v>2210</v>
      </c>
      <c r="U51" s="197">
        <v>0</v>
      </c>
      <c r="V51" s="196">
        <v>0</v>
      </c>
      <c r="W51" s="207">
        <v>0</v>
      </c>
      <c r="X51" s="198">
        <f t="shared" si="56"/>
        <v>0</v>
      </c>
      <c r="Y51" s="200">
        <f t="shared" si="57"/>
        <v>2210</v>
      </c>
      <c r="Z51" s="197">
        <v>2</v>
      </c>
      <c r="AA51" s="196">
        <v>80</v>
      </c>
      <c r="AB51" s="197">
        <v>2</v>
      </c>
      <c r="AC51" s="198">
        <f t="shared" si="58"/>
        <v>320</v>
      </c>
      <c r="AD51" s="197">
        <v>0</v>
      </c>
      <c r="AE51" s="196">
        <v>0</v>
      </c>
      <c r="AF51" s="197">
        <v>0</v>
      </c>
      <c r="AG51" s="198">
        <f t="shared" si="59"/>
        <v>0</v>
      </c>
      <c r="AH51" s="200">
        <f t="shared" si="60"/>
        <v>320</v>
      </c>
      <c r="AI51" s="199">
        <f t="shared" si="61"/>
        <v>7795.4</v>
      </c>
      <c r="AJ51" s="201">
        <f t="shared" si="62"/>
        <v>0.65474550646732732</v>
      </c>
      <c r="AK51" s="196">
        <f>(E51-AI51)*$AK$15</f>
        <v>452.16600000000005</v>
      </c>
      <c r="AL51" s="196">
        <v>0</v>
      </c>
      <c r="AM51" s="196">
        <v>0</v>
      </c>
      <c r="AN51" s="196">
        <v>0</v>
      </c>
      <c r="AO51" s="196">
        <v>0</v>
      </c>
      <c r="AP51" s="258">
        <v>3.2099406528189912E-2</v>
      </c>
      <c r="AQ51" s="196">
        <f t="shared" si="64"/>
        <v>382.17553412462911</v>
      </c>
      <c r="AR51" s="202">
        <f t="shared" si="65"/>
        <v>382.17553412462911</v>
      </c>
      <c r="AS51" s="202">
        <f t="shared" si="66"/>
        <v>834.34153412462911</v>
      </c>
      <c r="AT51" s="203">
        <f t="shared" si="67"/>
        <v>11071.658465875371</v>
      </c>
      <c r="AV51" s="206"/>
      <c r="AW51" s="204"/>
    </row>
    <row r="52" spans="2:49" s="131" customFormat="1" ht="18" hidden="1" customHeight="1">
      <c r="B52" s="194" t="s">
        <v>1617</v>
      </c>
      <c r="C52" s="194">
        <v>106</v>
      </c>
      <c r="D52" s="195" t="s">
        <v>653</v>
      </c>
      <c r="E52" s="196">
        <v>30822</v>
      </c>
      <c r="F52" s="196">
        <v>5625.8</v>
      </c>
      <c r="G52" s="196">
        <v>2550</v>
      </c>
      <c r="H52" s="197">
        <v>2</v>
      </c>
      <c r="I52" s="196">
        <v>24</v>
      </c>
      <c r="J52" s="197">
        <v>26</v>
      </c>
      <c r="K52" s="198">
        <f t="shared" si="52"/>
        <v>1248</v>
      </c>
      <c r="L52" s="197">
        <v>4</v>
      </c>
      <c r="M52" s="196">
        <v>16</v>
      </c>
      <c r="N52" s="197">
        <v>16</v>
      </c>
      <c r="O52" s="198">
        <f t="shared" si="53"/>
        <v>1024</v>
      </c>
      <c r="P52" s="199">
        <f t="shared" si="54"/>
        <v>2272</v>
      </c>
      <c r="Q52" s="197">
        <v>2</v>
      </c>
      <c r="R52" s="196">
        <v>42.5</v>
      </c>
      <c r="S52" s="197">
        <v>26</v>
      </c>
      <c r="T52" s="198">
        <f t="shared" si="55"/>
        <v>2210</v>
      </c>
      <c r="U52" s="197">
        <v>4</v>
      </c>
      <c r="V52" s="196">
        <v>42.5</v>
      </c>
      <c r="W52" s="207">
        <v>16</v>
      </c>
      <c r="X52" s="198">
        <f t="shared" si="56"/>
        <v>2720</v>
      </c>
      <c r="Y52" s="200">
        <f t="shared" si="57"/>
        <v>4930</v>
      </c>
      <c r="Z52" s="197">
        <v>2</v>
      </c>
      <c r="AA52" s="196">
        <v>80</v>
      </c>
      <c r="AB52" s="197">
        <v>2</v>
      </c>
      <c r="AC52" s="198">
        <f t="shared" si="58"/>
        <v>320</v>
      </c>
      <c r="AD52" s="197">
        <v>4</v>
      </c>
      <c r="AE52" s="196">
        <v>90</v>
      </c>
      <c r="AF52" s="197">
        <v>2</v>
      </c>
      <c r="AG52" s="198">
        <f t="shared" si="59"/>
        <v>720</v>
      </c>
      <c r="AH52" s="200">
        <f t="shared" si="60"/>
        <v>1040</v>
      </c>
      <c r="AI52" s="199">
        <f>F52+G52+P52+Y52+AH52</f>
        <v>16417.8</v>
      </c>
      <c r="AJ52" s="201">
        <f>AI52/E52</f>
        <v>0.53266497956005443</v>
      </c>
      <c r="AK52" s="196">
        <f>(E52-AI52)*$AK$15</f>
        <v>1584.462</v>
      </c>
      <c r="AL52" s="196">
        <v>0</v>
      </c>
      <c r="AM52" s="196">
        <v>0</v>
      </c>
      <c r="AN52" s="196">
        <v>0</v>
      </c>
      <c r="AO52" s="196">
        <v>0</v>
      </c>
      <c r="AP52" s="258">
        <v>3.2099406528189912E-2</v>
      </c>
      <c r="AQ52" s="196">
        <f t="shared" si="64"/>
        <v>989.36790801186953</v>
      </c>
      <c r="AR52" s="202">
        <f t="shared" si="65"/>
        <v>989.36790801186953</v>
      </c>
      <c r="AS52" s="202">
        <f t="shared" si="66"/>
        <v>2573.8299080118695</v>
      </c>
      <c r="AT52" s="203">
        <f t="shared" si="67"/>
        <v>28248.17009198813</v>
      </c>
      <c r="AV52" s="206"/>
      <c r="AW52" s="248"/>
    </row>
    <row r="53" spans="2:49" s="131" customFormat="1" ht="18" hidden="1" customHeight="1">
      <c r="B53" s="194" t="s">
        <v>1618</v>
      </c>
      <c r="C53" s="194">
        <v>107</v>
      </c>
      <c r="D53" s="195" t="s">
        <v>1748</v>
      </c>
      <c r="E53" s="196">
        <v>5392</v>
      </c>
      <c r="F53" s="196">
        <v>0</v>
      </c>
      <c r="G53" s="196">
        <v>0</v>
      </c>
      <c r="H53" s="197">
        <v>1</v>
      </c>
      <c r="I53" s="196">
        <v>24</v>
      </c>
      <c r="J53" s="197">
        <v>26</v>
      </c>
      <c r="K53" s="198">
        <f t="shared" ref="K53:K55" si="68">H53*I53*J53</f>
        <v>624</v>
      </c>
      <c r="L53" s="197">
        <v>0</v>
      </c>
      <c r="M53" s="196">
        <v>0</v>
      </c>
      <c r="N53" s="197">
        <v>0</v>
      </c>
      <c r="O53" s="198">
        <f t="shared" ref="O53:O55" si="69">L53*M53*N53</f>
        <v>0</v>
      </c>
      <c r="P53" s="199">
        <f t="shared" ref="P53:P55" si="70">K53+O53</f>
        <v>624</v>
      </c>
      <c r="Q53" s="197">
        <v>1</v>
      </c>
      <c r="R53" s="196">
        <v>42.5</v>
      </c>
      <c r="S53" s="197">
        <v>26</v>
      </c>
      <c r="T53" s="198">
        <f t="shared" ref="T53:T55" si="71">Q53*R53*S53</f>
        <v>1105</v>
      </c>
      <c r="U53" s="197">
        <v>0</v>
      </c>
      <c r="V53" s="196">
        <v>0</v>
      </c>
      <c r="W53" s="207">
        <v>0</v>
      </c>
      <c r="X53" s="198">
        <f t="shared" ref="X53:X55" si="72">U53*V53*W53</f>
        <v>0</v>
      </c>
      <c r="Y53" s="200">
        <f t="shared" ref="Y53:Y55" si="73">T53+X53</f>
        <v>1105</v>
      </c>
      <c r="Z53" s="197">
        <v>0</v>
      </c>
      <c r="AA53" s="196">
        <v>0</v>
      </c>
      <c r="AB53" s="197">
        <v>0</v>
      </c>
      <c r="AC53" s="198">
        <f t="shared" ref="AC53:AC55" si="74">Z53*AA53*AB53</f>
        <v>0</v>
      </c>
      <c r="AD53" s="197">
        <v>0</v>
      </c>
      <c r="AE53" s="196">
        <v>0</v>
      </c>
      <c r="AF53" s="197">
        <v>0</v>
      </c>
      <c r="AG53" s="198">
        <f t="shared" ref="AG53:AG55" si="75">AD53*AE53*AF53</f>
        <v>0</v>
      </c>
      <c r="AH53" s="200">
        <f t="shared" ref="AH53:AH55" si="76">AC53+AG53</f>
        <v>0</v>
      </c>
      <c r="AI53" s="199">
        <f t="shared" ref="AI53:AI54" si="77">F53+G53+P53+Y53+AH53</f>
        <v>1729</v>
      </c>
      <c r="AJ53" s="201">
        <f t="shared" ref="AJ53:AJ54" si="78">AI53/E53</f>
        <v>0.32066023738872401</v>
      </c>
      <c r="AK53" s="196">
        <f t="shared" ref="AK53" si="79">(E53-AI53)*$AK$15</f>
        <v>402.93</v>
      </c>
      <c r="AL53" s="196">
        <v>0</v>
      </c>
      <c r="AM53" s="196">
        <v>0</v>
      </c>
      <c r="AN53" s="196">
        <v>0</v>
      </c>
      <c r="AO53" s="196">
        <v>0</v>
      </c>
      <c r="AP53" s="258">
        <v>3.1800000000000002E-2</v>
      </c>
      <c r="AQ53" s="196">
        <f t="shared" si="64"/>
        <v>171.46560000000002</v>
      </c>
      <c r="AR53" s="202">
        <f t="shared" ref="AR53:AR55" si="80">AL53+AM53+AN53+AO53+AQ53</f>
        <v>171.46560000000002</v>
      </c>
      <c r="AS53" s="202">
        <f t="shared" ref="AS53:AS55" si="81">AK53+AR53</f>
        <v>574.39560000000006</v>
      </c>
      <c r="AT53" s="203">
        <f t="shared" ref="AT53:AT55" si="82">E53-AS53</f>
        <v>4817.6044000000002</v>
      </c>
      <c r="AV53" s="204">
        <v>173.08</v>
      </c>
      <c r="AW53" s="270">
        <f>AV53/E53</f>
        <v>3.2099406528189912E-2</v>
      </c>
    </row>
    <row r="54" spans="2:49" s="131" customFormat="1" ht="18" hidden="1" customHeight="1">
      <c r="B54" s="194" t="s">
        <v>1618</v>
      </c>
      <c r="C54" s="194">
        <v>108</v>
      </c>
      <c r="D54" s="195" t="s">
        <v>1746</v>
      </c>
      <c r="E54" s="196">
        <v>11906</v>
      </c>
      <c r="F54" s="196">
        <v>1977.4</v>
      </c>
      <c r="G54" s="196">
        <v>2040</v>
      </c>
      <c r="H54" s="197">
        <v>2</v>
      </c>
      <c r="I54" s="196">
        <v>24</v>
      </c>
      <c r="J54" s="197">
        <v>26</v>
      </c>
      <c r="K54" s="198">
        <f t="shared" si="68"/>
        <v>1248</v>
      </c>
      <c r="L54" s="197">
        <v>0</v>
      </c>
      <c r="M54" s="196">
        <v>0</v>
      </c>
      <c r="N54" s="197">
        <v>0</v>
      </c>
      <c r="O54" s="198">
        <f t="shared" si="69"/>
        <v>0</v>
      </c>
      <c r="P54" s="199">
        <f t="shared" si="70"/>
        <v>1248</v>
      </c>
      <c r="Q54" s="197">
        <v>2</v>
      </c>
      <c r="R54" s="196">
        <v>42.5</v>
      </c>
      <c r="S54" s="197">
        <v>26</v>
      </c>
      <c r="T54" s="198">
        <f t="shared" si="71"/>
        <v>2210</v>
      </c>
      <c r="U54" s="197">
        <v>0</v>
      </c>
      <c r="V54" s="196">
        <v>0</v>
      </c>
      <c r="W54" s="207">
        <v>0</v>
      </c>
      <c r="X54" s="198">
        <f t="shared" si="72"/>
        <v>0</v>
      </c>
      <c r="Y54" s="200">
        <f t="shared" si="73"/>
        <v>2210</v>
      </c>
      <c r="Z54" s="197">
        <v>2</v>
      </c>
      <c r="AA54" s="196">
        <v>80</v>
      </c>
      <c r="AB54" s="197">
        <v>2</v>
      </c>
      <c r="AC54" s="198">
        <f t="shared" si="74"/>
        <v>320</v>
      </c>
      <c r="AD54" s="197">
        <v>0</v>
      </c>
      <c r="AE54" s="196">
        <v>0</v>
      </c>
      <c r="AF54" s="197">
        <v>0</v>
      </c>
      <c r="AG54" s="198">
        <f t="shared" si="75"/>
        <v>0</v>
      </c>
      <c r="AH54" s="200">
        <f t="shared" si="76"/>
        <v>320</v>
      </c>
      <c r="AI54" s="199">
        <f t="shared" si="77"/>
        <v>7795.4</v>
      </c>
      <c r="AJ54" s="201">
        <f t="shared" si="78"/>
        <v>0.65474550646732732</v>
      </c>
      <c r="AK54" s="196">
        <f>(E54-AI54)*$AK$15</f>
        <v>452.16600000000005</v>
      </c>
      <c r="AL54" s="196">
        <v>0</v>
      </c>
      <c r="AM54" s="196">
        <v>0</v>
      </c>
      <c r="AN54" s="196">
        <v>0</v>
      </c>
      <c r="AO54" s="196">
        <v>0</v>
      </c>
      <c r="AP54" s="258">
        <v>3.1800000000000002E-2</v>
      </c>
      <c r="AQ54" s="196">
        <f t="shared" si="64"/>
        <v>378.61080000000004</v>
      </c>
      <c r="AR54" s="202">
        <f t="shared" si="80"/>
        <v>378.61080000000004</v>
      </c>
      <c r="AS54" s="202">
        <f t="shared" si="81"/>
        <v>830.77680000000009</v>
      </c>
      <c r="AT54" s="203">
        <f t="shared" si="82"/>
        <v>11075.2232</v>
      </c>
      <c r="AV54" s="206"/>
      <c r="AW54" s="204"/>
    </row>
    <row r="55" spans="2:49" s="131" customFormat="1" ht="18" hidden="1" customHeight="1">
      <c r="B55" s="194" t="s">
        <v>1618</v>
      </c>
      <c r="C55" s="194">
        <v>109</v>
      </c>
      <c r="D55" s="195" t="s">
        <v>653</v>
      </c>
      <c r="E55" s="196">
        <v>30822</v>
      </c>
      <c r="F55" s="196">
        <v>5625.8</v>
      </c>
      <c r="G55" s="196">
        <v>2550</v>
      </c>
      <c r="H55" s="197">
        <v>2</v>
      </c>
      <c r="I55" s="196">
        <v>24</v>
      </c>
      <c r="J55" s="197">
        <v>26</v>
      </c>
      <c r="K55" s="198">
        <f t="shared" si="68"/>
        <v>1248</v>
      </c>
      <c r="L55" s="197">
        <v>4</v>
      </c>
      <c r="M55" s="196">
        <v>16</v>
      </c>
      <c r="N55" s="197">
        <v>16</v>
      </c>
      <c r="O55" s="198">
        <f t="shared" si="69"/>
        <v>1024</v>
      </c>
      <c r="P55" s="199">
        <f t="shared" si="70"/>
        <v>2272</v>
      </c>
      <c r="Q55" s="197">
        <v>2</v>
      </c>
      <c r="R55" s="196">
        <v>42.5</v>
      </c>
      <c r="S55" s="197">
        <v>26</v>
      </c>
      <c r="T55" s="198">
        <f t="shared" si="71"/>
        <v>2210</v>
      </c>
      <c r="U55" s="197">
        <v>4</v>
      </c>
      <c r="V55" s="196">
        <v>42.5</v>
      </c>
      <c r="W55" s="207">
        <v>16</v>
      </c>
      <c r="X55" s="198">
        <f t="shared" si="72"/>
        <v>2720</v>
      </c>
      <c r="Y55" s="200">
        <f t="shared" si="73"/>
        <v>4930</v>
      </c>
      <c r="Z55" s="197">
        <v>2</v>
      </c>
      <c r="AA55" s="196">
        <v>80</v>
      </c>
      <c r="AB55" s="197">
        <v>2</v>
      </c>
      <c r="AC55" s="198">
        <f t="shared" si="74"/>
        <v>320</v>
      </c>
      <c r="AD55" s="197">
        <v>4</v>
      </c>
      <c r="AE55" s="196">
        <v>90</v>
      </c>
      <c r="AF55" s="197">
        <v>2</v>
      </c>
      <c r="AG55" s="198">
        <f t="shared" si="75"/>
        <v>720</v>
      </c>
      <c r="AH55" s="200">
        <f t="shared" si="76"/>
        <v>1040</v>
      </c>
      <c r="AI55" s="199">
        <f>F55+G55+P55+Y55+AH55</f>
        <v>16417.8</v>
      </c>
      <c r="AJ55" s="201">
        <f>AI55/E55</f>
        <v>0.53266497956005443</v>
      </c>
      <c r="AK55" s="196">
        <f>(E55-AI55)*$AK$15</f>
        <v>1584.462</v>
      </c>
      <c r="AL55" s="196">
        <v>0</v>
      </c>
      <c r="AM55" s="196">
        <v>0</v>
      </c>
      <c r="AN55" s="196">
        <v>0</v>
      </c>
      <c r="AO55" s="196">
        <v>0</v>
      </c>
      <c r="AP55" s="258">
        <v>3.1800000000000002E-2</v>
      </c>
      <c r="AQ55" s="196">
        <f t="shared" si="64"/>
        <v>980.13960000000009</v>
      </c>
      <c r="AR55" s="202">
        <f t="shared" si="80"/>
        <v>980.13960000000009</v>
      </c>
      <c r="AS55" s="202">
        <f t="shared" si="81"/>
        <v>2564.6016</v>
      </c>
      <c r="AT55" s="203">
        <f t="shared" si="82"/>
        <v>28257.398399999998</v>
      </c>
      <c r="AV55" s="206"/>
      <c r="AW55" s="248"/>
    </row>
    <row r="56" spans="2:49" s="131" customFormat="1" ht="18" hidden="1" customHeight="1">
      <c r="B56" s="371"/>
      <c r="C56" s="371"/>
      <c r="D56" s="372"/>
      <c r="E56" s="391"/>
      <c r="F56" s="391"/>
      <c r="G56" s="391"/>
      <c r="H56" s="392"/>
      <c r="I56" s="391"/>
      <c r="J56" s="392"/>
      <c r="K56" s="393"/>
      <c r="L56" s="392"/>
      <c r="M56" s="391"/>
      <c r="N56" s="392"/>
      <c r="O56" s="393"/>
      <c r="P56" s="394"/>
      <c r="Q56" s="392"/>
      <c r="R56" s="391"/>
      <c r="S56" s="392"/>
      <c r="T56" s="393"/>
      <c r="U56" s="392"/>
      <c r="V56" s="391"/>
      <c r="W56" s="426"/>
      <c r="X56" s="393"/>
      <c r="Y56" s="393"/>
      <c r="Z56" s="392"/>
      <c r="AA56" s="391"/>
      <c r="AB56" s="392"/>
      <c r="AC56" s="393"/>
      <c r="AD56" s="392"/>
      <c r="AE56" s="391"/>
      <c r="AF56" s="392"/>
      <c r="AG56" s="393"/>
      <c r="AH56" s="393"/>
      <c r="AI56" s="394"/>
      <c r="AJ56" s="395"/>
      <c r="AK56" s="391"/>
      <c r="AL56" s="391"/>
      <c r="AM56" s="391"/>
      <c r="AN56" s="391"/>
      <c r="AO56" s="391"/>
      <c r="AP56" s="427"/>
      <c r="AQ56" s="391"/>
      <c r="AR56" s="396"/>
      <c r="AS56" s="396"/>
      <c r="AT56" s="397"/>
      <c r="AV56" s="204"/>
      <c r="AW56" s="270"/>
    </row>
    <row r="57" spans="2:49" s="131" customFormat="1" ht="18" hidden="1" customHeight="1">
      <c r="B57" s="194" t="s">
        <v>1805</v>
      </c>
      <c r="C57" s="194">
        <v>110</v>
      </c>
      <c r="D57" s="195" t="s">
        <v>1748</v>
      </c>
      <c r="E57" s="196">
        <v>5392</v>
      </c>
      <c r="F57" s="196">
        <v>0</v>
      </c>
      <c r="G57" s="196">
        <v>0</v>
      </c>
      <c r="H57" s="197">
        <v>1</v>
      </c>
      <c r="I57" s="196">
        <v>24</v>
      </c>
      <c r="J57" s="197">
        <v>26</v>
      </c>
      <c r="K57" s="198">
        <f t="shared" ref="K57:K59" si="83">H57*I57*J57</f>
        <v>624</v>
      </c>
      <c r="L57" s="197">
        <v>0</v>
      </c>
      <c r="M57" s="196">
        <v>0</v>
      </c>
      <c r="N57" s="197">
        <v>0</v>
      </c>
      <c r="O57" s="198">
        <f t="shared" ref="O57:O59" si="84">L57*M57*N57</f>
        <v>0</v>
      </c>
      <c r="P57" s="199">
        <f t="shared" ref="P57:P59" si="85">K57+O57</f>
        <v>624</v>
      </c>
      <c r="Q57" s="197">
        <v>1</v>
      </c>
      <c r="R57" s="196">
        <v>42.5</v>
      </c>
      <c r="S57" s="197">
        <v>26</v>
      </c>
      <c r="T57" s="198">
        <f t="shared" ref="T57:T59" si="86">Q57*R57*S57</f>
        <v>1105</v>
      </c>
      <c r="U57" s="197">
        <v>0</v>
      </c>
      <c r="V57" s="196">
        <v>0</v>
      </c>
      <c r="W57" s="207">
        <v>0</v>
      </c>
      <c r="X57" s="198">
        <f t="shared" ref="X57:X59" si="87">U57*V57*W57</f>
        <v>0</v>
      </c>
      <c r="Y57" s="200">
        <f t="shared" ref="Y57:Y59" si="88">T57+X57</f>
        <v>1105</v>
      </c>
      <c r="Z57" s="197">
        <v>0</v>
      </c>
      <c r="AA57" s="196">
        <v>0</v>
      </c>
      <c r="AB57" s="197">
        <v>0</v>
      </c>
      <c r="AC57" s="198">
        <f t="shared" ref="AC57:AC59" si="89">Z57*AA57*AB57</f>
        <v>0</v>
      </c>
      <c r="AD57" s="197">
        <v>0</v>
      </c>
      <c r="AE57" s="196">
        <v>0</v>
      </c>
      <c r="AF57" s="197">
        <v>0</v>
      </c>
      <c r="AG57" s="198">
        <f t="shared" ref="AG57:AG59" si="90">AD57*AE57*AF57</f>
        <v>0</v>
      </c>
      <c r="AH57" s="200">
        <f t="shared" ref="AH57:AH59" si="91">AC57+AG57</f>
        <v>0</v>
      </c>
      <c r="AI57" s="199">
        <f t="shared" ref="AI57:AI58" si="92">F57+G57+P57+Y57+AH57</f>
        <v>1729</v>
      </c>
      <c r="AJ57" s="201">
        <f t="shared" ref="AJ57:AJ58" si="93">AI57/E57</f>
        <v>0.32066023738872401</v>
      </c>
      <c r="AK57" s="196">
        <f t="shared" ref="AK57" si="94">(E57-AI57)*$AK$15</f>
        <v>402.93</v>
      </c>
      <c r="AL57" s="196">
        <v>0</v>
      </c>
      <c r="AM57" s="196">
        <v>0</v>
      </c>
      <c r="AN57" s="196">
        <v>0</v>
      </c>
      <c r="AO57" s="196">
        <v>0</v>
      </c>
      <c r="AP57" s="286">
        <v>0.05</v>
      </c>
      <c r="AQ57" s="196">
        <f>AP57*E57</f>
        <v>269.60000000000002</v>
      </c>
      <c r="AR57" s="202">
        <f t="shared" ref="AR57:AR59" si="95">AL57+AM57+AN57+AO57+AQ57</f>
        <v>269.60000000000002</v>
      </c>
      <c r="AS57" s="202">
        <f t="shared" ref="AS57:AS59" si="96">AK57+AR57</f>
        <v>672.53</v>
      </c>
      <c r="AT57" s="203">
        <f t="shared" ref="AT57:AT59" si="97">E57-AS57</f>
        <v>4719.47</v>
      </c>
      <c r="AV57" s="204"/>
      <c r="AW57" s="270"/>
    </row>
    <row r="58" spans="2:49" s="131" customFormat="1" ht="18" hidden="1" customHeight="1">
      <c r="B58" s="194" t="s">
        <v>1805</v>
      </c>
      <c r="C58" s="194">
        <v>112</v>
      </c>
      <c r="D58" s="195" t="s">
        <v>1746</v>
      </c>
      <c r="E58" s="196">
        <v>11906</v>
      </c>
      <c r="F58" s="196">
        <v>1977.4</v>
      </c>
      <c r="G58" s="196">
        <v>2040</v>
      </c>
      <c r="H58" s="197">
        <v>2</v>
      </c>
      <c r="I58" s="196">
        <v>24</v>
      </c>
      <c r="J58" s="197">
        <v>26</v>
      </c>
      <c r="K58" s="198">
        <f t="shared" si="83"/>
        <v>1248</v>
      </c>
      <c r="L58" s="197">
        <v>0</v>
      </c>
      <c r="M58" s="196">
        <v>0</v>
      </c>
      <c r="N58" s="197">
        <v>0</v>
      </c>
      <c r="O58" s="198">
        <f t="shared" si="84"/>
        <v>0</v>
      </c>
      <c r="P58" s="199">
        <f t="shared" si="85"/>
        <v>1248</v>
      </c>
      <c r="Q58" s="197">
        <v>2</v>
      </c>
      <c r="R58" s="196">
        <v>42.5</v>
      </c>
      <c r="S58" s="197">
        <v>26</v>
      </c>
      <c r="T58" s="198">
        <f t="shared" si="86"/>
        <v>2210</v>
      </c>
      <c r="U58" s="197">
        <v>0</v>
      </c>
      <c r="V58" s="196">
        <v>0</v>
      </c>
      <c r="W58" s="207">
        <v>0</v>
      </c>
      <c r="X58" s="198">
        <f t="shared" si="87"/>
        <v>0</v>
      </c>
      <c r="Y58" s="200">
        <f t="shared" si="88"/>
        <v>2210</v>
      </c>
      <c r="Z58" s="197">
        <v>2</v>
      </c>
      <c r="AA58" s="196">
        <v>80</v>
      </c>
      <c r="AB58" s="197">
        <v>2</v>
      </c>
      <c r="AC58" s="198">
        <f t="shared" si="89"/>
        <v>320</v>
      </c>
      <c r="AD58" s="197">
        <v>0</v>
      </c>
      <c r="AE58" s="196">
        <v>0</v>
      </c>
      <c r="AF58" s="197">
        <v>0</v>
      </c>
      <c r="AG58" s="198">
        <f t="shared" si="90"/>
        <v>0</v>
      </c>
      <c r="AH58" s="200">
        <f t="shared" si="91"/>
        <v>320</v>
      </c>
      <c r="AI58" s="199">
        <f t="shared" si="92"/>
        <v>7795.4</v>
      </c>
      <c r="AJ58" s="201">
        <f t="shared" si="93"/>
        <v>0.65474550646732732</v>
      </c>
      <c r="AK58" s="196">
        <f>(E58-AI58)*$AK$15</f>
        <v>452.16600000000005</v>
      </c>
      <c r="AL58" s="196">
        <v>0</v>
      </c>
      <c r="AM58" s="196">
        <v>0</v>
      </c>
      <c r="AN58" s="196">
        <v>0</v>
      </c>
      <c r="AO58" s="196">
        <v>0</v>
      </c>
      <c r="AP58" s="286">
        <v>0.05</v>
      </c>
      <c r="AQ58" s="196">
        <f>AP58*E58</f>
        <v>595.30000000000007</v>
      </c>
      <c r="AR58" s="202">
        <f t="shared" si="95"/>
        <v>595.30000000000007</v>
      </c>
      <c r="AS58" s="202">
        <f t="shared" si="96"/>
        <v>1047.4660000000001</v>
      </c>
      <c r="AT58" s="203">
        <f t="shared" si="97"/>
        <v>10858.534</v>
      </c>
      <c r="AV58" s="206"/>
      <c r="AW58" s="204"/>
    </row>
    <row r="59" spans="2:49" s="131" customFormat="1" ht="18" hidden="1" customHeight="1">
      <c r="B59" s="194" t="s">
        <v>1805</v>
      </c>
      <c r="C59" s="194">
        <v>111</v>
      </c>
      <c r="D59" s="195" t="s">
        <v>653</v>
      </c>
      <c r="E59" s="196">
        <v>30822</v>
      </c>
      <c r="F59" s="196">
        <v>5625.8</v>
      </c>
      <c r="G59" s="196">
        <v>2550</v>
      </c>
      <c r="H59" s="197">
        <v>2</v>
      </c>
      <c r="I59" s="196">
        <v>24</v>
      </c>
      <c r="J59" s="197">
        <v>26</v>
      </c>
      <c r="K59" s="198">
        <f t="shared" si="83"/>
        <v>1248</v>
      </c>
      <c r="L59" s="197">
        <v>4</v>
      </c>
      <c r="M59" s="196">
        <v>16</v>
      </c>
      <c r="N59" s="197">
        <v>16</v>
      </c>
      <c r="O59" s="198">
        <f t="shared" si="84"/>
        <v>1024</v>
      </c>
      <c r="P59" s="199">
        <f t="shared" si="85"/>
        <v>2272</v>
      </c>
      <c r="Q59" s="197">
        <v>2</v>
      </c>
      <c r="R59" s="196">
        <v>42.5</v>
      </c>
      <c r="S59" s="197">
        <v>26</v>
      </c>
      <c r="T59" s="198">
        <f t="shared" si="86"/>
        <v>2210</v>
      </c>
      <c r="U59" s="197">
        <v>4</v>
      </c>
      <c r="V59" s="196">
        <v>42.5</v>
      </c>
      <c r="W59" s="207">
        <v>16</v>
      </c>
      <c r="X59" s="198">
        <f t="shared" si="87"/>
        <v>2720</v>
      </c>
      <c r="Y59" s="200">
        <f t="shared" si="88"/>
        <v>4930</v>
      </c>
      <c r="Z59" s="197">
        <v>2</v>
      </c>
      <c r="AA59" s="196">
        <v>80</v>
      </c>
      <c r="AB59" s="197">
        <v>2</v>
      </c>
      <c r="AC59" s="198">
        <f t="shared" si="89"/>
        <v>320</v>
      </c>
      <c r="AD59" s="197">
        <v>4</v>
      </c>
      <c r="AE59" s="196">
        <v>90</v>
      </c>
      <c r="AF59" s="197">
        <v>2</v>
      </c>
      <c r="AG59" s="198">
        <f t="shared" si="90"/>
        <v>720</v>
      </c>
      <c r="AH59" s="200">
        <f t="shared" si="91"/>
        <v>1040</v>
      </c>
      <c r="AI59" s="199">
        <f>F59+G59+P59+Y59+AH59</f>
        <v>16417.8</v>
      </c>
      <c r="AJ59" s="201">
        <f>AI59/E59</f>
        <v>0.53266497956005443</v>
      </c>
      <c r="AK59" s="196">
        <f>(E59-AI59)*$AK$15</f>
        <v>1584.462</v>
      </c>
      <c r="AL59" s="196">
        <v>0</v>
      </c>
      <c r="AM59" s="196">
        <v>0</v>
      </c>
      <c r="AN59" s="196">
        <v>0</v>
      </c>
      <c r="AO59" s="196">
        <v>0</v>
      </c>
      <c r="AP59" s="286">
        <v>0.05</v>
      </c>
      <c r="AQ59" s="196">
        <f>AP59*E59</f>
        <v>1541.1000000000001</v>
      </c>
      <c r="AR59" s="202">
        <f t="shared" si="95"/>
        <v>1541.1000000000001</v>
      </c>
      <c r="AS59" s="202">
        <f t="shared" si="96"/>
        <v>3125.5619999999999</v>
      </c>
      <c r="AT59" s="203">
        <f t="shared" si="97"/>
        <v>27696.438000000002</v>
      </c>
      <c r="AV59" s="206"/>
      <c r="AW59" s="248"/>
    </row>
    <row r="60" spans="2:49" s="131" customFormat="1" ht="18" hidden="1" customHeight="1">
      <c r="B60" s="371"/>
      <c r="C60" s="371"/>
      <c r="D60" s="372"/>
      <c r="E60" s="391"/>
      <c r="F60" s="391"/>
      <c r="G60" s="391"/>
      <c r="H60" s="392"/>
      <c r="I60" s="391"/>
      <c r="J60" s="392"/>
      <c r="K60" s="393"/>
      <c r="L60" s="392"/>
      <c r="M60" s="391"/>
      <c r="N60" s="392"/>
      <c r="O60" s="393"/>
      <c r="P60" s="394"/>
      <c r="Q60" s="392"/>
      <c r="R60" s="391"/>
      <c r="S60" s="392"/>
      <c r="T60" s="393"/>
      <c r="U60" s="392"/>
      <c r="V60" s="391"/>
      <c r="W60" s="426"/>
      <c r="X60" s="393"/>
      <c r="Y60" s="393"/>
      <c r="Z60" s="392"/>
      <c r="AA60" s="391"/>
      <c r="AB60" s="392"/>
      <c r="AC60" s="393"/>
      <c r="AD60" s="392"/>
      <c r="AE60" s="391"/>
      <c r="AF60" s="392"/>
      <c r="AG60" s="393"/>
      <c r="AH60" s="393"/>
      <c r="AI60" s="394"/>
      <c r="AJ60" s="395"/>
      <c r="AK60" s="391"/>
      <c r="AL60" s="391"/>
      <c r="AM60" s="391"/>
      <c r="AN60" s="391"/>
      <c r="AO60" s="391"/>
      <c r="AP60" s="427"/>
      <c r="AQ60" s="391"/>
      <c r="AR60" s="396"/>
      <c r="AS60" s="396"/>
      <c r="AT60" s="397"/>
      <c r="AV60" s="204"/>
      <c r="AW60" s="270"/>
    </row>
    <row r="61" spans="2:49" s="131" customFormat="1" ht="18" hidden="1" customHeight="1">
      <c r="B61" s="194" t="s">
        <v>1826</v>
      </c>
      <c r="C61" s="194">
        <v>113</v>
      </c>
      <c r="D61" s="195" t="s">
        <v>1748</v>
      </c>
      <c r="E61" s="196">
        <v>5812</v>
      </c>
      <c r="F61" s="196">
        <v>0</v>
      </c>
      <c r="G61" s="196">
        <v>0</v>
      </c>
      <c r="H61" s="197">
        <v>1</v>
      </c>
      <c r="I61" s="196">
        <v>24</v>
      </c>
      <c r="J61" s="197">
        <v>26</v>
      </c>
      <c r="K61" s="198">
        <f t="shared" ref="K61:K63" si="98">H61*I61*J61</f>
        <v>624</v>
      </c>
      <c r="L61" s="197">
        <v>0</v>
      </c>
      <c r="M61" s="196">
        <v>0</v>
      </c>
      <c r="N61" s="197">
        <v>0</v>
      </c>
      <c r="O61" s="198">
        <f t="shared" ref="O61:O63" si="99">L61*M61*N61</f>
        <v>0</v>
      </c>
      <c r="P61" s="199">
        <f t="shared" ref="P61:P63" si="100">K61+O61</f>
        <v>624</v>
      </c>
      <c r="Q61" s="197">
        <v>1</v>
      </c>
      <c r="R61" s="196">
        <v>44.3</v>
      </c>
      <c r="S61" s="197">
        <v>26</v>
      </c>
      <c r="T61" s="198">
        <f t="shared" ref="T61:T63" si="101">Q61*R61*S61</f>
        <v>1151.8</v>
      </c>
      <c r="U61" s="197">
        <v>0</v>
      </c>
      <c r="V61" s="196">
        <v>0</v>
      </c>
      <c r="W61" s="207">
        <v>0</v>
      </c>
      <c r="X61" s="198">
        <f t="shared" ref="X61:X63" si="102">U61*V61*W61</f>
        <v>0</v>
      </c>
      <c r="Y61" s="200">
        <f t="shared" ref="Y61:Y63" si="103">T61+X61</f>
        <v>1151.8</v>
      </c>
      <c r="Z61" s="197">
        <v>0</v>
      </c>
      <c r="AA61" s="196">
        <v>0</v>
      </c>
      <c r="AB61" s="197">
        <v>0</v>
      </c>
      <c r="AC61" s="198">
        <f t="shared" ref="AC61:AC63" si="104">Z61*AA61*AB61</f>
        <v>0</v>
      </c>
      <c r="AD61" s="197">
        <v>0</v>
      </c>
      <c r="AE61" s="196">
        <v>0</v>
      </c>
      <c r="AF61" s="197">
        <v>0</v>
      </c>
      <c r="AG61" s="198">
        <f t="shared" ref="AG61:AG63" si="105">AD61*AE61*AF61</f>
        <v>0</v>
      </c>
      <c r="AH61" s="200">
        <f t="shared" ref="AH61:AH63" si="106">AC61+AG61</f>
        <v>0</v>
      </c>
      <c r="AI61" s="199">
        <f t="shared" ref="AI61:AI62" si="107">F61+G61+P61+Y61+AH61</f>
        <v>1775.8</v>
      </c>
      <c r="AJ61" s="201">
        <f t="shared" ref="AJ61:AJ62" si="108">AI61/E61</f>
        <v>0.30554026152787334</v>
      </c>
      <c r="AK61" s="196">
        <f t="shared" ref="AK61" si="109">(E61-AI61)*$AK$15</f>
        <v>443.98199999999997</v>
      </c>
      <c r="AL61" s="196">
        <v>0</v>
      </c>
      <c r="AM61" s="196">
        <v>0</v>
      </c>
      <c r="AN61" s="196">
        <v>0</v>
      </c>
      <c r="AO61" s="196">
        <v>0</v>
      </c>
      <c r="AP61" s="286">
        <v>3.2000000000000001E-2</v>
      </c>
      <c r="AQ61" s="196">
        <f>AP61*E61</f>
        <v>185.98400000000001</v>
      </c>
      <c r="AR61" s="202">
        <f t="shared" ref="AR61:AR63" si="110">AL61+AM61+AN61+AO61+AQ61</f>
        <v>185.98400000000001</v>
      </c>
      <c r="AS61" s="202">
        <f t="shared" ref="AS61:AS63" si="111">AK61+AR61</f>
        <v>629.96600000000001</v>
      </c>
      <c r="AT61" s="203">
        <f t="shared" ref="AT61:AT63" si="112">E61-AS61</f>
        <v>5182.0339999999997</v>
      </c>
      <c r="AV61" s="204">
        <f>AT61-AT53</f>
        <v>364.42959999999948</v>
      </c>
      <c r="AW61" s="270">
        <f>AV61/AT53</f>
        <v>7.56453975340938E-2</v>
      </c>
    </row>
    <row r="62" spans="2:49" s="131" customFormat="1" ht="18" hidden="1" customHeight="1">
      <c r="B62" s="194" t="s">
        <v>1826</v>
      </c>
      <c r="C62" s="194">
        <v>114</v>
      </c>
      <c r="D62" s="195" t="s">
        <v>1746</v>
      </c>
      <c r="E62" s="196">
        <v>12740</v>
      </c>
      <c r="F62" s="196">
        <v>1977.4</v>
      </c>
      <c r="G62" s="196">
        <v>2040</v>
      </c>
      <c r="H62" s="197">
        <v>2</v>
      </c>
      <c r="I62" s="196">
        <v>24</v>
      </c>
      <c r="J62" s="197">
        <v>26</v>
      </c>
      <c r="K62" s="198">
        <f t="shared" si="98"/>
        <v>1248</v>
      </c>
      <c r="L62" s="197">
        <v>0</v>
      </c>
      <c r="M62" s="196">
        <v>0</v>
      </c>
      <c r="N62" s="197">
        <v>0</v>
      </c>
      <c r="O62" s="198">
        <f t="shared" si="99"/>
        <v>0</v>
      </c>
      <c r="P62" s="199">
        <f t="shared" si="100"/>
        <v>1248</v>
      </c>
      <c r="Q62" s="197">
        <v>2</v>
      </c>
      <c r="R62" s="196">
        <v>44.3</v>
      </c>
      <c r="S62" s="197">
        <v>26</v>
      </c>
      <c r="T62" s="198">
        <f t="shared" si="101"/>
        <v>2303.6</v>
      </c>
      <c r="U62" s="197">
        <v>0</v>
      </c>
      <c r="V62" s="196">
        <v>0</v>
      </c>
      <c r="W62" s="207">
        <v>0</v>
      </c>
      <c r="X62" s="198">
        <f t="shared" si="102"/>
        <v>0</v>
      </c>
      <c r="Y62" s="200">
        <f t="shared" si="103"/>
        <v>2303.6</v>
      </c>
      <c r="Z62" s="197">
        <v>2</v>
      </c>
      <c r="AA62" s="196">
        <v>80</v>
      </c>
      <c r="AB62" s="197">
        <v>2</v>
      </c>
      <c r="AC62" s="198">
        <f t="shared" si="104"/>
        <v>320</v>
      </c>
      <c r="AD62" s="197">
        <v>0</v>
      </c>
      <c r="AE62" s="196">
        <v>0</v>
      </c>
      <c r="AF62" s="197">
        <v>0</v>
      </c>
      <c r="AG62" s="198">
        <f t="shared" si="105"/>
        <v>0</v>
      </c>
      <c r="AH62" s="200">
        <f t="shared" si="106"/>
        <v>320</v>
      </c>
      <c r="AI62" s="199">
        <f t="shared" si="107"/>
        <v>7889</v>
      </c>
      <c r="AJ62" s="201">
        <f t="shared" si="108"/>
        <v>0.61923076923076925</v>
      </c>
      <c r="AK62" s="196">
        <f>(E62-AI62)*$AK$15</f>
        <v>533.61</v>
      </c>
      <c r="AL62" s="196">
        <v>0</v>
      </c>
      <c r="AM62" s="196">
        <v>0</v>
      </c>
      <c r="AN62" s="196">
        <v>0</v>
      </c>
      <c r="AO62" s="196">
        <v>0</v>
      </c>
      <c r="AP62" s="286">
        <v>3.2000000000000001E-2</v>
      </c>
      <c r="AQ62" s="196">
        <f>AP62*E62</f>
        <v>407.68</v>
      </c>
      <c r="AR62" s="202">
        <f t="shared" si="110"/>
        <v>407.68</v>
      </c>
      <c r="AS62" s="202">
        <f t="shared" si="111"/>
        <v>941.29</v>
      </c>
      <c r="AT62" s="203">
        <f t="shared" si="112"/>
        <v>11798.71</v>
      </c>
      <c r="AV62" s="206"/>
      <c r="AW62" s="204"/>
    </row>
    <row r="63" spans="2:49" s="131" customFormat="1" ht="18" hidden="1" customHeight="1">
      <c r="B63" s="194" t="s">
        <v>1826</v>
      </c>
      <c r="C63" s="194">
        <v>115</v>
      </c>
      <c r="D63" s="195" t="s">
        <v>653</v>
      </c>
      <c r="E63" s="196">
        <v>33255</v>
      </c>
      <c r="F63" s="196">
        <v>5625.8</v>
      </c>
      <c r="G63" s="196">
        <v>2550</v>
      </c>
      <c r="H63" s="197">
        <v>2</v>
      </c>
      <c r="I63" s="196">
        <v>24</v>
      </c>
      <c r="J63" s="197">
        <v>26</v>
      </c>
      <c r="K63" s="198">
        <f t="shared" si="98"/>
        <v>1248</v>
      </c>
      <c r="L63" s="197">
        <v>4</v>
      </c>
      <c r="M63" s="196">
        <v>16</v>
      </c>
      <c r="N63" s="197">
        <v>16</v>
      </c>
      <c r="O63" s="198">
        <f t="shared" si="99"/>
        <v>1024</v>
      </c>
      <c r="P63" s="199">
        <f t="shared" si="100"/>
        <v>2272</v>
      </c>
      <c r="Q63" s="197">
        <v>2</v>
      </c>
      <c r="R63" s="196">
        <v>44.3</v>
      </c>
      <c r="S63" s="197">
        <v>26</v>
      </c>
      <c r="T63" s="198">
        <f t="shared" si="101"/>
        <v>2303.6</v>
      </c>
      <c r="U63" s="197">
        <v>4</v>
      </c>
      <c r="V63" s="196">
        <v>44.3</v>
      </c>
      <c r="W63" s="207">
        <v>16</v>
      </c>
      <c r="X63" s="198">
        <f t="shared" si="102"/>
        <v>2835.2</v>
      </c>
      <c r="Y63" s="200">
        <f t="shared" si="103"/>
        <v>5138.7999999999993</v>
      </c>
      <c r="Z63" s="197">
        <v>2</v>
      </c>
      <c r="AA63" s="196">
        <v>80</v>
      </c>
      <c r="AB63" s="197">
        <v>2</v>
      </c>
      <c r="AC63" s="198">
        <f t="shared" si="104"/>
        <v>320</v>
      </c>
      <c r="AD63" s="197">
        <v>4</v>
      </c>
      <c r="AE63" s="196">
        <v>90</v>
      </c>
      <c r="AF63" s="197">
        <v>2</v>
      </c>
      <c r="AG63" s="198">
        <f t="shared" si="105"/>
        <v>720</v>
      </c>
      <c r="AH63" s="200">
        <f t="shared" si="106"/>
        <v>1040</v>
      </c>
      <c r="AI63" s="199">
        <f>F63+G63+P63+Y63+AH63</f>
        <v>16626.599999999999</v>
      </c>
      <c r="AJ63" s="201">
        <f>AI63/E63</f>
        <v>0.49997293640054125</v>
      </c>
      <c r="AK63" s="196">
        <f>(E63-AI63)*$AK$15</f>
        <v>1829.1240000000003</v>
      </c>
      <c r="AL63" s="196">
        <v>0</v>
      </c>
      <c r="AM63" s="196">
        <v>0</v>
      </c>
      <c r="AN63" s="196">
        <v>0</v>
      </c>
      <c r="AO63" s="196">
        <v>0</v>
      </c>
      <c r="AP63" s="286">
        <v>3.2000000000000001E-2</v>
      </c>
      <c r="AQ63" s="196">
        <f>AP63*E63</f>
        <v>1064.1600000000001</v>
      </c>
      <c r="AR63" s="202">
        <f t="shared" si="110"/>
        <v>1064.1600000000001</v>
      </c>
      <c r="AS63" s="202">
        <f t="shared" si="111"/>
        <v>2893.2840000000006</v>
      </c>
      <c r="AT63" s="203">
        <f t="shared" si="112"/>
        <v>30361.716</v>
      </c>
      <c r="AV63" s="206"/>
      <c r="AW63" s="248"/>
    </row>
    <row r="64" spans="2:49" s="131" customFormat="1" ht="18" hidden="1" customHeight="1">
      <c r="B64" s="194" t="s">
        <v>1826</v>
      </c>
      <c r="C64" s="194" t="s">
        <v>1858</v>
      </c>
      <c r="D64" s="195" t="s">
        <v>653</v>
      </c>
      <c r="E64" s="196">
        <f>33255-30822</f>
        <v>2433</v>
      </c>
      <c r="F64" s="196">
        <v>444.08</v>
      </c>
      <c r="G64" s="196">
        <v>201.29</v>
      </c>
      <c r="H64" s="197">
        <v>2</v>
      </c>
      <c r="I64" s="196">
        <v>24</v>
      </c>
      <c r="J64" s="197">
        <v>3</v>
      </c>
      <c r="K64" s="198">
        <f t="shared" ref="K64" si="113">H64*I64*J64</f>
        <v>144</v>
      </c>
      <c r="L64" s="197">
        <v>4</v>
      </c>
      <c r="M64" s="196">
        <v>16</v>
      </c>
      <c r="N64" s="197">
        <v>3</v>
      </c>
      <c r="O64" s="198">
        <f t="shared" ref="O64" si="114">L64*M64*N64</f>
        <v>192</v>
      </c>
      <c r="P64" s="199">
        <f t="shared" ref="P64" si="115">K64+O64</f>
        <v>336</v>
      </c>
      <c r="Q64" s="197">
        <v>2</v>
      </c>
      <c r="R64" s="196">
        <v>44.3</v>
      </c>
      <c r="S64" s="197">
        <v>3</v>
      </c>
      <c r="T64" s="198">
        <f t="shared" ref="T64" si="116">Q64*R64*S64</f>
        <v>265.79999999999995</v>
      </c>
      <c r="U64" s="197">
        <v>4</v>
      </c>
      <c r="V64" s="196">
        <v>44.3</v>
      </c>
      <c r="W64" s="207">
        <v>3</v>
      </c>
      <c r="X64" s="198">
        <f t="shared" ref="X64" si="117">U64*V64*W64</f>
        <v>531.59999999999991</v>
      </c>
      <c r="Y64" s="200">
        <f t="shared" ref="Y64" si="118">T64+X64</f>
        <v>797.39999999999986</v>
      </c>
      <c r="Z64" s="197">
        <v>0</v>
      </c>
      <c r="AA64" s="196">
        <v>80</v>
      </c>
      <c r="AB64" s="197">
        <v>0</v>
      </c>
      <c r="AC64" s="198">
        <f t="shared" ref="AC64" si="119">Z64*AA64*AB64</f>
        <v>0</v>
      </c>
      <c r="AD64" s="197">
        <v>0</v>
      </c>
      <c r="AE64" s="196">
        <v>90</v>
      </c>
      <c r="AF64" s="197">
        <v>0</v>
      </c>
      <c r="AG64" s="198">
        <f t="shared" ref="AG64" si="120">AD64*AE64*AF64</f>
        <v>0</v>
      </c>
      <c r="AH64" s="200">
        <f t="shared" ref="AH64" si="121">AC64+AG64</f>
        <v>0</v>
      </c>
      <c r="AI64" s="199">
        <f>F64+G64+P64+Y64+AH64</f>
        <v>1778.77</v>
      </c>
      <c r="AJ64" s="201">
        <f>AI64/E64</f>
        <v>0.731101520756268</v>
      </c>
      <c r="AK64" s="196">
        <f>(E64-AI64)*$AK$15</f>
        <v>71.965299999999999</v>
      </c>
      <c r="AL64" s="196">
        <v>0</v>
      </c>
      <c r="AM64" s="196">
        <v>0</v>
      </c>
      <c r="AN64" s="196">
        <v>0</v>
      </c>
      <c r="AO64" s="196">
        <v>0</v>
      </c>
      <c r="AP64" s="286">
        <v>3.2000000000000001E-2</v>
      </c>
      <c r="AQ64" s="196">
        <f>AP64*E64</f>
        <v>77.855999999999995</v>
      </c>
      <c r="AR64" s="202">
        <f t="shared" ref="AR64" si="122">AL64+AM64+AN64+AO64+AQ64</f>
        <v>77.855999999999995</v>
      </c>
      <c r="AS64" s="202">
        <f t="shared" ref="AS64" si="123">AK64+AR64</f>
        <v>149.82130000000001</v>
      </c>
      <c r="AT64" s="203">
        <f t="shared" ref="AT64" si="124">E64-AS64</f>
        <v>2283.1786999999999</v>
      </c>
      <c r="AV64" s="204"/>
      <c r="AW64" s="270"/>
    </row>
    <row r="65" spans="2:49" s="131" customFormat="1" ht="18" hidden="1" customHeight="1">
      <c r="B65" s="371"/>
      <c r="C65" s="371"/>
      <c r="D65" s="372"/>
      <c r="E65" s="391"/>
      <c r="F65" s="391"/>
      <c r="G65" s="391"/>
      <c r="H65" s="392"/>
      <c r="I65" s="391"/>
      <c r="J65" s="392"/>
      <c r="K65" s="393"/>
      <c r="L65" s="392"/>
      <c r="M65" s="391"/>
      <c r="N65" s="392"/>
      <c r="O65" s="393"/>
      <c r="P65" s="394"/>
      <c r="Q65" s="392"/>
      <c r="R65" s="391"/>
      <c r="S65" s="392"/>
      <c r="T65" s="393"/>
      <c r="U65" s="392"/>
      <c r="V65" s="391"/>
      <c r="W65" s="426"/>
      <c r="X65" s="393"/>
      <c r="Y65" s="393"/>
      <c r="Z65" s="392"/>
      <c r="AA65" s="391"/>
      <c r="AB65" s="392"/>
      <c r="AC65" s="393"/>
      <c r="AD65" s="392"/>
      <c r="AE65" s="391"/>
      <c r="AF65" s="392"/>
      <c r="AG65" s="393"/>
      <c r="AH65" s="393"/>
      <c r="AI65" s="394"/>
      <c r="AJ65" s="395"/>
      <c r="AK65" s="391"/>
      <c r="AL65" s="391"/>
      <c r="AM65" s="391"/>
      <c r="AN65" s="391"/>
      <c r="AO65" s="391"/>
      <c r="AP65" s="427"/>
      <c r="AQ65" s="391"/>
      <c r="AR65" s="396"/>
      <c r="AS65" s="396"/>
      <c r="AT65" s="397"/>
      <c r="AV65" s="204"/>
      <c r="AW65" s="270"/>
    </row>
    <row r="66" spans="2:49" s="131" customFormat="1" ht="18" hidden="1" customHeight="1">
      <c r="B66" s="194" t="s">
        <v>1844</v>
      </c>
      <c r="C66" s="194">
        <v>117</v>
      </c>
      <c r="D66" s="195" t="s">
        <v>1748</v>
      </c>
      <c r="E66" s="196">
        <v>5812</v>
      </c>
      <c r="F66" s="196">
        <v>0</v>
      </c>
      <c r="G66" s="196">
        <v>0</v>
      </c>
      <c r="H66" s="197">
        <v>1</v>
      </c>
      <c r="I66" s="196">
        <v>24</v>
      </c>
      <c r="J66" s="197">
        <v>26</v>
      </c>
      <c r="K66" s="198">
        <f t="shared" ref="K66:K68" si="125">H66*I66*J66</f>
        <v>624</v>
      </c>
      <c r="L66" s="197">
        <v>0</v>
      </c>
      <c r="M66" s="196">
        <v>0</v>
      </c>
      <c r="N66" s="197">
        <v>0</v>
      </c>
      <c r="O66" s="198">
        <f t="shared" ref="O66:O68" si="126">L66*M66*N66</f>
        <v>0</v>
      </c>
      <c r="P66" s="199">
        <f t="shared" ref="P66:P68" si="127">K66+O66</f>
        <v>624</v>
      </c>
      <c r="Q66" s="197">
        <v>1</v>
      </c>
      <c r="R66" s="196">
        <v>44.3</v>
      </c>
      <c r="S66" s="197">
        <v>26</v>
      </c>
      <c r="T66" s="198">
        <f t="shared" ref="T66:T68" si="128">Q66*R66*S66</f>
        <v>1151.8</v>
      </c>
      <c r="U66" s="197">
        <v>0</v>
      </c>
      <c r="V66" s="196">
        <v>0</v>
      </c>
      <c r="W66" s="207">
        <v>0</v>
      </c>
      <c r="X66" s="198">
        <f t="shared" ref="X66:X68" si="129">U66*V66*W66</f>
        <v>0</v>
      </c>
      <c r="Y66" s="200">
        <f t="shared" ref="Y66:Y68" si="130">T66+X66</f>
        <v>1151.8</v>
      </c>
      <c r="Z66" s="197">
        <v>0</v>
      </c>
      <c r="AA66" s="196">
        <v>0</v>
      </c>
      <c r="AB66" s="197">
        <v>0</v>
      </c>
      <c r="AC66" s="198">
        <f t="shared" ref="AC66:AC68" si="131">Z66*AA66*AB66</f>
        <v>0</v>
      </c>
      <c r="AD66" s="197">
        <v>0</v>
      </c>
      <c r="AE66" s="196">
        <v>0</v>
      </c>
      <c r="AF66" s="197">
        <v>0</v>
      </c>
      <c r="AG66" s="198">
        <f t="shared" ref="AG66:AG68" si="132">AD66*AE66*AF66</f>
        <v>0</v>
      </c>
      <c r="AH66" s="200">
        <f t="shared" ref="AH66:AH68" si="133">AC66+AG66</f>
        <v>0</v>
      </c>
      <c r="AI66" s="199">
        <f t="shared" ref="AI66:AI67" si="134">F66+G66+P66+Y66+AH66</f>
        <v>1775.8</v>
      </c>
      <c r="AJ66" s="201">
        <f t="shared" ref="AJ66:AJ67" si="135">AI66/E66</f>
        <v>0.30554026152787334</v>
      </c>
      <c r="AK66" s="196">
        <f t="shared" ref="AK66" si="136">(E66-AI66)*$AK$15</f>
        <v>443.98199999999997</v>
      </c>
      <c r="AL66" s="196">
        <v>0</v>
      </c>
      <c r="AM66" s="196">
        <v>0</v>
      </c>
      <c r="AN66" s="196">
        <v>0</v>
      </c>
      <c r="AO66" s="196">
        <v>0</v>
      </c>
      <c r="AP66" s="286">
        <v>3.2199999999999999E-2</v>
      </c>
      <c r="AQ66" s="196">
        <f>AP66*E66</f>
        <v>187.1464</v>
      </c>
      <c r="AR66" s="202">
        <f t="shared" ref="AR66:AR68" si="137">AL66+AM66+AN66+AO66+AQ66</f>
        <v>187.1464</v>
      </c>
      <c r="AS66" s="202">
        <f t="shared" ref="AS66:AS68" si="138">AK66+AR66</f>
        <v>631.12839999999994</v>
      </c>
      <c r="AT66" s="203">
        <f t="shared" ref="AT66:AT68" si="139">E66-AS66</f>
        <v>5180.8716000000004</v>
      </c>
      <c r="AV66" s="204"/>
      <c r="AW66" s="270"/>
    </row>
    <row r="67" spans="2:49" s="131" customFormat="1" ht="18" hidden="1" customHeight="1">
      <c r="B67" s="194" t="s">
        <v>1844</v>
      </c>
      <c r="C67" s="194">
        <v>118</v>
      </c>
      <c r="D67" s="195" t="s">
        <v>1746</v>
      </c>
      <c r="E67" s="196">
        <v>12740</v>
      </c>
      <c r="F67" s="196">
        <v>1977.4</v>
      </c>
      <c r="G67" s="196">
        <v>2040</v>
      </c>
      <c r="H67" s="197">
        <v>2</v>
      </c>
      <c r="I67" s="196">
        <v>24</v>
      </c>
      <c r="J67" s="197">
        <v>26</v>
      </c>
      <c r="K67" s="198">
        <f t="shared" si="125"/>
        <v>1248</v>
      </c>
      <c r="L67" s="197">
        <v>0</v>
      </c>
      <c r="M67" s="196">
        <v>0</v>
      </c>
      <c r="N67" s="197">
        <v>0</v>
      </c>
      <c r="O67" s="198">
        <f t="shared" si="126"/>
        <v>0</v>
      </c>
      <c r="P67" s="199">
        <f t="shared" si="127"/>
        <v>1248</v>
      </c>
      <c r="Q67" s="197">
        <v>2</v>
      </c>
      <c r="R67" s="196">
        <v>44.3</v>
      </c>
      <c r="S67" s="197">
        <v>26</v>
      </c>
      <c r="T67" s="198">
        <f t="shared" si="128"/>
        <v>2303.6</v>
      </c>
      <c r="U67" s="197">
        <v>0</v>
      </c>
      <c r="V67" s="196">
        <v>0</v>
      </c>
      <c r="W67" s="207">
        <v>0</v>
      </c>
      <c r="X67" s="198">
        <f t="shared" si="129"/>
        <v>0</v>
      </c>
      <c r="Y67" s="200">
        <f t="shared" si="130"/>
        <v>2303.6</v>
      </c>
      <c r="Z67" s="197">
        <v>2</v>
      </c>
      <c r="AA67" s="196">
        <v>80</v>
      </c>
      <c r="AB67" s="197">
        <v>2</v>
      </c>
      <c r="AC67" s="198">
        <f t="shared" si="131"/>
        <v>320</v>
      </c>
      <c r="AD67" s="197">
        <v>0</v>
      </c>
      <c r="AE67" s="196">
        <v>0</v>
      </c>
      <c r="AF67" s="197">
        <v>0</v>
      </c>
      <c r="AG67" s="198">
        <f t="shared" si="132"/>
        <v>0</v>
      </c>
      <c r="AH67" s="200">
        <f t="shared" si="133"/>
        <v>320</v>
      </c>
      <c r="AI67" s="199">
        <f t="shared" si="134"/>
        <v>7889</v>
      </c>
      <c r="AJ67" s="201">
        <f t="shared" si="135"/>
        <v>0.61923076923076925</v>
      </c>
      <c r="AK67" s="196">
        <f>(E67-AI67)*$AK$15</f>
        <v>533.61</v>
      </c>
      <c r="AL67" s="196">
        <v>0</v>
      </c>
      <c r="AM67" s="196">
        <v>0</v>
      </c>
      <c r="AN67" s="196">
        <v>0</v>
      </c>
      <c r="AO67" s="196">
        <v>0</v>
      </c>
      <c r="AP67" s="286">
        <v>3.2199999999999999E-2</v>
      </c>
      <c r="AQ67" s="196">
        <f>AP67*E67</f>
        <v>410.22800000000001</v>
      </c>
      <c r="AR67" s="202">
        <f t="shared" si="137"/>
        <v>410.22800000000001</v>
      </c>
      <c r="AS67" s="202">
        <f t="shared" si="138"/>
        <v>943.83799999999997</v>
      </c>
      <c r="AT67" s="203">
        <f t="shared" si="139"/>
        <v>11796.162</v>
      </c>
      <c r="AV67" s="206"/>
      <c r="AW67" s="204"/>
    </row>
    <row r="68" spans="2:49" s="131" customFormat="1" ht="18" hidden="1" customHeight="1">
      <c r="B68" s="194" t="s">
        <v>1844</v>
      </c>
      <c r="C68" s="194">
        <v>116</v>
      </c>
      <c r="D68" s="195" t="s">
        <v>653</v>
      </c>
      <c r="E68" s="196">
        <v>33255</v>
      </c>
      <c r="F68" s="196">
        <v>5625.8</v>
      </c>
      <c r="G68" s="196">
        <v>2550</v>
      </c>
      <c r="H68" s="197">
        <v>2</v>
      </c>
      <c r="I68" s="196">
        <v>24</v>
      </c>
      <c r="J68" s="197">
        <v>26</v>
      </c>
      <c r="K68" s="198">
        <f t="shared" si="125"/>
        <v>1248</v>
      </c>
      <c r="L68" s="197">
        <v>4</v>
      </c>
      <c r="M68" s="196">
        <v>16</v>
      </c>
      <c r="N68" s="197">
        <v>16</v>
      </c>
      <c r="O68" s="198">
        <f t="shared" si="126"/>
        <v>1024</v>
      </c>
      <c r="P68" s="199">
        <f t="shared" si="127"/>
        <v>2272</v>
      </c>
      <c r="Q68" s="197">
        <v>2</v>
      </c>
      <c r="R68" s="196">
        <v>44.3</v>
      </c>
      <c r="S68" s="197">
        <v>26</v>
      </c>
      <c r="T68" s="198">
        <f t="shared" si="128"/>
        <v>2303.6</v>
      </c>
      <c r="U68" s="197">
        <v>4</v>
      </c>
      <c r="V68" s="196">
        <v>44.3</v>
      </c>
      <c r="W68" s="207">
        <v>16</v>
      </c>
      <c r="X68" s="198">
        <f t="shared" si="129"/>
        <v>2835.2</v>
      </c>
      <c r="Y68" s="200">
        <f t="shared" si="130"/>
        <v>5138.7999999999993</v>
      </c>
      <c r="Z68" s="197">
        <v>2</v>
      </c>
      <c r="AA68" s="196">
        <v>80</v>
      </c>
      <c r="AB68" s="197">
        <v>2</v>
      </c>
      <c r="AC68" s="198">
        <f t="shared" si="131"/>
        <v>320</v>
      </c>
      <c r="AD68" s="197">
        <v>4</v>
      </c>
      <c r="AE68" s="196">
        <v>90</v>
      </c>
      <c r="AF68" s="197">
        <v>2</v>
      </c>
      <c r="AG68" s="198">
        <f t="shared" si="132"/>
        <v>720</v>
      </c>
      <c r="AH68" s="200">
        <f t="shared" si="133"/>
        <v>1040</v>
      </c>
      <c r="AI68" s="199">
        <f>F68+G68+P68+Y68+AH68</f>
        <v>16626.599999999999</v>
      </c>
      <c r="AJ68" s="201">
        <f>AI68/E68</f>
        <v>0.49997293640054125</v>
      </c>
      <c r="AK68" s="196">
        <f>(E68-AI68)*$AK$15</f>
        <v>1829.1240000000003</v>
      </c>
      <c r="AL68" s="196">
        <v>0</v>
      </c>
      <c r="AM68" s="196">
        <v>0</v>
      </c>
      <c r="AN68" s="196">
        <v>0</v>
      </c>
      <c r="AO68" s="196">
        <v>0</v>
      </c>
      <c r="AP68" s="286">
        <v>3.2199999999999999E-2</v>
      </c>
      <c r="AQ68" s="196">
        <f>AP68*E68</f>
        <v>1070.8109999999999</v>
      </c>
      <c r="AR68" s="202">
        <f t="shared" si="137"/>
        <v>1070.8109999999999</v>
      </c>
      <c r="AS68" s="202">
        <f t="shared" si="138"/>
        <v>2899.9350000000004</v>
      </c>
      <c r="AT68" s="203">
        <f t="shared" si="139"/>
        <v>30355.064999999999</v>
      </c>
      <c r="AV68" s="206"/>
      <c r="AW68" s="248"/>
    </row>
    <row r="69" spans="2:49" s="131" customFormat="1" ht="18" hidden="1" customHeight="1">
      <c r="B69" s="218" t="s">
        <v>1844</v>
      </c>
      <c r="C69" s="218">
        <v>120</v>
      </c>
      <c r="D69" s="211" t="s">
        <v>1082</v>
      </c>
      <c r="E69" s="208">
        <v>5952</v>
      </c>
      <c r="F69" s="196">
        <v>950.61</v>
      </c>
      <c r="G69" s="196">
        <v>351.9</v>
      </c>
      <c r="H69" s="197">
        <v>1</v>
      </c>
      <c r="I69" s="196">
        <v>24</v>
      </c>
      <c r="J69" s="197">
        <v>26</v>
      </c>
      <c r="K69" s="198">
        <f t="shared" ref="K69" si="140">H69*I69*J69</f>
        <v>624</v>
      </c>
      <c r="L69" s="197">
        <v>0</v>
      </c>
      <c r="M69" s="196">
        <v>0</v>
      </c>
      <c r="N69" s="197">
        <v>0</v>
      </c>
      <c r="O69" s="198">
        <f t="shared" ref="O69" si="141">L69*M69*N69</f>
        <v>0</v>
      </c>
      <c r="P69" s="199">
        <f t="shared" ref="P69" si="142">K69+O69</f>
        <v>624</v>
      </c>
      <c r="Q69" s="197">
        <v>1</v>
      </c>
      <c r="R69" s="196">
        <v>44.3</v>
      </c>
      <c r="S69" s="197">
        <v>26</v>
      </c>
      <c r="T69" s="198">
        <f t="shared" ref="T69" si="143">Q69*R69*S69</f>
        <v>1151.8</v>
      </c>
      <c r="U69" s="197">
        <v>0</v>
      </c>
      <c r="V69" s="196">
        <v>0</v>
      </c>
      <c r="W69" s="207">
        <v>0</v>
      </c>
      <c r="X69" s="198">
        <f t="shared" ref="X69" si="144">U69*V69*W69</f>
        <v>0</v>
      </c>
      <c r="Y69" s="200">
        <f t="shared" ref="Y69" si="145">T69+X69</f>
        <v>1151.8</v>
      </c>
      <c r="Z69" s="197">
        <v>1</v>
      </c>
      <c r="AA69" s="196">
        <v>90</v>
      </c>
      <c r="AB69" s="197">
        <v>2</v>
      </c>
      <c r="AC69" s="198">
        <f t="shared" ref="AC69" si="146">Z69*AA69*AB69</f>
        <v>180</v>
      </c>
      <c r="AD69" s="197">
        <v>0</v>
      </c>
      <c r="AE69" s="196">
        <v>0</v>
      </c>
      <c r="AF69" s="197">
        <v>0</v>
      </c>
      <c r="AG69" s="198">
        <f t="shared" ref="AG69" si="147">AD69*AE69*AF69</f>
        <v>0</v>
      </c>
      <c r="AH69" s="200">
        <f t="shared" ref="AH69" si="148">AC69+AG69</f>
        <v>180</v>
      </c>
      <c r="AI69" s="199">
        <f t="shared" ref="AI69" si="149">F69+G69+P69+Y69+AH69</f>
        <v>3258.31</v>
      </c>
      <c r="AJ69" s="201">
        <f t="shared" ref="AJ69" si="150">AI69/E69</f>
        <v>0.54743111559139779</v>
      </c>
      <c r="AK69" s="196">
        <f t="shared" ref="AK69" si="151">(E69-AI69)*$AK$15</f>
        <v>296.30590000000001</v>
      </c>
      <c r="AL69" s="196">
        <v>0</v>
      </c>
      <c r="AM69" s="196">
        <v>0</v>
      </c>
      <c r="AN69" s="196">
        <v>0</v>
      </c>
      <c r="AO69" s="196">
        <v>0</v>
      </c>
      <c r="AP69" s="286">
        <v>3.2199999999999999E-2</v>
      </c>
      <c r="AQ69" s="196">
        <f>AP69*E69</f>
        <v>191.65440000000001</v>
      </c>
      <c r="AR69" s="202">
        <f t="shared" ref="AR69" si="152">AL69+AM69+AN69+AO69+AQ69</f>
        <v>191.65440000000001</v>
      </c>
      <c r="AS69" s="202">
        <f t="shared" ref="AS69" si="153">AK69+AR69</f>
        <v>487.96030000000002</v>
      </c>
      <c r="AT69" s="203">
        <f t="shared" ref="AT69" si="154">E69-AS69</f>
        <v>5464.0397000000003</v>
      </c>
      <c r="AV69" s="204"/>
      <c r="AW69" s="270"/>
    </row>
    <row r="70" spans="2:49" s="131" customFormat="1" ht="18" hidden="1" customHeight="1">
      <c r="B70" s="371"/>
      <c r="C70" s="371"/>
      <c r="D70" s="372"/>
      <c r="E70" s="391"/>
      <c r="F70" s="391"/>
      <c r="G70" s="391"/>
      <c r="H70" s="392"/>
      <c r="I70" s="391"/>
      <c r="J70" s="392"/>
      <c r="K70" s="393"/>
      <c r="L70" s="392"/>
      <c r="M70" s="391"/>
      <c r="N70" s="392"/>
      <c r="O70" s="393"/>
      <c r="P70" s="394"/>
      <c r="Q70" s="392"/>
      <c r="R70" s="391"/>
      <c r="S70" s="392"/>
      <c r="T70" s="393"/>
      <c r="U70" s="392"/>
      <c r="V70" s="391"/>
      <c r="W70" s="426"/>
      <c r="X70" s="393"/>
      <c r="Y70" s="393"/>
      <c r="Z70" s="392"/>
      <c r="AA70" s="391"/>
      <c r="AB70" s="392"/>
      <c r="AC70" s="393"/>
      <c r="AD70" s="392"/>
      <c r="AE70" s="391"/>
      <c r="AF70" s="392"/>
      <c r="AG70" s="393"/>
      <c r="AH70" s="393"/>
      <c r="AI70" s="394"/>
      <c r="AJ70" s="395"/>
      <c r="AK70" s="391"/>
      <c r="AL70" s="391"/>
      <c r="AM70" s="391"/>
      <c r="AN70" s="391"/>
      <c r="AO70" s="391"/>
      <c r="AP70" s="427"/>
      <c r="AQ70" s="391"/>
      <c r="AR70" s="396"/>
      <c r="AS70" s="396"/>
      <c r="AT70" s="397"/>
      <c r="AV70" s="204"/>
      <c r="AW70" s="270"/>
    </row>
    <row r="71" spans="2:49" s="131" customFormat="1" ht="18" hidden="1" customHeight="1">
      <c r="B71" s="194" t="s">
        <v>1862</v>
      </c>
      <c r="C71" s="194" t="s">
        <v>1108</v>
      </c>
      <c r="D71" s="195" t="s">
        <v>1894</v>
      </c>
      <c r="E71" s="196">
        <f>5812+420</f>
        <v>6232</v>
      </c>
      <c r="F71" s="196">
        <v>0</v>
      </c>
      <c r="G71" s="196">
        <v>0</v>
      </c>
      <c r="H71" s="197">
        <v>1</v>
      </c>
      <c r="I71" s="196">
        <v>24</v>
      </c>
      <c r="J71" s="197">
        <v>26</v>
      </c>
      <c r="K71" s="198">
        <f t="shared" ref="K71:K74" si="155">H71*I71*J71</f>
        <v>624</v>
      </c>
      <c r="L71" s="197">
        <v>0</v>
      </c>
      <c r="M71" s="196">
        <v>0</v>
      </c>
      <c r="N71" s="197">
        <v>0</v>
      </c>
      <c r="O71" s="198">
        <f t="shared" ref="O71:O74" si="156">L71*M71*N71</f>
        <v>0</v>
      </c>
      <c r="P71" s="199">
        <f t="shared" ref="P71:P74" si="157">K71+O71</f>
        <v>624</v>
      </c>
      <c r="Q71" s="197">
        <v>1</v>
      </c>
      <c r="R71" s="196">
        <v>44.3</v>
      </c>
      <c r="S71" s="197">
        <v>26</v>
      </c>
      <c r="T71" s="198">
        <f t="shared" ref="T71:T74" si="158">Q71*R71*S71</f>
        <v>1151.8</v>
      </c>
      <c r="U71" s="197">
        <v>0</v>
      </c>
      <c r="V71" s="196">
        <v>0</v>
      </c>
      <c r="W71" s="207">
        <v>0</v>
      </c>
      <c r="X71" s="198">
        <f t="shared" ref="X71:X74" si="159">U71*V71*W71</f>
        <v>0</v>
      </c>
      <c r="Y71" s="200">
        <f t="shared" ref="Y71:Y74" si="160">T71+X71</f>
        <v>1151.8</v>
      </c>
      <c r="Z71" s="197">
        <v>0</v>
      </c>
      <c r="AA71" s="196">
        <v>0</v>
      </c>
      <c r="AB71" s="197">
        <v>0</v>
      </c>
      <c r="AC71" s="198">
        <f t="shared" ref="AC71:AC74" si="161">Z71*AA71*AB71</f>
        <v>0</v>
      </c>
      <c r="AD71" s="197">
        <v>0</v>
      </c>
      <c r="AE71" s="196">
        <v>0</v>
      </c>
      <c r="AF71" s="197">
        <v>0</v>
      </c>
      <c r="AG71" s="198">
        <f t="shared" ref="AG71:AG74" si="162">AD71*AE71*AF71</f>
        <v>0</v>
      </c>
      <c r="AH71" s="200">
        <f t="shared" ref="AH71:AH74" si="163">AC71+AG71</f>
        <v>0</v>
      </c>
      <c r="AI71" s="199">
        <f t="shared" ref="AI71:AI72" si="164">F71+G71+P71+Y71+AH71</f>
        <v>1775.8</v>
      </c>
      <c r="AJ71" s="201">
        <f t="shared" ref="AJ71:AJ72" si="165">AI71/E71</f>
        <v>0.28494865211810011</v>
      </c>
      <c r="AK71" s="196">
        <f t="shared" ref="AK71" si="166">(E71-AI71)*$AK$15</f>
        <v>490.18199999999996</v>
      </c>
      <c r="AL71" s="196">
        <v>0</v>
      </c>
      <c r="AM71" s="196">
        <v>0</v>
      </c>
      <c r="AN71" s="196">
        <v>0</v>
      </c>
      <c r="AO71" s="196">
        <v>0</v>
      </c>
      <c r="AP71" s="286">
        <v>3.2199999999999999E-2</v>
      </c>
      <c r="AQ71" s="196">
        <f>AP71*E71</f>
        <v>200.6704</v>
      </c>
      <c r="AR71" s="202">
        <f t="shared" ref="AR71:AR74" si="167">AL71+AM71+AN71+AO71+AQ71</f>
        <v>200.6704</v>
      </c>
      <c r="AS71" s="202">
        <f t="shared" ref="AS71:AS74" si="168">AK71+AR71</f>
        <v>690.85239999999999</v>
      </c>
      <c r="AT71" s="203">
        <f t="shared" ref="AT71:AT74" si="169">E71-AS71</f>
        <v>5541.1476000000002</v>
      </c>
      <c r="AV71" s="204"/>
      <c r="AW71" s="270"/>
    </row>
    <row r="72" spans="2:49" s="131" customFormat="1" ht="18" hidden="1" customHeight="1">
      <c r="B72" s="194" t="s">
        <v>1862</v>
      </c>
      <c r="C72" s="194" t="s">
        <v>1108</v>
      </c>
      <c r="D72" s="195" t="s">
        <v>1893</v>
      </c>
      <c r="E72" s="196">
        <f>12740+834</f>
        <v>13574</v>
      </c>
      <c r="F72" s="196">
        <v>1977.4</v>
      </c>
      <c r="G72" s="196">
        <v>2040</v>
      </c>
      <c r="H72" s="197">
        <v>2</v>
      </c>
      <c r="I72" s="196">
        <v>24</v>
      </c>
      <c r="J72" s="197">
        <v>26</v>
      </c>
      <c r="K72" s="198">
        <f t="shared" si="155"/>
        <v>1248</v>
      </c>
      <c r="L72" s="197">
        <v>0</v>
      </c>
      <c r="M72" s="196">
        <v>0</v>
      </c>
      <c r="N72" s="197">
        <v>0</v>
      </c>
      <c r="O72" s="198">
        <f t="shared" si="156"/>
        <v>0</v>
      </c>
      <c r="P72" s="199">
        <f t="shared" si="157"/>
        <v>1248</v>
      </c>
      <c r="Q72" s="197">
        <v>2</v>
      </c>
      <c r="R72" s="196">
        <v>44.3</v>
      </c>
      <c r="S72" s="197">
        <v>26</v>
      </c>
      <c r="T72" s="198">
        <f t="shared" si="158"/>
        <v>2303.6</v>
      </c>
      <c r="U72" s="197">
        <v>0</v>
      </c>
      <c r="V72" s="196">
        <v>0</v>
      </c>
      <c r="W72" s="207">
        <v>0</v>
      </c>
      <c r="X72" s="198">
        <f t="shared" si="159"/>
        <v>0</v>
      </c>
      <c r="Y72" s="200">
        <f t="shared" si="160"/>
        <v>2303.6</v>
      </c>
      <c r="Z72" s="197">
        <v>2</v>
      </c>
      <c r="AA72" s="196">
        <v>80</v>
      </c>
      <c r="AB72" s="197">
        <v>2</v>
      </c>
      <c r="AC72" s="198">
        <f t="shared" si="161"/>
        <v>320</v>
      </c>
      <c r="AD72" s="197">
        <v>0</v>
      </c>
      <c r="AE72" s="196">
        <v>0</v>
      </c>
      <c r="AF72" s="197">
        <v>0</v>
      </c>
      <c r="AG72" s="198">
        <f t="shared" si="162"/>
        <v>0</v>
      </c>
      <c r="AH72" s="200">
        <f t="shared" si="163"/>
        <v>320</v>
      </c>
      <c r="AI72" s="199">
        <f t="shared" si="164"/>
        <v>7889</v>
      </c>
      <c r="AJ72" s="201">
        <f t="shared" si="165"/>
        <v>0.5811846176513924</v>
      </c>
      <c r="AK72" s="196">
        <f>(E72-AI72)*$AK$15</f>
        <v>625.35</v>
      </c>
      <c r="AL72" s="196">
        <v>0</v>
      </c>
      <c r="AM72" s="196">
        <v>0</v>
      </c>
      <c r="AN72" s="196">
        <v>0</v>
      </c>
      <c r="AO72" s="196">
        <v>0</v>
      </c>
      <c r="AP72" s="286">
        <v>3.2199999999999999E-2</v>
      </c>
      <c r="AQ72" s="196">
        <f>AP72*E72</f>
        <v>437.08280000000002</v>
      </c>
      <c r="AR72" s="202">
        <f t="shared" si="167"/>
        <v>437.08280000000002</v>
      </c>
      <c r="AS72" s="202">
        <f t="shared" si="168"/>
        <v>1062.4328</v>
      </c>
      <c r="AT72" s="203">
        <f t="shared" si="169"/>
        <v>12511.5672</v>
      </c>
      <c r="AV72" s="206"/>
      <c r="AW72" s="204"/>
    </row>
    <row r="73" spans="2:49" s="131" customFormat="1" ht="18" hidden="1" customHeight="1">
      <c r="B73" s="194" t="s">
        <v>1862</v>
      </c>
      <c r="C73" s="194" t="s">
        <v>1108</v>
      </c>
      <c r="D73" s="195" t="s">
        <v>653</v>
      </c>
      <c r="E73" s="196">
        <v>33255</v>
      </c>
      <c r="F73" s="196">
        <v>5625.8</v>
      </c>
      <c r="G73" s="196">
        <v>2550</v>
      </c>
      <c r="H73" s="197">
        <v>2</v>
      </c>
      <c r="I73" s="196">
        <v>24</v>
      </c>
      <c r="J73" s="197">
        <v>26</v>
      </c>
      <c r="K73" s="198">
        <f t="shared" si="155"/>
        <v>1248</v>
      </c>
      <c r="L73" s="197">
        <v>4</v>
      </c>
      <c r="M73" s="196">
        <v>16</v>
      </c>
      <c r="N73" s="197">
        <v>16</v>
      </c>
      <c r="O73" s="198">
        <f t="shared" si="156"/>
        <v>1024</v>
      </c>
      <c r="P73" s="199">
        <f t="shared" si="157"/>
        <v>2272</v>
      </c>
      <c r="Q73" s="197">
        <v>2</v>
      </c>
      <c r="R73" s="196">
        <v>44.3</v>
      </c>
      <c r="S73" s="197">
        <v>26</v>
      </c>
      <c r="T73" s="198">
        <f t="shared" si="158"/>
        <v>2303.6</v>
      </c>
      <c r="U73" s="197">
        <v>4</v>
      </c>
      <c r="V73" s="196">
        <v>44.3</v>
      </c>
      <c r="W73" s="207">
        <v>16</v>
      </c>
      <c r="X73" s="198">
        <f t="shared" si="159"/>
        <v>2835.2</v>
      </c>
      <c r="Y73" s="200">
        <f t="shared" si="160"/>
        <v>5138.7999999999993</v>
      </c>
      <c r="Z73" s="197">
        <v>2</v>
      </c>
      <c r="AA73" s="196">
        <v>80</v>
      </c>
      <c r="AB73" s="197">
        <v>2</v>
      </c>
      <c r="AC73" s="198">
        <f t="shared" si="161"/>
        <v>320</v>
      </c>
      <c r="AD73" s="197">
        <v>4</v>
      </c>
      <c r="AE73" s="196">
        <v>90</v>
      </c>
      <c r="AF73" s="197">
        <v>2</v>
      </c>
      <c r="AG73" s="198">
        <f t="shared" si="162"/>
        <v>720</v>
      </c>
      <c r="AH73" s="200">
        <f t="shared" si="163"/>
        <v>1040</v>
      </c>
      <c r="AI73" s="199">
        <f>F73+G73+P73+Y73+AH73</f>
        <v>16626.599999999999</v>
      </c>
      <c r="AJ73" s="201">
        <f>AI73/E73</f>
        <v>0.49997293640054125</v>
      </c>
      <c r="AK73" s="196">
        <f>(E73-AI73)*$AK$15</f>
        <v>1829.1240000000003</v>
      </c>
      <c r="AL73" s="196">
        <v>0</v>
      </c>
      <c r="AM73" s="196">
        <v>0</v>
      </c>
      <c r="AN73" s="196">
        <v>0</v>
      </c>
      <c r="AO73" s="196">
        <v>0</v>
      </c>
      <c r="AP73" s="286">
        <v>3.2199999999999999E-2</v>
      </c>
      <c r="AQ73" s="196">
        <f>AP73*E73</f>
        <v>1070.8109999999999</v>
      </c>
      <c r="AR73" s="202">
        <f t="shared" si="167"/>
        <v>1070.8109999999999</v>
      </c>
      <c r="AS73" s="202">
        <f t="shared" si="168"/>
        <v>2899.9350000000004</v>
      </c>
      <c r="AT73" s="203">
        <f t="shared" si="169"/>
        <v>30355.064999999999</v>
      </c>
      <c r="AV73" s="206"/>
      <c r="AW73" s="248"/>
    </row>
    <row r="74" spans="2:49" s="131" customFormat="1" ht="18" hidden="1" customHeight="1">
      <c r="B74" s="194" t="s">
        <v>1862</v>
      </c>
      <c r="C74" s="194" t="s">
        <v>1108</v>
      </c>
      <c r="D74" s="211" t="s">
        <v>1895</v>
      </c>
      <c r="E74" s="208">
        <f>5952+390</f>
        <v>6342</v>
      </c>
      <c r="F74" s="196">
        <v>950.61</v>
      </c>
      <c r="G74" s="196">
        <v>351.9</v>
      </c>
      <c r="H74" s="197">
        <v>1</v>
      </c>
      <c r="I74" s="196">
        <v>24</v>
      </c>
      <c r="J74" s="197">
        <v>26</v>
      </c>
      <c r="K74" s="198">
        <f t="shared" si="155"/>
        <v>624</v>
      </c>
      <c r="L74" s="197">
        <v>0</v>
      </c>
      <c r="M74" s="196">
        <v>0</v>
      </c>
      <c r="N74" s="197">
        <v>0</v>
      </c>
      <c r="O74" s="198">
        <f t="shared" si="156"/>
        <v>0</v>
      </c>
      <c r="P74" s="199">
        <f t="shared" si="157"/>
        <v>624</v>
      </c>
      <c r="Q74" s="197">
        <v>1</v>
      </c>
      <c r="R74" s="196">
        <v>44.3</v>
      </c>
      <c r="S74" s="197">
        <v>26</v>
      </c>
      <c r="T74" s="198">
        <f t="shared" si="158"/>
        <v>1151.8</v>
      </c>
      <c r="U74" s="197">
        <v>0</v>
      </c>
      <c r="V74" s="196">
        <v>0</v>
      </c>
      <c r="W74" s="207">
        <v>0</v>
      </c>
      <c r="X74" s="198">
        <f t="shared" si="159"/>
        <v>0</v>
      </c>
      <c r="Y74" s="200">
        <f t="shared" si="160"/>
        <v>1151.8</v>
      </c>
      <c r="Z74" s="197">
        <v>1</v>
      </c>
      <c r="AA74" s="196">
        <v>90</v>
      </c>
      <c r="AB74" s="197">
        <v>2</v>
      </c>
      <c r="AC74" s="198">
        <f t="shared" si="161"/>
        <v>180</v>
      </c>
      <c r="AD74" s="197">
        <v>0</v>
      </c>
      <c r="AE74" s="196">
        <v>0</v>
      </c>
      <c r="AF74" s="197">
        <v>0</v>
      </c>
      <c r="AG74" s="198">
        <f t="shared" si="162"/>
        <v>0</v>
      </c>
      <c r="AH74" s="200">
        <f t="shared" si="163"/>
        <v>180</v>
      </c>
      <c r="AI74" s="199">
        <f t="shared" ref="AI74" si="170">F74+G74+P74+Y74+AH74</f>
        <v>3258.31</v>
      </c>
      <c r="AJ74" s="201">
        <f t="shared" ref="AJ74" si="171">AI74/E74</f>
        <v>0.51376695048880483</v>
      </c>
      <c r="AK74" s="196">
        <f t="shared" ref="AK74" si="172">(E74-AI74)*$AK$15</f>
        <v>339.20589999999999</v>
      </c>
      <c r="AL74" s="196">
        <v>0</v>
      </c>
      <c r="AM74" s="196">
        <v>0</v>
      </c>
      <c r="AN74" s="196">
        <v>0</v>
      </c>
      <c r="AO74" s="196">
        <v>0</v>
      </c>
      <c r="AP74" s="286">
        <v>3.2199999999999999E-2</v>
      </c>
      <c r="AQ74" s="196">
        <f>AP74*E74</f>
        <v>204.2124</v>
      </c>
      <c r="AR74" s="202">
        <f t="shared" si="167"/>
        <v>204.2124</v>
      </c>
      <c r="AS74" s="202">
        <f t="shared" si="168"/>
        <v>543.41830000000004</v>
      </c>
      <c r="AT74" s="203">
        <f t="shared" si="169"/>
        <v>5798.5816999999997</v>
      </c>
      <c r="AV74" s="204"/>
      <c r="AW74" s="270"/>
    </row>
    <row r="75" spans="2:49" s="131" customFormat="1" ht="18" hidden="1" customHeight="1">
      <c r="B75" s="371"/>
      <c r="C75" s="371"/>
      <c r="D75" s="372"/>
      <c r="E75" s="391"/>
      <c r="F75" s="391"/>
      <c r="G75" s="391"/>
      <c r="H75" s="392"/>
      <c r="I75" s="391"/>
      <c r="J75" s="392"/>
      <c r="K75" s="393"/>
      <c r="L75" s="392"/>
      <c r="M75" s="391"/>
      <c r="N75" s="392"/>
      <c r="O75" s="393"/>
      <c r="P75" s="394"/>
      <c r="Q75" s="392"/>
      <c r="R75" s="391"/>
      <c r="S75" s="392"/>
      <c r="T75" s="393"/>
      <c r="U75" s="392"/>
      <c r="V75" s="391"/>
      <c r="W75" s="426"/>
      <c r="X75" s="393"/>
      <c r="Y75" s="393"/>
      <c r="Z75" s="392"/>
      <c r="AA75" s="391"/>
      <c r="AB75" s="392"/>
      <c r="AC75" s="393"/>
      <c r="AD75" s="392"/>
      <c r="AE75" s="391"/>
      <c r="AF75" s="392"/>
      <c r="AG75" s="393"/>
      <c r="AH75" s="393"/>
      <c r="AI75" s="394"/>
      <c r="AJ75" s="395"/>
      <c r="AK75" s="391"/>
      <c r="AL75" s="391"/>
      <c r="AM75" s="391"/>
      <c r="AN75" s="391"/>
      <c r="AO75" s="391"/>
      <c r="AP75" s="427"/>
      <c r="AQ75" s="391"/>
      <c r="AR75" s="396"/>
      <c r="AS75" s="396"/>
      <c r="AT75" s="397"/>
      <c r="AV75" s="204"/>
      <c r="AW75" s="270"/>
    </row>
    <row r="76" spans="2:49" s="131" customFormat="1" ht="18" hidden="1" customHeight="1">
      <c r="B76" s="194" t="s">
        <v>1885</v>
      </c>
      <c r="C76" s="194">
        <v>125</v>
      </c>
      <c r="D76" s="195" t="s">
        <v>1916</v>
      </c>
      <c r="E76" s="196">
        <f>5812</f>
        <v>5812</v>
      </c>
      <c r="F76" s="196">
        <v>0</v>
      </c>
      <c r="G76" s="196">
        <v>0</v>
      </c>
      <c r="H76" s="197">
        <v>1</v>
      </c>
      <c r="I76" s="196">
        <v>24</v>
      </c>
      <c r="J76" s="197">
        <v>26</v>
      </c>
      <c r="K76" s="198">
        <f t="shared" ref="K76:K79" si="173">H76*I76*J76</f>
        <v>624</v>
      </c>
      <c r="L76" s="197">
        <v>0</v>
      </c>
      <c r="M76" s="196">
        <v>0</v>
      </c>
      <c r="N76" s="197">
        <v>0</v>
      </c>
      <c r="O76" s="198">
        <f t="shared" ref="O76:O79" si="174">L76*M76*N76</f>
        <v>0</v>
      </c>
      <c r="P76" s="199">
        <f t="shared" ref="P76:P79" si="175">K76+O76</f>
        <v>624</v>
      </c>
      <c r="Q76" s="197">
        <v>1</v>
      </c>
      <c r="R76" s="196">
        <v>44.3</v>
      </c>
      <c r="S76" s="197">
        <v>26</v>
      </c>
      <c r="T76" s="198">
        <f t="shared" ref="T76:T79" si="176">Q76*R76*S76</f>
        <v>1151.8</v>
      </c>
      <c r="U76" s="197">
        <v>0</v>
      </c>
      <c r="V76" s="196">
        <v>0</v>
      </c>
      <c r="W76" s="207">
        <v>0</v>
      </c>
      <c r="X76" s="198">
        <f t="shared" ref="X76:X79" si="177">U76*V76*W76</f>
        <v>0</v>
      </c>
      <c r="Y76" s="200">
        <f t="shared" ref="Y76:Y79" si="178">T76+X76</f>
        <v>1151.8</v>
      </c>
      <c r="Z76" s="197">
        <v>0</v>
      </c>
      <c r="AA76" s="196">
        <v>0</v>
      </c>
      <c r="AB76" s="197">
        <v>0</v>
      </c>
      <c r="AC76" s="198">
        <f t="shared" ref="AC76:AC79" si="179">Z76*AA76*AB76</f>
        <v>0</v>
      </c>
      <c r="AD76" s="197">
        <v>0</v>
      </c>
      <c r="AE76" s="196">
        <v>0</v>
      </c>
      <c r="AF76" s="197">
        <v>0</v>
      </c>
      <c r="AG76" s="198">
        <f t="shared" ref="AG76:AG79" si="180">AD76*AE76*AF76</f>
        <v>0</v>
      </c>
      <c r="AH76" s="200">
        <f t="shared" ref="AH76:AH79" si="181">AC76+AG76</f>
        <v>0</v>
      </c>
      <c r="AI76" s="199">
        <f t="shared" ref="AI76:AI77" si="182">F76+G76+P76+Y76+AH76</f>
        <v>1775.8</v>
      </c>
      <c r="AJ76" s="201">
        <f t="shared" ref="AJ76:AJ77" si="183">AI76/E76</f>
        <v>0.30554026152787334</v>
      </c>
      <c r="AK76" s="196">
        <f t="shared" ref="AK76" si="184">(E76-AI76)*$AK$15</f>
        <v>443.98199999999997</v>
      </c>
      <c r="AL76" s="196">
        <v>0</v>
      </c>
      <c r="AM76" s="196">
        <v>0</v>
      </c>
      <c r="AN76" s="196">
        <v>0</v>
      </c>
      <c r="AO76" s="196">
        <v>0</v>
      </c>
      <c r="AP76" s="286">
        <v>3.2199999999999999E-2</v>
      </c>
      <c r="AQ76" s="196">
        <f>AP76*E76</f>
        <v>187.1464</v>
      </c>
      <c r="AR76" s="202">
        <f t="shared" ref="AR76:AR79" si="185">AL76+AM76+AN76+AO76+AQ76</f>
        <v>187.1464</v>
      </c>
      <c r="AS76" s="202">
        <f t="shared" ref="AS76:AS79" si="186">AK76+AR76</f>
        <v>631.12839999999994</v>
      </c>
      <c r="AT76" s="203">
        <f t="shared" ref="AT76:AT79" si="187">E76-AS76</f>
        <v>5180.8716000000004</v>
      </c>
      <c r="AV76" s="204"/>
      <c r="AW76" s="270"/>
    </row>
    <row r="77" spans="2:49" s="131" customFormat="1" ht="18" hidden="1" customHeight="1">
      <c r="B77" s="194" t="s">
        <v>1885</v>
      </c>
      <c r="C77" s="194">
        <v>126</v>
      </c>
      <c r="D77" s="195" t="s">
        <v>1917</v>
      </c>
      <c r="E77" s="196">
        <f>12740</f>
        <v>12740</v>
      </c>
      <c r="F77" s="196">
        <v>1977.4</v>
      </c>
      <c r="G77" s="196">
        <v>2040</v>
      </c>
      <c r="H77" s="197">
        <v>2</v>
      </c>
      <c r="I77" s="196">
        <v>24</v>
      </c>
      <c r="J77" s="197">
        <v>26</v>
      </c>
      <c r="K77" s="198">
        <f t="shared" si="173"/>
        <v>1248</v>
      </c>
      <c r="L77" s="197">
        <v>0</v>
      </c>
      <c r="M77" s="196">
        <v>0</v>
      </c>
      <c r="N77" s="197">
        <v>0</v>
      </c>
      <c r="O77" s="198">
        <f t="shared" si="174"/>
        <v>0</v>
      </c>
      <c r="P77" s="199">
        <f t="shared" si="175"/>
        <v>1248</v>
      </c>
      <c r="Q77" s="197">
        <v>2</v>
      </c>
      <c r="R77" s="196">
        <v>44.3</v>
      </c>
      <c r="S77" s="197">
        <v>26</v>
      </c>
      <c r="T77" s="198">
        <f t="shared" si="176"/>
        <v>2303.6</v>
      </c>
      <c r="U77" s="197">
        <v>0</v>
      </c>
      <c r="V77" s="196">
        <v>0</v>
      </c>
      <c r="W77" s="207">
        <v>0</v>
      </c>
      <c r="X77" s="198">
        <f t="shared" si="177"/>
        <v>0</v>
      </c>
      <c r="Y77" s="200">
        <f t="shared" si="178"/>
        <v>2303.6</v>
      </c>
      <c r="Z77" s="197">
        <v>2</v>
      </c>
      <c r="AA77" s="196">
        <v>80</v>
      </c>
      <c r="AB77" s="197">
        <v>2</v>
      </c>
      <c r="AC77" s="198">
        <f t="shared" si="179"/>
        <v>320</v>
      </c>
      <c r="AD77" s="197">
        <v>0</v>
      </c>
      <c r="AE77" s="196">
        <v>0</v>
      </c>
      <c r="AF77" s="197">
        <v>0</v>
      </c>
      <c r="AG77" s="198">
        <f t="shared" si="180"/>
        <v>0</v>
      </c>
      <c r="AH77" s="200">
        <f t="shared" si="181"/>
        <v>320</v>
      </c>
      <c r="AI77" s="199">
        <f t="shared" si="182"/>
        <v>7889</v>
      </c>
      <c r="AJ77" s="201">
        <f t="shared" si="183"/>
        <v>0.61923076923076925</v>
      </c>
      <c r="AK77" s="196">
        <f>(E77-AI77)*$AK$15</f>
        <v>533.61</v>
      </c>
      <c r="AL77" s="196">
        <v>0</v>
      </c>
      <c r="AM77" s="196">
        <v>0</v>
      </c>
      <c r="AN77" s="196">
        <v>0</v>
      </c>
      <c r="AO77" s="196">
        <v>0</v>
      </c>
      <c r="AP77" s="286">
        <v>3.2199999999999999E-2</v>
      </c>
      <c r="AQ77" s="196">
        <f>AP77*E77</f>
        <v>410.22800000000001</v>
      </c>
      <c r="AR77" s="202">
        <f t="shared" si="185"/>
        <v>410.22800000000001</v>
      </c>
      <c r="AS77" s="202">
        <f t="shared" si="186"/>
        <v>943.83799999999997</v>
      </c>
      <c r="AT77" s="203">
        <f t="shared" si="187"/>
        <v>11796.162</v>
      </c>
      <c r="AV77" s="206"/>
      <c r="AW77" s="204"/>
    </row>
    <row r="78" spans="2:49" s="131" customFormat="1" ht="18" hidden="1" customHeight="1">
      <c r="B78" s="194" t="s">
        <v>1885</v>
      </c>
      <c r="C78" s="194">
        <v>127</v>
      </c>
      <c r="D78" s="195" t="s">
        <v>653</v>
      </c>
      <c r="E78" s="196">
        <v>33255</v>
      </c>
      <c r="F78" s="196">
        <v>5625.8</v>
      </c>
      <c r="G78" s="196">
        <v>2550</v>
      </c>
      <c r="H78" s="197">
        <v>2</v>
      </c>
      <c r="I78" s="196">
        <v>24</v>
      </c>
      <c r="J78" s="197">
        <v>26</v>
      </c>
      <c r="K78" s="198">
        <f t="shared" si="173"/>
        <v>1248</v>
      </c>
      <c r="L78" s="197">
        <v>4</v>
      </c>
      <c r="M78" s="196">
        <v>16</v>
      </c>
      <c r="N78" s="197">
        <v>16</v>
      </c>
      <c r="O78" s="198">
        <f t="shared" si="174"/>
        <v>1024</v>
      </c>
      <c r="P78" s="199">
        <f t="shared" si="175"/>
        <v>2272</v>
      </c>
      <c r="Q78" s="197">
        <v>2</v>
      </c>
      <c r="R78" s="196">
        <v>44.3</v>
      </c>
      <c r="S78" s="197">
        <v>26</v>
      </c>
      <c r="T78" s="198">
        <f t="shared" si="176"/>
        <v>2303.6</v>
      </c>
      <c r="U78" s="197">
        <v>4</v>
      </c>
      <c r="V78" s="196">
        <v>44.3</v>
      </c>
      <c r="W78" s="207">
        <v>16</v>
      </c>
      <c r="X78" s="198">
        <f t="shared" si="177"/>
        <v>2835.2</v>
      </c>
      <c r="Y78" s="200">
        <f t="shared" si="178"/>
        <v>5138.7999999999993</v>
      </c>
      <c r="Z78" s="197">
        <v>2</v>
      </c>
      <c r="AA78" s="196">
        <v>80</v>
      </c>
      <c r="AB78" s="197">
        <v>2</v>
      </c>
      <c r="AC78" s="198">
        <f t="shared" si="179"/>
        <v>320</v>
      </c>
      <c r="AD78" s="197">
        <v>4</v>
      </c>
      <c r="AE78" s="196">
        <v>90</v>
      </c>
      <c r="AF78" s="197">
        <v>2</v>
      </c>
      <c r="AG78" s="198">
        <f t="shared" si="180"/>
        <v>720</v>
      </c>
      <c r="AH78" s="200">
        <f t="shared" si="181"/>
        <v>1040</v>
      </c>
      <c r="AI78" s="199">
        <f>F78+G78+P78+Y78+AH78</f>
        <v>16626.599999999999</v>
      </c>
      <c r="AJ78" s="201">
        <f>AI78/E78</f>
        <v>0.49997293640054125</v>
      </c>
      <c r="AK78" s="196">
        <f>(E78-AI78)*$AK$15</f>
        <v>1829.1240000000003</v>
      </c>
      <c r="AL78" s="196">
        <v>0</v>
      </c>
      <c r="AM78" s="196">
        <v>0</v>
      </c>
      <c r="AN78" s="196">
        <v>0</v>
      </c>
      <c r="AO78" s="196">
        <v>0</v>
      </c>
      <c r="AP78" s="286">
        <v>3.2199999999999999E-2</v>
      </c>
      <c r="AQ78" s="196">
        <f>AP78*E78</f>
        <v>1070.8109999999999</v>
      </c>
      <c r="AR78" s="202">
        <f t="shared" si="185"/>
        <v>1070.8109999999999</v>
      </c>
      <c r="AS78" s="202">
        <f t="shared" si="186"/>
        <v>2899.9350000000004</v>
      </c>
      <c r="AT78" s="203">
        <f t="shared" si="187"/>
        <v>30355.064999999999</v>
      </c>
      <c r="AV78" s="206"/>
      <c r="AW78" s="248"/>
    </row>
    <row r="79" spans="2:49" s="131" customFormat="1" ht="18" hidden="1" customHeight="1">
      <c r="B79" s="194" t="s">
        <v>1885</v>
      </c>
      <c r="C79" s="194">
        <v>128</v>
      </c>
      <c r="D79" s="195" t="s">
        <v>1082</v>
      </c>
      <c r="E79" s="196">
        <f>5952</f>
        <v>5952</v>
      </c>
      <c r="F79" s="196">
        <v>950.61</v>
      </c>
      <c r="G79" s="196">
        <v>351.9</v>
      </c>
      <c r="H79" s="197">
        <v>1</v>
      </c>
      <c r="I79" s="196">
        <v>24</v>
      </c>
      <c r="J79" s="197">
        <v>26</v>
      </c>
      <c r="K79" s="198">
        <f t="shared" si="173"/>
        <v>624</v>
      </c>
      <c r="L79" s="197">
        <v>0</v>
      </c>
      <c r="M79" s="196">
        <v>0</v>
      </c>
      <c r="N79" s="197">
        <v>0</v>
      </c>
      <c r="O79" s="198">
        <f t="shared" si="174"/>
        <v>0</v>
      </c>
      <c r="P79" s="199">
        <f t="shared" si="175"/>
        <v>624</v>
      </c>
      <c r="Q79" s="197">
        <v>1</v>
      </c>
      <c r="R79" s="196">
        <v>44.3</v>
      </c>
      <c r="S79" s="197">
        <v>26</v>
      </c>
      <c r="T79" s="198">
        <f t="shared" si="176"/>
        <v>1151.8</v>
      </c>
      <c r="U79" s="197">
        <v>0</v>
      </c>
      <c r="V79" s="196">
        <v>0</v>
      </c>
      <c r="W79" s="207">
        <v>0</v>
      </c>
      <c r="X79" s="198">
        <f t="shared" si="177"/>
        <v>0</v>
      </c>
      <c r="Y79" s="200">
        <f t="shared" si="178"/>
        <v>1151.8</v>
      </c>
      <c r="Z79" s="197">
        <v>1</v>
      </c>
      <c r="AA79" s="196">
        <v>90</v>
      </c>
      <c r="AB79" s="197">
        <v>2</v>
      </c>
      <c r="AC79" s="198">
        <f t="shared" si="179"/>
        <v>180</v>
      </c>
      <c r="AD79" s="197">
        <v>0</v>
      </c>
      <c r="AE79" s="196">
        <v>0</v>
      </c>
      <c r="AF79" s="197">
        <v>0</v>
      </c>
      <c r="AG79" s="198">
        <f t="shared" si="180"/>
        <v>0</v>
      </c>
      <c r="AH79" s="200">
        <f t="shared" si="181"/>
        <v>180</v>
      </c>
      <c r="AI79" s="199">
        <f t="shared" ref="AI79" si="188">F79+G79+P79+Y79+AH79</f>
        <v>3258.31</v>
      </c>
      <c r="AJ79" s="201">
        <f t="shared" ref="AJ79" si="189">AI79/E79</f>
        <v>0.54743111559139779</v>
      </c>
      <c r="AK79" s="196">
        <f t="shared" ref="AK79" si="190">(E79-AI79)*$AK$15</f>
        <v>296.30590000000001</v>
      </c>
      <c r="AL79" s="196">
        <v>0</v>
      </c>
      <c r="AM79" s="196">
        <v>0</v>
      </c>
      <c r="AN79" s="196">
        <v>0</v>
      </c>
      <c r="AO79" s="196">
        <v>0</v>
      </c>
      <c r="AP79" s="286">
        <v>3.2199999999999999E-2</v>
      </c>
      <c r="AQ79" s="196">
        <f>AP79*E79</f>
        <v>191.65440000000001</v>
      </c>
      <c r="AR79" s="202">
        <f t="shared" si="185"/>
        <v>191.65440000000001</v>
      </c>
      <c r="AS79" s="202">
        <f t="shared" si="186"/>
        <v>487.96030000000002</v>
      </c>
      <c r="AT79" s="203">
        <f t="shared" si="187"/>
        <v>5464.0397000000003</v>
      </c>
      <c r="AV79" s="204"/>
      <c r="AW79" s="270"/>
    </row>
    <row r="80" spans="2:49" s="131" customFormat="1" ht="18" hidden="1" customHeight="1">
      <c r="B80" s="371"/>
      <c r="C80" s="371"/>
      <c r="D80" s="372"/>
      <c r="E80" s="391"/>
      <c r="F80" s="391"/>
      <c r="G80" s="391"/>
      <c r="H80" s="392"/>
      <c r="I80" s="391"/>
      <c r="J80" s="392"/>
      <c r="K80" s="393"/>
      <c r="L80" s="392"/>
      <c r="M80" s="391"/>
      <c r="N80" s="392"/>
      <c r="O80" s="393"/>
      <c r="P80" s="394"/>
      <c r="Q80" s="392"/>
      <c r="R80" s="391"/>
      <c r="S80" s="392"/>
      <c r="T80" s="393"/>
      <c r="U80" s="392"/>
      <c r="V80" s="391"/>
      <c r="W80" s="426"/>
      <c r="X80" s="393"/>
      <c r="Y80" s="393"/>
      <c r="Z80" s="392"/>
      <c r="AA80" s="391"/>
      <c r="AB80" s="392"/>
      <c r="AC80" s="393"/>
      <c r="AD80" s="392"/>
      <c r="AE80" s="391"/>
      <c r="AF80" s="392"/>
      <c r="AG80" s="393"/>
      <c r="AH80" s="393"/>
      <c r="AI80" s="394"/>
      <c r="AJ80" s="395"/>
      <c r="AK80" s="391"/>
      <c r="AL80" s="391"/>
      <c r="AM80" s="391"/>
      <c r="AN80" s="391"/>
      <c r="AO80" s="391"/>
      <c r="AP80" s="427"/>
      <c r="AQ80" s="391"/>
      <c r="AR80" s="396"/>
      <c r="AS80" s="396"/>
      <c r="AT80" s="397"/>
      <c r="AV80" s="204"/>
      <c r="AW80" s="270"/>
    </row>
    <row r="81" spans="2:49" s="131" customFormat="1" ht="18" hidden="1" customHeight="1">
      <c r="B81" s="194" t="s">
        <v>1926</v>
      </c>
      <c r="C81" s="194">
        <v>129</v>
      </c>
      <c r="D81" s="195" t="s">
        <v>1916</v>
      </c>
      <c r="E81" s="196">
        <f>5812</f>
        <v>5812</v>
      </c>
      <c r="F81" s="196">
        <v>0</v>
      </c>
      <c r="G81" s="196">
        <v>0</v>
      </c>
      <c r="H81" s="197">
        <v>1</v>
      </c>
      <c r="I81" s="196">
        <v>24</v>
      </c>
      <c r="J81" s="197">
        <v>26</v>
      </c>
      <c r="K81" s="198">
        <f t="shared" ref="K81:K84" si="191">H81*I81*J81</f>
        <v>624</v>
      </c>
      <c r="L81" s="197">
        <v>0</v>
      </c>
      <c r="M81" s="196">
        <v>0</v>
      </c>
      <c r="N81" s="197">
        <v>0</v>
      </c>
      <c r="O81" s="198">
        <f t="shared" ref="O81:O84" si="192">L81*M81*N81</f>
        <v>0</v>
      </c>
      <c r="P81" s="199">
        <f t="shared" ref="P81:P84" si="193">K81+O81</f>
        <v>624</v>
      </c>
      <c r="Q81" s="197">
        <v>1</v>
      </c>
      <c r="R81" s="196">
        <v>44.3</v>
      </c>
      <c r="S81" s="197">
        <v>26</v>
      </c>
      <c r="T81" s="198">
        <f t="shared" ref="T81:T84" si="194">Q81*R81*S81</f>
        <v>1151.8</v>
      </c>
      <c r="U81" s="197">
        <v>0</v>
      </c>
      <c r="V81" s="196">
        <v>0</v>
      </c>
      <c r="W81" s="207">
        <v>0</v>
      </c>
      <c r="X81" s="198">
        <f t="shared" ref="X81:X84" si="195">U81*V81*W81</f>
        <v>0</v>
      </c>
      <c r="Y81" s="200">
        <f t="shared" ref="Y81:Y84" si="196">T81+X81</f>
        <v>1151.8</v>
      </c>
      <c r="Z81" s="197">
        <v>0</v>
      </c>
      <c r="AA81" s="196">
        <v>0</v>
      </c>
      <c r="AB81" s="197">
        <v>0</v>
      </c>
      <c r="AC81" s="198">
        <f t="shared" ref="AC81:AC84" si="197">Z81*AA81*AB81</f>
        <v>0</v>
      </c>
      <c r="AD81" s="197">
        <v>0</v>
      </c>
      <c r="AE81" s="196">
        <v>0</v>
      </c>
      <c r="AF81" s="197">
        <v>0</v>
      </c>
      <c r="AG81" s="198">
        <f t="shared" ref="AG81:AG84" si="198">AD81*AE81*AF81</f>
        <v>0</v>
      </c>
      <c r="AH81" s="200">
        <f t="shared" ref="AH81:AH84" si="199">AC81+AG81</f>
        <v>0</v>
      </c>
      <c r="AI81" s="199">
        <f t="shared" ref="AI81:AI82" si="200">F81+G81+P81+Y81+AH81</f>
        <v>1775.8</v>
      </c>
      <c r="AJ81" s="201">
        <f t="shared" ref="AJ81:AJ82" si="201">AI81/E81</f>
        <v>0.30554026152787334</v>
      </c>
      <c r="AK81" s="196">
        <f t="shared" ref="AK81" si="202">(E81-AI81)*$AK$15</f>
        <v>443.98199999999997</v>
      </c>
      <c r="AL81" s="196">
        <v>0</v>
      </c>
      <c r="AM81" s="196">
        <v>0</v>
      </c>
      <c r="AN81" s="196">
        <v>0</v>
      </c>
      <c r="AO81" s="196">
        <v>0</v>
      </c>
      <c r="AP81" s="286">
        <v>3.27E-2</v>
      </c>
      <c r="AQ81" s="196">
        <f>AP81*E81</f>
        <v>190.05240000000001</v>
      </c>
      <c r="AR81" s="202">
        <f t="shared" ref="AR81:AR84" si="203">AL81+AM81+AN81+AO81+AQ81</f>
        <v>190.05240000000001</v>
      </c>
      <c r="AS81" s="202">
        <f t="shared" ref="AS81:AS84" si="204">AK81+AR81</f>
        <v>634.03440000000001</v>
      </c>
      <c r="AT81" s="203">
        <f t="shared" ref="AT81:AT84" si="205">E81-AS81</f>
        <v>5177.9655999999995</v>
      </c>
      <c r="AV81" s="204"/>
      <c r="AW81" s="270"/>
    </row>
    <row r="82" spans="2:49" s="131" customFormat="1" ht="18" hidden="1" customHeight="1">
      <c r="B82" s="194" t="s">
        <v>1926</v>
      </c>
      <c r="C82" s="194">
        <v>130</v>
      </c>
      <c r="D82" s="195" t="s">
        <v>1917</v>
      </c>
      <c r="E82" s="196">
        <f>12740</f>
        <v>12740</v>
      </c>
      <c r="F82" s="196">
        <v>1977.4</v>
      </c>
      <c r="G82" s="196">
        <v>2040</v>
      </c>
      <c r="H82" s="197">
        <v>2</v>
      </c>
      <c r="I82" s="196">
        <v>24</v>
      </c>
      <c r="J82" s="197">
        <v>26</v>
      </c>
      <c r="K82" s="198">
        <f t="shared" si="191"/>
        <v>1248</v>
      </c>
      <c r="L82" s="197">
        <v>0</v>
      </c>
      <c r="M82" s="196">
        <v>0</v>
      </c>
      <c r="N82" s="197">
        <v>0</v>
      </c>
      <c r="O82" s="198">
        <f t="shared" si="192"/>
        <v>0</v>
      </c>
      <c r="P82" s="199">
        <f t="shared" si="193"/>
        <v>1248</v>
      </c>
      <c r="Q82" s="197">
        <v>2</v>
      </c>
      <c r="R82" s="196">
        <v>44.3</v>
      </c>
      <c r="S82" s="197">
        <v>26</v>
      </c>
      <c r="T82" s="198">
        <f t="shared" si="194"/>
        <v>2303.6</v>
      </c>
      <c r="U82" s="197">
        <v>0</v>
      </c>
      <c r="V82" s="196">
        <v>0</v>
      </c>
      <c r="W82" s="207">
        <v>0</v>
      </c>
      <c r="X82" s="198">
        <f t="shared" si="195"/>
        <v>0</v>
      </c>
      <c r="Y82" s="200">
        <f t="shared" si="196"/>
        <v>2303.6</v>
      </c>
      <c r="Z82" s="197">
        <v>2</v>
      </c>
      <c r="AA82" s="196">
        <v>80</v>
      </c>
      <c r="AB82" s="197">
        <v>2</v>
      </c>
      <c r="AC82" s="198">
        <f t="shared" si="197"/>
        <v>320</v>
      </c>
      <c r="AD82" s="197">
        <v>0</v>
      </c>
      <c r="AE82" s="196">
        <v>0</v>
      </c>
      <c r="AF82" s="197">
        <v>0</v>
      </c>
      <c r="AG82" s="198">
        <f t="shared" si="198"/>
        <v>0</v>
      </c>
      <c r="AH82" s="200">
        <f t="shared" si="199"/>
        <v>320</v>
      </c>
      <c r="AI82" s="199">
        <f t="shared" si="200"/>
        <v>7889</v>
      </c>
      <c r="AJ82" s="201">
        <f t="shared" si="201"/>
        <v>0.61923076923076925</v>
      </c>
      <c r="AK82" s="196">
        <f>(E82-AI82)*$AK$15</f>
        <v>533.61</v>
      </c>
      <c r="AL82" s="196">
        <v>0</v>
      </c>
      <c r="AM82" s="196">
        <v>0</v>
      </c>
      <c r="AN82" s="196">
        <v>0</v>
      </c>
      <c r="AO82" s="196">
        <v>0</v>
      </c>
      <c r="AP82" s="286">
        <v>3.27E-2</v>
      </c>
      <c r="AQ82" s="196">
        <f>AP82*E82</f>
        <v>416.59800000000001</v>
      </c>
      <c r="AR82" s="202">
        <f t="shared" si="203"/>
        <v>416.59800000000001</v>
      </c>
      <c r="AS82" s="202">
        <f t="shared" si="204"/>
        <v>950.20800000000008</v>
      </c>
      <c r="AT82" s="203">
        <f t="shared" si="205"/>
        <v>11789.791999999999</v>
      </c>
      <c r="AV82" s="206"/>
      <c r="AW82" s="204"/>
    </row>
    <row r="83" spans="2:49" s="131" customFormat="1" ht="18" hidden="1" customHeight="1">
      <c r="B83" s="194" t="s">
        <v>1926</v>
      </c>
      <c r="C83" s="194">
        <v>131</v>
      </c>
      <c r="D83" s="195" t="s">
        <v>653</v>
      </c>
      <c r="E83" s="196">
        <v>33255</v>
      </c>
      <c r="F83" s="196">
        <v>5625.8</v>
      </c>
      <c r="G83" s="196">
        <v>2550</v>
      </c>
      <c r="H83" s="197">
        <v>2</v>
      </c>
      <c r="I83" s="196">
        <v>24</v>
      </c>
      <c r="J83" s="197">
        <v>26</v>
      </c>
      <c r="K83" s="198">
        <f t="shared" si="191"/>
        <v>1248</v>
      </c>
      <c r="L83" s="197">
        <v>4</v>
      </c>
      <c r="M83" s="196">
        <v>16</v>
      </c>
      <c r="N83" s="197">
        <v>16</v>
      </c>
      <c r="O83" s="198">
        <f t="shared" si="192"/>
        <v>1024</v>
      </c>
      <c r="P83" s="199">
        <f t="shared" si="193"/>
        <v>2272</v>
      </c>
      <c r="Q83" s="197">
        <v>2</v>
      </c>
      <c r="R83" s="196">
        <v>44.3</v>
      </c>
      <c r="S83" s="197">
        <v>26</v>
      </c>
      <c r="T83" s="198">
        <f t="shared" si="194"/>
        <v>2303.6</v>
      </c>
      <c r="U83" s="197">
        <v>4</v>
      </c>
      <c r="V83" s="196">
        <v>44.3</v>
      </c>
      <c r="W83" s="207">
        <v>16</v>
      </c>
      <c r="X83" s="198">
        <f t="shared" si="195"/>
        <v>2835.2</v>
      </c>
      <c r="Y83" s="200">
        <f t="shared" si="196"/>
        <v>5138.7999999999993</v>
      </c>
      <c r="Z83" s="197">
        <v>2</v>
      </c>
      <c r="AA83" s="196">
        <v>80</v>
      </c>
      <c r="AB83" s="197">
        <v>2</v>
      </c>
      <c r="AC83" s="198">
        <f t="shared" si="197"/>
        <v>320</v>
      </c>
      <c r="AD83" s="197">
        <v>4</v>
      </c>
      <c r="AE83" s="196">
        <v>90</v>
      </c>
      <c r="AF83" s="197">
        <v>2</v>
      </c>
      <c r="AG83" s="198">
        <f t="shared" si="198"/>
        <v>720</v>
      </c>
      <c r="AH83" s="200">
        <f t="shared" si="199"/>
        <v>1040</v>
      </c>
      <c r="AI83" s="199">
        <f>F83+G83+P83+Y83+AH83</f>
        <v>16626.599999999999</v>
      </c>
      <c r="AJ83" s="201">
        <f>AI83/E83</f>
        <v>0.49997293640054125</v>
      </c>
      <c r="AK83" s="196">
        <f>(E83-AI83)*$AK$15</f>
        <v>1829.1240000000003</v>
      </c>
      <c r="AL83" s="196">
        <v>0</v>
      </c>
      <c r="AM83" s="196">
        <v>0</v>
      </c>
      <c r="AN83" s="196">
        <v>0</v>
      </c>
      <c r="AO83" s="196">
        <v>0</v>
      </c>
      <c r="AP83" s="286">
        <v>3.27E-2</v>
      </c>
      <c r="AQ83" s="196">
        <f>AP83*E83</f>
        <v>1087.4385</v>
      </c>
      <c r="AR83" s="202">
        <f t="shared" si="203"/>
        <v>1087.4385</v>
      </c>
      <c r="AS83" s="202">
        <f t="shared" si="204"/>
        <v>2916.5625</v>
      </c>
      <c r="AT83" s="203">
        <f t="shared" si="205"/>
        <v>30338.4375</v>
      </c>
      <c r="AV83" s="206"/>
      <c r="AW83" s="248"/>
    </row>
    <row r="84" spans="2:49" s="131" customFormat="1" ht="18" hidden="1" customHeight="1">
      <c r="B84" s="194" t="s">
        <v>1926</v>
      </c>
      <c r="C84" s="194">
        <v>132</v>
      </c>
      <c r="D84" s="195" t="s">
        <v>1082</v>
      </c>
      <c r="E84" s="196">
        <f>5952</f>
        <v>5952</v>
      </c>
      <c r="F84" s="196">
        <v>950.61</v>
      </c>
      <c r="G84" s="196">
        <v>351.9</v>
      </c>
      <c r="H84" s="197">
        <v>1</v>
      </c>
      <c r="I84" s="196">
        <v>24</v>
      </c>
      <c r="J84" s="197">
        <v>26</v>
      </c>
      <c r="K84" s="198">
        <f t="shared" si="191"/>
        <v>624</v>
      </c>
      <c r="L84" s="197">
        <v>0</v>
      </c>
      <c r="M84" s="196">
        <v>0</v>
      </c>
      <c r="N84" s="197">
        <v>0</v>
      </c>
      <c r="O84" s="198">
        <f t="shared" si="192"/>
        <v>0</v>
      </c>
      <c r="P84" s="199">
        <f t="shared" si="193"/>
        <v>624</v>
      </c>
      <c r="Q84" s="197">
        <v>1</v>
      </c>
      <c r="R84" s="196">
        <v>44.3</v>
      </c>
      <c r="S84" s="197">
        <v>26</v>
      </c>
      <c r="T84" s="198">
        <f t="shared" si="194"/>
        <v>1151.8</v>
      </c>
      <c r="U84" s="197">
        <v>0</v>
      </c>
      <c r="V84" s="196">
        <v>0</v>
      </c>
      <c r="W84" s="207">
        <v>0</v>
      </c>
      <c r="X84" s="198">
        <f t="shared" si="195"/>
        <v>0</v>
      </c>
      <c r="Y84" s="200">
        <f t="shared" si="196"/>
        <v>1151.8</v>
      </c>
      <c r="Z84" s="197">
        <v>1</v>
      </c>
      <c r="AA84" s="196">
        <v>90</v>
      </c>
      <c r="AB84" s="197">
        <v>2</v>
      </c>
      <c r="AC84" s="198">
        <f t="shared" si="197"/>
        <v>180</v>
      </c>
      <c r="AD84" s="197">
        <v>0</v>
      </c>
      <c r="AE84" s="196">
        <v>0</v>
      </c>
      <c r="AF84" s="197">
        <v>0</v>
      </c>
      <c r="AG84" s="198">
        <f t="shared" si="198"/>
        <v>0</v>
      </c>
      <c r="AH84" s="200">
        <f t="shared" si="199"/>
        <v>180</v>
      </c>
      <c r="AI84" s="199">
        <f t="shared" ref="AI84" si="206">F84+G84+P84+Y84+AH84</f>
        <v>3258.31</v>
      </c>
      <c r="AJ84" s="201">
        <f t="shared" ref="AJ84" si="207">AI84/E84</f>
        <v>0.54743111559139779</v>
      </c>
      <c r="AK84" s="196">
        <f t="shared" ref="AK84" si="208">(E84-AI84)*$AK$15</f>
        <v>296.30590000000001</v>
      </c>
      <c r="AL84" s="196">
        <v>0</v>
      </c>
      <c r="AM84" s="196">
        <v>0</v>
      </c>
      <c r="AN84" s="196">
        <v>0</v>
      </c>
      <c r="AO84" s="196">
        <v>0</v>
      </c>
      <c r="AP84" s="286">
        <v>3.27E-2</v>
      </c>
      <c r="AQ84" s="196">
        <f>AP84*E84</f>
        <v>194.63040000000001</v>
      </c>
      <c r="AR84" s="202">
        <f t="shared" si="203"/>
        <v>194.63040000000001</v>
      </c>
      <c r="AS84" s="202">
        <f t="shared" si="204"/>
        <v>490.93630000000002</v>
      </c>
      <c r="AT84" s="203">
        <f t="shared" si="205"/>
        <v>5461.0636999999997</v>
      </c>
      <c r="AV84" s="204"/>
      <c r="AW84" s="270"/>
    </row>
    <row r="85" spans="2:49" s="131" customFormat="1" ht="18" hidden="1" customHeight="1">
      <c r="B85" s="371"/>
      <c r="C85" s="371"/>
      <c r="D85" s="372"/>
      <c r="E85" s="391"/>
      <c r="F85" s="391"/>
      <c r="G85" s="391"/>
      <c r="H85" s="392"/>
      <c r="I85" s="391"/>
      <c r="J85" s="392"/>
      <c r="K85" s="393"/>
      <c r="L85" s="392"/>
      <c r="M85" s="391"/>
      <c r="N85" s="392"/>
      <c r="O85" s="393"/>
      <c r="P85" s="394"/>
      <c r="Q85" s="392"/>
      <c r="R85" s="391"/>
      <c r="S85" s="392"/>
      <c r="T85" s="393"/>
      <c r="U85" s="392"/>
      <c r="V85" s="391"/>
      <c r="W85" s="426"/>
      <c r="X85" s="393"/>
      <c r="Y85" s="393"/>
      <c r="Z85" s="392"/>
      <c r="AA85" s="391"/>
      <c r="AB85" s="392"/>
      <c r="AC85" s="393"/>
      <c r="AD85" s="392"/>
      <c r="AE85" s="391"/>
      <c r="AF85" s="392"/>
      <c r="AG85" s="393"/>
      <c r="AH85" s="393"/>
      <c r="AI85" s="394"/>
      <c r="AJ85" s="395"/>
      <c r="AK85" s="391"/>
      <c r="AL85" s="391"/>
      <c r="AM85" s="391"/>
      <c r="AN85" s="391"/>
      <c r="AO85" s="391"/>
      <c r="AP85" s="427"/>
      <c r="AQ85" s="391"/>
      <c r="AR85" s="396"/>
      <c r="AS85" s="396"/>
      <c r="AT85" s="397"/>
      <c r="AV85" s="204"/>
      <c r="AW85" s="270"/>
    </row>
    <row r="86" spans="2:49" s="131" customFormat="1" ht="18" hidden="1" customHeight="1">
      <c r="B86" s="194" t="s">
        <v>1975</v>
      </c>
      <c r="C86" s="194">
        <v>133</v>
      </c>
      <c r="D86" s="195" t="s">
        <v>1916</v>
      </c>
      <c r="E86" s="196">
        <f>5812</f>
        <v>5812</v>
      </c>
      <c r="F86" s="196">
        <v>0</v>
      </c>
      <c r="G86" s="196">
        <v>0</v>
      </c>
      <c r="H86" s="197">
        <v>1</v>
      </c>
      <c r="I86" s="196">
        <v>24</v>
      </c>
      <c r="J86" s="197">
        <v>26</v>
      </c>
      <c r="K86" s="198">
        <f t="shared" ref="K86:K89" si="209">H86*I86*J86</f>
        <v>624</v>
      </c>
      <c r="L86" s="197">
        <v>0</v>
      </c>
      <c r="M86" s="196">
        <v>0</v>
      </c>
      <c r="N86" s="197">
        <v>0</v>
      </c>
      <c r="O86" s="198">
        <f t="shared" ref="O86:O89" si="210">L86*M86*N86</f>
        <v>0</v>
      </c>
      <c r="P86" s="199">
        <f t="shared" ref="P86:P89" si="211">K86+O86</f>
        <v>624</v>
      </c>
      <c r="Q86" s="197">
        <v>1</v>
      </c>
      <c r="R86" s="196">
        <v>44.3</v>
      </c>
      <c r="S86" s="197">
        <v>26</v>
      </c>
      <c r="T86" s="198">
        <f t="shared" ref="T86:T89" si="212">Q86*R86*S86</f>
        <v>1151.8</v>
      </c>
      <c r="U86" s="197">
        <v>0</v>
      </c>
      <c r="V86" s="196">
        <v>0</v>
      </c>
      <c r="W86" s="207">
        <v>0</v>
      </c>
      <c r="X86" s="198">
        <f t="shared" ref="X86:X89" si="213">U86*V86*W86</f>
        <v>0</v>
      </c>
      <c r="Y86" s="200">
        <f t="shared" ref="Y86:Y89" si="214">T86+X86</f>
        <v>1151.8</v>
      </c>
      <c r="Z86" s="197">
        <v>0</v>
      </c>
      <c r="AA86" s="196">
        <v>0</v>
      </c>
      <c r="AB86" s="197">
        <v>0</v>
      </c>
      <c r="AC86" s="198">
        <f t="shared" ref="AC86:AC89" si="215">Z86*AA86*AB86</f>
        <v>0</v>
      </c>
      <c r="AD86" s="197">
        <v>0</v>
      </c>
      <c r="AE86" s="196">
        <v>0</v>
      </c>
      <c r="AF86" s="197">
        <v>0</v>
      </c>
      <c r="AG86" s="198">
        <f t="shared" ref="AG86:AG89" si="216">AD86*AE86*AF86</f>
        <v>0</v>
      </c>
      <c r="AH86" s="200">
        <f t="shared" ref="AH86:AH89" si="217">AC86+AG86</f>
        <v>0</v>
      </c>
      <c r="AI86" s="199">
        <f t="shared" ref="AI86:AI87" si="218">F86+G86+P86+Y86+AH86</f>
        <v>1775.8</v>
      </c>
      <c r="AJ86" s="201">
        <f t="shared" ref="AJ86:AJ87" si="219">AI86/E86</f>
        <v>0.30554026152787334</v>
      </c>
      <c r="AK86" s="196">
        <f t="shared" ref="AK86" si="220">(E86-AI86)*$AK$15</f>
        <v>443.98199999999997</v>
      </c>
      <c r="AL86" s="196">
        <v>0</v>
      </c>
      <c r="AM86" s="196">
        <v>0</v>
      </c>
      <c r="AN86" s="196">
        <v>0</v>
      </c>
      <c r="AO86" s="196">
        <v>0</v>
      </c>
      <c r="AP86" s="286">
        <v>3.2599999999999997E-2</v>
      </c>
      <c r="AQ86" s="196">
        <f>AP86*E86</f>
        <v>189.47119999999998</v>
      </c>
      <c r="AR86" s="202">
        <f t="shared" ref="AR86:AR89" si="221">AL86+AM86+AN86+AO86+AQ86</f>
        <v>189.47119999999998</v>
      </c>
      <c r="AS86" s="202">
        <f t="shared" ref="AS86:AS89" si="222">AK86+AR86</f>
        <v>633.45319999999992</v>
      </c>
      <c r="AT86" s="203">
        <f t="shared" ref="AT86:AT89" si="223">E86-AS86</f>
        <v>5178.5468000000001</v>
      </c>
      <c r="AV86" s="204"/>
      <c r="AW86" s="270"/>
    </row>
    <row r="87" spans="2:49" s="131" customFormat="1" ht="18" hidden="1" customHeight="1">
      <c r="B87" s="194" t="s">
        <v>1975</v>
      </c>
      <c r="C87" s="194">
        <v>134</v>
      </c>
      <c r="D87" s="195" t="s">
        <v>1917</v>
      </c>
      <c r="E87" s="196">
        <f>12740</f>
        <v>12740</v>
      </c>
      <c r="F87" s="196">
        <v>1977.4</v>
      </c>
      <c r="G87" s="196">
        <v>2040</v>
      </c>
      <c r="H87" s="197">
        <v>2</v>
      </c>
      <c r="I87" s="196">
        <v>24</v>
      </c>
      <c r="J87" s="197">
        <v>26</v>
      </c>
      <c r="K87" s="198">
        <f t="shared" si="209"/>
        <v>1248</v>
      </c>
      <c r="L87" s="197">
        <v>0</v>
      </c>
      <c r="M87" s="196">
        <v>0</v>
      </c>
      <c r="N87" s="197">
        <v>0</v>
      </c>
      <c r="O87" s="198">
        <f t="shared" si="210"/>
        <v>0</v>
      </c>
      <c r="P87" s="199">
        <f t="shared" si="211"/>
        <v>1248</v>
      </c>
      <c r="Q87" s="197">
        <v>2</v>
      </c>
      <c r="R87" s="196">
        <v>44.3</v>
      </c>
      <c r="S87" s="197">
        <v>26</v>
      </c>
      <c r="T87" s="198">
        <f t="shared" si="212"/>
        <v>2303.6</v>
      </c>
      <c r="U87" s="197">
        <v>0</v>
      </c>
      <c r="V87" s="196">
        <v>0</v>
      </c>
      <c r="W87" s="207">
        <v>0</v>
      </c>
      <c r="X87" s="198">
        <f t="shared" si="213"/>
        <v>0</v>
      </c>
      <c r="Y87" s="200">
        <f t="shared" si="214"/>
        <v>2303.6</v>
      </c>
      <c r="Z87" s="197">
        <v>2</v>
      </c>
      <c r="AA87" s="196">
        <v>80</v>
      </c>
      <c r="AB87" s="197">
        <v>2</v>
      </c>
      <c r="AC87" s="198">
        <f t="shared" si="215"/>
        <v>320</v>
      </c>
      <c r="AD87" s="197">
        <v>0</v>
      </c>
      <c r="AE87" s="196">
        <v>0</v>
      </c>
      <c r="AF87" s="197">
        <v>0</v>
      </c>
      <c r="AG87" s="198">
        <f t="shared" si="216"/>
        <v>0</v>
      </c>
      <c r="AH87" s="200">
        <f t="shared" si="217"/>
        <v>320</v>
      </c>
      <c r="AI87" s="199">
        <f t="shared" si="218"/>
        <v>7889</v>
      </c>
      <c r="AJ87" s="201">
        <f t="shared" si="219"/>
        <v>0.61923076923076925</v>
      </c>
      <c r="AK87" s="196">
        <f>(E87-AI87)*$AK$15</f>
        <v>533.61</v>
      </c>
      <c r="AL87" s="196">
        <v>0</v>
      </c>
      <c r="AM87" s="196">
        <v>0</v>
      </c>
      <c r="AN87" s="196">
        <v>0</v>
      </c>
      <c r="AO87" s="196">
        <v>0</v>
      </c>
      <c r="AP87" s="286">
        <v>3.2599999999999997E-2</v>
      </c>
      <c r="AQ87" s="196">
        <f>AP87*E87</f>
        <v>415.32399999999996</v>
      </c>
      <c r="AR87" s="202">
        <f t="shared" si="221"/>
        <v>415.32399999999996</v>
      </c>
      <c r="AS87" s="202">
        <f t="shared" si="222"/>
        <v>948.93399999999997</v>
      </c>
      <c r="AT87" s="203">
        <f t="shared" si="223"/>
        <v>11791.066000000001</v>
      </c>
      <c r="AV87" s="206"/>
      <c r="AW87" s="204"/>
    </row>
    <row r="88" spans="2:49" s="131" customFormat="1" ht="18" hidden="1" customHeight="1">
      <c r="B88" s="194" t="s">
        <v>1975</v>
      </c>
      <c r="C88" s="194">
        <v>135</v>
      </c>
      <c r="D88" s="195" t="s">
        <v>653</v>
      </c>
      <c r="E88" s="196">
        <v>33255</v>
      </c>
      <c r="F88" s="196">
        <v>5625.8</v>
      </c>
      <c r="G88" s="196">
        <v>2550</v>
      </c>
      <c r="H88" s="197">
        <v>2</v>
      </c>
      <c r="I88" s="196">
        <v>24</v>
      </c>
      <c r="J88" s="197">
        <v>26</v>
      </c>
      <c r="K88" s="198">
        <f t="shared" si="209"/>
        <v>1248</v>
      </c>
      <c r="L88" s="197">
        <v>4</v>
      </c>
      <c r="M88" s="196">
        <v>16</v>
      </c>
      <c r="N88" s="197">
        <v>16</v>
      </c>
      <c r="O88" s="198">
        <f t="shared" si="210"/>
        <v>1024</v>
      </c>
      <c r="P88" s="199">
        <f t="shared" si="211"/>
        <v>2272</v>
      </c>
      <c r="Q88" s="197">
        <v>2</v>
      </c>
      <c r="R88" s="196">
        <v>44.3</v>
      </c>
      <c r="S88" s="197">
        <v>26</v>
      </c>
      <c r="T88" s="198">
        <f t="shared" si="212"/>
        <v>2303.6</v>
      </c>
      <c r="U88" s="197">
        <v>4</v>
      </c>
      <c r="V88" s="196">
        <v>44.3</v>
      </c>
      <c r="W88" s="207">
        <v>16</v>
      </c>
      <c r="X88" s="198">
        <f t="shared" si="213"/>
        <v>2835.2</v>
      </c>
      <c r="Y88" s="200">
        <f t="shared" si="214"/>
        <v>5138.7999999999993</v>
      </c>
      <c r="Z88" s="197">
        <v>2</v>
      </c>
      <c r="AA88" s="196">
        <v>80</v>
      </c>
      <c r="AB88" s="197">
        <v>2</v>
      </c>
      <c r="AC88" s="198">
        <f t="shared" si="215"/>
        <v>320</v>
      </c>
      <c r="AD88" s="197">
        <v>4</v>
      </c>
      <c r="AE88" s="196">
        <v>90</v>
      </c>
      <c r="AF88" s="197">
        <v>2</v>
      </c>
      <c r="AG88" s="198">
        <f t="shared" si="216"/>
        <v>720</v>
      </c>
      <c r="AH88" s="200">
        <f t="shared" si="217"/>
        <v>1040</v>
      </c>
      <c r="AI88" s="199">
        <f>F88+G88+P88+Y88+AH88</f>
        <v>16626.599999999999</v>
      </c>
      <c r="AJ88" s="201">
        <f>AI88/E88</f>
        <v>0.49997293640054125</v>
      </c>
      <c r="AK88" s="196">
        <f>(E88-AI88)*$AK$15</f>
        <v>1829.1240000000003</v>
      </c>
      <c r="AL88" s="196">
        <v>0</v>
      </c>
      <c r="AM88" s="196">
        <v>0</v>
      </c>
      <c r="AN88" s="196">
        <v>0</v>
      </c>
      <c r="AO88" s="196">
        <v>0</v>
      </c>
      <c r="AP88" s="286">
        <v>3.2599999999999997E-2</v>
      </c>
      <c r="AQ88" s="196">
        <f>AP88*E88</f>
        <v>1084.1129999999998</v>
      </c>
      <c r="AR88" s="202">
        <f t="shared" si="221"/>
        <v>1084.1129999999998</v>
      </c>
      <c r="AS88" s="202">
        <f t="shared" si="222"/>
        <v>2913.2370000000001</v>
      </c>
      <c r="AT88" s="203">
        <f t="shared" si="223"/>
        <v>30341.762999999999</v>
      </c>
      <c r="AV88" s="206"/>
      <c r="AW88" s="248"/>
    </row>
    <row r="89" spans="2:49" s="131" customFormat="1" ht="18" hidden="1" customHeight="1">
      <c r="B89" s="194" t="s">
        <v>1975</v>
      </c>
      <c r="C89" s="194">
        <v>136</v>
      </c>
      <c r="D89" s="195" t="s">
        <v>1082</v>
      </c>
      <c r="E89" s="196">
        <f>5952</f>
        <v>5952</v>
      </c>
      <c r="F89" s="196">
        <v>950.61</v>
      </c>
      <c r="G89" s="196">
        <v>351.9</v>
      </c>
      <c r="H89" s="197">
        <v>1</v>
      </c>
      <c r="I89" s="196">
        <v>24</v>
      </c>
      <c r="J89" s="197">
        <v>26</v>
      </c>
      <c r="K89" s="198">
        <f t="shared" si="209"/>
        <v>624</v>
      </c>
      <c r="L89" s="197">
        <v>0</v>
      </c>
      <c r="M89" s="196">
        <v>0</v>
      </c>
      <c r="N89" s="197">
        <v>0</v>
      </c>
      <c r="O89" s="198">
        <f t="shared" si="210"/>
        <v>0</v>
      </c>
      <c r="P89" s="199">
        <f t="shared" si="211"/>
        <v>624</v>
      </c>
      <c r="Q89" s="197">
        <v>1</v>
      </c>
      <c r="R89" s="196">
        <v>44.3</v>
      </c>
      <c r="S89" s="197">
        <v>26</v>
      </c>
      <c r="T89" s="198">
        <f t="shared" si="212"/>
        <v>1151.8</v>
      </c>
      <c r="U89" s="197">
        <v>0</v>
      </c>
      <c r="V89" s="196">
        <v>0</v>
      </c>
      <c r="W89" s="207">
        <v>0</v>
      </c>
      <c r="X89" s="198">
        <f t="shared" si="213"/>
        <v>0</v>
      </c>
      <c r="Y89" s="200">
        <f t="shared" si="214"/>
        <v>1151.8</v>
      </c>
      <c r="Z89" s="197">
        <v>1</v>
      </c>
      <c r="AA89" s="196">
        <v>90</v>
      </c>
      <c r="AB89" s="197">
        <v>2</v>
      </c>
      <c r="AC89" s="198">
        <f t="shared" si="215"/>
        <v>180</v>
      </c>
      <c r="AD89" s="197">
        <v>0</v>
      </c>
      <c r="AE89" s="196">
        <v>0</v>
      </c>
      <c r="AF89" s="197">
        <v>0</v>
      </c>
      <c r="AG89" s="198">
        <f t="shared" si="216"/>
        <v>0</v>
      </c>
      <c r="AH89" s="200">
        <f t="shared" si="217"/>
        <v>180</v>
      </c>
      <c r="AI89" s="199">
        <f t="shared" ref="AI89" si="224">F89+G89+P89+Y89+AH89</f>
        <v>3258.31</v>
      </c>
      <c r="AJ89" s="201">
        <f t="shared" ref="AJ89" si="225">AI89/E89</f>
        <v>0.54743111559139779</v>
      </c>
      <c r="AK89" s="196">
        <f t="shared" ref="AK89" si="226">(E89-AI89)*$AK$15</f>
        <v>296.30590000000001</v>
      </c>
      <c r="AL89" s="196">
        <v>0</v>
      </c>
      <c r="AM89" s="196">
        <v>0</v>
      </c>
      <c r="AN89" s="196">
        <v>0</v>
      </c>
      <c r="AO89" s="196">
        <v>0</v>
      </c>
      <c r="AP89" s="286">
        <v>3.2599999999999997E-2</v>
      </c>
      <c r="AQ89" s="196">
        <f>AP89*E89</f>
        <v>194.03519999999997</v>
      </c>
      <c r="AR89" s="202">
        <f t="shared" si="221"/>
        <v>194.03519999999997</v>
      </c>
      <c r="AS89" s="202">
        <f t="shared" si="222"/>
        <v>490.34109999999998</v>
      </c>
      <c r="AT89" s="203">
        <f t="shared" si="223"/>
        <v>5461.6589000000004</v>
      </c>
      <c r="AV89" s="204"/>
      <c r="AW89" s="270"/>
    </row>
    <row r="90" spans="2:49" s="131" customFormat="1" ht="18" hidden="1" customHeight="1">
      <c r="B90" s="371"/>
      <c r="C90" s="371"/>
      <c r="D90" s="372"/>
      <c r="E90" s="391"/>
      <c r="F90" s="391"/>
      <c r="G90" s="391"/>
      <c r="H90" s="392"/>
      <c r="I90" s="391"/>
      <c r="J90" s="392"/>
      <c r="K90" s="393"/>
      <c r="L90" s="392"/>
      <c r="M90" s="391"/>
      <c r="N90" s="392"/>
      <c r="O90" s="393"/>
      <c r="P90" s="394"/>
      <c r="Q90" s="392"/>
      <c r="R90" s="391"/>
      <c r="S90" s="392"/>
      <c r="T90" s="393"/>
      <c r="U90" s="392"/>
      <c r="V90" s="391"/>
      <c r="W90" s="426"/>
      <c r="X90" s="393"/>
      <c r="Y90" s="393"/>
      <c r="Z90" s="392"/>
      <c r="AA90" s="391"/>
      <c r="AB90" s="392"/>
      <c r="AC90" s="393"/>
      <c r="AD90" s="392"/>
      <c r="AE90" s="391"/>
      <c r="AF90" s="392"/>
      <c r="AG90" s="393"/>
      <c r="AH90" s="393"/>
      <c r="AI90" s="394"/>
      <c r="AJ90" s="395"/>
      <c r="AK90" s="391"/>
      <c r="AL90" s="391"/>
      <c r="AM90" s="391"/>
      <c r="AN90" s="391"/>
      <c r="AO90" s="391"/>
      <c r="AP90" s="427"/>
      <c r="AQ90" s="391"/>
      <c r="AR90" s="396"/>
      <c r="AS90" s="396"/>
      <c r="AT90" s="397"/>
      <c r="AV90" s="204"/>
      <c r="AW90" s="270"/>
    </row>
    <row r="91" spans="2:49" s="131" customFormat="1" ht="18" hidden="1" customHeight="1">
      <c r="B91" s="194" t="s">
        <v>2007</v>
      </c>
      <c r="C91" s="194">
        <v>137</v>
      </c>
      <c r="D91" s="195" t="s">
        <v>1916</v>
      </c>
      <c r="E91" s="196">
        <f>5812</f>
        <v>5812</v>
      </c>
      <c r="F91" s="196">
        <v>0</v>
      </c>
      <c r="G91" s="196">
        <v>0</v>
      </c>
      <c r="H91" s="197">
        <v>1</v>
      </c>
      <c r="I91" s="196">
        <v>24</v>
      </c>
      <c r="J91" s="197">
        <v>26</v>
      </c>
      <c r="K91" s="198">
        <f t="shared" ref="K91:K94" si="227">H91*I91*J91</f>
        <v>624</v>
      </c>
      <c r="L91" s="197">
        <v>0</v>
      </c>
      <c r="M91" s="196">
        <v>0</v>
      </c>
      <c r="N91" s="197">
        <v>0</v>
      </c>
      <c r="O91" s="198">
        <f t="shared" ref="O91:O94" si="228">L91*M91*N91</f>
        <v>0</v>
      </c>
      <c r="P91" s="199">
        <f t="shared" ref="P91:P94" si="229">K91+O91</f>
        <v>624</v>
      </c>
      <c r="Q91" s="197">
        <v>1</v>
      </c>
      <c r="R91" s="196">
        <v>44.3</v>
      </c>
      <c r="S91" s="197">
        <v>26</v>
      </c>
      <c r="T91" s="198">
        <f t="shared" ref="T91:T94" si="230">Q91*R91*S91</f>
        <v>1151.8</v>
      </c>
      <c r="U91" s="197">
        <v>0</v>
      </c>
      <c r="V91" s="196">
        <v>0</v>
      </c>
      <c r="W91" s="207">
        <v>0</v>
      </c>
      <c r="X91" s="198">
        <f t="shared" ref="X91:X94" si="231">U91*V91*W91</f>
        <v>0</v>
      </c>
      <c r="Y91" s="200">
        <f t="shared" ref="Y91:Y94" si="232">T91+X91</f>
        <v>1151.8</v>
      </c>
      <c r="Z91" s="197">
        <v>0</v>
      </c>
      <c r="AA91" s="196">
        <v>0</v>
      </c>
      <c r="AB91" s="197">
        <v>0</v>
      </c>
      <c r="AC91" s="198">
        <f t="shared" ref="AC91:AC94" si="233">Z91*AA91*AB91</f>
        <v>0</v>
      </c>
      <c r="AD91" s="197">
        <v>0</v>
      </c>
      <c r="AE91" s="196">
        <v>0</v>
      </c>
      <c r="AF91" s="197">
        <v>0</v>
      </c>
      <c r="AG91" s="198">
        <f t="shared" ref="AG91:AG94" si="234">AD91*AE91*AF91</f>
        <v>0</v>
      </c>
      <c r="AH91" s="200">
        <f t="shared" ref="AH91:AH94" si="235">AC91+AG91</f>
        <v>0</v>
      </c>
      <c r="AI91" s="199">
        <f t="shared" ref="AI91:AI92" si="236">F91+G91+P91+Y91+AH91</f>
        <v>1775.8</v>
      </c>
      <c r="AJ91" s="201">
        <f t="shared" ref="AJ91:AJ92" si="237">AI91/E91</f>
        <v>0.30554026152787334</v>
      </c>
      <c r="AK91" s="196">
        <f t="shared" ref="AK91" si="238">(E91-AI91)*$AK$15</f>
        <v>443.98199999999997</v>
      </c>
      <c r="AL91" s="196">
        <v>0</v>
      </c>
      <c r="AM91" s="196">
        <v>0</v>
      </c>
      <c r="AN91" s="196">
        <v>0</v>
      </c>
      <c r="AO91" s="196">
        <v>0</v>
      </c>
      <c r="AP91" s="286">
        <v>3.2699587061252582E-2</v>
      </c>
      <c r="AQ91" s="196">
        <f>AP91*E91</f>
        <v>190.05</v>
      </c>
      <c r="AR91" s="202">
        <f t="shared" ref="AR91:AR94" si="239">AL91+AM91+AN91+AO91+AQ91</f>
        <v>190.05</v>
      </c>
      <c r="AS91" s="202">
        <f t="shared" ref="AS91:AS94" si="240">AK91+AR91</f>
        <v>634.03199999999993</v>
      </c>
      <c r="AT91" s="203">
        <f t="shared" ref="AT91:AT94" si="241">E91-AS91</f>
        <v>5177.9679999999998</v>
      </c>
      <c r="AV91" s="204"/>
      <c r="AW91" s="270"/>
    </row>
    <row r="92" spans="2:49" s="131" customFormat="1" ht="18" hidden="1" customHeight="1">
      <c r="B92" s="194" t="s">
        <v>2007</v>
      </c>
      <c r="C92" s="194">
        <v>138</v>
      </c>
      <c r="D92" s="195" t="s">
        <v>1917</v>
      </c>
      <c r="E92" s="196">
        <f>12740</f>
        <v>12740</v>
      </c>
      <c r="F92" s="196">
        <v>1977.4</v>
      </c>
      <c r="G92" s="196">
        <v>2040</v>
      </c>
      <c r="H92" s="197">
        <v>2</v>
      </c>
      <c r="I92" s="196">
        <v>24</v>
      </c>
      <c r="J92" s="197">
        <v>26</v>
      </c>
      <c r="K92" s="198">
        <f t="shared" si="227"/>
        <v>1248</v>
      </c>
      <c r="L92" s="197">
        <v>0</v>
      </c>
      <c r="M92" s="196">
        <v>0</v>
      </c>
      <c r="N92" s="197">
        <v>0</v>
      </c>
      <c r="O92" s="198">
        <f t="shared" si="228"/>
        <v>0</v>
      </c>
      <c r="P92" s="199">
        <f t="shared" si="229"/>
        <v>1248</v>
      </c>
      <c r="Q92" s="197">
        <v>2</v>
      </c>
      <c r="R92" s="196">
        <v>44.3</v>
      </c>
      <c r="S92" s="197">
        <v>26</v>
      </c>
      <c r="T92" s="198">
        <f t="shared" si="230"/>
        <v>2303.6</v>
      </c>
      <c r="U92" s="197">
        <v>0</v>
      </c>
      <c r="V92" s="196">
        <v>0</v>
      </c>
      <c r="W92" s="207">
        <v>0</v>
      </c>
      <c r="X92" s="198">
        <f t="shared" si="231"/>
        <v>0</v>
      </c>
      <c r="Y92" s="200">
        <f t="shared" si="232"/>
        <v>2303.6</v>
      </c>
      <c r="Z92" s="197">
        <v>2</v>
      </c>
      <c r="AA92" s="196">
        <v>80</v>
      </c>
      <c r="AB92" s="197">
        <v>2</v>
      </c>
      <c r="AC92" s="198">
        <f t="shared" si="233"/>
        <v>320</v>
      </c>
      <c r="AD92" s="197">
        <v>0</v>
      </c>
      <c r="AE92" s="196">
        <v>0</v>
      </c>
      <c r="AF92" s="197">
        <v>0</v>
      </c>
      <c r="AG92" s="198">
        <f t="shared" si="234"/>
        <v>0</v>
      </c>
      <c r="AH92" s="200">
        <f t="shared" si="235"/>
        <v>320</v>
      </c>
      <c r="AI92" s="199">
        <f t="shared" si="236"/>
        <v>7889</v>
      </c>
      <c r="AJ92" s="201">
        <f t="shared" si="237"/>
        <v>0.61923076923076925</v>
      </c>
      <c r="AK92" s="196">
        <f>(E92-AI92)*$AK$15</f>
        <v>533.61</v>
      </c>
      <c r="AL92" s="196">
        <v>0</v>
      </c>
      <c r="AM92" s="196">
        <v>0</v>
      </c>
      <c r="AN92" s="196">
        <v>0</v>
      </c>
      <c r="AO92" s="196">
        <v>0</v>
      </c>
      <c r="AP92" s="286">
        <v>3.2699587061252582E-2</v>
      </c>
      <c r="AQ92" s="196">
        <f>AP92*E92</f>
        <v>416.59273916035789</v>
      </c>
      <c r="AR92" s="202">
        <f t="shared" si="239"/>
        <v>416.59273916035789</v>
      </c>
      <c r="AS92" s="202">
        <f t="shared" si="240"/>
        <v>950.20273916035785</v>
      </c>
      <c r="AT92" s="203">
        <f t="shared" si="241"/>
        <v>11789.797260839641</v>
      </c>
      <c r="AV92" s="830"/>
      <c r="AW92" s="204"/>
    </row>
    <row r="93" spans="2:49" s="131" customFormat="1" ht="18" hidden="1" customHeight="1">
      <c r="B93" s="194" t="s">
        <v>2007</v>
      </c>
      <c r="C93" s="194">
        <v>139</v>
      </c>
      <c r="D93" s="195" t="s">
        <v>653</v>
      </c>
      <c r="E93" s="196">
        <v>33255</v>
      </c>
      <c r="F93" s="196">
        <v>5625.8</v>
      </c>
      <c r="G93" s="196">
        <v>2550</v>
      </c>
      <c r="H93" s="197">
        <v>2</v>
      </c>
      <c r="I93" s="196">
        <v>24</v>
      </c>
      <c r="J93" s="197">
        <v>26</v>
      </c>
      <c r="K93" s="198">
        <f t="shared" si="227"/>
        <v>1248</v>
      </c>
      <c r="L93" s="197">
        <v>4</v>
      </c>
      <c r="M93" s="196">
        <v>16</v>
      </c>
      <c r="N93" s="197">
        <v>16</v>
      </c>
      <c r="O93" s="198">
        <f t="shared" si="228"/>
        <v>1024</v>
      </c>
      <c r="P93" s="199">
        <f t="shared" si="229"/>
        <v>2272</v>
      </c>
      <c r="Q93" s="197">
        <v>2</v>
      </c>
      <c r="R93" s="196">
        <v>44.3</v>
      </c>
      <c r="S93" s="197">
        <v>26</v>
      </c>
      <c r="T93" s="198">
        <f t="shared" si="230"/>
        <v>2303.6</v>
      </c>
      <c r="U93" s="197">
        <v>4</v>
      </c>
      <c r="V93" s="196">
        <v>44.3</v>
      </c>
      <c r="W93" s="207">
        <v>16</v>
      </c>
      <c r="X93" s="198">
        <f t="shared" si="231"/>
        <v>2835.2</v>
      </c>
      <c r="Y93" s="200">
        <f t="shared" si="232"/>
        <v>5138.7999999999993</v>
      </c>
      <c r="Z93" s="197">
        <v>2</v>
      </c>
      <c r="AA93" s="196">
        <v>80</v>
      </c>
      <c r="AB93" s="197">
        <v>2</v>
      </c>
      <c r="AC93" s="198">
        <f t="shared" si="233"/>
        <v>320</v>
      </c>
      <c r="AD93" s="197">
        <v>4</v>
      </c>
      <c r="AE93" s="196">
        <v>90</v>
      </c>
      <c r="AF93" s="197">
        <v>2</v>
      </c>
      <c r="AG93" s="198">
        <f t="shared" si="234"/>
        <v>720</v>
      </c>
      <c r="AH93" s="200">
        <f t="shared" si="235"/>
        <v>1040</v>
      </c>
      <c r="AI93" s="199">
        <f>F93+G93+P93+Y93+AH93</f>
        <v>16626.599999999999</v>
      </c>
      <c r="AJ93" s="201">
        <f>AI93/E93</f>
        <v>0.49997293640054125</v>
      </c>
      <c r="AK93" s="196">
        <f>(E93-AI93)*$AK$15</f>
        <v>1829.1240000000003</v>
      </c>
      <c r="AL93" s="196">
        <v>0</v>
      </c>
      <c r="AM93" s="196">
        <v>0</v>
      </c>
      <c r="AN93" s="196">
        <v>0</v>
      </c>
      <c r="AO93" s="196">
        <v>0</v>
      </c>
      <c r="AP93" s="286">
        <v>3.2699587061252582E-2</v>
      </c>
      <c r="AQ93" s="196">
        <f>AP93*E93</f>
        <v>1087.4247677219546</v>
      </c>
      <c r="AR93" s="202">
        <f t="shared" si="239"/>
        <v>1087.4247677219546</v>
      </c>
      <c r="AS93" s="202">
        <f t="shared" si="240"/>
        <v>2916.5487677219548</v>
      </c>
      <c r="AT93" s="203">
        <f t="shared" si="241"/>
        <v>30338.451232278047</v>
      </c>
      <c r="AV93" s="829"/>
      <c r="AW93" s="248"/>
    </row>
    <row r="94" spans="2:49" s="131" customFormat="1" ht="18" hidden="1" customHeight="1">
      <c r="B94" s="194" t="s">
        <v>2007</v>
      </c>
      <c r="C94" s="194">
        <v>140</v>
      </c>
      <c r="D94" s="195" t="s">
        <v>1082</v>
      </c>
      <c r="E94" s="196">
        <f>5952</f>
        <v>5952</v>
      </c>
      <c r="F94" s="196">
        <v>950.61</v>
      </c>
      <c r="G94" s="196">
        <v>351.9</v>
      </c>
      <c r="H94" s="197">
        <v>1</v>
      </c>
      <c r="I94" s="196">
        <v>24</v>
      </c>
      <c r="J94" s="197">
        <v>26</v>
      </c>
      <c r="K94" s="198">
        <f t="shared" si="227"/>
        <v>624</v>
      </c>
      <c r="L94" s="197">
        <v>0</v>
      </c>
      <c r="M94" s="196">
        <v>0</v>
      </c>
      <c r="N94" s="197">
        <v>0</v>
      </c>
      <c r="O94" s="198">
        <f t="shared" si="228"/>
        <v>0</v>
      </c>
      <c r="P94" s="199">
        <f t="shared" si="229"/>
        <v>624</v>
      </c>
      <c r="Q94" s="197">
        <v>1</v>
      </c>
      <c r="R94" s="196">
        <v>44.3</v>
      </c>
      <c r="S94" s="197">
        <v>26</v>
      </c>
      <c r="T94" s="198">
        <f t="shared" si="230"/>
        <v>1151.8</v>
      </c>
      <c r="U94" s="197">
        <v>0</v>
      </c>
      <c r="V94" s="196">
        <v>0</v>
      </c>
      <c r="W94" s="207">
        <v>0</v>
      </c>
      <c r="X94" s="198">
        <f t="shared" si="231"/>
        <v>0</v>
      </c>
      <c r="Y94" s="200">
        <f t="shared" si="232"/>
        <v>1151.8</v>
      </c>
      <c r="Z94" s="197">
        <v>1</v>
      </c>
      <c r="AA94" s="196">
        <v>90</v>
      </c>
      <c r="AB94" s="197">
        <v>2</v>
      </c>
      <c r="AC94" s="198">
        <f t="shared" si="233"/>
        <v>180</v>
      </c>
      <c r="AD94" s="197">
        <v>0</v>
      </c>
      <c r="AE94" s="196">
        <v>0</v>
      </c>
      <c r="AF94" s="197">
        <v>0</v>
      </c>
      <c r="AG94" s="198">
        <f t="shared" si="234"/>
        <v>0</v>
      </c>
      <c r="AH94" s="200">
        <f t="shared" si="235"/>
        <v>180</v>
      </c>
      <c r="AI94" s="199">
        <f t="shared" ref="AI94" si="242">F94+G94+P94+Y94+AH94</f>
        <v>3258.31</v>
      </c>
      <c r="AJ94" s="201">
        <f t="shared" ref="AJ94" si="243">AI94/E94</f>
        <v>0.54743111559139779</v>
      </c>
      <c r="AK94" s="196">
        <f t="shared" ref="AK94" si="244">(E94-AI94)*$AK$15</f>
        <v>296.30590000000001</v>
      </c>
      <c r="AL94" s="196">
        <v>0</v>
      </c>
      <c r="AM94" s="196">
        <v>0</v>
      </c>
      <c r="AN94" s="196">
        <v>0</v>
      </c>
      <c r="AO94" s="196">
        <v>0</v>
      </c>
      <c r="AP94" s="286">
        <v>3.2699587061252582E-2</v>
      </c>
      <c r="AQ94" s="196">
        <f>AP94*E94</f>
        <v>194.62794218857536</v>
      </c>
      <c r="AR94" s="202">
        <f t="shared" si="239"/>
        <v>194.62794218857536</v>
      </c>
      <c r="AS94" s="202">
        <f t="shared" si="240"/>
        <v>490.93384218857534</v>
      </c>
      <c r="AT94" s="203">
        <f t="shared" si="241"/>
        <v>5461.066157811425</v>
      </c>
      <c r="AV94" s="204"/>
      <c r="AW94" s="270"/>
    </row>
    <row r="95" spans="2:49" s="131" customFormat="1" ht="18" hidden="1" customHeight="1">
      <c r="B95" s="371"/>
      <c r="C95" s="371"/>
      <c r="D95" s="372"/>
      <c r="E95" s="391"/>
      <c r="F95" s="391"/>
      <c r="G95" s="391"/>
      <c r="H95" s="392"/>
      <c r="I95" s="391"/>
      <c r="J95" s="392"/>
      <c r="K95" s="393"/>
      <c r="L95" s="392"/>
      <c r="M95" s="391"/>
      <c r="N95" s="392"/>
      <c r="O95" s="393"/>
      <c r="P95" s="394"/>
      <c r="Q95" s="392"/>
      <c r="R95" s="391"/>
      <c r="S95" s="392"/>
      <c r="T95" s="393"/>
      <c r="U95" s="392"/>
      <c r="V95" s="391"/>
      <c r="W95" s="426"/>
      <c r="X95" s="393"/>
      <c r="Y95" s="393"/>
      <c r="Z95" s="392"/>
      <c r="AA95" s="391"/>
      <c r="AB95" s="392"/>
      <c r="AC95" s="393"/>
      <c r="AD95" s="392"/>
      <c r="AE95" s="391"/>
      <c r="AF95" s="392"/>
      <c r="AG95" s="393"/>
      <c r="AH95" s="393"/>
      <c r="AI95" s="394"/>
      <c r="AJ95" s="395"/>
      <c r="AK95" s="391"/>
      <c r="AL95" s="391"/>
      <c r="AM95" s="391"/>
      <c r="AN95" s="391"/>
      <c r="AO95" s="391"/>
      <c r="AP95" s="427"/>
      <c r="AQ95" s="391"/>
      <c r="AR95" s="396"/>
      <c r="AS95" s="396"/>
      <c r="AT95" s="397"/>
      <c r="AV95" s="204"/>
      <c r="AW95" s="270"/>
    </row>
    <row r="96" spans="2:49" s="131" customFormat="1" ht="18" hidden="1" customHeight="1">
      <c r="B96" s="194" t="s">
        <v>2024</v>
      </c>
      <c r="C96" s="194">
        <v>137</v>
      </c>
      <c r="D96" s="195" t="s">
        <v>1916</v>
      </c>
      <c r="E96" s="196">
        <f>5812</f>
        <v>5812</v>
      </c>
      <c r="F96" s="196">
        <v>0</v>
      </c>
      <c r="G96" s="196">
        <v>0</v>
      </c>
      <c r="H96" s="197">
        <v>1</v>
      </c>
      <c r="I96" s="196">
        <v>24</v>
      </c>
      <c r="J96" s="197">
        <v>26</v>
      </c>
      <c r="K96" s="198">
        <f t="shared" ref="K96:K99" si="245">H96*I96*J96</f>
        <v>624</v>
      </c>
      <c r="L96" s="197">
        <v>0</v>
      </c>
      <c r="M96" s="196">
        <v>0</v>
      </c>
      <c r="N96" s="197">
        <v>0</v>
      </c>
      <c r="O96" s="198">
        <f t="shared" ref="O96:O99" si="246">L96*M96*N96</f>
        <v>0</v>
      </c>
      <c r="P96" s="199">
        <f t="shared" ref="P96:P99" si="247">K96+O96</f>
        <v>624</v>
      </c>
      <c r="Q96" s="197">
        <v>1</v>
      </c>
      <c r="R96" s="196">
        <v>44.3</v>
      </c>
      <c r="S96" s="197">
        <v>26</v>
      </c>
      <c r="T96" s="198">
        <f t="shared" ref="T96:T99" si="248">Q96*R96*S96</f>
        <v>1151.8</v>
      </c>
      <c r="U96" s="197">
        <v>0</v>
      </c>
      <c r="V96" s="196">
        <v>0</v>
      </c>
      <c r="W96" s="207">
        <v>0</v>
      </c>
      <c r="X96" s="198">
        <f t="shared" ref="X96:X99" si="249">U96*V96*W96</f>
        <v>0</v>
      </c>
      <c r="Y96" s="200">
        <f t="shared" ref="Y96:Y99" si="250">T96+X96</f>
        <v>1151.8</v>
      </c>
      <c r="Z96" s="197">
        <v>0</v>
      </c>
      <c r="AA96" s="196">
        <v>0</v>
      </c>
      <c r="AB96" s="197">
        <v>0</v>
      </c>
      <c r="AC96" s="198">
        <f t="shared" ref="AC96:AC99" si="251">Z96*AA96*AB96</f>
        <v>0</v>
      </c>
      <c r="AD96" s="197">
        <v>0</v>
      </c>
      <c r="AE96" s="196">
        <v>0</v>
      </c>
      <c r="AF96" s="197">
        <v>0</v>
      </c>
      <c r="AG96" s="198">
        <f t="shared" ref="AG96:AG99" si="252">AD96*AE96*AF96</f>
        <v>0</v>
      </c>
      <c r="AH96" s="200">
        <f t="shared" ref="AH96:AH99" si="253">AC96+AG96</f>
        <v>0</v>
      </c>
      <c r="AI96" s="199">
        <f t="shared" ref="AI96:AI97" si="254">F96+G96+P96+Y96+AH96</f>
        <v>1775.8</v>
      </c>
      <c r="AJ96" s="201">
        <f t="shared" ref="AJ96:AJ97" si="255">AI96/E96</f>
        <v>0.30554026152787334</v>
      </c>
      <c r="AK96" s="196">
        <f t="shared" ref="AK96" si="256">(E96-AI96)*$AK$15</f>
        <v>443.98199999999997</v>
      </c>
      <c r="AL96" s="196">
        <v>0</v>
      </c>
      <c r="AM96" s="196">
        <v>0</v>
      </c>
      <c r="AN96" s="196">
        <v>0</v>
      </c>
      <c r="AO96" s="196">
        <v>0</v>
      </c>
      <c r="AP96" s="286">
        <v>3.32E-2</v>
      </c>
      <c r="AQ96" s="196">
        <f>AP96*E96</f>
        <v>192.95840000000001</v>
      </c>
      <c r="AR96" s="202">
        <f t="shared" ref="AR96:AR99" si="257">AL96+AM96+AN96+AO96+AQ96</f>
        <v>192.95840000000001</v>
      </c>
      <c r="AS96" s="202">
        <f t="shared" ref="AS96:AS99" si="258">AK96+AR96</f>
        <v>636.94039999999995</v>
      </c>
      <c r="AT96" s="203">
        <f t="shared" ref="AT96:AT99" si="259">E96-AS96</f>
        <v>5175.0596000000005</v>
      </c>
      <c r="AV96" s="204" t="s">
        <v>1698</v>
      </c>
      <c r="AW96" s="270"/>
    </row>
    <row r="97" spans="2:49" s="131" customFormat="1" ht="18" hidden="1" customHeight="1">
      <c r="B97" s="194" t="s">
        <v>2024</v>
      </c>
      <c r="C97" s="194">
        <v>138</v>
      </c>
      <c r="D97" s="195" t="s">
        <v>1917</v>
      </c>
      <c r="E97" s="196">
        <f>12740</f>
        <v>12740</v>
      </c>
      <c r="F97" s="196">
        <v>1977.4</v>
      </c>
      <c r="G97" s="196">
        <v>2040</v>
      </c>
      <c r="H97" s="197">
        <v>2</v>
      </c>
      <c r="I97" s="196">
        <v>24</v>
      </c>
      <c r="J97" s="197">
        <v>26</v>
      </c>
      <c r="K97" s="198">
        <f t="shared" si="245"/>
        <v>1248</v>
      </c>
      <c r="L97" s="197">
        <v>0</v>
      </c>
      <c r="M97" s="196">
        <v>0</v>
      </c>
      <c r="N97" s="197">
        <v>0</v>
      </c>
      <c r="O97" s="198">
        <f t="shared" si="246"/>
        <v>0</v>
      </c>
      <c r="P97" s="199">
        <f t="shared" si="247"/>
        <v>1248</v>
      </c>
      <c r="Q97" s="197">
        <v>2</v>
      </c>
      <c r="R97" s="196">
        <v>44.3</v>
      </c>
      <c r="S97" s="197">
        <v>26</v>
      </c>
      <c r="T97" s="198">
        <f t="shared" si="248"/>
        <v>2303.6</v>
      </c>
      <c r="U97" s="197">
        <v>0</v>
      </c>
      <c r="V97" s="196">
        <v>0</v>
      </c>
      <c r="W97" s="207">
        <v>0</v>
      </c>
      <c r="X97" s="198">
        <f t="shared" si="249"/>
        <v>0</v>
      </c>
      <c r="Y97" s="200">
        <f t="shared" si="250"/>
        <v>2303.6</v>
      </c>
      <c r="Z97" s="197">
        <v>2</v>
      </c>
      <c r="AA97" s="196">
        <v>80</v>
      </c>
      <c r="AB97" s="197">
        <v>2</v>
      </c>
      <c r="AC97" s="198">
        <f t="shared" si="251"/>
        <v>320</v>
      </c>
      <c r="AD97" s="197">
        <v>0</v>
      </c>
      <c r="AE97" s="196">
        <v>0</v>
      </c>
      <c r="AF97" s="197">
        <v>0</v>
      </c>
      <c r="AG97" s="198">
        <f t="shared" si="252"/>
        <v>0</v>
      </c>
      <c r="AH97" s="200">
        <f t="shared" si="253"/>
        <v>320</v>
      </c>
      <c r="AI97" s="199">
        <f t="shared" si="254"/>
        <v>7889</v>
      </c>
      <c r="AJ97" s="201">
        <f t="shared" si="255"/>
        <v>0.61923076923076925</v>
      </c>
      <c r="AK97" s="196">
        <f>(E97-AI97)*$AK$15</f>
        <v>533.61</v>
      </c>
      <c r="AL97" s="196">
        <v>0</v>
      </c>
      <c r="AM97" s="196">
        <v>0</v>
      </c>
      <c r="AN97" s="196">
        <v>0</v>
      </c>
      <c r="AO97" s="196">
        <v>0</v>
      </c>
      <c r="AP97" s="286">
        <v>3.32E-2</v>
      </c>
      <c r="AQ97" s="196">
        <f>AP97*E97</f>
        <v>422.96800000000002</v>
      </c>
      <c r="AR97" s="202">
        <f t="shared" si="257"/>
        <v>422.96800000000002</v>
      </c>
      <c r="AS97" s="202">
        <f t="shared" si="258"/>
        <v>956.57799999999997</v>
      </c>
      <c r="AT97" s="203">
        <f t="shared" si="259"/>
        <v>11783.422</v>
      </c>
      <c r="AV97" s="830" t="s">
        <v>1698</v>
      </c>
      <c r="AW97" s="204"/>
    </row>
    <row r="98" spans="2:49" s="131" customFormat="1" ht="18" hidden="1" customHeight="1">
      <c r="B98" s="194" t="s">
        <v>2024</v>
      </c>
      <c r="C98" s="194">
        <v>139</v>
      </c>
      <c r="D98" s="195" t="s">
        <v>653</v>
      </c>
      <c r="E98" s="196">
        <v>22789</v>
      </c>
      <c r="F98" s="196">
        <v>3855.2505247331233</v>
      </c>
      <c r="G98" s="196">
        <v>1747.4650428506991</v>
      </c>
      <c r="H98" s="197">
        <v>2</v>
      </c>
      <c r="I98" s="196">
        <v>24</v>
      </c>
      <c r="J98" s="197">
        <v>26</v>
      </c>
      <c r="K98" s="198">
        <f t="shared" si="245"/>
        <v>1248</v>
      </c>
      <c r="L98" s="197">
        <v>2</v>
      </c>
      <c r="M98" s="196">
        <v>16</v>
      </c>
      <c r="N98" s="197">
        <v>16</v>
      </c>
      <c r="O98" s="198">
        <f t="shared" si="246"/>
        <v>512</v>
      </c>
      <c r="P98" s="199">
        <f t="shared" si="247"/>
        <v>1760</v>
      </c>
      <c r="Q98" s="197">
        <v>2</v>
      </c>
      <c r="R98" s="196">
        <v>44.3</v>
      </c>
      <c r="S98" s="197">
        <v>26</v>
      </c>
      <c r="T98" s="198">
        <f t="shared" si="248"/>
        <v>2303.6</v>
      </c>
      <c r="U98" s="197">
        <v>2</v>
      </c>
      <c r="V98" s="196">
        <v>44.3</v>
      </c>
      <c r="W98" s="207">
        <v>16</v>
      </c>
      <c r="X98" s="198">
        <f t="shared" si="249"/>
        <v>1417.6</v>
      </c>
      <c r="Y98" s="200">
        <f t="shared" si="250"/>
        <v>3721.2</v>
      </c>
      <c r="Z98" s="197">
        <v>2</v>
      </c>
      <c r="AA98" s="196">
        <v>80</v>
      </c>
      <c r="AB98" s="197">
        <v>2</v>
      </c>
      <c r="AC98" s="198">
        <f t="shared" si="251"/>
        <v>320</v>
      </c>
      <c r="AD98" s="197">
        <v>2</v>
      </c>
      <c r="AE98" s="196">
        <v>90</v>
      </c>
      <c r="AF98" s="197">
        <v>2</v>
      </c>
      <c r="AG98" s="198">
        <f t="shared" si="252"/>
        <v>360</v>
      </c>
      <c r="AH98" s="200">
        <f t="shared" si="253"/>
        <v>680</v>
      </c>
      <c r="AI98" s="199">
        <f>F98+G98+P98+Y98+AH98</f>
        <v>11763.915567583823</v>
      </c>
      <c r="AJ98" s="201">
        <f>AI98/E98</f>
        <v>0.51621025791319597</v>
      </c>
      <c r="AK98" s="196">
        <f>(E98-AI98)*$AK$15</f>
        <v>1212.7592875657795</v>
      </c>
      <c r="AL98" s="196">
        <v>0</v>
      </c>
      <c r="AM98" s="196">
        <v>0</v>
      </c>
      <c r="AN98" s="196">
        <v>0</v>
      </c>
      <c r="AO98" s="196">
        <v>0</v>
      </c>
      <c r="AP98" s="286">
        <v>3.32E-2</v>
      </c>
      <c r="AQ98" s="196">
        <f>AP98*E98</f>
        <v>756.59479999999996</v>
      </c>
      <c r="AR98" s="202">
        <f t="shared" si="257"/>
        <v>756.59479999999996</v>
      </c>
      <c r="AS98" s="202">
        <f t="shared" si="258"/>
        <v>1969.3540875657795</v>
      </c>
      <c r="AT98" s="203">
        <f t="shared" si="259"/>
        <v>20819.645912434222</v>
      </c>
      <c r="AV98" s="829" t="s">
        <v>1698</v>
      </c>
      <c r="AW98" s="248"/>
    </row>
    <row r="99" spans="2:49" s="131" customFormat="1" ht="18" hidden="1" customHeight="1">
      <c r="B99" s="194" t="s">
        <v>2024</v>
      </c>
      <c r="C99" s="194">
        <v>140</v>
      </c>
      <c r="D99" s="195" t="s">
        <v>1082</v>
      </c>
      <c r="E99" s="196">
        <f>5952</f>
        <v>5952</v>
      </c>
      <c r="F99" s="196">
        <v>950.61</v>
      </c>
      <c r="G99" s="196">
        <v>351.9</v>
      </c>
      <c r="H99" s="197">
        <v>1</v>
      </c>
      <c r="I99" s="196">
        <v>24</v>
      </c>
      <c r="J99" s="197">
        <v>26</v>
      </c>
      <c r="K99" s="198">
        <f t="shared" si="245"/>
        <v>624</v>
      </c>
      <c r="L99" s="197">
        <v>0</v>
      </c>
      <c r="M99" s="196">
        <v>0</v>
      </c>
      <c r="N99" s="197">
        <v>0</v>
      </c>
      <c r="O99" s="198">
        <f t="shared" si="246"/>
        <v>0</v>
      </c>
      <c r="P99" s="199">
        <f t="shared" si="247"/>
        <v>624</v>
      </c>
      <c r="Q99" s="197">
        <v>1</v>
      </c>
      <c r="R99" s="196">
        <v>44.3</v>
      </c>
      <c r="S99" s="197">
        <v>26</v>
      </c>
      <c r="T99" s="198">
        <f t="shared" si="248"/>
        <v>1151.8</v>
      </c>
      <c r="U99" s="197">
        <v>0</v>
      </c>
      <c r="V99" s="196">
        <v>0</v>
      </c>
      <c r="W99" s="207">
        <v>0</v>
      </c>
      <c r="X99" s="198">
        <f t="shared" si="249"/>
        <v>0</v>
      </c>
      <c r="Y99" s="200">
        <f t="shared" si="250"/>
        <v>1151.8</v>
      </c>
      <c r="Z99" s="197">
        <v>1</v>
      </c>
      <c r="AA99" s="196">
        <v>90</v>
      </c>
      <c r="AB99" s="197">
        <v>2</v>
      </c>
      <c r="AC99" s="198">
        <f t="shared" si="251"/>
        <v>180</v>
      </c>
      <c r="AD99" s="197">
        <v>0</v>
      </c>
      <c r="AE99" s="196">
        <v>0</v>
      </c>
      <c r="AF99" s="197">
        <v>0</v>
      </c>
      <c r="AG99" s="198">
        <f t="shared" si="252"/>
        <v>0</v>
      </c>
      <c r="AH99" s="200">
        <f t="shared" si="253"/>
        <v>180</v>
      </c>
      <c r="AI99" s="199">
        <f t="shared" ref="AI99" si="260">F99+G99+P99+Y99+AH99</f>
        <v>3258.31</v>
      </c>
      <c r="AJ99" s="201">
        <f t="shared" ref="AJ99" si="261">AI99/E99</f>
        <v>0.54743111559139779</v>
      </c>
      <c r="AK99" s="196">
        <f t="shared" ref="AK99" si="262">(E99-AI99)*$AK$15</f>
        <v>296.30590000000001</v>
      </c>
      <c r="AL99" s="196">
        <v>0</v>
      </c>
      <c r="AM99" s="196">
        <v>0</v>
      </c>
      <c r="AN99" s="196">
        <v>0</v>
      </c>
      <c r="AO99" s="196">
        <v>0</v>
      </c>
      <c r="AP99" s="286">
        <v>3.32E-2</v>
      </c>
      <c r="AQ99" s="196">
        <f>AP99*E99</f>
        <v>197.60640000000001</v>
      </c>
      <c r="AR99" s="202">
        <f t="shared" si="257"/>
        <v>197.60640000000001</v>
      </c>
      <c r="AS99" s="202">
        <f t="shared" si="258"/>
        <v>493.91230000000002</v>
      </c>
      <c r="AT99" s="203">
        <f t="shared" si="259"/>
        <v>5458.0877</v>
      </c>
      <c r="AV99" s="204" t="s">
        <v>1698</v>
      </c>
      <c r="AW99" s="270"/>
    </row>
    <row r="100" spans="2:49" s="131" customFormat="1" ht="18" hidden="1" customHeight="1">
      <c r="B100" s="371"/>
      <c r="C100" s="371"/>
      <c r="D100" s="372"/>
      <c r="E100" s="391"/>
      <c r="F100" s="391"/>
      <c r="G100" s="391"/>
      <c r="H100" s="392"/>
      <c r="I100" s="391"/>
      <c r="J100" s="392"/>
      <c r="K100" s="393"/>
      <c r="L100" s="392"/>
      <c r="M100" s="391"/>
      <c r="N100" s="392"/>
      <c r="O100" s="393"/>
      <c r="P100" s="394"/>
      <c r="Q100" s="392"/>
      <c r="R100" s="391"/>
      <c r="S100" s="392"/>
      <c r="T100" s="393"/>
      <c r="U100" s="392"/>
      <c r="V100" s="391"/>
      <c r="W100" s="426"/>
      <c r="X100" s="393"/>
      <c r="Y100" s="393"/>
      <c r="Z100" s="392"/>
      <c r="AA100" s="391"/>
      <c r="AB100" s="392"/>
      <c r="AC100" s="393"/>
      <c r="AD100" s="392"/>
      <c r="AE100" s="391"/>
      <c r="AF100" s="392"/>
      <c r="AG100" s="393"/>
      <c r="AH100" s="393"/>
      <c r="AI100" s="394"/>
      <c r="AJ100" s="395"/>
      <c r="AK100" s="391"/>
      <c r="AL100" s="391"/>
      <c r="AM100" s="391"/>
      <c r="AN100" s="391"/>
      <c r="AO100" s="391"/>
      <c r="AP100" s="427"/>
      <c r="AQ100" s="391"/>
      <c r="AR100" s="396"/>
      <c r="AS100" s="396"/>
      <c r="AT100" s="397"/>
      <c r="AV100" s="204"/>
      <c r="AW100" s="270"/>
    </row>
    <row r="101" spans="2:49" s="131" customFormat="1" ht="18" hidden="1" customHeight="1">
      <c r="B101" s="194" t="s">
        <v>2072</v>
      </c>
      <c r="C101" s="194">
        <v>145</v>
      </c>
      <c r="D101" s="195" t="s">
        <v>1916</v>
      </c>
      <c r="E101" s="196">
        <f>5812</f>
        <v>5812</v>
      </c>
      <c r="F101" s="196">
        <v>0</v>
      </c>
      <c r="G101" s="196">
        <v>0</v>
      </c>
      <c r="H101" s="197">
        <v>1</v>
      </c>
      <c r="I101" s="196">
        <v>24</v>
      </c>
      <c r="J101" s="197">
        <v>26</v>
      </c>
      <c r="K101" s="198">
        <f t="shared" ref="K101:K104" si="263">H101*I101*J101</f>
        <v>624</v>
      </c>
      <c r="L101" s="197">
        <v>0</v>
      </c>
      <c r="M101" s="196">
        <v>0</v>
      </c>
      <c r="N101" s="197">
        <v>0</v>
      </c>
      <c r="O101" s="198">
        <f t="shared" ref="O101:O104" si="264">L101*M101*N101</f>
        <v>0</v>
      </c>
      <c r="P101" s="199">
        <f t="shared" ref="P101:P104" si="265">K101+O101</f>
        <v>624</v>
      </c>
      <c r="Q101" s="197">
        <v>1</v>
      </c>
      <c r="R101" s="196">
        <v>44.3</v>
      </c>
      <c r="S101" s="197">
        <v>26</v>
      </c>
      <c r="T101" s="198">
        <f t="shared" ref="T101:T104" si="266">Q101*R101*S101</f>
        <v>1151.8</v>
      </c>
      <c r="U101" s="197">
        <v>0</v>
      </c>
      <c r="V101" s="196">
        <v>0</v>
      </c>
      <c r="W101" s="207">
        <v>0</v>
      </c>
      <c r="X101" s="198">
        <f t="shared" ref="X101:X104" si="267">U101*V101*W101</f>
        <v>0</v>
      </c>
      <c r="Y101" s="200">
        <f t="shared" ref="Y101:Y104" si="268">T101+X101</f>
        <v>1151.8</v>
      </c>
      <c r="Z101" s="197">
        <v>0</v>
      </c>
      <c r="AA101" s="196">
        <v>0</v>
      </c>
      <c r="AB101" s="197">
        <v>0</v>
      </c>
      <c r="AC101" s="198">
        <f t="shared" ref="AC101:AC104" si="269">Z101*AA101*AB101</f>
        <v>0</v>
      </c>
      <c r="AD101" s="197">
        <v>0</v>
      </c>
      <c r="AE101" s="196">
        <v>0</v>
      </c>
      <c r="AF101" s="197">
        <v>0</v>
      </c>
      <c r="AG101" s="198">
        <f t="shared" ref="AG101:AG104" si="270">AD101*AE101*AF101</f>
        <v>0</v>
      </c>
      <c r="AH101" s="200">
        <f t="shared" ref="AH101:AH104" si="271">AC101+AG101</f>
        <v>0</v>
      </c>
      <c r="AI101" s="199">
        <f t="shared" ref="AI101:AI102" si="272">F101+G101+P101+Y101+AH101</f>
        <v>1775.8</v>
      </c>
      <c r="AJ101" s="201">
        <f t="shared" ref="AJ101:AJ102" si="273">AI101/E101</f>
        <v>0.30554026152787334</v>
      </c>
      <c r="AK101" s="196">
        <f t="shared" ref="AK101" si="274">(E101-AI101)*$AK$15</f>
        <v>443.98199999999997</v>
      </c>
      <c r="AL101" s="196">
        <v>0</v>
      </c>
      <c r="AM101" s="196">
        <v>0</v>
      </c>
      <c r="AN101" s="196">
        <v>0</v>
      </c>
      <c r="AO101" s="196">
        <v>0</v>
      </c>
      <c r="AP101" s="286">
        <v>3.32E-2</v>
      </c>
      <c r="AQ101" s="196">
        <f>AP101*E101</f>
        <v>192.95840000000001</v>
      </c>
      <c r="AR101" s="202">
        <f t="shared" ref="AR101:AR104" si="275">AL101+AM101+AN101+AO101+AQ101</f>
        <v>192.95840000000001</v>
      </c>
      <c r="AS101" s="202">
        <f t="shared" ref="AS101:AS104" si="276">AK101+AR101</f>
        <v>636.94039999999995</v>
      </c>
      <c r="AT101" s="203">
        <f t="shared" ref="AT101:AT104" si="277">E101-AS101</f>
        <v>5175.0596000000005</v>
      </c>
      <c r="AV101" s="204"/>
      <c r="AW101" s="270"/>
    </row>
    <row r="102" spans="2:49" s="131" customFormat="1" ht="18" hidden="1" customHeight="1">
      <c r="B102" s="194" t="s">
        <v>2072</v>
      </c>
      <c r="C102" s="194">
        <v>146</v>
      </c>
      <c r="D102" s="195" t="s">
        <v>1917</v>
      </c>
      <c r="E102" s="196">
        <f>12740</f>
        <v>12740</v>
      </c>
      <c r="F102" s="196">
        <v>1977.4</v>
      </c>
      <c r="G102" s="196">
        <v>2040</v>
      </c>
      <c r="H102" s="197">
        <v>2</v>
      </c>
      <c r="I102" s="196">
        <v>24</v>
      </c>
      <c r="J102" s="197">
        <v>26</v>
      </c>
      <c r="K102" s="198">
        <f t="shared" si="263"/>
        <v>1248</v>
      </c>
      <c r="L102" s="197">
        <v>0</v>
      </c>
      <c r="M102" s="196">
        <v>0</v>
      </c>
      <c r="N102" s="197">
        <v>0</v>
      </c>
      <c r="O102" s="198">
        <f t="shared" si="264"/>
        <v>0</v>
      </c>
      <c r="P102" s="199">
        <f t="shared" si="265"/>
        <v>1248</v>
      </c>
      <c r="Q102" s="197">
        <v>2</v>
      </c>
      <c r="R102" s="196">
        <v>44.3</v>
      </c>
      <c r="S102" s="197">
        <v>26</v>
      </c>
      <c r="T102" s="198">
        <f t="shared" si="266"/>
        <v>2303.6</v>
      </c>
      <c r="U102" s="197">
        <v>0</v>
      </c>
      <c r="V102" s="196">
        <v>0</v>
      </c>
      <c r="W102" s="207">
        <v>0</v>
      </c>
      <c r="X102" s="198">
        <f t="shared" si="267"/>
        <v>0</v>
      </c>
      <c r="Y102" s="200">
        <f t="shared" si="268"/>
        <v>2303.6</v>
      </c>
      <c r="Z102" s="197">
        <v>2</v>
      </c>
      <c r="AA102" s="196">
        <v>80</v>
      </c>
      <c r="AB102" s="197">
        <v>2</v>
      </c>
      <c r="AC102" s="198">
        <f t="shared" si="269"/>
        <v>320</v>
      </c>
      <c r="AD102" s="197">
        <v>0</v>
      </c>
      <c r="AE102" s="196">
        <v>0</v>
      </c>
      <c r="AF102" s="197">
        <v>0</v>
      </c>
      <c r="AG102" s="198">
        <f t="shared" si="270"/>
        <v>0</v>
      </c>
      <c r="AH102" s="200">
        <f t="shared" si="271"/>
        <v>320</v>
      </c>
      <c r="AI102" s="199">
        <f t="shared" si="272"/>
        <v>7889</v>
      </c>
      <c r="AJ102" s="201">
        <f t="shared" si="273"/>
        <v>0.61923076923076925</v>
      </c>
      <c r="AK102" s="196">
        <f>(E102-AI102)*$AK$15</f>
        <v>533.61</v>
      </c>
      <c r="AL102" s="196">
        <v>0</v>
      </c>
      <c r="AM102" s="196">
        <v>0</v>
      </c>
      <c r="AN102" s="196">
        <v>0</v>
      </c>
      <c r="AO102" s="196">
        <v>0</v>
      </c>
      <c r="AP102" s="286">
        <v>3.32E-2</v>
      </c>
      <c r="AQ102" s="196">
        <f>AP102*E102</f>
        <v>422.96800000000002</v>
      </c>
      <c r="AR102" s="202">
        <f t="shared" si="275"/>
        <v>422.96800000000002</v>
      </c>
      <c r="AS102" s="202">
        <f t="shared" si="276"/>
        <v>956.57799999999997</v>
      </c>
      <c r="AT102" s="203">
        <f t="shared" si="277"/>
        <v>11783.422</v>
      </c>
      <c r="AV102" s="830"/>
      <c r="AW102" s="204"/>
    </row>
    <row r="103" spans="2:49" s="131" customFormat="1" ht="18" hidden="1" customHeight="1">
      <c r="B103" s="194" t="s">
        <v>2072</v>
      </c>
      <c r="C103" s="194">
        <v>147</v>
      </c>
      <c r="D103" s="195" t="s">
        <v>653</v>
      </c>
      <c r="E103" s="196">
        <v>22789</v>
      </c>
      <c r="F103" s="196">
        <v>3855.2505247331233</v>
      </c>
      <c r="G103" s="196">
        <v>1747.4650428506991</v>
      </c>
      <c r="H103" s="197">
        <v>2</v>
      </c>
      <c r="I103" s="196">
        <v>24</v>
      </c>
      <c r="J103" s="197">
        <v>26</v>
      </c>
      <c r="K103" s="198">
        <f t="shared" si="263"/>
        <v>1248</v>
      </c>
      <c r="L103" s="197">
        <v>2</v>
      </c>
      <c r="M103" s="196">
        <v>16</v>
      </c>
      <c r="N103" s="197">
        <v>16</v>
      </c>
      <c r="O103" s="198">
        <f t="shared" si="264"/>
        <v>512</v>
      </c>
      <c r="P103" s="199">
        <f t="shared" si="265"/>
        <v>1760</v>
      </c>
      <c r="Q103" s="197">
        <v>2</v>
      </c>
      <c r="R103" s="196">
        <v>44.3</v>
      </c>
      <c r="S103" s="197">
        <v>26</v>
      </c>
      <c r="T103" s="198">
        <f t="shared" si="266"/>
        <v>2303.6</v>
      </c>
      <c r="U103" s="197">
        <v>2</v>
      </c>
      <c r="V103" s="196">
        <v>44.3</v>
      </c>
      <c r="W103" s="207">
        <v>16</v>
      </c>
      <c r="X103" s="198">
        <f t="shared" si="267"/>
        <v>1417.6</v>
      </c>
      <c r="Y103" s="200">
        <f t="shared" si="268"/>
        <v>3721.2</v>
      </c>
      <c r="Z103" s="197">
        <v>2</v>
      </c>
      <c r="AA103" s="196">
        <v>80</v>
      </c>
      <c r="AB103" s="197">
        <v>2</v>
      </c>
      <c r="AC103" s="198">
        <f t="shared" si="269"/>
        <v>320</v>
      </c>
      <c r="AD103" s="197">
        <v>2</v>
      </c>
      <c r="AE103" s="196">
        <v>90</v>
      </c>
      <c r="AF103" s="197">
        <v>2</v>
      </c>
      <c r="AG103" s="198">
        <f t="shared" si="270"/>
        <v>360</v>
      </c>
      <c r="AH103" s="200">
        <f t="shared" si="271"/>
        <v>680</v>
      </c>
      <c r="AI103" s="199">
        <f>F103+G103+P103+Y103+AH103</f>
        <v>11763.915567583823</v>
      </c>
      <c r="AJ103" s="201">
        <f>AI103/E103</f>
        <v>0.51621025791319597</v>
      </c>
      <c r="AK103" s="196">
        <f>(E103-AI103)*$AK$15</f>
        <v>1212.7592875657795</v>
      </c>
      <c r="AL103" s="196">
        <v>0</v>
      </c>
      <c r="AM103" s="196">
        <v>0</v>
      </c>
      <c r="AN103" s="196">
        <v>0</v>
      </c>
      <c r="AO103" s="196">
        <v>0</v>
      </c>
      <c r="AP103" s="286">
        <v>3.32E-2</v>
      </c>
      <c r="AQ103" s="196">
        <f>AP103*E103</f>
        <v>756.59479999999996</v>
      </c>
      <c r="AR103" s="202">
        <f t="shared" si="275"/>
        <v>756.59479999999996</v>
      </c>
      <c r="AS103" s="202">
        <f t="shared" si="276"/>
        <v>1969.3540875657795</v>
      </c>
      <c r="AT103" s="203">
        <f t="shared" si="277"/>
        <v>20819.645912434222</v>
      </c>
      <c r="AV103" s="829"/>
      <c r="AW103" s="248"/>
    </row>
    <row r="104" spans="2:49" s="131" customFormat="1" ht="18" hidden="1" customHeight="1">
      <c r="B104" s="194" t="s">
        <v>2072</v>
      </c>
      <c r="C104" s="194">
        <v>148</v>
      </c>
      <c r="D104" s="195" t="s">
        <v>1082</v>
      </c>
      <c r="E104" s="196">
        <f>5952</f>
        <v>5952</v>
      </c>
      <c r="F104" s="196">
        <v>950.61</v>
      </c>
      <c r="G104" s="196">
        <v>351.9</v>
      </c>
      <c r="H104" s="197">
        <v>1</v>
      </c>
      <c r="I104" s="196">
        <v>24</v>
      </c>
      <c r="J104" s="197">
        <v>26</v>
      </c>
      <c r="K104" s="198">
        <f t="shared" si="263"/>
        <v>624</v>
      </c>
      <c r="L104" s="197">
        <v>0</v>
      </c>
      <c r="M104" s="196">
        <v>0</v>
      </c>
      <c r="N104" s="197">
        <v>0</v>
      </c>
      <c r="O104" s="198">
        <f t="shared" si="264"/>
        <v>0</v>
      </c>
      <c r="P104" s="199">
        <f t="shared" si="265"/>
        <v>624</v>
      </c>
      <c r="Q104" s="197">
        <v>1</v>
      </c>
      <c r="R104" s="196">
        <v>44.3</v>
      </c>
      <c r="S104" s="197">
        <v>26</v>
      </c>
      <c r="T104" s="198">
        <f t="shared" si="266"/>
        <v>1151.8</v>
      </c>
      <c r="U104" s="197">
        <v>0</v>
      </c>
      <c r="V104" s="196">
        <v>0</v>
      </c>
      <c r="W104" s="207">
        <v>0</v>
      </c>
      <c r="X104" s="198">
        <f t="shared" si="267"/>
        <v>0</v>
      </c>
      <c r="Y104" s="200">
        <f t="shared" si="268"/>
        <v>1151.8</v>
      </c>
      <c r="Z104" s="197">
        <v>1</v>
      </c>
      <c r="AA104" s="196">
        <v>90</v>
      </c>
      <c r="AB104" s="197">
        <v>2</v>
      </c>
      <c r="AC104" s="198">
        <f t="shared" si="269"/>
        <v>180</v>
      </c>
      <c r="AD104" s="197">
        <v>0</v>
      </c>
      <c r="AE104" s="196">
        <v>0</v>
      </c>
      <c r="AF104" s="197">
        <v>0</v>
      </c>
      <c r="AG104" s="198">
        <f t="shared" si="270"/>
        <v>0</v>
      </c>
      <c r="AH104" s="200">
        <f t="shared" si="271"/>
        <v>180</v>
      </c>
      <c r="AI104" s="199">
        <f t="shared" ref="AI104" si="278">F104+G104+P104+Y104+AH104</f>
        <v>3258.31</v>
      </c>
      <c r="AJ104" s="201">
        <f t="shared" ref="AJ104" si="279">AI104/E104</f>
        <v>0.54743111559139779</v>
      </c>
      <c r="AK104" s="196">
        <f t="shared" ref="AK104" si="280">(E104-AI104)*$AK$15</f>
        <v>296.30590000000001</v>
      </c>
      <c r="AL104" s="196">
        <v>0</v>
      </c>
      <c r="AM104" s="196">
        <v>0</v>
      </c>
      <c r="AN104" s="196">
        <v>0</v>
      </c>
      <c r="AO104" s="196">
        <v>0</v>
      </c>
      <c r="AP104" s="286">
        <v>3.32E-2</v>
      </c>
      <c r="AQ104" s="196">
        <f>AP104*E104</f>
        <v>197.60640000000001</v>
      </c>
      <c r="AR104" s="202">
        <f t="shared" si="275"/>
        <v>197.60640000000001</v>
      </c>
      <c r="AS104" s="202">
        <f t="shared" si="276"/>
        <v>493.91230000000002</v>
      </c>
      <c r="AT104" s="203">
        <f t="shared" si="277"/>
        <v>5458.0877</v>
      </c>
      <c r="AV104" s="204"/>
      <c r="AW104" s="270"/>
    </row>
    <row r="105" spans="2:49" s="131" customFormat="1" ht="18" hidden="1" customHeight="1">
      <c r="B105" s="371"/>
      <c r="C105" s="371"/>
      <c r="D105" s="372"/>
      <c r="E105" s="391"/>
      <c r="F105" s="391"/>
      <c r="G105" s="391"/>
      <c r="H105" s="392"/>
      <c r="I105" s="391"/>
      <c r="J105" s="392"/>
      <c r="K105" s="393"/>
      <c r="L105" s="392"/>
      <c r="M105" s="391"/>
      <c r="N105" s="392"/>
      <c r="O105" s="393"/>
      <c r="P105" s="394"/>
      <c r="Q105" s="392"/>
      <c r="R105" s="391"/>
      <c r="S105" s="392"/>
      <c r="T105" s="393"/>
      <c r="U105" s="392"/>
      <c r="V105" s="391"/>
      <c r="W105" s="426"/>
      <c r="X105" s="393"/>
      <c r="Y105" s="393"/>
      <c r="Z105" s="392"/>
      <c r="AA105" s="391"/>
      <c r="AB105" s="392"/>
      <c r="AC105" s="393"/>
      <c r="AD105" s="392"/>
      <c r="AE105" s="391"/>
      <c r="AF105" s="392"/>
      <c r="AG105" s="393"/>
      <c r="AH105" s="393"/>
      <c r="AI105" s="394"/>
      <c r="AJ105" s="395"/>
      <c r="AK105" s="391"/>
      <c r="AL105" s="391"/>
      <c r="AM105" s="391"/>
      <c r="AN105" s="391"/>
      <c r="AO105" s="391"/>
      <c r="AP105" s="427"/>
      <c r="AQ105" s="391"/>
      <c r="AR105" s="396"/>
      <c r="AS105" s="396"/>
      <c r="AT105" s="397"/>
      <c r="AV105" s="204"/>
      <c r="AW105" s="270"/>
    </row>
    <row r="106" spans="2:49" s="131" customFormat="1" ht="18" hidden="1" customHeight="1">
      <c r="B106" s="194" t="s">
        <v>2080</v>
      </c>
      <c r="C106" s="194">
        <v>149</v>
      </c>
      <c r="D106" s="195" t="s">
        <v>1916</v>
      </c>
      <c r="E106" s="196">
        <f>5812</f>
        <v>5812</v>
      </c>
      <c r="F106" s="196">
        <v>0</v>
      </c>
      <c r="G106" s="196">
        <v>0</v>
      </c>
      <c r="H106" s="197">
        <v>1</v>
      </c>
      <c r="I106" s="196">
        <v>24</v>
      </c>
      <c r="J106" s="197">
        <v>26</v>
      </c>
      <c r="K106" s="198">
        <f t="shared" ref="K106:K109" si="281">H106*I106*J106</f>
        <v>624</v>
      </c>
      <c r="L106" s="197">
        <v>0</v>
      </c>
      <c r="M106" s="196">
        <v>0</v>
      </c>
      <c r="N106" s="197">
        <v>0</v>
      </c>
      <c r="O106" s="198">
        <f t="shared" ref="O106:O109" si="282">L106*M106*N106</f>
        <v>0</v>
      </c>
      <c r="P106" s="199">
        <f t="shared" ref="P106:P109" si="283">K106+O106</f>
        <v>624</v>
      </c>
      <c r="Q106" s="197">
        <v>1</v>
      </c>
      <c r="R106" s="196">
        <v>44.3</v>
      </c>
      <c r="S106" s="197">
        <v>26</v>
      </c>
      <c r="T106" s="198">
        <f t="shared" ref="T106:T109" si="284">Q106*R106*S106</f>
        <v>1151.8</v>
      </c>
      <c r="U106" s="197">
        <v>0</v>
      </c>
      <c r="V106" s="196">
        <v>0</v>
      </c>
      <c r="W106" s="207">
        <v>0</v>
      </c>
      <c r="X106" s="198">
        <f t="shared" ref="X106:X109" si="285">U106*V106*W106</f>
        <v>0</v>
      </c>
      <c r="Y106" s="200">
        <f t="shared" ref="Y106:Y109" si="286">T106+X106</f>
        <v>1151.8</v>
      </c>
      <c r="Z106" s="197">
        <v>0</v>
      </c>
      <c r="AA106" s="196">
        <v>0</v>
      </c>
      <c r="AB106" s="197">
        <v>0</v>
      </c>
      <c r="AC106" s="198">
        <f t="shared" ref="AC106:AC109" si="287">Z106*AA106*AB106</f>
        <v>0</v>
      </c>
      <c r="AD106" s="197">
        <v>0</v>
      </c>
      <c r="AE106" s="196">
        <v>0</v>
      </c>
      <c r="AF106" s="197">
        <v>0</v>
      </c>
      <c r="AG106" s="198">
        <f t="shared" ref="AG106:AG109" si="288">AD106*AE106*AF106</f>
        <v>0</v>
      </c>
      <c r="AH106" s="200">
        <f t="shared" ref="AH106:AH109" si="289">AC106+AG106</f>
        <v>0</v>
      </c>
      <c r="AI106" s="199">
        <f t="shared" ref="AI106:AI107" si="290">F106+G106+P106+Y106+AH106</f>
        <v>1775.8</v>
      </c>
      <c r="AJ106" s="201">
        <f t="shared" ref="AJ106:AJ107" si="291">AI106/E106</f>
        <v>0.30554026152787334</v>
      </c>
      <c r="AK106" s="196">
        <f t="shared" ref="AK106" si="292">(E106-AI106)*$AK$15</f>
        <v>443.98199999999997</v>
      </c>
      <c r="AL106" s="196">
        <v>0</v>
      </c>
      <c r="AM106" s="196">
        <v>0</v>
      </c>
      <c r="AN106" s="196">
        <v>0</v>
      </c>
      <c r="AO106" s="196">
        <v>0</v>
      </c>
      <c r="AP106" s="286">
        <v>3.32E-2</v>
      </c>
      <c r="AQ106" s="196">
        <f>AP106*E106</f>
        <v>192.95840000000001</v>
      </c>
      <c r="AR106" s="202">
        <f t="shared" ref="AR106:AR109" si="293">AL106+AM106+AN106+AO106+AQ106</f>
        <v>192.95840000000001</v>
      </c>
      <c r="AS106" s="202">
        <f t="shared" ref="AS106:AS109" si="294">AK106+AR106</f>
        <v>636.94039999999995</v>
      </c>
      <c r="AT106" s="203">
        <f t="shared" ref="AT106:AT109" si="295">E106-AS106</f>
        <v>5175.0596000000005</v>
      </c>
      <c r="AV106" s="204"/>
      <c r="AW106" s="270"/>
    </row>
    <row r="107" spans="2:49" s="131" customFormat="1" ht="18" hidden="1" customHeight="1">
      <c r="B107" s="194" t="s">
        <v>2080</v>
      </c>
      <c r="C107" s="194">
        <v>150</v>
      </c>
      <c r="D107" s="195" t="s">
        <v>1917</v>
      </c>
      <c r="E107" s="196">
        <f>12740</f>
        <v>12740</v>
      </c>
      <c r="F107" s="196">
        <v>1977.4</v>
      </c>
      <c r="G107" s="196">
        <v>2040</v>
      </c>
      <c r="H107" s="197">
        <v>2</v>
      </c>
      <c r="I107" s="196">
        <v>24</v>
      </c>
      <c r="J107" s="197">
        <v>26</v>
      </c>
      <c r="K107" s="198">
        <f t="shared" si="281"/>
        <v>1248</v>
      </c>
      <c r="L107" s="197">
        <v>0</v>
      </c>
      <c r="M107" s="196">
        <v>0</v>
      </c>
      <c r="N107" s="197">
        <v>0</v>
      </c>
      <c r="O107" s="198">
        <f t="shared" si="282"/>
        <v>0</v>
      </c>
      <c r="P107" s="199">
        <f t="shared" si="283"/>
        <v>1248</v>
      </c>
      <c r="Q107" s="197">
        <v>2</v>
      </c>
      <c r="R107" s="196">
        <v>44.3</v>
      </c>
      <c r="S107" s="197">
        <v>26</v>
      </c>
      <c r="T107" s="198">
        <f t="shared" si="284"/>
        <v>2303.6</v>
      </c>
      <c r="U107" s="197">
        <v>0</v>
      </c>
      <c r="V107" s="196">
        <v>0</v>
      </c>
      <c r="W107" s="207">
        <v>0</v>
      </c>
      <c r="X107" s="198">
        <f t="shared" si="285"/>
        <v>0</v>
      </c>
      <c r="Y107" s="200">
        <f t="shared" si="286"/>
        <v>2303.6</v>
      </c>
      <c r="Z107" s="197">
        <v>2</v>
      </c>
      <c r="AA107" s="196">
        <v>80</v>
      </c>
      <c r="AB107" s="197">
        <v>2</v>
      </c>
      <c r="AC107" s="198">
        <f t="shared" si="287"/>
        <v>320</v>
      </c>
      <c r="AD107" s="197">
        <v>0</v>
      </c>
      <c r="AE107" s="196">
        <v>0</v>
      </c>
      <c r="AF107" s="197">
        <v>0</v>
      </c>
      <c r="AG107" s="198">
        <f t="shared" si="288"/>
        <v>0</v>
      </c>
      <c r="AH107" s="200">
        <f t="shared" si="289"/>
        <v>320</v>
      </c>
      <c r="AI107" s="199">
        <f t="shared" si="290"/>
        <v>7889</v>
      </c>
      <c r="AJ107" s="201">
        <f t="shared" si="291"/>
        <v>0.61923076923076925</v>
      </c>
      <c r="AK107" s="196">
        <f>(E107-AI107)*$AK$15</f>
        <v>533.61</v>
      </c>
      <c r="AL107" s="196">
        <v>0</v>
      </c>
      <c r="AM107" s="196">
        <v>0</v>
      </c>
      <c r="AN107" s="196">
        <v>0</v>
      </c>
      <c r="AO107" s="196">
        <v>0</v>
      </c>
      <c r="AP107" s="286">
        <v>3.32E-2</v>
      </c>
      <c r="AQ107" s="196">
        <f>AP107*E107</f>
        <v>422.96800000000002</v>
      </c>
      <c r="AR107" s="202">
        <f t="shared" si="293"/>
        <v>422.96800000000002</v>
      </c>
      <c r="AS107" s="202">
        <f t="shared" si="294"/>
        <v>956.57799999999997</v>
      </c>
      <c r="AT107" s="203">
        <f t="shared" si="295"/>
        <v>11783.422</v>
      </c>
      <c r="AV107" s="830"/>
      <c r="AW107" s="204"/>
    </row>
    <row r="108" spans="2:49" s="131" customFormat="1" ht="18" hidden="1" customHeight="1">
      <c r="B108" s="194" t="s">
        <v>2080</v>
      </c>
      <c r="C108" s="194">
        <v>151</v>
      </c>
      <c r="D108" s="195" t="s">
        <v>653</v>
      </c>
      <c r="E108" s="196">
        <v>22789</v>
      </c>
      <c r="F108" s="196">
        <v>3855.2505247331233</v>
      </c>
      <c r="G108" s="196">
        <v>1747.4650428506991</v>
      </c>
      <c r="H108" s="197">
        <v>2</v>
      </c>
      <c r="I108" s="196">
        <v>24</v>
      </c>
      <c r="J108" s="197">
        <v>26</v>
      </c>
      <c r="K108" s="198">
        <f t="shared" si="281"/>
        <v>1248</v>
      </c>
      <c r="L108" s="197">
        <v>2</v>
      </c>
      <c r="M108" s="196">
        <v>16</v>
      </c>
      <c r="N108" s="197">
        <v>16</v>
      </c>
      <c r="O108" s="198">
        <f t="shared" si="282"/>
        <v>512</v>
      </c>
      <c r="P108" s="199">
        <f t="shared" si="283"/>
        <v>1760</v>
      </c>
      <c r="Q108" s="197">
        <v>2</v>
      </c>
      <c r="R108" s="196">
        <v>44.3</v>
      </c>
      <c r="S108" s="197">
        <v>26</v>
      </c>
      <c r="T108" s="198">
        <f t="shared" si="284"/>
        <v>2303.6</v>
      </c>
      <c r="U108" s="197">
        <v>2</v>
      </c>
      <c r="V108" s="196">
        <v>44.3</v>
      </c>
      <c r="W108" s="207">
        <v>16</v>
      </c>
      <c r="X108" s="198">
        <f t="shared" si="285"/>
        <v>1417.6</v>
      </c>
      <c r="Y108" s="200">
        <f t="shared" si="286"/>
        <v>3721.2</v>
      </c>
      <c r="Z108" s="197">
        <v>2</v>
      </c>
      <c r="AA108" s="196">
        <v>80</v>
      </c>
      <c r="AB108" s="197">
        <v>2</v>
      </c>
      <c r="AC108" s="198">
        <f t="shared" si="287"/>
        <v>320</v>
      </c>
      <c r="AD108" s="197">
        <v>2</v>
      </c>
      <c r="AE108" s="196">
        <v>90</v>
      </c>
      <c r="AF108" s="197">
        <v>2</v>
      </c>
      <c r="AG108" s="198">
        <f t="shared" si="288"/>
        <v>360</v>
      </c>
      <c r="AH108" s="200">
        <f t="shared" si="289"/>
        <v>680</v>
      </c>
      <c r="AI108" s="199">
        <f>F108+G108+P108+Y108+AH108</f>
        <v>11763.915567583823</v>
      </c>
      <c r="AJ108" s="201">
        <f>AI108/E108</f>
        <v>0.51621025791319597</v>
      </c>
      <c r="AK108" s="196">
        <f>(E108-AI108)*$AK$15</f>
        <v>1212.7592875657795</v>
      </c>
      <c r="AL108" s="196">
        <v>0</v>
      </c>
      <c r="AM108" s="196">
        <v>0</v>
      </c>
      <c r="AN108" s="196">
        <v>0</v>
      </c>
      <c r="AO108" s="196">
        <v>0</v>
      </c>
      <c r="AP108" s="286">
        <v>3.32E-2</v>
      </c>
      <c r="AQ108" s="196">
        <f>AP108*E108</f>
        <v>756.59479999999996</v>
      </c>
      <c r="AR108" s="202">
        <f t="shared" si="293"/>
        <v>756.59479999999996</v>
      </c>
      <c r="AS108" s="202">
        <f t="shared" si="294"/>
        <v>1969.3540875657795</v>
      </c>
      <c r="AT108" s="203">
        <f t="shared" si="295"/>
        <v>20819.645912434222</v>
      </c>
      <c r="AW108" s="248"/>
    </row>
    <row r="109" spans="2:49" s="131" customFormat="1" ht="18" hidden="1" customHeight="1">
      <c r="B109" s="194" t="s">
        <v>2080</v>
      </c>
      <c r="C109" s="194">
        <v>152</v>
      </c>
      <c r="D109" s="195" t="s">
        <v>1082</v>
      </c>
      <c r="E109" s="196">
        <f>5952</f>
        <v>5952</v>
      </c>
      <c r="F109" s="196">
        <v>950.61</v>
      </c>
      <c r="G109" s="196">
        <v>351.9</v>
      </c>
      <c r="H109" s="197">
        <v>1</v>
      </c>
      <c r="I109" s="196">
        <v>24</v>
      </c>
      <c r="J109" s="197">
        <v>26</v>
      </c>
      <c r="K109" s="198">
        <f t="shared" si="281"/>
        <v>624</v>
      </c>
      <c r="L109" s="197">
        <v>0</v>
      </c>
      <c r="M109" s="196">
        <v>0</v>
      </c>
      <c r="N109" s="197">
        <v>0</v>
      </c>
      <c r="O109" s="198">
        <f t="shared" si="282"/>
        <v>0</v>
      </c>
      <c r="P109" s="199">
        <f t="shared" si="283"/>
        <v>624</v>
      </c>
      <c r="Q109" s="197">
        <v>1</v>
      </c>
      <c r="R109" s="196">
        <v>44.3</v>
      </c>
      <c r="S109" s="197">
        <v>26</v>
      </c>
      <c r="T109" s="198">
        <f t="shared" si="284"/>
        <v>1151.8</v>
      </c>
      <c r="U109" s="197">
        <v>0</v>
      </c>
      <c r="V109" s="196">
        <v>0</v>
      </c>
      <c r="W109" s="207">
        <v>0</v>
      </c>
      <c r="X109" s="198">
        <f t="shared" si="285"/>
        <v>0</v>
      </c>
      <c r="Y109" s="200">
        <f t="shared" si="286"/>
        <v>1151.8</v>
      </c>
      <c r="Z109" s="197">
        <v>1</v>
      </c>
      <c r="AA109" s="196">
        <v>90</v>
      </c>
      <c r="AB109" s="197">
        <v>2</v>
      </c>
      <c r="AC109" s="198">
        <f t="shared" si="287"/>
        <v>180</v>
      </c>
      <c r="AD109" s="197">
        <v>0</v>
      </c>
      <c r="AE109" s="196">
        <v>0</v>
      </c>
      <c r="AF109" s="197">
        <v>0</v>
      </c>
      <c r="AG109" s="198">
        <f t="shared" si="288"/>
        <v>0</v>
      </c>
      <c r="AH109" s="200">
        <f t="shared" si="289"/>
        <v>180</v>
      </c>
      <c r="AI109" s="199">
        <f t="shared" ref="AI109" si="296">F109+G109+P109+Y109+AH109</f>
        <v>3258.31</v>
      </c>
      <c r="AJ109" s="201">
        <f t="shared" ref="AJ109" si="297">AI109/E109</f>
        <v>0.54743111559139779</v>
      </c>
      <c r="AK109" s="196">
        <f t="shared" ref="AK109" si="298">(E109-AI109)*$AK$15</f>
        <v>296.30590000000001</v>
      </c>
      <c r="AL109" s="196">
        <v>0</v>
      </c>
      <c r="AM109" s="196">
        <v>0</v>
      </c>
      <c r="AN109" s="196">
        <v>0</v>
      </c>
      <c r="AO109" s="196">
        <v>0</v>
      </c>
      <c r="AP109" s="286">
        <v>3.32E-2</v>
      </c>
      <c r="AQ109" s="196">
        <f>AP109*E109</f>
        <v>197.60640000000001</v>
      </c>
      <c r="AR109" s="202">
        <f t="shared" si="293"/>
        <v>197.60640000000001</v>
      </c>
      <c r="AS109" s="202">
        <f t="shared" si="294"/>
        <v>493.91230000000002</v>
      </c>
      <c r="AT109" s="203">
        <f t="shared" si="295"/>
        <v>5458.0877</v>
      </c>
      <c r="AW109" s="270"/>
    </row>
    <row r="110" spans="2:49" s="131" customFormat="1" ht="18" hidden="1" customHeight="1">
      <c r="B110" s="371"/>
      <c r="C110" s="371"/>
      <c r="D110" s="372"/>
      <c r="E110" s="391"/>
      <c r="F110" s="391"/>
      <c r="G110" s="391"/>
      <c r="H110" s="392"/>
      <c r="I110" s="391"/>
      <c r="J110" s="392"/>
      <c r="K110" s="393"/>
      <c r="L110" s="392"/>
      <c r="M110" s="391"/>
      <c r="N110" s="392"/>
      <c r="O110" s="393"/>
      <c r="P110" s="394"/>
      <c r="Q110" s="392"/>
      <c r="R110" s="391"/>
      <c r="S110" s="392"/>
      <c r="T110" s="393"/>
      <c r="U110" s="392"/>
      <c r="V110" s="391"/>
      <c r="W110" s="426"/>
      <c r="X110" s="393"/>
      <c r="Y110" s="393"/>
      <c r="Z110" s="392"/>
      <c r="AA110" s="391"/>
      <c r="AB110" s="392"/>
      <c r="AC110" s="393"/>
      <c r="AD110" s="392"/>
      <c r="AE110" s="391"/>
      <c r="AF110" s="392"/>
      <c r="AG110" s="393"/>
      <c r="AH110" s="393"/>
      <c r="AI110" s="394"/>
      <c r="AJ110" s="395"/>
      <c r="AK110" s="391"/>
      <c r="AL110" s="391"/>
      <c r="AM110" s="391"/>
      <c r="AN110" s="391"/>
      <c r="AO110" s="391"/>
      <c r="AP110" s="427"/>
      <c r="AQ110" s="391"/>
      <c r="AR110" s="396"/>
      <c r="AS110" s="396"/>
      <c r="AT110" s="397"/>
      <c r="AV110" s="204"/>
      <c r="AW110" s="270"/>
    </row>
    <row r="111" spans="2:49" s="131" customFormat="1" ht="18" hidden="1" customHeight="1">
      <c r="B111" s="194" t="s">
        <v>2104</v>
      </c>
      <c r="C111" s="194">
        <v>153</v>
      </c>
      <c r="D111" s="195" t="s">
        <v>1916</v>
      </c>
      <c r="E111" s="196">
        <f>5812</f>
        <v>5812</v>
      </c>
      <c r="F111" s="196">
        <v>0</v>
      </c>
      <c r="G111" s="196">
        <v>0</v>
      </c>
      <c r="H111" s="197">
        <v>1</v>
      </c>
      <c r="I111" s="196">
        <v>24</v>
      </c>
      <c r="J111" s="197">
        <v>26</v>
      </c>
      <c r="K111" s="198">
        <f t="shared" ref="K111:K114" si="299">H111*I111*J111</f>
        <v>624</v>
      </c>
      <c r="L111" s="197">
        <v>0</v>
      </c>
      <c r="M111" s="196">
        <v>0</v>
      </c>
      <c r="N111" s="197">
        <v>0</v>
      </c>
      <c r="O111" s="198">
        <f t="shared" ref="O111:O114" si="300">L111*M111*N111</f>
        <v>0</v>
      </c>
      <c r="P111" s="199">
        <f t="shared" ref="P111:P114" si="301">K111+O111</f>
        <v>624</v>
      </c>
      <c r="Q111" s="197">
        <v>1</v>
      </c>
      <c r="R111" s="196">
        <v>44.3</v>
      </c>
      <c r="S111" s="197">
        <v>26</v>
      </c>
      <c r="T111" s="198">
        <f t="shared" ref="T111:T114" si="302">Q111*R111*S111</f>
        <v>1151.8</v>
      </c>
      <c r="U111" s="197">
        <v>0</v>
      </c>
      <c r="V111" s="196">
        <v>0</v>
      </c>
      <c r="W111" s="207">
        <v>0</v>
      </c>
      <c r="X111" s="198">
        <f t="shared" ref="X111:X114" si="303">U111*V111*W111</f>
        <v>0</v>
      </c>
      <c r="Y111" s="200">
        <f t="shared" ref="Y111:Y114" si="304">T111+X111</f>
        <v>1151.8</v>
      </c>
      <c r="Z111" s="197">
        <v>0</v>
      </c>
      <c r="AA111" s="196">
        <v>0</v>
      </c>
      <c r="AB111" s="197">
        <v>0</v>
      </c>
      <c r="AC111" s="198">
        <f t="shared" ref="AC111:AC114" si="305">Z111*AA111*AB111</f>
        <v>0</v>
      </c>
      <c r="AD111" s="197">
        <v>0</v>
      </c>
      <c r="AE111" s="196">
        <v>0</v>
      </c>
      <c r="AF111" s="197">
        <v>0</v>
      </c>
      <c r="AG111" s="198">
        <f t="shared" ref="AG111:AG114" si="306">AD111*AE111*AF111</f>
        <v>0</v>
      </c>
      <c r="AH111" s="200">
        <f t="shared" ref="AH111:AH114" si="307">AC111+AG111</f>
        <v>0</v>
      </c>
      <c r="AI111" s="199">
        <f t="shared" ref="AI111:AI112" si="308">F111+G111+P111+Y111+AH111</f>
        <v>1775.8</v>
      </c>
      <c r="AJ111" s="201">
        <f t="shared" ref="AJ111:AJ112" si="309">AI111/E111</f>
        <v>0.30554026152787334</v>
      </c>
      <c r="AK111" s="196">
        <f t="shared" ref="AK111" si="310">(E111-AI111)*$AK$15</f>
        <v>443.98199999999997</v>
      </c>
      <c r="AL111" s="196">
        <v>0</v>
      </c>
      <c r="AM111" s="196">
        <v>0</v>
      </c>
      <c r="AN111" s="196">
        <v>0</v>
      </c>
      <c r="AO111" s="196">
        <v>0</v>
      </c>
      <c r="AP111" s="286">
        <v>3.32E-2</v>
      </c>
      <c r="AQ111" s="196">
        <f>AP111*E111</f>
        <v>192.95840000000001</v>
      </c>
      <c r="AR111" s="202">
        <f t="shared" ref="AR111:AR114" si="311">AL111+AM111+AN111+AO111+AQ111</f>
        <v>192.95840000000001</v>
      </c>
      <c r="AS111" s="202">
        <f t="shared" ref="AS111:AS114" si="312">AK111+AR111</f>
        <v>636.94039999999995</v>
      </c>
      <c r="AT111" s="203">
        <f t="shared" ref="AT111:AT114" si="313">E111-AS111</f>
        <v>5175.0596000000005</v>
      </c>
      <c r="AV111" s="204"/>
      <c r="AW111" s="270"/>
    </row>
    <row r="112" spans="2:49" s="131" customFormat="1" ht="18" hidden="1" customHeight="1">
      <c r="B112" s="194" t="s">
        <v>2104</v>
      </c>
      <c r="C112" s="194">
        <v>154</v>
      </c>
      <c r="D112" s="195" t="s">
        <v>1917</v>
      </c>
      <c r="E112" s="196">
        <f>12740</f>
        <v>12740</v>
      </c>
      <c r="F112" s="196">
        <v>1977.4</v>
      </c>
      <c r="G112" s="196">
        <v>2040</v>
      </c>
      <c r="H112" s="197">
        <v>2</v>
      </c>
      <c r="I112" s="196">
        <v>24</v>
      </c>
      <c r="J112" s="197">
        <v>26</v>
      </c>
      <c r="K112" s="198">
        <f t="shared" si="299"/>
        <v>1248</v>
      </c>
      <c r="L112" s="197">
        <v>0</v>
      </c>
      <c r="M112" s="196">
        <v>0</v>
      </c>
      <c r="N112" s="197">
        <v>0</v>
      </c>
      <c r="O112" s="198">
        <f t="shared" si="300"/>
        <v>0</v>
      </c>
      <c r="P112" s="199">
        <f t="shared" si="301"/>
        <v>1248</v>
      </c>
      <c r="Q112" s="197">
        <v>2</v>
      </c>
      <c r="R112" s="196">
        <v>44.3</v>
      </c>
      <c r="S112" s="197">
        <v>26</v>
      </c>
      <c r="T112" s="198">
        <f t="shared" si="302"/>
        <v>2303.6</v>
      </c>
      <c r="U112" s="197">
        <v>0</v>
      </c>
      <c r="V112" s="196">
        <v>0</v>
      </c>
      <c r="W112" s="207">
        <v>0</v>
      </c>
      <c r="X112" s="198">
        <f t="shared" si="303"/>
        <v>0</v>
      </c>
      <c r="Y112" s="200">
        <f t="shared" si="304"/>
        <v>2303.6</v>
      </c>
      <c r="Z112" s="197">
        <v>2</v>
      </c>
      <c r="AA112" s="196">
        <v>80</v>
      </c>
      <c r="AB112" s="197">
        <v>2</v>
      </c>
      <c r="AC112" s="198">
        <f t="shared" si="305"/>
        <v>320</v>
      </c>
      <c r="AD112" s="197">
        <v>0</v>
      </c>
      <c r="AE112" s="196">
        <v>0</v>
      </c>
      <c r="AF112" s="197">
        <v>0</v>
      </c>
      <c r="AG112" s="198">
        <f t="shared" si="306"/>
        <v>0</v>
      </c>
      <c r="AH112" s="200">
        <f t="shared" si="307"/>
        <v>320</v>
      </c>
      <c r="AI112" s="199">
        <f t="shared" si="308"/>
        <v>7889</v>
      </c>
      <c r="AJ112" s="201">
        <f t="shared" si="309"/>
        <v>0.61923076923076925</v>
      </c>
      <c r="AK112" s="196">
        <f>(E112-AI112)*$AK$15</f>
        <v>533.61</v>
      </c>
      <c r="AL112" s="196">
        <v>0</v>
      </c>
      <c r="AM112" s="196">
        <v>0</v>
      </c>
      <c r="AN112" s="196">
        <v>0</v>
      </c>
      <c r="AO112" s="196">
        <v>0</v>
      </c>
      <c r="AP112" s="286">
        <v>3.32E-2</v>
      </c>
      <c r="AQ112" s="196">
        <f>AP112*E112</f>
        <v>422.96800000000002</v>
      </c>
      <c r="AR112" s="202">
        <f t="shared" si="311"/>
        <v>422.96800000000002</v>
      </c>
      <c r="AS112" s="202">
        <f t="shared" si="312"/>
        <v>956.57799999999997</v>
      </c>
      <c r="AT112" s="203">
        <f t="shared" si="313"/>
        <v>11783.422</v>
      </c>
      <c r="AV112" s="830"/>
      <c r="AW112" s="204"/>
    </row>
    <row r="113" spans="2:49" s="131" customFormat="1" ht="18" hidden="1" customHeight="1">
      <c r="B113" s="194" t="s">
        <v>2104</v>
      </c>
      <c r="C113" s="194">
        <v>155</v>
      </c>
      <c r="D113" s="195" t="s">
        <v>653</v>
      </c>
      <c r="E113" s="196">
        <v>22789</v>
      </c>
      <c r="F113" s="196">
        <v>3855.2505247331233</v>
      </c>
      <c r="G113" s="196">
        <v>1747.4650428506991</v>
      </c>
      <c r="H113" s="197">
        <v>2</v>
      </c>
      <c r="I113" s="196">
        <v>24</v>
      </c>
      <c r="J113" s="197">
        <v>26</v>
      </c>
      <c r="K113" s="198">
        <f t="shared" si="299"/>
        <v>1248</v>
      </c>
      <c r="L113" s="197">
        <v>2</v>
      </c>
      <c r="M113" s="196">
        <v>16</v>
      </c>
      <c r="N113" s="197">
        <v>16</v>
      </c>
      <c r="O113" s="198">
        <f t="shared" si="300"/>
        <v>512</v>
      </c>
      <c r="P113" s="199">
        <f t="shared" si="301"/>
        <v>1760</v>
      </c>
      <c r="Q113" s="197">
        <v>2</v>
      </c>
      <c r="R113" s="196">
        <v>44.3</v>
      </c>
      <c r="S113" s="197">
        <v>26</v>
      </c>
      <c r="T113" s="198">
        <f t="shared" si="302"/>
        <v>2303.6</v>
      </c>
      <c r="U113" s="197">
        <v>2</v>
      </c>
      <c r="V113" s="196">
        <v>44.3</v>
      </c>
      <c r="W113" s="207">
        <v>16</v>
      </c>
      <c r="X113" s="198">
        <f t="shared" si="303"/>
        <v>1417.6</v>
      </c>
      <c r="Y113" s="200">
        <f t="shared" si="304"/>
        <v>3721.2</v>
      </c>
      <c r="Z113" s="197">
        <v>2</v>
      </c>
      <c r="AA113" s="196">
        <v>80</v>
      </c>
      <c r="AB113" s="197">
        <v>2</v>
      </c>
      <c r="AC113" s="198">
        <f t="shared" si="305"/>
        <v>320</v>
      </c>
      <c r="AD113" s="197">
        <v>2</v>
      </c>
      <c r="AE113" s="196">
        <v>90</v>
      </c>
      <c r="AF113" s="197">
        <v>2</v>
      </c>
      <c r="AG113" s="198">
        <f t="shared" si="306"/>
        <v>360</v>
      </c>
      <c r="AH113" s="200">
        <f t="shared" si="307"/>
        <v>680</v>
      </c>
      <c r="AI113" s="199">
        <f>F113+G113+P113+Y113+AH113</f>
        <v>11763.915567583823</v>
      </c>
      <c r="AJ113" s="201">
        <f>AI113/E113</f>
        <v>0.51621025791319597</v>
      </c>
      <c r="AK113" s="196">
        <f>(E113-AI113)*$AK$15</f>
        <v>1212.7592875657795</v>
      </c>
      <c r="AL113" s="196">
        <v>0</v>
      </c>
      <c r="AM113" s="196">
        <v>0</v>
      </c>
      <c r="AN113" s="196">
        <v>0</v>
      </c>
      <c r="AO113" s="196">
        <v>0</v>
      </c>
      <c r="AP113" s="286">
        <v>3.32E-2</v>
      </c>
      <c r="AQ113" s="196">
        <f>AP113*E113</f>
        <v>756.59479999999996</v>
      </c>
      <c r="AR113" s="202">
        <f t="shared" si="311"/>
        <v>756.59479999999996</v>
      </c>
      <c r="AS113" s="202">
        <f t="shared" si="312"/>
        <v>1969.3540875657795</v>
      </c>
      <c r="AT113" s="203">
        <f t="shared" si="313"/>
        <v>20819.645912434222</v>
      </c>
      <c r="AW113" s="248"/>
    </row>
    <row r="114" spans="2:49" s="131" customFormat="1" ht="18" hidden="1" customHeight="1">
      <c r="B114" s="194" t="s">
        <v>2104</v>
      </c>
      <c r="C114" s="194">
        <v>156</v>
      </c>
      <c r="D114" s="195" t="s">
        <v>1082</v>
      </c>
      <c r="E114" s="196">
        <f>5952</f>
        <v>5952</v>
      </c>
      <c r="F114" s="196">
        <v>950.61</v>
      </c>
      <c r="G114" s="196">
        <v>351.9</v>
      </c>
      <c r="H114" s="197">
        <v>1</v>
      </c>
      <c r="I114" s="196">
        <v>24</v>
      </c>
      <c r="J114" s="197">
        <v>26</v>
      </c>
      <c r="K114" s="198">
        <f t="shared" si="299"/>
        <v>624</v>
      </c>
      <c r="L114" s="197">
        <v>0</v>
      </c>
      <c r="M114" s="196">
        <v>0</v>
      </c>
      <c r="N114" s="197">
        <v>0</v>
      </c>
      <c r="O114" s="198">
        <f t="shared" si="300"/>
        <v>0</v>
      </c>
      <c r="P114" s="199">
        <f t="shared" si="301"/>
        <v>624</v>
      </c>
      <c r="Q114" s="197">
        <v>1</v>
      </c>
      <c r="R114" s="196">
        <v>44.3</v>
      </c>
      <c r="S114" s="197">
        <v>26</v>
      </c>
      <c r="T114" s="198">
        <f t="shared" si="302"/>
        <v>1151.8</v>
      </c>
      <c r="U114" s="197">
        <v>0</v>
      </c>
      <c r="V114" s="196">
        <v>0</v>
      </c>
      <c r="W114" s="207">
        <v>0</v>
      </c>
      <c r="X114" s="198">
        <f t="shared" si="303"/>
        <v>0</v>
      </c>
      <c r="Y114" s="200">
        <f t="shared" si="304"/>
        <v>1151.8</v>
      </c>
      <c r="Z114" s="197">
        <v>1</v>
      </c>
      <c r="AA114" s="196">
        <v>90</v>
      </c>
      <c r="AB114" s="197">
        <v>2</v>
      </c>
      <c r="AC114" s="198">
        <f t="shared" si="305"/>
        <v>180</v>
      </c>
      <c r="AD114" s="197">
        <v>0</v>
      </c>
      <c r="AE114" s="196">
        <v>0</v>
      </c>
      <c r="AF114" s="197">
        <v>0</v>
      </c>
      <c r="AG114" s="198">
        <f t="shared" si="306"/>
        <v>0</v>
      </c>
      <c r="AH114" s="200">
        <f t="shared" si="307"/>
        <v>180</v>
      </c>
      <c r="AI114" s="199">
        <f t="shared" ref="AI114" si="314">F114+G114+P114+Y114+AH114</f>
        <v>3258.31</v>
      </c>
      <c r="AJ114" s="201">
        <f t="shared" ref="AJ114" si="315">AI114/E114</f>
        <v>0.54743111559139779</v>
      </c>
      <c r="AK114" s="196">
        <f t="shared" ref="AK114" si="316">(E114-AI114)*$AK$15</f>
        <v>296.30590000000001</v>
      </c>
      <c r="AL114" s="196">
        <v>0</v>
      </c>
      <c r="AM114" s="196">
        <v>0</v>
      </c>
      <c r="AN114" s="196">
        <v>0</v>
      </c>
      <c r="AO114" s="196">
        <v>0</v>
      </c>
      <c r="AP114" s="286">
        <v>3.32E-2</v>
      </c>
      <c r="AQ114" s="196">
        <f>AP114*E114</f>
        <v>197.60640000000001</v>
      </c>
      <c r="AR114" s="202">
        <f t="shared" si="311"/>
        <v>197.60640000000001</v>
      </c>
      <c r="AS114" s="202">
        <f t="shared" si="312"/>
        <v>493.91230000000002</v>
      </c>
      <c r="AT114" s="203">
        <f t="shared" si="313"/>
        <v>5458.0877</v>
      </c>
      <c r="AW114" s="270"/>
    </row>
    <row r="115" spans="2:49" s="131" customFormat="1" ht="18" hidden="1" customHeight="1">
      <c r="B115" s="371"/>
      <c r="C115" s="371"/>
      <c r="D115" s="372"/>
      <c r="E115" s="391"/>
      <c r="F115" s="391"/>
      <c r="G115" s="391"/>
      <c r="H115" s="392"/>
      <c r="I115" s="391"/>
      <c r="J115" s="392"/>
      <c r="K115" s="393"/>
      <c r="L115" s="392"/>
      <c r="M115" s="391"/>
      <c r="N115" s="392"/>
      <c r="O115" s="393"/>
      <c r="P115" s="394"/>
      <c r="Q115" s="392"/>
      <c r="R115" s="391"/>
      <c r="S115" s="392"/>
      <c r="T115" s="393"/>
      <c r="U115" s="392"/>
      <c r="V115" s="391"/>
      <c r="W115" s="426"/>
      <c r="X115" s="393"/>
      <c r="Y115" s="393"/>
      <c r="Z115" s="392"/>
      <c r="AA115" s="391"/>
      <c r="AB115" s="392"/>
      <c r="AC115" s="393"/>
      <c r="AD115" s="392"/>
      <c r="AE115" s="391"/>
      <c r="AF115" s="392"/>
      <c r="AG115" s="393"/>
      <c r="AH115" s="393"/>
      <c r="AI115" s="394"/>
      <c r="AJ115" s="395"/>
      <c r="AK115" s="391"/>
      <c r="AL115" s="391"/>
      <c r="AM115" s="391"/>
      <c r="AN115" s="391"/>
      <c r="AO115" s="391"/>
      <c r="AP115" s="427"/>
      <c r="AQ115" s="391"/>
      <c r="AR115" s="396"/>
      <c r="AS115" s="396"/>
      <c r="AT115" s="397"/>
      <c r="AV115" s="204"/>
      <c r="AW115" s="270"/>
    </row>
    <row r="116" spans="2:49" s="131" customFormat="1" ht="18" hidden="1" customHeight="1">
      <c r="B116" s="194" t="s">
        <v>2137</v>
      </c>
      <c r="C116" s="194">
        <v>160</v>
      </c>
      <c r="D116" s="195" t="s">
        <v>1916</v>
      </c>
      <c r="E116" s="196">
        <v>6301</v>
      </c>
      <c r="F116" s="196">
        <v>0</v>
      </c>
      <c r="G116" s="196">
        <v>0</v>
      </c>
      <c r="H116" s="197">
        <v>1</v>
      </c>
      <c r="I116" s="196">
        <v>24</v>
      </c>
      <c r="J116" s="197">
        <v>26</v>
      </c>
      <c r="K116" s="198">
        <f t="shared" ref="K116:K119" si="317">H116*I116*J116</f>
        <v>624</v>
      </c>
      <c r="L116" s="197">
        <v>0</v>
      </c>
      <c r="M116" s="196">
        <v>0</v>
      </c>
      <c r="N116" s="197">
        <v>0</v>
      </c>
      <c r="O116" s="198">
        <f t="shared" ref="O116:O119" si="318">L116*M116*N116</f>
        <v>0</v>
      </c>
      <c r="P116" s="199">
        <f t="shared" ref="P116:P119" si="319">K116+O116</f>
        <v>624</v>
      </c>
      <c r="Q116" s="197">
        <v>1</v>
      </c>
      <c r="R116" s="196">
        <v>46.38</v>
      </c>
      <c r="S116" s="197">
        <v>26</v>
      </c>
      <c r="T116" s="198">
        <f t="shared" ref="T116:T119" si="320">Q116*R116*S116</f>
        <v>1205.8800000000001</v>
      </c>
      <c r="U116" s="197">
        <v>0</v>
      </c>
      <c r="V116" s="196">
        <v>0</v>
      </c>
      <c r="W116" s="207">
        <v>0</v>
      </c>
      <c r="X116" s="198">
        <f t="shared" ref="X116:X119" si="321">U116*V116*W116</f>
        <v>0</v>
      </c>
      <c r="Y116" s="200">
        <f t="shared" ref="Y116:Y119" si="322">T116+X116</f>
        <v>1205.8800000000001</v>
      </c>
      <c r="Z116" s="197">
        <v>0</v>
      </c>
      <c r="AA116" s="196">
        <v>0</v>
      </c>
      <c r="AB116" s="197">
        <v>0</v>
      </c>
      <c r="AC116" s="198">
        <f t="shared" ref="AC116:AC119" si="323">Z116*AA116*AB116</f>
        <v>0</v>
      </c>
      <c r="AD116" s="197">
        <v>0</v>
      </c>
      <c r="AE116" s="196">
        <v>0</v>
      </c>
      <c r="AF116" s="197">
        <v>0</v>
      </c>
      <c r="AG116" s="198">
        <f t="shared" ref="AG116:AG119" si="324">AD116*AE116*AF116</f>
        <v>0</v>
      </c>
      <c r="AH116" s="200">
        <f t="shared" ref="AH116:AH119" si="325">AC116+AG116</f>
        <v>0</v>
      </c>
      <c r="AI116" s="199">
        <f t="shared" ref="AI116:AI117" si="326">F116+G116+P116+Y116+AH116</f>
        <v>1829.88</v>
      </c>
      <c r="AJ116" s="201">
        <f t="shared" ref="AJ116:AJ117" si="327">AI116/E116</f>
        <v>0.29041104586573563</v>
      </c>
      <c r="AK116" s="196">
        <f t="shared" ref="AK116" si="328">(E116-AI116)*$AK$15</f>
        <v>491.82319999999999</v>
      </c>
      <c r="AL116" s="196">
        <v>0</v>
      </c>
      <c r="AM116" s="196">
        <v>0</v>
      </c>
      <c r="AN116" s="196">
        <v>0</v>
      </c>
      <c r="AO116" s="196">
        <v>0</v>
      </c>
      <c r="AP116" s="286">
        <v>3.32E-2</v>
      </c>
      <c r="AQ116" s="196">
        <f>AP116*E116</f>
        <v>209.19319999999999</v>
      </c>
      <c r="AR116" s="202">
        <f t="shared" ref="AR116:AR119" si="329">AL116+AM116+AN116+AO116+AQ116</f>
        <v>209.19319999999999</v>
      </c>
      <c r="AS116" s="202">
        <f t="shared" ref="AS116:AS119" si="330">AK116+AR116</f>
        <v>701.01639999999998</v>
      </c>
      <c r="AT116" s="203">
        <f t="shared" ref="AT116:AT119" si="331">E116-AS116</f>
        <v>5599.9835999999996</v>
      </c>
      <c r="AV116" s="204"/>
      <c r="AW116" s="270"/>
    </row>
    <row r="117" spans="2:49" s="131" customFormat="1" ht="18" hidden="1" customHeight="1">
      <c r="B117" s="194" t="s">
        <v>2137</v>
      </c>
      <c r="C117" s="194">
        <v>159</v>
      </c>
      <c r="D117" s="195" t="s">
        <v>1917</v>
      </c>
      <c r="E117" s="196">
        <v>13744</v>
      </c>
      <c r="F117" s="196">
        <v>1900.25</v>
      </c>
      <c r="G117" s="196">
        <v>1600.47</v>
      </c>
      <c r="H117" s="197">
        <v>2</v>
      </c>
      <c r="I117" s="196">
        <v>24</v>
      </c>
      <c r="J117" s="197">
        <v>26</v>
      </c>
      <c r="K117" s="198">
        <f t="shared" si="317"/>
        <v>1248</v>
      </c>
      <c r="L117" s="197">
        <v>0</v>
      </c>
      <c r="M117" s="196">
        <v>0</v>
      </c>
      <c r="N117" s="197">
        <v>0</v>
      </c>
      <c r="O117" s="198">
        <f t="shared" si="318"/>
        <v>0</v>
      </c>
      <c r="P117" s="199">
        <f t="shared" si="319"/>
        <v>1248</v>
      </c>
      <c r="Q117" s="197">
        <v>2</v>
      </c>
      <c r="R117" s="196">
        <v>46.38</v>
      </c>
      <c r="S117" s="197">
        <v>26</v>
      </c>
      <c r="T117" s="198">
        <f t="shared" si="320"/>
        <v>2411.7600000000002</v>
      </c>
      <c r="U117" s="197">
        <v>0</v>
      </c>
      <c r="V117" s="196">
        <v>0</v>
      </c>
      <c r="W117" s="207">
        <v>0</v>
      </c>
      <c r="X117" s="198">
        <f t="shared" si="321"/>
        <v>0</v>
      </c>
      <c r="Y117" s="200">
        <f t="shared" si="322"/>
        <v>2411.7600000000002</v>
      </c>
      <c r="Z117" s="197">
        <v>2</v>
      </c>
      <c r="AA117" s="196">
        <v>90</v>
      </c>
      <c r="AB117" s="197">
        <v>2</v>
      </c>
      <c r="AC117" s="198">
        <f t="shared" si="323"/>
        <v>360</v>
      </c>
      <c r="AD117" s="197">
        <v>0</v>
      </c>
      <c r="AE117" s="196">
        <v>0</v>
      </c>
      <c r="AF117" s="197">
        <v>0</v>
      </c>
      <c r="AG117" s="198">
        <f t="shared" si="324"/>
        <v>0</v>
      </c>
      <c r="AH117" s="200">
        <f t="shared" si="325"/>
        <v>360</v>
      </c>
      <c r="AI117" s="199">
        <f t="shared" si="326"/>
        <v>7520.4800000000005</v>
      </c>
      <c r="AJ117" s="201">
        <f t="shared" si="327"/>
        <v>0.54718277066356236</v>
      </c>
      <c r="AK117" s="196">
        <f>(E117-AI117)*$AK$15</f>
        <v>684.58719999999994</v>
      </c>
      <c r="AL117" s="196">
        <v>0</v>
      </c>
      <c r="AM117" s="196">
        <v>0</v>
      </c>
      <c r="AN117" s="196">
        <v>0</v>
      </c>
      <c r="AO117" s="196">
        <v>0</v>
      </c>
      <c r="AP117" s="286">
        <v>3.32E-2</v>
      </c>
      <c r="AQ117" s="196">
        <f>AP117*E117</f>
        <v>456.30079999999998</v>
      </c>
      <c r="AR117" s="202">
        <f t="shared" si="329"/>
        <v>456.30079999999998</v>
      </c>
      <c r="AS117" s="202">
        <f t="shared" si="330"/>
        <v>1140.8879999999999</v>
      </c>
      <c r="AT117" s="203">
        <f t="shared" si="331"/>
        <v>12603.112000000001</v>
      </c>
      <c r="AU117" s="205">
        <f>AT117-AT112</f>
        <v>819.69000000000051</v>
      </c>
      <c r="AV117" s="830">
        <f>AU117/AT112</f>
        <v>6.9562984335110836E-2</v>
      </c>
      <c r="AW117" s="204"/>
    </row>
    <row r="118" spans="2:49" s="131" customFormat="1" ht="18" hidden="1" customHeight="1">
      <c r="B118" s="194" t="s">
        <v>2137</v>
      </c>
      <c r="C118" s="194">
        <v>158</v>
      </c>
      <c r="D118" s="195" t="s">
        <v>653</v>
      </c>
      <c r="E118" s="196">
        <v>24230</v>
      </c>
      <c r="F118" s="196">
        <v>1800.25</v>
      </c>
      <c r="G118" s="196">
        <v>1500.47</v>
      </c>
      <c r="H118" s="197">
        <v>2</v>
      </c>
      <c r="I118" s="196">
        <v>24</v>
      </c>
      <c r="J118" s="197">
        <v>26</v>
      </c>
      <c r="K118" s="198">
        <f t="shared" si="317"/>
        <v>1248</v>
      </c>
      <c r="L118" s="197">
        <v>2</v>
      </c>
      <c r="M118" s="196">
        <v>16</v>
      </c>
      <c r="N118" s="197">
        <v>16</v>
      </c>
      <c r="O118" s="198">
        <f t="shared" si="318"/>
        <v>512</v>
      </c>
      <c r="P118" s="199">
        <f t="shared" si="319"/>
        <v>1760</v>
      </c>
      <c r="Q118" s="197">
        <v>2</v>
      </c>
      <c r="R118" s="196">
        <v>46.38</v>
      </c>
      <c r="S118" s="197">
        <v>26</v>
      </c>
      <c r="T118" s="198">
        <f t="shared" si="320"/>
        <v>2411.7600000000002</v>
      </c>
      <c r="U118" s="197">
        <v>2</v>
      </c>
      <c r="V118" s="196">
        <v>46.38</v>
      </c>
      <c r="W118" s="207">
        <v>16</v>
      </c>
      <c r="X118" s="198">
        <f t="shared" si="321"/>
        <v>1484.16</v>
      </c>
      <c r="Y118" s="200">
        <f t="shared" si="322"/>
        <v>3895.92</v>
      </c>
      <c r="Z118" s="197">
        <v>2</v>
      </c>
      <c r="AA118" s="196">
        <v>90</v>
      </c>
      <c r="AB118" s="197">
        <v>2</v>
      </c>
      <c r="AC118" s="198">
        <f t="shared" si="323"/>
        <v>360</v>
      </c>
      <c r="AD118" s="197">
        <v>2</v>
      </c>
      <c r="AE118" s="196">
        <v>90</v>
      </c>
      <c r="AF118" s="197">
        <v>2</v>
      </c>
      <c r="AG118" s="198">
        <f t="shared" si="324"/>
        <v>360</v>
      </c>
      <c r="AH118" s="200">
        <f t="shared" si="325"/>
        <v>720</v>
      </c>
      <c r="AI118" s="199">
        <f>F118+G118+P118+Y118+AH118</f>
        <v>9676.64</v>
      </c>
      <c r="AJ118" s="201">
        <f>AI118/E118</f>
        <v>0.39936607511349564</v>
      </c>
      <c r="AK118" s="196">
        <f>(E118-AI118)*$AK$15</f>
        <v>1600.8696</v>
      </c>
      <c r="AL118" s="196">
        <v>0</v>
      </c>
      <c r="AM118" s="196">
        <v>0</v>
      </c>
      <c r="AN118" s="196">
        <v>0</v>
      </c>
      <c r="AO118" s="196">
        <v>0</v>
      </c>
      <c r="AP118" s="286">
        <v>3.32E-2</v>
      </c>
      <c r="AQ118" s="196">
        <f>AP118*E118</f>
        <v>804.43600000000004</v>
      </c>
      <c r="AR118" s="202">
        <f t="shared" si="329"/>
        <v>804.43600000000004</v>
      </c>
      <c r="AS118" s="202">
        <f t="shared" si="330"/>
        <v>2405.3056000000001</v>
      </c>
      <c r="AT118" s="203">
        <f t="shared" si="331"/>
        <v>21824.6944</v>
      </c>
      <c r="AU118" s="205">
        <f>AT118-AT113</f>
        <v>1005.0484875657785</v>
      </c>
      <c r="AV118" s="1011"/>
      <c r="AW118" s="248"/>
    </row>
    <row r="119" spans="2:49" s="131" customFormat="1" ht="18" hidden="1" customHeight="1">
      <c r="B119" s="194" t="s">
        <v>2137</v>
      </c>
      <c r="C119" s="194">
        <v>157</v>
      </c>
      <c r="D119" s="195" t="s">
        <v>1082</v>
      </c>
      <c r="E119" s="196">
        <v>6486</v>
      </c>
      <c r="F119" s="196">
        <v>950.61</v>
      </c>
      <c r="G119" s="196">
        <v>351.9</v>
      </c>
      <c r="H119" s="197">
        <v>1</v>
      </c>
      <c r="I119" s="196">
        <v>24</v>
      </c>
      <c r="J119" s="197">
        <v>26</v>
      </c>
      <c r="K119" s="198">
        <f t="shared" si="317"/>
        <v>624</v>
      </c>
      <c r="L119" s="197">
        <v>0</v>
      </c>
      <c r="M119" s="196">
        <v>0</v>
      </c>
      <c r="N119" s="197">
        <v>0</v>
      </c>
      <c r="O119" s="198">
        <f t="shared" si="318"/>
        <v>0</v>
      </c>
      <c r="P119" s="199">
        <f t="shared" si="319"/>
        <v>624</v>
      </c>
      <c r="Q119" s="197">
        <v>1</v>
      </c>
      <c r="R119" s="196">
        <v>46.38</v>
      </c>
      <c r="S119" s="197">
        <v>26</v>
      </c>
      <c r="T119" s="198">
        <f t="shared" si="320"/>
        <v>1205.8800000000001</v>
      </c>
      <c r="U119" s="197">
        <v>0</v>
      </c>
      <c r="V119" s="196">
        <v>0</v>
      </c>
      <c r="W119" s="207">
        <v>0</v>
      </c>
      <c r="X119" s="198">
        <f t="shared" si="321"/>
        <v>0</v>
      </c>
      <c r="Y119" s="200">
        <f t="shared" si="322"/>
        <v>1205.8800000000001</v>
      </c>
      <c r="Z119" s="197">
        <v>1</v>
      </c>
      <c r="AA119" s="196">
        <v>90</v>
      </c>
      <c r="AB119" s="197">
        <v>2</v>
      </c>
      <c r="AC119" s="198">
        <f t="shared" si="323"/>
        <v>180</v>
      </c>
      <c r="AD119" s="197">
        <v>0</v>
      </c>
      <c r="AE119" s="196">
        <v>0</v>
      </c>
      <c r="AF119" s="197">
        <v>0</v>
      </c>
      <c r="AG119" s="198">
        <f t="shared" si="324"/>
        <v>0</v>
      </c>
      <c r="AH119" s="200">
        <f t="shared" si="325"/>
        <v>180</v>
      </c>
      <c r="AI119" s="199">
        <f t="shared" ref="AI119" si="332">F119+G119+P119+Y119+AH119</f>
        <v>3312.3900000000003</v>
      </c>
      <c r="AJ119" s="201">
        <f t="shared" ref="AJ119" si="333">AI119/E119</f>
        <v>0.51069842738205373</v>
      </c>
      <c r="AK119" s="196">
        <f t="shared" ref="AK119" si="334">(E119-AI119)*$AK$15</f>
        <v>349.09709999999995</v>
      </c>
      <c r="AL119" s="196">
        <v>0</v>
      </c>
      <c r="AM119" s="196">
        <v>0</v>
      </c>
      <c r="AN119" s="196">
        <v>0</v>
      </c>
      <c r="AO119" s="196">
        <v>0</v>
      </c>
      <c r="AP119" s="286">
        <v>3.32E-2</v>
      </c>
      <c r="AQ119" s="196">
        <f>AP119*E119</f>
        <v>215.33520000000001</v>
      </c>
      <c r="AR119" s="202">
        <f t="shared" si="329"/>
        <v>215.33520000000001</v>
      </c>
      <c r="AS119" s="202">
        <f t="shared" si="330"/>
        <v>564.43229999999994</v>
      </c>
      <c r="AT119" s="203">
        <f t="shared" si="331"/>
        <v>5921.5676999999996</v>
      </c>
      <c r="AU119" s="205"/>
      <c r="AW119" s="270"/>
    </row>
    <row r="120" spans="2:49" s="131" customFormat="1" ht="18" hidden="1" customHeight="1">
      <c r="B120" s="371"/>
      <c r="C120" s="371"/>
      <c r="D120" s="372"/>
      <c r="E120" s="391"/>
      <c r="F120" s="391"/>
      <c r="G120" s="391"/>
      <c r="H120" s="392"/>
      <c r="I120" s="391"/>
      <c r="J120" s="392"/>
      <c r="K120" s="393"/>
      <c r="L120" s="392"/>
      <c r="M120" s="391"/>
      <c r="N120" s="392"/>
      <c r="O120" s="393"/>
      <c r="P120" s="394"/>
      <c r="Q120" s="392"/>
      <c r="R120" s="391"/>
      <c r="S120" s="392"/>
      <c r="T120" s="393"/>
      <c r="U120" s="392"/>
      <c r="V120" s="391"/>
      <c r="W120" s="426"/>
      <c r="X120" s="393"/>
      <c r="Y120" s="393"/>
      <c r="Z120" s="392"/>
      <c r="AA120" s="391"/>
      <c r="AB120" s="392"/>
      <c r="AC120" s="393"/>
      <c r="AD120" s="392"/>
      <c r="AE120" s="391"/>
      <c r="AF120" s="392"/>
      <c r="AG120" s="393"/>
      <c r="AH120" s="393"/>
      <c r="AI120" s="394"/>
      <c r="AJ120" s="395"/>
      <c r="AK120" s="391"/>
      <c r="AL120" s="391"/>
      <c r="AM120" s="391"/>
      <c r="AN120" s="391"/>
      <c r="AO120" s="391"/>
      <c r="AP120" s="427"/>
      <c r="AQ120" s="391"/>
      <c r="AR120" s="396"/>
      <c r="AS120" s="396"/>
      <c r="AT120" s="397"/>
      <c r="AV120" s="204"/>
      <c r="AW120" s="270"/>
    </row>
    <row r="121" spans="2:49" s="131" customFormat="1" ht="18" customHeight="1">
      <c r="B121" s="194" t="s">
        <v>2258</v>
      </c>
      <c r="C121" s="194">
        <v>161</v>
      </c>
      <c r="D121" s="195" t="s">
        <v>1916</v>
      </c>
      <c r="E121" s="196">
        <v>6301</v>
      </c>
      <c r="F121" s="196">
        <v>0</v>
      </c>
      <c r="G121" s="196">
        <v>0</v>
      </c>
      <c r="H121" s="197">
        <v>1</v>
      </c>
      <c r="I121" s="196">
        <v>24</v>
      </c>
      <c r="J121" s="197">
        <v>26</v>
      </c>
      <c r="K121" s="198">
        <f t="shared" ref="K121:K124" si="335">H121*I121*J121</f>
        <v>624</v>
      </c>
      <c r="L121" s="197">
        <v>0</v>
      </c>
      <c r="M121" s="196">
        <v>0</v>
      </c>
      <c r="N121" s="197">
        <v>0</v>
      </c>
      <c r="O121" s="198">
        <f t="shared" ref="O121:O124" si="336">L121*M121*N121</f>
        <v>0</v>
      </c>
      <c r="P121" s="199">
        <f t="shared" ref="P121:P124" si="337">K121+O121</f>
        <v>624</v>
      </c>
      <c r="Q121" s="197">
        <v>1</v>
      </c>
      <c r="R121" s="196">
        <v>46.38</v>
      </c>
      <c r="S121" s="197">
        <v>26</v>
      </c>
      <c r="T121" s="198">
        <f t="shared" ref="T121:T124" si="338">Q121*R121*S121</f>
        <v>1205.8800000000001</v>
      </c>
      <c r="U121" s="197">
        <v>0</v>
      </c>
      <c r="V121" s="196">
        <v>0</v>
      </c>
      <c r="W121" s="207">
        <v>0</v>
      </c>
      <c r="X121" s="198">
        <f t="shared" ref="X121:X124" si="339">U121*V121*W121</f>
        <v>0</v>
      </c>
      <c r="Y121" s="200">
        <f t="shared" ref="Y121:Y124" si="340">T121+X121</f>
        <v>1205.8800000000001</v>
      </c>
      <c r="Z121" s="197">
        <v>0</v>
      </c>
      <c r="AA121" s="196">
        <v>0</v>
      </c>
      <c r="AB121" s="197">
        <v>0</v>
      </c>
      <c r="AC121" s="198">
        <f t="shared" ref="AC121:AC124" si="341">Z121*AA121*AB121</f>
        <v>0</v>
      </c>
      <c r="AD121" s="197">
        <v>0</v>
      </c>
      <c r="AE121" s="196">
        <v>0</v>
      </c>
      <c r="AF121" s="197">
        <v>0</v>
      </c>
      <c r="AG121" s="198">
        <f t="shared" ref="AG121:AG124" si="342">AD121*AE121*AF121</f>
        <v>0</v>
      </c>
      <c r="AH121" s="200">
        <f t="shared" ref="AH121:AH124" si="343">AC121+AG121</f>
        <v>0</v>
      </c>
      <c r="AI121" s="199">
        <f t="shared" ref="AI121:AI122" si="344">F121+G121+P121+Y121+AH121</f>
        <v>1829.88</v>
      </c>
      <c r="AJ121" s="201">
        <f t="shared" ref="AJ121:AJ122" si="345">AI121/E121</f>
        <v>0.29041104586573563</v>
      </c>
      <c r="AK121" s="196">
        <f t="shared" ref="AK121" si="346">(E121-AI121)*$AK$15</f>
        <v>491.82319999999999</v>
      </c>
      <c r="AL121" s="196">
        <v>0</v>
      </c>
      <c r="AM121" s="196">
        <v>0</v>
      </c>
      <c r="AN121" s="196">
        <v>0</v>
      </c>
      <c r="AO121" s="196">
        <v>0</v>
      </c>
      <c r="AP121" s="286">
        <v>3.32E-2</v>
      </c>
      <c r="AQ121" s="196">
        <f>AP121*E121</f>
        <v>209.19319999999999</v>
      </c>
      <c r="AR121" s="202">
        <f t="shared" ref="AR121:AR124" si="347">AL121+AM121+AN121+AO121+AQ121</f>
        <v>209.19319999999999</v>
      </c>
      <c r="AS121" s="202">
        <f t="shared" ref="AS121:AS124" si="348">AK121+AR121</f>
        <v>701.01639999999998</v>
      </c>
      <c r="AT121" s="203">
        <f t="shared" ref="AT121:AT124" si="349">E121-AS121</f>
        <v>5599.9835999999996</v>
      </c>
      <c r="AV121" s="204"/>
      <c r="AW121" s="270"/>
    </row>
    <row r="122" spans="2:49" s="131" customFormat="1" ht="18" customHeight="1">
      <c r="B122" s="194" t="s">
        <v>2258</v>
      </c>
      <c r="C122" s="194">
        <v>162</v>
      </c>
      <c r="D122" s="195" t="s">
        <v>1917</v>
      </c>
      <c r="E122" s="196">
        <v>13744</v>
      </c>
      <c r="F122" s="196">
        <v>1900.25</v>
      </c>
      <c r="G122" s="196">
        <v>1600.47</v>
      </c>
      <c r="H122" s="197">
        <v>2</v>
      </c>
      <c r="I122" s="196">
        <v>24</v>
      </c>
      <c r="J122" s="197">
        <v>26</v>
      </c>
      <c r="K122" s="198">
        <f t="shared" si="335"/>
        <v>1248</v>
      </c>
      <c r="L122" s="197">
        <v>0</v>
      </c>
      <c r="M122" s="196">
        <v>0</v>
      </c>
      <c r="N122" s="197">
        <v>0</v>
      </c>
      <c r="O122" s="198">
        <f t="shared" si="336"/>
        <v>0</v>
      </c>
      <c r="P122" s="199">
        <f t="shared" si="337"/>
        <v>1248</v>
      </c>
      <c r="Q122" s="197">
        <v>2</v>
      </c>
      <c r="R122" s="196">
        <v>46.38</v>
      </c>
      <c r="S122" s="197">
        <v>26</v>
      </c>
      <c r="T122" s="198">
        <f t="shared" si="338"/>
        <v>2411.7600000000002</v>
      </c>
      <c r="U122" s="197">
        <v>0</v>
      </c>
      <c r="V122" s="196">
        <v>0</v>
      </c>
      <c r="W122" s="207">
        <v>0</v>
      </c>
      <c r="X122" s="198">
        <f t="shared" si="339"/>
        <v>0</v>
      </c>
      <c r="Y122" s="200">
        <f t="shared" si="340"/>
        <v>2411.7600000000002</v>
      </c>
      <c r="Z122" s="197">
        <v>2</v>
      </c>
      <c r="AA122" s="196">
        <v>90</v>
      </c>
      <c r="AB122" s="197">
        <v>2</v>
      </c>
      <c r="AC122" s="198">
        <f t="shared" si="341"/>
        <v>360</v>
      </c>
      <c r="AD122" s="197">
        <v>0</v>
      </c>
      <c r="AE122" s="196">
        <v>0</v>
      </c>
      <c r="AF122" s="197">
        <v>0</v>
      </c>
      <c r="AG122" s="198">
        <f t="shared" si="342"/>
        <v>0</v>
      </c>
      <c r="AH122" s="200">
        <f t="shared" si="343"/>
        <v>360</v>
      </c>
      <c r="AI122" s="199">
        <f t="shared" si="344"/>
        <v>7520.4800000000005</v>
      </c>
      <c r="AJ122" s="201">
        <f t="shared" si="345"/>
        <v>0.54718277066356236</v>
      </c>
      <c r="AK122" s="196">
        <f>(E122-AI122)*$AK$15</f>
        <v>684.58719999999994</v>
      </c>
      <c r="AL122" s="196">
        <v>0</v>
      </c>
      <c r="AM122" s="196">
        <v>0</v>
      </c>
      <c r="AN122" s="196">
        <v>0</v>
      </c>
      <c r="AO122" s="196">
        <v>0</v>
      </c>
      <c r="AP122" s="286">
        <v>3.32E-2</v>
      </c>
      <c r="AQ122" s="196">
        <f>AP122*E122</f>
        <v>456.30079999999998</v>
      </c>
      <c r="AR122" s="202">
        <f t="shared" si="347"/>
        <v>456.30079999999998</v>
      </c>
      <c r="AS122" s="202">
        <f t="shared" si="348"/>
        <v>1140.8879999999999</v>
      </c>
      <c r="AT122" s="203">
        <f t="shared" si="349"/>
        <v>12603.112000000001</v>
      </c>
      <c r="AU122" s="205">
        <f>AT122-AT117</f>
        <v>0</v>
      </c>
      <c r="AV122" s="830">
        <f>AU122/AT117</f>
        <v>0</v>
      </c>
      <c r="AW122" s="204"/>
    </row>
    <row r="123" spans="2:49" s="131" customFormat="1" ht="18" customHeight="1">
      <c r="B123" s="194" t="s">
        <v>2258</v>
      </c>
      <c r="C123" s="194">
        <v>163</v>
      </c>
      <c r="D123" s="195" t="s">
        <v>653</v>
      </c>
      <c r="E123" s="196">
        <v>24230</v>
      </c>
      <c r="F123" s="196">
        <v>1800.25</v>
      </c>
      <c r="G123" s="196">
        <v>1500.47</v>
      </c>
      <c r="H123" s="197">
        <v>2</v>
      </c>
      <c r="I123" s="196">
        <v>24</v>
      </c>
      <c r="J123" s="197">
        <v>26</v>
      </c>
      <c r="K123" s="198">
        <f t="shared" si="335"/>
        <v>1248</v>
      </c>
      <c r="L123" s="197">
        <v>2</v>
      </c>
      <c r="M123" s="196">
        <v>16</v>
      </c>
      <c r="N123" s="197">
        <v>16</v>
      </c>
      <c r="O123" s="198">
        <f t="shared" si="336"/>
        <v>512</v>
      </c>
      <c r="P123" s="199">
        <f t="shared" si="337"/>
        <v>1760</v>
      </c>
      <c r="Q123" s="197">
        <v>2</v>
      </c>
      <c r="R123" s="196">
        <v>46.38</v>
      </c>
      <c r="S123" s="197">
        <v>26</v>
      </c>
      <c r="T123" s="198">
        <f t="shared" si="338"/>
        <v>2411.7600000000002</v>
      </c>
      <c r="U123" s="197">
        <v>2</v>
      </c>
      <c r="V123" s="196">
        <v>46.38</v>
      </c>
      <c r="W123" s="207">
        <v>16</v>
      </c>
      <c r="X123" s="198">
        <f t="shared" si="339"/>
        <v>1484.16</v>
      </c>
      <c r="Y123" s="200">
        <f t="shared" si="340"/>
        <v>3895.92</v>
      </c>
      <c r="Z123" s="197">
        <v>2</v>
      </c>
      <c r="AA123" s="196">
        <v>90</v>
      </c>
      <c r="AB123" s="197">
        <v>2</v>
      </c>
      <c r="AC123" s="198">
        <f t="shared" si="341"/>
        <v>360</v>
      </c>
      <c r="AD123" s="197">
        <v>2</v>
      </c>
      <c r="AE123" s="196">
        <v>90</v>
      </c>
      <c r="AF123" s="197">
        <v>2</v>
      </c>
      <c r="AG123" s="198">
        <f t="shared" si="342"/>
        <v>360</v>
      </c>
      <c r="AH123" s="200">
        <f t="shared" si="343"/>
        <v>720</v>
      </c>
      <c r="AI123" s="199">
        <f>F123+G123+P123+Y123+AH123</f>
        <v>9676.64</v>
      </c>
      <c r="AJ123" s="201">
        <f>AI123/E123</f>
        <v>0.39936607511349564</v>
      </c>
      <c r="AK123" s="196">
        <f>(E123-AI123)*$AK$15</f>
        <v>1600.8696</v>
      </c>
      <c r="AL123" s="196">
        <v>0</v>
      </c>
      <c r="AM123" s="196">
        <v>0</v>
      </c>
      <c r="AN123" s="196">
        <v>0</v>
      </c>
      <c r="AO123" s="196">
        <v>0</v>
      </c>
      <c r="AP123" s="286">
        <v>3.32E-2</v>
      </c>
      <c r="AQ123" s="196">
        <f>AP123*E123</f>
        <v>804.43600000000004</v>
      </c>
      <c r="AR123" s="202">
        <f t="shared" si="347"/>
        <v>804.43600000000004</v>
      </c>
      <c r="AS123" s="202">
        <f t="shared" si="348"/>
        <v>2405.3056000000001</v>
      </c>
      <c r="AT123" s="203">
        <f t="shared" si="349"/>
        <v>21824.6944</v>
      </c>
      <c r="AU123" s="205">
        <f>AT123-AT118</f>
        <v>0</v>
      </c>
      <c r="AV123" s="1011"/>
      <c r="AW123" s="248"/>
    </row>
    <row r="124" spans="2:49" s="131" customFormat="1" ht="18" customHeight="1">
      <c r="B124" s="194" t="s">
        <v>2258</v>
      </c>
      <c r="C124" s="194">
        <v>164</v>
      </c>
      <c r="D124" s="195" t="s">
        <v>1082</v>
      </c>
      <c r="E124" s="196">
        <v>6486</v>
      </c>
      <c r="F124" s="196">
        <v>950.61</v>
      </c>
      <c r="G124" s="196">
        <v>351.9</v>
      </c>
      <c r="H124" s="197">
        <v>1</v>
      </c>
      <c r="I124" s="196">
        <v>24</v>
      </c>
      <c r="J124" s="197">
        <v>26</v>
      </c>
      <c r="K124" s="198">
        <f t="shared" si="335"/>
        <v>624</v>
      </c>
      <c r="L124" s="197">
        <v>0</v>
      </c>
      <c r="M124" s="196">
        <v>0</v>
      </c>
      <c r="N124" s="197">
        <v>0</v>
      </c>
      <c r="O124" s="198">
        <f t="shared" si="336"/>
        <v>0</v>
      </c>
      <c r="P124" s="199">
        <f t="shared" si="337"/>
        <v>624</v>
      </c>
      <c r="Q124" s="197">
        <v>1</v>
      </c>
      <c r="R124" s="196">
        <v>46.38</v>
      </c>
      <c r="S124" s="197">
        <v>26</v>
      </c>
      <c r="T124" s="198">
        <f t="shared" si="338"/>
        <v>1205.8800000000001</v>
      </c>
      <c r="U124" s="197">
        <v>0</v>
      </c>
      <c r="V124" s="196">
        <v>0</v>
      </c>
      <c r="W124" s="207">
        <v>0</v>
      </c>
      <c r="X124" s="198">
        <f t="shared" si="339"/>
        <v>0</v>
      </c>
      <c r="Y124" s="200">
        <f t="shared" si="340"/>
        <v>1205.8800000000001</v>
      </c>
      <c r="Z124" s="197">
        <v>1</v>
      </c>
      <c r="AA124" s="196">
        <v>90</v>
      </c>
      <c r="AB124" s="197">
        <v>2</v>
      </c>
      <c r="AC124" s="198">
        <f t="shared" si="341"/>
        <v>180</v>
      </c>
      <c r="AD124" s="197">
        <v>0</v>
      </c>
      <c r="AE124" s="196">
        <v>0</v>
      </c>
      <c r="AF124" s="197">
        <v>0</v>
      </c>
      <c r="AG124" s="198">
        <f t="shared" si="342"/>
        <v>0</v>
      </c>
      <c r="AH124" s="200">
        <f t="shared" si="343"/>
        <v>180</v>
      </c>
      <c r="AI124" s="199">
        <f t="shared" ref="AI124" si="350">F124+G124+P124+Y124+AH124</f>
        <v>3312.3900000000003</v>
      </c>
      <c r="AJ124" s="201">
        <f t="shared" ref="AJ124" si="351">AI124/E124</f>
        <v>0.51069842738205373</v>
      </c>
      <c r="AK124" s="196">
        <f t="shared" ref="AK124" si="352">(E124-AI124)*$AK$15</f>
        <v>349.09709999999995</v>
      </c>
      <c r="AL124" s="196">
        <v>0</v>
      </c>
      <c r="AM124" s="196">
        <v>0</v>
      </c>
      <c r="AN124" s="196">
        <v>0</v>
      </c>
      <c r="AO124" s="196">
        <v>0</v>
      </c>
      <c r="AP124" s="286">
        <v>3.32E-2</v>
      </c>
      <c r="AQ124" s="196">
        <f>AP124*E124</f>
        <v>215.33520000000001</v>
      </c>
      <c r="AR124" s="202">
        <f t="shared" si="347"/>
        <v>215.33520000000001</v>
      </c>
      <c r="AS124" s="202">
        <f t="shared" si="348"/>
        <v>564.43229999999994</v>
      </c>
      <c r="AT124" s="203">
        <f t="shared" si="349"/>
        <v>5921.5676999999996</v>
      </c>
      <c r="AU124" s="205"/>
      <c r="AW124" s="270"/>
    </row>
    <row r="125" spans="2:49" s="131" customFormat="1" ht="18" hidden="1" customHeight="1">
      <c r="B125" s="194"/>
      <c r="C125" s="194"/>
      <c r="D125" s="195"/>
      <c r="E125" s="196"/>
      <c r="F125" s="196"/>
      <c r="G125" s="196"/>
      <c r="H125" s="197"/>
      <c r="I125" s="196"/>
      <c r="J125" s="197"/>
      <c r="K125" s="198"/>
      <c r="L125" s="197"/>
      <c r="M125" s="196"/>
      <c r="N125" s="197"/>
      <c r="O125" s="198"/>
      <c r="P125" s="199"/>
      <c r="Q125" s="197"/>
      <c r="R125" s="196"/>
      <c r="S125" s="197"/>
      <c r="T125" s="198"/>
      <c r="U125" s="197"/>
      <c r="V125" s="196"/>
      <c r="W125" s="207"/>
      <c r="X125" s="198"/>
      <c r="Y125" s="200"/>
      <c r="Z125" s="197"/>
      <c r="AA125" s="196"/>
      <c r="AB125" s="197"/>
      <c r="AC125" s="198"/>
      <c r="AD125" s="197"/>
      <c r="AE125" s="196"/>
      <c r="AF125" s="197"/>
      <c r="AG125" s="198"/>
      <c r="AH125" s="200"/>
      <c r="AI125" s="199"/>
      <c r="AJ125" s="201"/>
      <c r="AK125" s="196"/>
      <c r="AL125" s="196"/>
      <c r="AM125" s="196"/>
      <c r="AN125" s="196"/>
      <c r="AO125" s="196"/>
      <c r="AP125" s="286"/>
      <c r="AQ125" s="196"/>
      <c r="AR125" s="202"/>
      <c r="AS125" s="202"/>
      <c r="AT125" s="203"/>
      <c r="AW125" s="270"/>
    </row>
    <row r="126" spans="2:49" s="131" customFormat="1" ht="18" hidden="1" customHeight="1">
      <c r="B126" s="194"/>
      <c r="C126" s="194"/>
      <c r="D126" s="195"/>
      <c r="E126" s="196"/>
      <c r="F126" s="196"/>
      <c r="G126" s="196"/>
      <c r="H126" s="197"/>
      <c r="I126" s="196"/>
      <c r="J126" s="197"/>
      <c r="K126" s="219"/>
      <c r="L126" s="197"/>
      <c r="M126" s="196"/>
      <c r="N126" s="197"/>
      <c r="O126" s="219"/>
      <c r="P126" s="220"/>
      <c r="Q126" s="197"/>
      <c r="R126" s="196"/>
      <c r="S126" s="197"/>
      <c r="T126" s="219"/>
      <c r="U126" s="197"/>
      <c r="V126" s="196"/>
      <c r="W126" s="207"/>
      <c r="X126" s="219"/>
      <c r="Y126" s="219"/>
      <c r="Z126" s="197"/>
      <c r="AA126" s="196"/>
      <c r="AB126" s="197"/>
      <c r="AC126" s="219"/>
      <c r="AD126" s="197"/>
      <c r="AE126" s="196"/>
      <c r="AF126" s="197"/>
      <c r="AG126" s="219"/>
      <c r="AH126" s="219"/>
      <c r="AI126" s="220"/>
      <c r="AJ126" s="201"/>
      <c r="AK126" s="196"/>
      <c r="AL126" s="196"/>
      <c r="AM126" s="196"/>
      <c r="AN126" s="196"/>
      <c r="AO126" s="196"/>
      <c r="AP126" s="196"/>
      <c r="AQ126" s="196"/>
      <c r="AR126" s="221">
        <f t="shared" si="9"/>
        <v>0</v>
      </c>
      <c r="AS126" s="221"/>
      <c r="AT126" s="222"/>
      <c r="AU126" s="205"/>
      <c r="AW126" s="206"/>
    </row>
    <row r="127" spans="2:49" s="634" customFormat="1" ht="18" customHeight="1">
      <c r="B127" s="627" t="s">
        <v>284</v>
      </c>
      <c r="C127" s="627" t="s">
        <v>1699</v>
      </c>
      <c r="D127" s="627" t="s">
        <v>1699</v>
      </c>
      <c r="E127" s="626">
        <f t="shared" ref="E127:L127" si="353">SUBTOTAL(9,E17:E126)</f>
        <v>50761</v>
      </c>
      <c r="F127" s="626">
        <f t="shared" si="353"/>
        <v>4651.1099999999997</v>
      </c>
      <c r="G127" s="626">
        <f t="shared" si="353"/>
        <v>3452.84</v>
      </c>
      <c r="H127" s="628">
        <f t="shared" si="353"/>
        <v>6</v>
      </c>
      <c r="I127" s="626">
        <f t="shared" si="353"/>
        <v>96</v>
      </c>
      <c r="J127" s="628">
        <f t="shared" si="353"/>
        <v>104</v>
      </c>
      <c r="K127" s="626">
        <f t="shared" si="353"/>
        <v>3744</v>
      </c>
      <c r="L127" s="628">
        <f t="shared" si="353"/>
        <v>2</v>
      </c>
      <c r="M127" s="627" t="s">
        <v>1699</v>
      </c>
      <c r="N127" s="627" t="s">
        <v>1699</v>
      </c>
      <c r="O127" s="626">
        <f>SUBTOTAL(9,O17:O126)</f>
        <v>512</v>
      </c>
      <c r="P127" s="626">
        <f>SUBTOTAL(9,P17:P126)</f>
        <v>4256</v>
      </c>
      <c r="Q127" s="628">
        <f>SUBTOTAL(9,Q17:Q126)</f>
        <v>6</v>
      </c>
      <c r="R127" s="629" t="s">
        <v>1699</v>
      </c>
      <c r="S127" s="629" t="s">
        <v>1699</v>
      </c>
      <c r="T127" s="626">
        <f>SUBTOTAL(9,T17:T126)</f>
        <v>7235.2800000000007</v>
      </c>
      <c r="U127" s="628">
        <f>SUBTOTAL(9,U17:U126)</f>
        <v>2</v>
      </c>
      <c r="V127" s="629" t="s">
        <v>1699</v>
      </c>
      <c r="W127" s="629" t="s">
        <v>1699</v>
      </c>
      <c r="X127" s="626">
        <f>SUBTOTAL(9,X17:X126)</f>
        <v>1484.16</v>
      </c>
      <c r="Y127" s="626">
        <f>SUBTOTAL(9,Y17:Y126)</f>
        <v>8719.44</v>
      </c>
      <c r="Z127" s="628">
        <f>SUBTOTAL(9,Z17:Z126)</f>
        <v>5</v>
      </c>
      <c r="AA127" s="629" t="s">
        <v>1699</v>
      </c>
      <c r="AB127" s="629" t="s">
        <v>1699</v>
      </c>
      <c r="AC127" s="626">
        <f>SUBTOTAL(9,AC17:AC126)</f>
        <v>900</v>
      </c>
      <c r="AD127" s="628">
        <f>SUBTOTAL(9,AD17:AD126)</f>
        <v>2</v>
      </c>
      <c r="AE127" s="629" t="s">
        <v>1699</v>
      </c>
      <c r="AF127" s="629" t="s">
        <v>1699</v>
      </c>
      <c r="AG127" s="626">
        <f>SUBTOTAL(9,AG17:AG126)</f>
        <v>360</v>
      </c>
      <c r="AH127" s="626">
        <f>SUBTOTAL(9,AH17:AH126)</f>
        <v>1260</v>
      </c>
      <c r="AI127" s="626">
        <f>SUBTOTAL(9,AI17:AI126)</f>
        <v>22339.39</v>
      </c>
      <c r="AJ127" s="629" t="s">
        <v>1699</v>
      </c>
      <c r="AK127" s="630">
        <f>SUBTOTAL(9,AK17:AK126)</f>
        <v>3126.3770999999997</v>
      </c>
      <c r="AL127" s="626">
        <f>SUBTOTAL(9,AL17:AL126)</f>
        <v>0</v>
      </c>
      <c r="AM127" s="626">
        <f>SUBTOTAL(9,AM17:AM126)</f>
        <v>0</v>
      </c>
      <c r="AN127" s="626">
        <f>SUBTOTAL(9,AN17:AN126)</f>
        <v>0</v>
      </c>
      <c r="AO127" s="626">
        <f>SUBTOTAL(9,AO17:AO126)</f>
        <v>0</v>
      </c>
      <c r="AP127" s="631">
        <f>AVERAGE(AP17:AP126)</f>
        <v>3.2938410517032869E-2</v>
      </c>
      <c r="AQ127" s="626">
        <f>SUBTOTAL(9,AQ17:AQ126)</f>
        <v>1685.2651999999998</v>
      </c>
      <c r="AR127" s="632">
        <f>SUBTOTAL(9,AR17:AR126)</f>
        <v>1685.2651999999998</v>
      </c>
      <c r="AS127" s="632">
        <f>SUBTOTAL(9,AS17:AS126)</f>
        <v>4811.6422999999995</v>
      </c>
      <c r="AT127" s="633">
        <f>SUBTOTAL(9,AT17:AT126)</f>
        <v>45949.3577</v>
      </c>
      <c r="AU127" s="1085">
        <f>AU118/AT113</f>
        <v>4.8274043266294378E-2</v>
      </c>
      <c r="AW127" s="636"/>
    </row>
    <row r="128" spans="2:49" ht="5.0999999999999996" customHeight="1">
      <c r="D128" s="148"/>
      <c r="AT128" s="148"/>
    </row>
    <row r="129" spans="2:50" ht="21" customHeight="1">
      <c r="D129" s="148"/>
      <c r="E129" s="232"/>
      <c r="F129" s="340"/>
      <c r="G129" s="340"/>
      <c r="AK129" s="252"/>
      <c r="AQ129" s="157"/>
      <c r="AT129" s="148"/>
    </row>
    <row r="130" spans="2:50" ht="21" customHeight="1">
      <c r="B130" s="233" t="s">
        <v>9</v>
      </c>
      <c r="C130" s="233"/>
      <c r="D130" s="234" t="s">
        <v>1700</v>
      </c>
      <c r="E130" s="234" t="s">
        <v>1701</v>
      </c>
      <c r="F130" s="234" t="s">
        <v>1702</v>
      </c>
      <c r="G130" s="234" t="s">
        <v>1703</v>
      </c>
      <c r="P130" s="232"/>
      <c r="Y130" s="157"/>
      <c r="AC130" s="254"/>
      <c r="AG130" s="232"/>
      <c r="AJ130" s="147"/>
      <c r="AV130" s="829"/>
      <c r="AW130" s="829"/>
    </row>
    <row r="131" spans="2:50" ht="21" customHeight="1">
      <c r="B131" s="235" t="s">
        <v>1738</v>
      </c>
      <c r="D131" s="646">
        <v>1.7177754575362976E-2</v>
      </c>
      <c r="E131" s="237">
        <f t="shared" ref="E131:E136" si="354">D131*$E$127</f>
        <v>871.96</v>
      </c>
      <c r="F131" s="232">
        <f>AL127</f>
        <v>0</v>
      </c>
      <c r="G131" s="238">
        <f>E131-F131</f>
        <v>871.96</v>
      </c>
      <c r="AC131" s="232"/>
      <c r="AG131" s="252"/>
      <c r="AH131" s="232"/>
      <c r="AJ131" s="147"/>
      <c r="AO131" s="341"/>
      <c r="AQ131" s="254"/>
      <c r="AT131" s="232"/>
      <c r="AV131" s="204"/>
      <c r="AW131" s="204"/>
    </row>
    <row r="132" spans="2:50" ht="21" customHeight="1">
      <c r="B132" s="235" t="s">
        <v>1739</v>
      </c>
      <c r="D132" s="646">
        <v>1.2552944189436773E-2</v>
      </c>
      <c r="E132" s="237">
        <f t="shared" si="354"/>
        <v>637.20000000000005</v>
      </c>
      <c r="F132" s="232">
        <f>AM127</f>
        <v>0</v>
      </c>
      <c r="G132" s="238">
        <f t="shared" ref="G132:G135" si="355">E132-F132</f>
        <v>637.20000000000005</v>
      </c>
      <c r="AH132" s="232"/>
      <c r="AJ132" s="147"/>
      <c r="AO132" s="232"/>
      <c r="AQ132" s="232"/>
      <c r="AT132" s="232"/>
      <c r="AV132" s="204"/>
      <c r="AW132" s="204"/>
    </row>
    <row r="133" spans="2:50" ht="21" customHeight="1">
      <c r="B133" s="235" t="s">
        <v>1740</v>
      </c>
      <c r="D133" s="646">
        <v>1.6294202241878608E-2</v>
      </c>
      <c r="E133" s="237">
        <f t="shared" si="354"/>
        <v>827.11</v>
      </c>
      <c r="F133" s="232">
        <f>AN127</f>
        <v>0</v>
      </c>
      <c r="G133" s="238">
        <f t="shared" si="355"/>
        <v>827.11</v>
      </c>
      <c r="AJ133" s="147"/>
      <c r="AO133" s="232"/>
      <c r="AV133" s="206"/>
    </row>
    <row r="134" spans="2:50" ht="21" customHeight="1">
      <c r="B134" s="235" t="s">
        <v>1741</v>
      </c>
      <c r="D134" s="646">
        <v>3.5263292685329289E-3</v>
      </c>
      <c r="E134" s="237">
        <f t="shared" si="354"/>
        <v>179</v>
      </c>
      <c r="F134" s="232">
        <f>AO127</f>
        <v>0</v>
      </c>
      <c r="G134" s="238">
        <f t="shared" si="355"/>
        <v>179</v>
      </c>
      <c r="P134" s="157">
        <f>SUBTOTAL(9,G131:G134)</f>
        <v>2515.27</v>
      </c>
      <c r="AJ134" s="147"/>
      <c r="AV134" s="635"/>
      <c r="AW134" s="635"/>
      <c r="AX134" s="232"/>
    </row>
    <row r="135" spans="2:50" ht="21" customHeight="1">
      <c r="B135" s="235" t="s">
        <v>1708</v>
      </c>
      <c r="D135" s="648">
        <v>3.32E-2</v>
      </c>
      <c r="E135" s="237">
        <f t="shared" si="354"/>
        <v>1685.2652</v>
      </c>
      <c r="F135" s="232">
        <f>AQ127</f>
        <v>1685.2651999999998</v>
      </c>
      <c r="G135" s="238">
        <f t="shared" si="355"/>
        <v>0</v>
      </c>
      <c r="Y135" s="157"/>
      <c r="AJ135" s="147"/>
    </row>
    <row r="136" spans="2:50" ht="21" customHeight="1">
      <c r="B136" s="239" t="s">
        <v>2101</v>
      </c>
      <c r="C136" s="240"/>
      <c r="D136" s="647">
        <v>0</v>
      </c>
      <c r="E136" s="241">
        <f t="shared" si="354"/>
        <v>0</v>
      </c>
      <c r="F136" s="354">
        <f>AK127</f>
        <v>3126.3770999999997</v>
      </c>
      <c r="G136" s="242">
        <v>0</v>
      </c>
      <c r="Y136" s="157"/>
      <c r="AH136" s="340"/>
      <c r="AJ136" s="147"/>
    </row>
    <row r="137" spans="2:50" ht="21" customHeight="1">
      <c r="B137" s="243" t="s">
        <v>284</v>
      </c>
      <c r="C137" s="243"/>
      <c r="D137" s="649">
        <f>SUM(D131:D136)</f>
        <v>8.2751230275211279E-2</v>
      </c>
      <c r="E137" s="245">
        <f>SUM(E131:E136)</f>
        <v>4200.5352000000003</v>
      </c>
      <c r="F137" s="245">
        <f>SUM(F131:F136)</f>
        <v>4811.6422999999995</v>
      </c>
      <c r="G137" s="245">
        <f>SUM(G131:G136)</f>
        <v>2515.27</v>
      </c>
      <c r="N137" s="252"/>
      <c r="V137" s="232"/>
      <c r="Y137" s="159">
        <f>SUBTOTAL(9,Y131:Y136)</f>
        <v>0</v>
      </c>
      <c r="AJ137" s="147"/>
    </row>
    <row r="138" spans="2:50" ht="21" customHeight="1">
      <c r="D138" s="172"/>
      <c r="E138" s="252"/>
      <c r="G138" s="232"/>
      <c r="M138" s="252"/>
      <c r="AJ138" s="147"/>
    </row>
    <row r="139" spans="2:50" ht="21" customHeight="1">
      <c r="B139" s="1074" t="s">
        <v>2253</v>
      </c>
      <c r="C139" s="1066">
        <v>46023</v>
      </c>
      <c r="D139" s="1057" t="s">
        <v>1907</v>
      </c>
      <c r="M139" s="252"/>
      <c r="AJ139" s="147"/>
    </row>
    <row r="140" spans="2:50" ht="21" customHeight="1">
      <c r="B140" s="1058" t="s">
        <v>2096</v>
      </c>
      <c r="C140" s="1059">
        <v>871.96</v>
      </c>
      <c r="D140" s="1060">
        <f>C140/$C$147</f>
        <v>1.7177754575362976E-2</v>
      </c>
      <c r="M140" s="252"/>
      <c r="AJ140" s="147"/>
    </row>
    <row r="141" spans="2:50" ht="21" customHeight="1">
      <c r="B141" s="1058" t="s">
        <v>2097</v>
      </c>
      <c r="C141" s="1059">
        <v>637.20000000000005</v>
      </c>
      <c r="D141" s="1060">
        <f t="shared" ref="D141:D144" si="356">C141/$C$147</f>
        <v>1.2552944189436773E-2</v>
      </c>
      <c r="M141" s="252"/>
      <c r="AJ141" s="147"/>
    </row>
    <row r="142" spans="2:50" ht="21" customHeight="1">
      <c r="B142" s="1058" t="s">
        <v>2098</v>
      </c>
      <c r="C142" s="1059">
        <v>827.11</v>
      </c>
      <c r="D142" s="1060">
        <f t="shared" si="356"/>
        <v>1.6294202241878608E-2</v>
      </c>
      <c r="M142" s="252"/>
      <c r="AJ142" s="147"/>
    </row>
    <row r="143" spans="2:50" ht="21" customHeight="1">
      <c r="B143" s="1058" t="s">
        <v>2099</v>
      </c>
      <c r="C143" s="1059">
        <v>179</v>
      </c>
      <c r="D143" s="1060">
        <f t="shared" si="356"/>
        <v>3.5263292685329289E-3</v>
      </c>
      <c r="M143" s="252"/>
      <c r="AJ143" s="147"/>
    </row>
    <row r="144" spans="2:50" ht="21" customHeight="1">
      <c r="B144" s="1058" t="s">
        <v>2100</v>
      </c>
      <c r="C144" s="1059">
        <v>0</v>
      </c>
      <c r="D144" s="1060">
        <f t="shared" si="356"/>
        <v>0</v>
      </c>
      <c r="M144" s="252"/>
      <c r="AJ144" s="147"/>
    </row>
    <row r="145" spans="2:36" ht="21" customHeight="1">
      <c r="B145" s="1065" t="s">
        <v>2132</v>
      </c>
      <c r="C145" s="1061"/>
      <c r="D145" s="1062"/>
      <c r="M145" s="252"/>
      <c r="AJ145" s="147"/>
    </row>
    <row r="146" spans="2:36" ht="21" customHeight="1">
      <c r="B146" s="1072" t="s">
        <v>2254</v>
      </c>
      <c r="C146" s="1063">
        <f>SUBTOTAL(9,C140:C145)</f>
        <v>2515.27</v>
      </c>
      <c r="D146" s="1064">
        <f>SUM(D140:D145)</f>
        <v>4.9551230275211286E-2</v>
      </c>
      <c r="M146" s="252"/>
      <c r="AJ146" s="147"/>
    </row>
    <row r="147" spans="2:36" ht="21" customHeight="1">
      <c r="B147" s="1073" t="s">
        <v>90</v>
      </c>
      <c r="C147" s="1068">
        <v>50761</v>
      </c>
      <c r="D147" s="1069"/>
      <c r="M147" s="252"/>
      <c r="AJ147" s="147"/>
    </row>
    <row r="148" spans="2:36" ht="21" customHeight="1">
      <c r="C148" s="172"/>
      <c r="D148" s="160"/>
      <c r="M148" s="252"/>
      <c r="AJ148" s="147"/>
    </row>
    <row r="149" spans="2:36" ht="21" customHeight="1">
      <c r="C149" s="172"/>
      <c r="D149" s="160"/>
      <c r="M149" s="252"/>
      <c r="AJ149" s="147"/>
    </row>
    <row r="150" spans="2:36" ht="21" customHeight="1">
      <c r="B150" s="1074" t="s">
        <v>2253</v>
      </c>
      <c r="C150" s="1066">
        <v>45992</v>
      </c>
      <c r="D150" s="1057" t="s">
        <v>1907</v>
      </c>
      <c r="M150" s="252"/>
      <c r="AJ150" s="147"/>
    </row>
    <row r="151" spans="2:36" ht="21" customHeight="1">
      <c r="B151" s="1058" t="s">
        <v>2096</v>
      </c>
      <c r="C151" s="1059">
        <v>812.64</v>
      </c>
      <c r="D151" s="1060">
        <f>C151/$C$158</f>
        <v>1.718309263527372E-2</v>
      </c>
      <c r="M151" s="252"/>
      <c r="AJ151" s="147"/>
    </row>
    <row r="152" spans="2:36" ht="21" customHeight="1">
      <c r="B152" s="1058" t="s">
        <v>2097</v>
      </c>
      <c r="C152" s="1059">
        <v>593.85</v>
      </c>
      <c r="D152" s="1060">
        <f>C152/$C$158</f>
        <v>1.2556826591673186E-2</v>
      </c>
      <c r="M152" s="252"/>
      <c r="AJ152" s="147"/>
    </row>
    <row r="153" spans="2:36" ht="21" customHeight="1">
      <c r="B153" s="1058" t="s">
        <v>2098</v>
      </c>
      <c r="C153" s="1059">
        <v>770.83</v>
      </c>
      <c r="D153" s="1060">
        <f>C153/$C$158</f>
        <v>1.6299029454676168E-2</v>
      </c>
      <c r="M153" s="252"/>
      <c r="AJ153" s="147"/>
    </row>
    <row r="154" spans="2:36" ht="21" customHeight="1">
      <c r="B154" s="1058" t="s">
        <v>2099</v>
      </c>
      <c r="C154" s="1059">
        <v>166.82</v>
      </c>
      <c r="D154" s="1060">
        <f>C154/$C$158</f>
        <v>3.5273719155054658E-3</v>
      </c>
      <c r="M154" s="252"/>
      <c r="AJ154" s="147"/>
    </row>
    <row r="155" spans="2:36" ht="21" customHeight="1">
      <c r="B155" s="1058" t="s">
        <v>2100</v>
      </c>
      <c r="C155" s="1059">
        <v>0</v>
      </c>
      <c r="D155" s="1060">
        <f>C155/$C$158</f>
        <v>0</v>
      </c>
      <c r="M155" s="252"/>
      <c r="AJ155" s="147"/>
    </row>
    <row r="156" spans="2:36" ht="21" customHeight="1">
      <c r="B156" s="1065" t="s">
        <v>2132</v>
      </c>
      <c r="C156" s="1061"/>
      <c r="D156" s="1062"/>
      <c r="M156" s="252"/>
      <c r="AJ156" s="147"/>
    </row>
    <row r="157" spans="2:36" ht="21" customHeight="1">
      <c r="B157" s="1072" t="s">
        <v>2254</v>
      </c>
      <c r="C157" s="1063">
        <f>SUBTOTAL(9,C151:C156)</f>
        <v>2344.1400000000003</v>
      </c>
      <c r="D157" s="1064">
        <f>SUM(D151:D156)</f>
        <v>4.9566320597128538E-2</v>
      </c>
      <c r="M157" s="252"/>
      <c r="AJ157" s="147"/>
    </row>
    <row r="158" spans="2:36" ht="21" customHeight="1">
      <c r="B158" s="1073" t="s">
        <v>90</v>
      </c>
      <c r="C158" s="1068">
        <v>47293</v>
      </c>
      <c r="D158" s="1069"/>
      <c r="E158" s="232"/>
      <c r="F158" s="252"/>
      <c r="M158" s="252"/>
      <c r="AJ158" s="147"/>
    </row>
    <row r="159" spans="2:36" ht="21" customHeight="1">
      <c r="C159" s="172"/>
      <c r="D159" s="160"/>
      <c r="M159" s="252"/>
      <c r="AJ159" s="147"/>
    </row>
    <row r="160" spans="2:36">
      <c r="B160" s="1074" t="s">
        <v>2253</v>
      </c>
      <c r="C160" s="1066">
        <v>45962</v>
      </c>
      <c r="D160" s="1057" t="s">
        <v>1907</v>
      </c>
    </row>
    <row r="161" spans="2:36" ht="21" customHeight="1">
      <c r="B161" s="1058" t="s">
        <v>2096</v>
      </c>
      <c r="C161" s="1059">
        <v>812.88</v>
      </c>
      <c r="D161" s="1060">
        <f>C161/C$168</f>
        <v>1.7188167382064998E-2</v>
      </c>
      <c r="AJ161" s="147"/>
    </row>
    <row r="162" spans="2:36" ht="21" customHeight="1">
      <c r="B162" s="1058" t="s">
        <v>2097</v>
      </c>
      <c r="C162" s="1059">
        <v>594.03</v>
      </c>
      <c r="D162" s="1060">
        <f>C162/C$168</f>
        <v>1.2560632651766646E-2</v>
      </c>
      <c r="AJ162" s="147"/>
    </row>
    <row r="163" spans="2:36" ht="21" customHeight="1">
      <c r="B163" s="1058" t="s">
        <v>2098</v>
      </c>
      <c r="C163" s="1059">
        <v>771.07</v>
      </c>
      <c r="D163" s="1060">
        <f>C163/C$168</f>
        <v>1.630410420146745E-2</v>
      </c>
    </row>
    <row r="164" spans="2:36" ht="21" customHeight="1">
      <c r="B164" s="1058" t="s">
        <v>2099</v>
      </c>
      <c r="C164" s="1059">
        <v>166.88</v>
      </c>
      <c r="D164" s="1060">
        <f>C164/C$168</f>
        <v>3.5286406022032859E-3</v>
      </c>
    </row>
    <row r="165" spans="2:36" ht="21" customHeight="1">
      <c r="B165" s="1058" t="s">
        <v>2100</v>
      </c>
      <c r="C165" s="1059">
        <v>0</v>
      </c>
      <c r="D165" s="1060">
        <f>C165/C$168</f>
        <v>0</v>
      </c>
    </row>
    <row r="166" spans="2:36">
      <c r="B166" s="1065" t="s">
        <v>2132</v>
      </c>
      <c r="C166" s="1061"/>
      <c r="D166" s="1062"/>
    </row>
    <row r="167" spans="2:36">
      <c r="B167" s="1072" t="s">
        <v>2254</v>
      </c>
      <c r="C167" s="1063">
        <f>SUBTOTAL(9,C161:C166)</f>
        <v>2344.86</v>
      </c>
      <c r="D167" s="1064">
        <f>SUM(D161:D166)</f>
        <v>4.9581544837502378E-2</v>
      </c>
    </row>
    <row r="168" spans="2:36">
      <c r="B168" s="1073" t="s">
        <v>90</v>
      </c>
      <c r="C168" s="1068">
        <v>47293</v>
      </c>
      <c r="D168" s="1069"/>
    </row>
    <row r="170" spans="2:36">
      <c r="B170" s="1074" t="s">
        <v>2253</v>
      </c>
      <c r="C170" s="1066">
        <v>45931</v>
      </c>
      <c r="D170" s="1057" t="s">
        <v>1907</v>
      </c>
    </row>
    <row r="171" spans="2:36">
      <c r="B171" s="1058" t="s">
        <v>2096</v>
      </c>
      <c r="C171" s="1059">
        <v>813.13</v>
      </c>
      <c r="D171" s="1060">
        <f>C171/C$178</f>
        <v>1.7193453576639248E-2</v>
      </c>
    </row>
    <row r="172" spans="2:36">
      <c r="B172" s="1058" t="s">
        <v>2097</v>
      </c>
      <c r="C172" s="1059">
        <v>594.21</v>
      </c>
      <c r="D172" s="1060">
        <f>C172/C$178</f>
        <v>1.2564438711860106E-2</v>
      </c>
    </row>
    <row r="173" spans="2:36">
      <c r="B173" s="1058" t="s">
        <v>2098</v>
      </c>
      <c r="C173" s="1059">
        <v>771.3</v>
      </c>
      <c r="D173" s="1060">
        <f>C173/C$178</f>
        <v>1.6308967500475755E-2</v>
      </c>
    </row>
    <row r="174" spans="2:36">
      <c r="B174" s="1058" t="s">
        <v>2099</v>
      </c>
      <c r="C174" s="1059">
        <v>166.93</v>
      </c>
      <c r="D174" s="1060">
        <f>C174/C$178</f>
        <v>3.5296978411181361E-3</v>
      </c>
    </row>
    <row r="175" spans="2:36">
      <c r="B175" s="1058" t="s">
        <v>2100</v>
      </c>
      <c r="C175" s="1059">
        <v>0</v>
      </c>
      <c r="D175" s="1060">
        <f>C175/C$178</f>
        <v>0</v>
      </c>
    </row>
    <row r="176" spans="2:36">
      <c r="B176" s="1065" t="s">
        <v>2132</v>
      </c>
      <c r="C176" s="1061"/>
      <c r="D176" s="1062"/>
    </row>
    <row r="177" spans="2:35">
      <c r="B177" s="1072" t="s">
        <v>2254</v>
      </c>
      <c r="C177" s="1063">
        <f>SUBTOTAL(9,C171:C176)</f>
        <v>2345.5700000000002</v>
      </c>
      <c r="D177" s="1064">
        <f>SUM(D171:D176)</f>
        <v>4.9596557630093248E-2</v>
      </c>
    </row>
    <row r="178" spans="2:35">
      <c r="B178" s="1073" t="s">
        <v>90</v>
      </c>
      <c r="C178" s="1068">
        <v>47293</v>
      </c>
      <c r="D178" s="1069"/>
    </row>
    <row r="179" spans="2:35"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</row>
    <row r="180" spans="2:35">
      <c r="B180" s="1074" t="s">
        <v>2253</v>
      </c>
      <c r="C180" s="1066">
        <v>45901</v>
      </c>
      <c r="D180" s="1057" t="s">
        <v>1907</v>
      </c>
    </row>
    <row r="181" spans="2:35">
      <c r="B181" s="1058" t="s">
        <v>2096</v>
      </c>
      <c r="C181" s="1059">
        <v>813.37</v>
      </c>
      <c r="D181" s="1060">
        <f>C181/C$188</f>
        <v>1.719852832343053E-2</v>
      </c>
    </row>
    <row r="182" spans="2:35">
      <c r="B182" s="1058" t="s">
        <v>2097</v>
      </c>
      <c r="C182" s="1059">
        <v>594.39</v>
      </c>
      <c r="D182" s="1060">
        <f>C182/C$188</f>
        <v>1.2568244771953566E-2</v>
      </c>
    </row>
    <row r="183" spans="2:35">
      <c r="B183" s="1058" t="s">
        <v>2098</v>
      </c>
      <c r="C183" s="1059">
        <v>771.53</v>
      </c>
      <c r="D183" s="1060">
        <f>C183/C$188</f>
        <v>1.6313830799484067E-2</v>
      </c>
    </row>
    <row r="184" spans="2:35">
      <c r="B184" s="1058" t="s">
        <v>2099</v>
      </c>
      <c r="C184" s="1059">
        <v>166.98</v>
      </c>
      <c r="D184" s="1060">
        <f>C184/C$188</f>
        <v>3.5307550800329855E-3</v>
      </c>
    </row>
    <row r="185" spans="2:35">
      <c r="B185" s="1058" t="s">
        <v>2100</v>
      </c>
      <c r="C185" s="1059">
        <v>0</v>
      </c>
      <c r="D185" s="1060">
        <f>C185/C$188</f>
        <v>0</v>
      </c>
    </row>
    <row r="186" spans="2:35">
      <c r="B186" s="1065" t="s">
        <v>2132</v>
      </c>
      <c r="C186" s="1061"/>
      <c r="D186" s="1062"/>
    </row>
    <row r="187" spans="2:35">
      <c r="B187" s="1072" t="s">
        <v>2254</v>
      </c>
      <c r="C187" s="1063">
        <f>SUBTOTAL(9,C181:C186)</f>
        <v>2346.27</v>
      </c>
      <c r="D187" s="1064">
        <f>SUM(D181:D186)</f>
        <v>4.9611358974901147E-2</v>
      </c>
    </row>
    <row r="188" spans="2:35">
      <c r="B188" s="1073" t="s">
        <v>90</v>
      </c>
      <c r="C188" s="1068">
        <v>47293</v>
      </c>
      <c r="D188" s="1069"/>
    </row>
    <row r="190" spans="2:35">
      <c r="B190" s="1074" t="s">
        <v>2253</v>
      </c>
      <c r="C190" s="1066">
        <v>45870</v>
      </c>
      <c r="D190" s="1057" t="s">
        <v>1907</v>
      </c>
    </row>
    <row r="191" spans="2:35">
      <c r="B191" s="1058" t="s">
        <v>2096</v>
      </c>
      <c r="C191" s="1059">
        <v>989.09</v>
      </c>
      <c r="D191" s="1060">
        <f>C191/C$198</f>
        <v>1.7124430824633392E-2</v>
      </c>
    </row>
    <row r="192" spans="2:35">
      <c r="B192" s="1058" t="s">
        <v>2097</v>
      </c>
      <c r="C192" s="1059">
        <v>722.8</v>
      </c>
      <c r="D192" s="1060">
        <f>C192/C$198</f>
        <v>1.2514067071798333E-2</v>
      </c>
    </row>
    <row r="193" spans="2:4">
      <c r="B193" s="1058" t="s">
        <v>2098</v>
      </c>
      <c r="C193" s="1059">
        <v>938.21</v>
      </c>
      <c r="D193" s="1060">
        <f>C193/C$198</f>
        <v>1.6243529146972767E-2</v>
      </c>
    </row>
    <row r="194" spans="2:4">
      <c r="B194" s="1058" t="s">
        <v>2099</v>
      </c>
      <c r="C194" s="1059">
        <v>203.05</v>
      </c>
      <c r="D194" s="1060">
        <f>C194/C$198</f>
        <v>3.5154694506483839E-3</v>
      </c>
    </row>
    <row r="195" spans="2:4">
      <c r="B195" s="1058" t="s">
        <v>2100</v>
      </c>
      <c r="C195" s="1059">
        <v>0</v>
      </c>
      <c r="D195" s="1060">
        <f>C195/C$198</f>
        <v>0</v>
      </c>
    </row>
    <row r="196" spans="2:4">
      <c r="B196" s="1065" t="s">
        <v>2132</v>
      </c>
      <c r="C196" s="1061"/>
      <c r="D196" s="1062"/>
    </row>
    <row r="197" spans="2:4">
      <c r="B197" s="1072" t="s">
        <v>2254</v>
      </c>
      <c r="C197" s="1063">
        <f>SUBTOTAL(9,C191:C196)</f>
        <v>2853.15</v>
      </c>
      <c r="D197" s="1064">
        <f>SUM(D191:D196)</f>
        <v>4.9397496494052881E-2</v>
      </c>
    </row>
    <row r="198" spans="2:4">
      <c r="B198" s="1073" t="s">
        <v>90</v>
      </c>
      <c r="C198" s="1068">
        <v>57759</v>
      </c>
      <c r="D198" s="1069"/>
    </row>
    <row r="200" spans="2:4">
      <c r="B200" s="1074" t="s">
        <v>2253</v>
      </c>
      <c r="C200" s="1066">
        <v>45839</v>
      </c>
      <c r="D200" s="1057" t="s">
        <v>1907</v>
      </c>
    </row>
    <row r="201" spans="2:4">
      <c r="B201" s="1058" t="s">
        <v>2096</v>
      </c>
      <c r="C201" s="1076">
        <v>984.66</v>
      </c>
      <c r="D201" s="1060">
        <f>C201/C$208</f>
        <v>1.7047732820859085E-2</v>
      </c>
    </row>
    <row r="202" spans="2:4">
      <c r="B202" s="1058" t="s">
        <v>2097</v>
      </c>
      <c r="C202" s="1076">
        <v>719.56</v>
      </c>
      <c r="D202" s="1060">
        <f>C202/C$208</f>
        <v>1.245797191779636E-2</v>
      </c>
    </row>
    <row r="203" spans="2:4">
      <c r="B203" s="1058" t="s">
        <v>2098</v>
      </c>
      <c r="C203" s="1076">
        <v>934</v>
      </c>
      <c r="D203" s="1060">
        <f>C203/C$208</f>
        <v>1.6170640073408474E-2</v>
      </c>
    </row>
    <row r="204" spans="2:4">
      <c r="B204" s="1058" t="s">
        <v>2099</v>
      </c>
      <c r="C204" s="1076">
        <v>202.14</v>
      </c>
      <c r="D204" s="1060">
        <f>C204/C$208</f>
        <v>3.4997143302342489E-3</v>
      </c>
    </row>
    <row r="205" spans="2:4">
      <c r="B205" s="1058" t="s">
        <v>2100</v>
      </c>
      <c r="C205" s="1077"/>
      <c r="D205" s="1078"/>
    </row>
    <row r="206" spans="2:4">
      <c r="B206" s="1065" t="s">
        <v>2132</v>
      </c>
      <c r="C206" s="1077"/>
      <c r="D206" s="1078"/>
    </row>
    <row r="207" spans="2:4">
      <c r="B207" s="1072" t="s">
        <v>2254</v>
      </c>
      <c r="C207" s="1079">
        <f>SUBTOTAL(9,C201:C206)</f>
        <v>2840.3599999999997</v>
      </c>
      <c r="D207" s="1064">
        <f>SUBTOTAL(9,D201:D206)</f>
        <v>4.9176059142298167E-2</v>
      </c>
    </row>
    <row r="208" spans="2:4">
      <c r="B208" s="1073" t="s">
        <v>90</v>
      </c>
      <c r="C208" s="1068">
        <v>57759</v>
      </c>
      <c r="D208" s="1069"/>
    </row>
    <row r="210" spans="2:4">
      <c r="B210" s="1074" t="s">
        <v>2253</v>
      </c>
      <c r="C210" s="1066">
        <v>45809</v>
      </c>
      <c r="D210" s="1057" t="s">
        <v>1907</v>
      </c>
    </row>
    <row r="211" spans="2:4">
      <c r="B211" s="1058" t="s">
        <v>2096</v>
      </c>
      <c r="C211" s="1076">
        <v>980.05</v>
      </c>
      <c r="D211" s="1060">
        <f>C211/C$218</f>
        <v>1.6967918419640227E-2</v>
      </c>
    </row>
    <row r="212" spans="2:4">
      <c r="B212" s="1058" t="s">
        <v>2097</v>
      </c>
      <c r="C212" s="1076">
        <v>716.19</v>
      </c>
      <c r="D212" s="1060">
        <f>C212/C$218</f>
        <v>1.2399626032306654E-2</v>
      </c>
    </row>
    <row r="213" spans="2:4">
      <c r="B213" s="1058" t="s">
        <v>2098</v>
      </c>
      <c r="C213" s="1076">
        <v>929.63</v>
      </c>
      <c r="D213" s="1060">
        <f>C213/C$218</f>
        <v>1.6094980868782353E-2</v>
      </c>
    </row>
    <row r="214" spans="2:4">
      <c r="B214" s="1058" t="s">
        <v>2099</v>
      </c>
      <c r="C214" s="1076">
        <v>201.19</v>
      </c>
      <c r="D214" s="1060">
        <f>C214/C$218</f>
        <v>3.4832666770546581E-3</v>
      </c>
    </row>
    <row r="215" spans="2:4">
      <c r="B215" s="1058" t="s">
        <v>2100</v>
      </c>
      <c r="C215" s="1077"/>
      <c r="D215" s="1078"/>
    </row>
    <row r="216" spans="2:4">
      <c r="B216" s="1065" t="s">
        <v>2132</v>
      </c>
      <c r="C216" s="1077"/>
      <c r="D216" s="1078"/>
    </row>
    <row r="217" spans="2:4">
      <c r="B217" s="1072" t="s">
        <v>2254</v>
      </c>
      <c r="C217" s="1079">
        <f>SUBTOTAL(9,C211:C216)</f>
        <v>2827.06</v>
      </c>
      <c r="D217" s="1064">
        <f>SUBTOTAL(9,D211:D216)</f>
        <v>4.89457919977839E-2</v>
      </c>
    </row>
    <row r="218" spans="2:4">
      <c r="B218" s="1073" t="s">
        <v>90</v>
      </c>
      <c r="C218" s="1068">
        <v>57759</v>
      </c>
      <c r="D218" s="1069"/>
    </row>
  </sheetData>
  <autoFilter ref="B16:AT126" xr:uid="{AF280D0E-3418-4C12-B611-77A373415FA7}">
    <filterColumn colId="0">
      <filters>
        <filter val="02/26"/>
      </filters>
    </filterColumn>
  </autoFilter>
  <mergeCells count="22">
    <mergeCell ref="F13:F15"/>
    <mergeCell ref="C11:D11"/>
    <mergeCell ref="B13:B15"/>
    <mergeCell ref="C13:C15"/>
    <mergeCell ref="D13:D15"/>
    <mergeCell ref="E13:E15"/>
    <mergeCell ref="G13:G15"/>
    <mergeCell ref="H13:P13"/>
    <mergeCell ref="Q13:Y13"/>
    <mergeCell ref="Z13:AH13"/>
    <mergeCell ref="AI13:AI15"/>
    <mergeCell ref="AK13:AR13"/>
    <mergeCell ref="AS13:AS14"/>
    <mergeCell ref="AT13:AT15"/>
    <mergeCell ref="H14:K14"/>
    <mergeCell ref="L14:O14"/>
    <mergeCell ref="Q14:T14"/>
    <mergeCell ref="U14:X14"/>
    <mergeCell ref="Z14:AC14"/>
    <mergeCell ref="AD14:AG14"/>
    <mergeCell ref="AP14:AQ14"/>
    <mergeCell ref="AJ13:AJ14"/>
  </mergeCells>
  <pageMargins left="0.51181102362204722" right="0.51181102362204722" top="0.51181102362204722" bottom="0.43307086614173229" header="0.31496062992125984" footer="0.15748031496062992"/>
  <pageSetup paperSize="9" scale="76" orientation="landscape" horizontalDpi="300" verticalDpi="300" r:id="rId1"/>
  <headerFooter>
    <oddFooter>&amp;L&amp;10&amp;Z&amp;F</oddFooter>
  </headerFooter>
  <colBreaks count="1" manualBreakCount="1">
    <brk id="33" max="6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F11"/>
  <sheetViews>
    <sheetView showGridLines="0" topLeftCell="A129" zoomScaleNormal="100" workbookViewId="0">
      <selection activeCell="J153" sqref="J153"/>
    </sheetView>
  </sheetViews>
  <sheetFormatPr defaultColWidth="9.109375" defaultRowHeight="14.4"/>
  <cols>
    <col min="1" max="1" width="9.109375" style="2"/>
    <col min="2" max="2" width="21.5546875" style="2" customWidth="1"/>
    <col min="3" max="3" width="17.6640625" style="2" bestFit="1" customWidth="1"/>
    <col min="4" max="4" width="17.6640625" style="2" customWidth="1"/>
    <col min="5" max="5" width="45.5546875" style="2" bestFit="1" customWidth="1"/>
    <col min="6" max="6" width="10.33203125" style="2" bestFit="1" customWidth="1"/>
    <col min="7" max="16384" width="9.109375" style="2"/>
  </cols>
  <sheetData>
    <row r="7" spans="2:6" s="1" customFormat="1" ht="15" thickBot="1">
      <c r="B7" s="1" t="s">
        <v>40</v>
      </c>
      <c r="C7" s="1" t="s">
        <v>236</v>
      </c>
      <c r="D7" s="59" t="s">
        <v>400</v>
      </c>
      <c r="E7" s="1" t="s">
        <v>237</v>
      </c>
      <c r="F7" s="1" t="s">
        <v>238</v>
      </c>
    </row>
    <row r="8" spans="2:6" ht="15" thickTop="1">
      <c r="B8" s="2" t="s">
        <v>41</v>
      </c>
      <c r="C8" s="2" t="s">
        <v>217</v>
      </c>
      <c r="D8" s="2" t="s">
        <v>1168</v>
      </c>
      <c r="E8" s="2" t="s">
        <v>1170</v>
      </c>
      <c r="F8" s="2" t="s">
        <v>239</v>
      </c>
    </row>
    <row r="9" spans="2:6">
      <c r="B9" s="2" t="s">
        <v>581</v>
      </c>
      <c r="C9" s="2" t="s">
        <v>1166</v>
      </c>
      <c r="D9" s="2" t="s">
        <v>1167</v>
      </c>
      <c r="E9" s="2" t="s">
        <v>1170</v>
      </c>
      <c r="F9" s="2" t="s">
        <v>239</v>
      </c>
    </row>
    <row r="10" spans="2:6">
      <c r="B10" s="2" t="s">
        <v>582</v>
      </c>
      <c r="C10" s="2" t="s">
        <v>580</v>
      </c>
      <c r="D10" s="2" t="s">
        <v>1169</v>
      </c>
      <c r="E10" s="2" t="s">
        <v>1170</v>
      </c>
      <c r="F10" s="2" t="s">
        <v>239</v>
      </c>
    </row>
    <row r="11" spans="2:6">
      <c r="B11" s="2" t="s">
        <v>603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D3B2-4431-4AC0-89E7-4DC4DCFF7EF4}">
  <dimension ref="A2:AV89"/>
  <sheetViews>
    <sheetView showGridLines="0" topLeftCell="B3" zoomScale="90" zoomScaleNormal="90" workbookViewId="0">
      <pane xSplit="7" ySplit="1" topLeftCell="S63" activePane="bottomRight" state="frozen"/>
      <selection activeCell="B3" sqref="B3"/>
      <selection pane="topRight" activeCell="G3" sqref="G3"/>
      <selection pane="bottomLeft" activeCell="B4" sqref="B4"/>
      <selection pane="bottomRight" activeCell="H77" sqref="H77"/>
    </sheetView>
  </sheetViews>
  <sheetFormatPr defaultColWidth="8.88671875" defaultRowHeight="14.4"/>
  <cols>
    <col min="1" max="1" width="8.88671875" style="102"/>
    <col min="2" max="2" width="9.88671875" style="105" bestFit="1" customWidth="1"/>
    <col min="3" max="3" width="9.88671875" style="102" customWidth="1"/>
    <col min="4" max="4" width="13.88671875" style="102" customWidth="1"/>
    <col min="5" max="5" width="19.109375" style="102" customWidth="1"/>
    <col min="6" max="6" width="12.6640625" style="102" customWidth="1"/>
    <col min="7" max="7" width="19.109375" style="102" customWidth="1"/>
    <col min="8" max="8" width="37.44140625" style="102" customWidth="1"/>
    <col min="9" max="9" width="47.5546875" style="104" customWidth="1"/>
    <col min="10" max="10" width="21.5546875" style="103" customWidth="1"/>
    <col min="11" max="11" width="20.88671875" style="103" customWidth="1"/>
    <col min="12" max="12" width="37.88671875" style="103" customWidth="1"/>
    <col min="13" max="13" width="54.109375" style="103" customWidth="1"/>
    <col min="14" max="14" width="14.88671875" style="103" customWidth="1"/>
    <col min="15" max="16" width="29.44140625" style="103" customWidth="1"/>
    <col min="17" max="17" width="51" style="103" customWidth="1"/>
    <col min="18" max="18" width="19.6640625" style="103" customWidth="1"/>
    <col min="19" max="19" width="14.88671875" style="103" customWidth="1"/>
    <col min="20" max="20" width="16.5546875" style="103" customWidth="1"/>
    <col min="21" max="22" width="16.5546875" style="105" customWidth="1"/>
    <col min="23" max="23" width="20.88671875" style="105" customWidth="1"/>
    <col min="24" max="24" width="14.88671875" style="105" customWidth="1"/>
    <col min="25" max="25" width="19.33203125" style="103" customWidth="1"/>
    <col min="26" max="34" width="14.88671875" style="105" customWidth="1"/>
    <col min="35" max="35" width="12.6640625" style="655" customWidth="1"/>
    <col min="36" max="36" width="15.44140625" style="102" bestFit="1" customWidth="1"/>
    <col min="37" max="37" width="3.5546875" style="102" customWidth="1"/>
    <col min="38" max="48" width="12.6640625" style="102" customWidth="1"/>
    <col min="49" max="16384" width="8.88671875" style="102"/>
  </cols>
  <sheetData>
    <row r="2" spans="2:48">
      <c r="B2" s="139"/>
      <c r="C2" s="672"/>
      <c r="D2" s="673"/>
    </row>
    <row r="3" spans="2:48" s="106" customFormat="1" ht="42" customHeight="1" thickBot="1">
      <c r="B3" s="658" t="s">
        <v>220</v>
      </c>
      <c r="C3" s="658" t="s">
        <v>1994</v>
      </c>
      <c r="D3" s="674" t="s">
        <v>212</v>
      </c>
      <c r="E3" s="674" t="s">
        <v>40</v>
      </c>
      <c r="F3" s="674" t="s">
        <v>1692</v>
      </c>
      <c r="G3" s="674" t="s">
        <v>1471</v>
      </c>
      <c r="H3" s="674" t="s">
        <v>87</v>
      </c>
      <c r="I3" s="658" t="s">
        <v>242</v>
      </c>
      <c r="J3" s="658" t="s">
        <v>236</v>
      </c>
      <c r="K3" s="658" t="s">
        <v>400</v>
      </c>
      <c r="L3" s="658" t="s">
        <v>240</v>
      </c>
      <c r="M3" s="658" t="s">
        <v>237</v>
      </c>
      <c r="N3" s="658" t="s">
        <v>238</v>
      </c>
      <c r="O3" s="658" t="s">
        <v>219</v>
      </c>
      <c r="P3" s="658" t="s">
        <v>1652</v>
      </c>
      <c r="Q3" s="658" t="s">
        <v>1654</v>
      </c>
      <c r="R3" s="658" t="s">
        <v>241</v>
      </c>
      <c r="S3" s="658" t="s">
        <v>1181</v>
      </c>
      <c r="T3" s="658" t="s">
        <v>1182</v>
      </c>
      <c r="U3" s="658" t="s">
        <v>246</v>
      </c>
      <c r="V3" s="674" t="s">
        <v>1854</v>
      </c>
      <c r="W3" s="657" t="s">
        <v>1996</v>
      </c>
      <c r="X3" s="657" t="s">
        <v>1660</v>
      </c>
      <c r="Y3" s="1055" t="s">
        <v>1919</v>
      </c>
      <c r="Z3" s="657" t="s">
        <v>1625</v>
      </c>
      <c r="AA3" s="657" t="s">
        <v>1620</v>
      </c>
      <c r="AB3" s="657" t="s">
        <v>1627</v>
      </c>
      <c r="AC3" s="657" t="s">
        <v>1621</v>
      </c>
      <c r="AD3" s="657" t="s">
        <v>1622</v>
      </c>
      <c r="AE3" s="657" t="s">
        <v>1626</v>
      </c>
      <c r="AF3" s="657" t="s">
        <v>1623</v>
      </c>
      <c r="AG3" s="657" t="s">
        <v>1624</v>
      </c>
      <c r="AH3" s="659" t="s">
        <v>1183</v>
      </c>
      <c r="AI3" s="660" t="s">
        <v>1184</v>
      </c>
      <c r="AJ3" s="660" t="s">
        <v>1855</v>
      </c>
      <c r="AK3" s="661" t="s">
        <v>1992</v>
      </c>
      <c r="AL3" s="662" t="s">
        <v>1961</v>
      </c>
      <c r="AM3" s="663" t="s">
        <v>1962</v>
      </c>
      <c r="AN3" s="663" t="s">
        <v>1963</v>
      </c>
      <c r="AO3" s="663" t="s">
        <v>1964</v>
      </c>
      <c r="AP3" s="663" t="s">
        <v>1965</v>
      </c>
      <c r="AQ3" s="663" t="s">
        <v>1966</v>
      </c>
      <c r="AR3" s="663" t="s">
        <v>1967</v>
      </c>
      <c r="AS3" s="663" t="s">
        <v>1968</v>
      </c>
      <c r="AT3" s="663" t="s">
        <v>1969</v>
      </c>
      <c r="AU3" s="663" t="s">
        <v>1970</v>
      </c>
      <c r="AV3" s="663" t="s">
        <v>284</v>
      </c>
    </row>
    <row r="4" spans="2:48" s="107" customFormat="1" ht="31.2" hidden="1" customHeight="1" thickTop="1" thickBot="1">
      <c r="B4" s="108" t="s">
        <v>221</v>
      </c>
      <c r="C4" s="108" t="s">
        <v>1993</v>
      </c>
      <c r="D4" s="109" t="s">
        <v>1185</v>
      </c>
      <c r="E4" s="118" t="s">
        <v>41</v>
      </c>
      <c r="F4" s="675" t="s">
        <v>1947</v>
      </c>
      <c r="G4" s="118" t="s">
        <v>27</v>
      </c>
      <c r="H4" s="109" t="s">
        <v>1428</v>
      </c>
      <c r="I4" s="110" t="s">
        <v>1429</v>
      </c>
      <c r="J4" s="110" t="s">
        <v>1430</v>
      </c>
      <c r="K4" s="110" t="s">
        <v>1189</v>
      </c>
      <c r="L4" s="110" t="s">
        <v>1199</v>
      </c>
      <c r="M4" s="110" t="s">
        <v>1431</v>
      </c>
      <c r="N4" s="110" t="s">
        <v>1432</v>
      </c>
      <c r="O4" s="110" t="s">
        <v>1433</v>
      </c>
      <c r="P4" s="110"/>
      <c r="Q4" s="110"/>
      <c r="R4" s="108" t="s">
        <v>1434</v>
      </c>
      <c r="S4" s="111">
        <v>42502</v>
      </c>
      <c r="T4" s="112">
        <v>44202</v>
      </c>
      <c r="U4" s="110" t="s">
        <v>1435</v>
      </c>
      <c r="V4" s="375">
        <v>7</v>
      </c>
      <c r="W4" s="114">
        <v>30662.93</v>
      </c>
      <c r="X4" s="114"/>
      <c r="Y4" s="114" t="s">
        <v>1185</v>
      </c>
      <c r="Z4" s="670">
        <v>0</v>
      </c>
      <c r="AA4" s="670">
        <v>0</v>
      </c>
      <c r="AB4" s="145">
        <v>0</v>
      </c>
      <c r="AC4" s="145">
        <v>0</v>
      </c>
      <c r="AD4" s="145">
        <v>0</v>
      </c>
      <c r="AE4" s="145">
        <v>0</v>
      </c>
      <c r="AF4" s="145">
        <v>0</v>
      </c>
      <c r="AG4" s="145">
        <v>0</v>
      </c>
      <c r="AH4" s="671">
        <f>SUBTOTAL(9,Cliente1916[[#This Row],[II         REMUNERAÇÃO]:[VIII             TRIBUTOS]])</f>
        <v>0</v>
      </c>
      <c r="AI4" s="671">
        <f>Cliente1916[[#This Row],[VALOR CONTRATUAL]]-Cliente1916[[#This Row],[TOTAL DESPESAS]]</f>
        <v>30662.93</v>
      </c>
      <c r="AJ4" s="651">
        <f>Cliente1916[[#This Row],[LUCRO LIQUIDO]]/Cliente1916[[#This Row],[VALOR CONTRATUAL]]</f>
        <v>1</v>
      </c>
      <c r="AK4" s="653"/>
      <c r="AL4" s="110"/>
      <c r="AM4" s="110">
        <v>0</v>
      </c>
      <c r="AN4" s="110">
        <v>0</v>
      </c>
      <c r="AO4" s="110">
        <v>0</v>
      </c>
      <c r="AP4" s="110">
        <v>0</v>
      </c>
      <c r="AQ4" s="110">
        <v>0</v>
      </c>
      <c r="AR4" s="110">
        <v>0</v>
      </c>
      <c r="AS4" s="110">
        <v>0</v>
      </c>
      <c r="AT4" s="110">
        <v>0</v>
      </c>
      <c r="AU4" s="110">
        <v>0</v>
      </c>
      <c r="AV4" s="110">
        <f>SUBTOTAL(9,Cliente1916[[#This Row],[abr/25]:[dez/25]])</f>
        <v>0</v>
      </c>
    </row>
    <row r="5" spans="2:48" s="107" customFormat="1" ht="31.2" hidden="1" customHeight="1" thickTop="1" thickBot="1">
      <c r="B5" s="108" t="s">
        <v>222</v>
      </c>
      <c r="C5" s="108" t="s">
        <v>1993</v>
      </c>
      <c r="D5" s="109" t="s">
        <v>1185</v>
      </c>
      <c r="E5" s="118" t="s">
        <v>41</v>
      </c>
      <c r="F5" s="676" t="s">
        <v>1948</v>
      </c>
      <c r="G5" s="118" t="s">
        <v>27</v>
      </c>
      <c r="H5" s="109" t="s">
        <v>1449</v>
      </c>
      <c r="I5" s="110" t="s">
        <v>1450</v>
      </c>
      <c r="J5" s="110" t="s">
        <v>1451</v>
      </c>
      <c r="K5" s="110" t="s">
        <v>1189</v>
      </c>
      <c r="L5" s="110" t="s">
        <v>1190</v>
      </c>
      <c r="M5" s="110" t="s">
        <v>1452</v>
      </c>
      <c r="N5" s="116" t="s">
        <v>1453</v>
      </c>
      <c r="O5" s="110" t="s">
        <v>1454</v>
      </c>
      <c r="P5" s="110"/>
      <c r="Q5" s="110"/>
      <c r="R5" s="108" t="s">
        <v>1455</v>
      </c>
      <c r="S5" s="111">
        <v>43466</v>
      </c>
      <c r="T5" s="112">
        <v>43524</v>
      </c>
      <c r="U5" s="110" t="s">
        <v>1456</v>
      </c>
      <c r="V5" s="375">
        <v>8</v>
      </c>
      <c r="W5" s="114">
        <v>33534.699999999997</v>
      </c>
      <c r="X5" s="114"/>
      <c r="Y5" s="114" t="s">
        <v>1185</v>
      </c>
      <c r="Z5" s="670">
        <v>0</v>
      </c>
      <c r="AA5" s="670">
        <v>0</v>
      </c>
      <c r="AB5" s="145">
        <v>0</v>
      </c>
      <c r="AC5" s="145">
        <v>0</v>
      </c>
      <c r="AD5" s="145">
        <v>0</v>
      </c>
      <c r="AE5" s="145">
        <v>0</v>
      </c>
      <c r="AF5" s="145">
        <v>0</v>
      </c>
      <c r="AG5" s="145">
        <v>0</v>
      </c>
      <c r="AH5" s="671">
        <f>SUBTOTAL(9,Cliente1916[[#This Row],[II         REMUNERAÇÃO]:[VIII             TRIBUTOS]])</f>
        <v>0</v>
      </c>
      <c r="AI5" s="671">
        <f>Cliente1916[[#This Row],[VALOR CONTRATUAL]]-Cliente1916[[#This Row],[TOTAL DESPESAS]]</f>
        <v>33534.699999999997</v>
      </c>
      <c r="AJ5" s="651">
        <f>Cliente1916[[#This Row],[LUCRO LIQUIDO]]/Cliente1916[[#This Row],[VALOR CONTRATUAL]]</f>
        <v>1</v>
      </c>
      <c r="AK5" s="653"/>
      <c r="AL5" s="110"/>
      <c r="AM5" s="110">
        <v>0</v>
      </c>
      <c r="AN5" s="110">
        <v>0</v>
      </c>
      <c r="AO5" s="110">
        <v>0</v>
      </c>
      <c r="AP5" s="110">
        <v>0</v>
      </c>
      <c r="AQ5" s="110">
        <v>0</v>
      </c>
      <c r="AR5" s="110">
        <v>0</v>
      </c>
      <c r="AS5" s="110">
        <v>0</v>
      </c>
      <c r="AT5" s="110">
        <v>0</v>
      </c>
      <c r="AU5" s="110">
        <v>0</v>
      </c>
      <c r="AV5" s="110">
        <f>SUBTOTAL(9,Cliente1916[[#This Row],[abr/25]:[dez/25]])</f>
        <v>0</v>
      </c>
    </row>
    <row r="6" spans="2:48" s="107" customFormat="1" ht="31.2" hidden="1" customHeight="1" thickTop="1" thickBot="1">
      <c r="B6" s="108" t="s">
        <v>223</v>
      </c>
      <c r="C6" s="108" t="s">
        <v>1993</v>
      </c>
      <c r="D6" s="109" t="s">
        <v>1185</v>
      </c>
      <c r="E6" s="118" t="s">
        <v>581</v>
      </c>
      <c r="F6" s="676" t="s">
        <v>1949</v>
      </c>
      <c r="G6" s="118" t="s">
        <v>27</v>
      </c>
      <c r="H6" s="109" t="s">
        <v>1443</v>
      </c>
      <c r="I6" s="110" t="s">
        <v>1444</v>
      </c>
      <c r="J6" s="110" t="s">
        <v>1445</v>
      </c>
      <c r="K6" s="110" t="s">
        <v>1189</v>
      </c>
      <c r="L6" s="110" t="s">
        <v>1294</v>
      </c>
      <c r="M6" s="110" t="s">
        <v>1446</v>
      </c>
      <c r="N6" s="116" t="s">
        <v>1447</v>
      </c>
      <c r="O6" s="110"/>
      <c r="P6" s="110"/>
      <c r="Q6" s="110"/>
      <c r="R6" s="108" t="s">
        <v>1448</v>
      </c>
      <c r="S6" s="111">
        <v>43181</v>
      </c>
      <c r="T6" s="112">
        <v>43546</v>
      </c>
      <c r="U6" s="110" t="s">
        <v>1282</v>
      </c>
      <c r="V6" s="375">
        <v>6</v>
      </c>
      <c r="W6" s="114">
        <v>22293.21</v>
      </c>
      <c r="X6" s="114"/>
      <c r="Y6" s="114" t="s">
        <v>1185</v>
      </c>
      <c r="Z6" s="670">
        <v>0</v>
      </c>
      <c r="AA6" s="670">
        <v>0</v>
      </c>
      <c r="AB6" s="145">
        <v>0</v>
      </c>
      <c r="AC6" s="145">
        <v>0</v>
      </c>
      <c r="AD6" s="145">
        <v>0</v>
      </c>
      <c r="AE6" s="145">
        <v>0</v>
      </c>
      <c r="AF6" s="145">
        <v>0</v>
      </c>
      <c r="AG6" s="145">
        <v>0</v>
      </c>
      <c r="AH6" s="671">
        <f>SUBTOTAL(9,Cliente1916[[#This Row],[II         REMUNERAÇÃO]:[VIII             TRIBUTOS]])</f>
        <v>0</v>
      </c>
      <c r="AI6" s="671">
        <f>Cliente1916[[#This Row],[VALOR CONTRATUAL]]-Cliente1916[[#This Row],[TOTAL DESPESAS]]</f>
        <v>22293.21</v>
      </c>
      <c r="AJ6" s="651">
        <f>Cliente1916[[#This Row],[LUCRO LIQUIDO]]/Cliente1916[[#This Row],[VALOR CONTRATUAL]]</f>
        <v>1</v>
      </c>
      <c r="AK6" s="653"/>
      <c r="AL6" s="110"/>
      <c r="AM6" s="110">
        <v>0</v>
      </c>
      <c r="AN6" s="110">
        <v>0</v>
      </c>
      <c r="AO6" s="110">
        <v>0</v>
      </c>
      <c r="AP6" s="110">
        <v>0</v>
      </c>
      <c r="AQ6" s="110">
        <v>0</v>
      </c>
      <c r="AR6" s="110">
        <v>0</v>
      </c>
      <c r="AS6" s="110">
        <v>0</v>
      </c>
      <c r="AT6" s="110">
        <v>0</v>
      </c>
      <c r="AU6" s="110">
        <v>0</v>
      </c>
      <c r="AV6" s="110">
        <f>SUBTOTAL(9,Cliente1916[[#This Row],[abr/25]:[dez/25]])</f>
        <v>0</v>
      </c>
    </row>
    <row r="7" spans="2:48" s="107" customFormat="1" ht="31.2" hidden="1" customHeight="1" thickTop="1" thickBot="1">
      <c r="B7" s="108" t="s">
        <v>224</v>
      </c>
      <c r="C7" s="108" t="s">
        <v>1993</v>
      </c>
      <c r="D7" s="109" t="s">
        <v>1185</v>
      </c>
      <c r="E7" s="118" t="s">
        <v>41</v>
      </c>
      <c r="F7" s="676" t="s">
        <v>1947</v>
      </c>
      <c r="G7" s="118" t="s">
        <v>27</v>
      </c>
      <c r="H7" s="109" t="s">
        <v>1436</v>
      </c>
      <c r="I7" s="110" t="s">
        <v>1437</v>
      </c>
      <c r="J7" s="110" t="s">
        <v>1438</v>
      </c>
      <c r="K7" s="110" t="s">
        <v>1189</v>
      </c>
      <c r="L7" s="110" t="s">
        <v>1190</v>
      </c>
      <c r="M7" s="110" t="s">
        <v>1439</v>
      </c>
      <c r="N7" s="116" t="s">
        <v>1440</v>
      </c>
      <c r="O7" s="110" t="s">
        <v>1441</v>
      </c>
      <c r="P7" s="110"/>
      <c r="Q7" s="110"/>
      <c r="R7" s="108" t="s">
        <v>1442</v>
      </c>
      <c r="S7" s="111">
        <v>42628</v>
      </c>
      <c r="T7" s="112">
        <v>43722</v>
      </c>
      <c r="U7" s="110" t="s">
        <v>1282</v>
      </c>
      <c r="V7" s="375">
        <v>6</v>
      </c>
      <c r="W7" s="114">
        <v>25064.76</v>
      </c>
      <c r="X7" s="114"/>
      <c r="Y7" s="114" t="s">
        <v>1185</v>
      </c>
      <c r="Z7" s="670">
        <v>0</v>
      </c>
      <c r="AA7" s="670">
        <v>0</v>
      </c>
      <c r="AB7" s="145">
        <v>0</v>
      </c>
      <c r="AC7" s="145">
        <v>0</v>
      </c>
      <c r="AD7" s="145">
        <v>0</v>
      </c>
      <c r="AE7" s="145">
        <v>0</v>
      </c>
      <c r="AF7" s="145">
        <v>0</v>
      </c>
      <c r="AG7" s="145">
        <v>0</v>
      </c>
      <c r="AH7" s="671">
        <f>SUBTOTAL(9,Cliente1916[[#This Row],[II         REMUNERAÇÃO]:[VIII             TRIBUTOS]])</f>
        <v>0</v>
      </c>
      <c r="AI7" s="671">
        <f>Cliente1916[[#This Row],[VALOR CONTRATUAL]]-Cliente1916[[#This Row],[TOTAL DESPESAS]]</f>
        <v>25064.76</v>
      </c>
      <c r="AJ7" s="651">
        <f>Cliente1916[[#This Row],[LUCRO LIQUIDO]]/Cliente1916[[#This Row],[VALOR CONTRATUAL]]</f>
        <v>1</v>
      </c>
      <c r="AK7" s="653"/>
      <c r="AL7" s="110"/>
      <c r="AM7" s="110">
        <v>0</v>
      </c>
      <c r="AN7" s="110">
        <v>0</v>
      </c>
      <c r="AO7" s="110">
        <v>0</v>
      </c>
      <c r="AP7" s="110">
        <v>0</v>
      </c>
      <c r="AQ7" s="110">
        <v>0</v>
      </c>
      <c r="AR7" s="110">
        <v>0</v>
      </c>
      <c r="AS7" s="110">
        <v>0</v>
      </c>
      <c r="AT7" s="110">
        <v>0</v>
      </c>
      <c r="AU7" s="110">
        <v>0</v>
      </c>
      <c r="AV7" s="110">
        <f>SUBTOTAL(9,Cliente1916[[#This Row],[abr/25]:[dez/25]])</f>
        <v>0</v>
      </c>
    </row>
    <row r="8" spans="2:48" s="107" customFormat="1" ht="31.2" hidden="1" customHeight="1" thickTop="1" thickBot="1">
      <c r="B8" s="108" t="s">
        <v>225</v>
      </c>
      <c r="C8" s="108" t="s">
        <v>1993</v>
      </c>
      <c r="D8" s="109" t="s">
        <v>1185</v>
      </c>
      <c r="E8" s="118" t="s">
        <v>581</v>
      </c>
      <c r="F8" s="676" t="s">
        <v>1948</v>
      </c>
      <c r="G8" s="118" t="s">
        <v>27</v>
      </c>
      <c r="H8" s="109" t="s">
        <v>1462</v>
      </c>
      <c r="I8" s="110" t="s">
        <v>1463</v>
      </c>
      <c r="J8" s="110" t="s">
        <v>1464</v>
      </c>
      <c r="K8" s="110" t="s">
        <v>1189</v>
      </c>
      <c r="L8" s="110" t="s">
        <v>1213</v>
      </c>
      <c r="M8" s="110" t="s">
        <v>1465</v>
      </c>
      <c r="N8" s="116" t="s">
        <v>1466</v>
      </c>
      <c r="O8" s="110" t="s">
        <v>1467</v>
      </c>
      <c r="P8" s="110"/>
      <c r="Q8" s="110"/>
      <c r="R8" s="108" t="s">
        <v>1468</v>
      </c>
      <c r="S8" s="111">
        <v>43770</v>
      </c>
      <c r="T8" s="112">
        <v>44135</v>
      </c>
      <c r="U8" s="110" t="s">
        <v>1265</v>
      </c>
      <c r="V8" s="375">
        <v>7</v>
      </c>
      <c r="W8" s="114">
        <v>28112.1</v>
      </c>
      <c r="X8" s="114"/>
      <c r="Y8" s="114" t="s">
        <v>1185</v>
      </c>
      <c r="Z8" s="670">
        <v>0</v>
      </c>
      <c r="AA8" s="670">
        <v>0</v>
      </c>
      <c r="AB8" s="145">
        <v>0</v>
      </c>
      <c r="AC8" s="145">
        <v>0</v>
      </c>
      <c r="AD8" s="145">
        <v>0</v>
      </c>
      <c r="AE8" s="145">
        <v>0</v>
      </c>
      <c r="AF8" s="145">
        <v>0</v>
      </c>
      <c r="AG8" s="145">
        <v>0</v>
      </c>
      <c r="AH8" s="671">
        <f>SUBTOTAL(9,Cliente1916[[#This Row],[II         REMUNERAÇÃO]:[VIII             TRIBUTOS]])</f>
        <v>0</v>
      </c>
      <c r="AI8" s="671">
        <f>Cliente1916[[#This Row],[VALOR CONTRATUAL]]-Cliente1916[[#This Row],[TOTAL DESPESAS]]</f>
        <v>28112.1</v>
      </c>
      <c r="AJ8" s="651">
        <f>Cliente1916[[#This Row],[LUCRO LIQUIDO]]/Cliente1916[[#This Row],[VALOR CONTRATUAL]]</f>
        <v>1</v>
      </c>
      <c r="AK8" s="653"/>
      <c r="AL8" s="110"/>
      <c r="AM8" s="110">
        <v>0</v>
      </c>
      <c r="AN8" s="110">
        <v>0</v>
      </c>
      <c r="AO8" s="110">
        <v>0</v>
      </c>
      <c r="AP8" s="110">
        <v>0</v>
      </c>
      <c r="AQ8" s="110">
        <v>0</v>
      </c>
      <c r="AR8" s="110">
        <v>0</v>
      </c>
      <c r="AS8" s="110">
        <v>0</v>
      </c>
      <c r="AT8" s="110">
        <v>0</v>
      </c>
      <c r="AU8" s="110">
        <v>0</v>
      </c>
      <c r="AV8" s="110">
        <f>SUBTOTAL(9,Cliente1916[[#This Row],[abr/25]:[dez/25]])</f>
        <v>0</v>
      </c>
    </row>
    <row r="9" spans="2:48" s="107" customFormat="1" ht="31.2" hidden="1" customHeight="1" thickTop="1" thickBot="1">
      <c r="B9" s="108" t="s">
        <v>226</v>
      </c>
      <c r="C9" s="108" t="s">
        <v>1993</v>
      </c>
      <c r="D9" s="109" t="s">
        <v>1185</v>
      </c>
      <c r="E9" s="118" t="s">
        <v>41</v>
      </c>
      <c r="F9" s="676" t="s">
        <v>1948</v>
      </c>
      <c r="G9" s="118" t="s">
        <v>27</v>
      </c>
      <c r="H9" s="109" t="s">
        <v>1427</v>
      </c>
      <c r="I9" s="110" t="s">
        <v>1457</v>
      </c>
      <c r="J9" s="110" t="s">
        <v>1458</v>
      </c>
      <c r="K9" s="110" t="s">
        <v>1189</v>
      </c>
      <c r="L9" s="110" t="s">
        <v>1190</v>
      </c>
      <c r="M9" s="110" t="s">
        <v>1459</v>
      </c>
      <c r="N9" s="116" t="s">
        <v>1460</v>
      </c>
      <c r="O9" s="110"/>
      <c r="P9" s="110"/>
      <c r="Q9" s="110"/>
      <c r="R9" s="108" t="s">
        <v>1461</v>
      </c>
      <c r="S9" s="111">
        <v>43466</v>
      </c>
      <c r="T9" s="112">
        <v>44141</v>
      </c>
      <c r="U9" s="110" t="s">
        <v>1195</v>
      </c>
      <c r="V9" s="375">
        <v>4</v>
      </c>
      <c r="W9" s="114">
        <v>16465.14</v>
      </c>
      <c r="X9" s="114"/>
      <c r="Y9" s="114" t="s">
        <v>1185</v>
      </c>
      <c r="Z9" s="670">
        <v>0</v>
      </c>
      <c r="AA9" s="670">
        <v>0</v>
      </c>
      <c r="AB9" s="145">
        <v>0</v>
      </c>
      <c r="AC9" s="145">
        <v>0</v>
      </c>
      <c r="AD9" s="145">
        <v>0</v>
      </c>
      <c r="AE9" s="145">
        <v>0</v>
      </c>
      <c r="AF9" s="145">
        <v>0</v>
      </c>
      <c r="AG9" s="145">
        <v>0</v>
      </c>
      <c r="AH9" s="671">
        <f>SUBTOTAL(9,Cliente1916[[#This Row],[II         REMUNERAÇÃO]:[VIII             TRIBUTOS]])</f>
        <v>0</v>
      </c>
      <c r="AI9" s="671">
        <f>Cliente1916[[#This Row],[VALOR CONTRATUAL]]-Cliente1916[[#This Row],[TOTAL DESPESAS]]</f>
        <v>16465.14</v>
      </c>
      <c r="AJ9" s="651">
        <f>Cliente1916[[#This Row],[LUCRO LIQUIDO]]/Cliente1916[[#This Row],[VALOR CONTRATUAL]]</f>
        <v>1</v>
      </c>
      <c r="AK9" s="653"/>
      <c r="AL9" s="110"/>
      <c r="AM9" s="110">
        <v>0</v>
      </c>
      <c r="AN9" s="110">
        <v>0</v>
      </c>
      <c r="AO9" s="110">
        <v>0</v>
      </c>
      <c r="AP9" s="110">
        <v>0</v>
      </c>
      <c r="AQ9" s="110">
        <v>0</v>
      </c>
      <c r="AR9" s="110">
        <v>0</v>
      </c>
      <c r="AS9" s="110">
        <v>0</v>
      </c>
      <c r="AT9" s="110">
        <v>0</v>
      </c>
      <c r="AU9" s="110">
        <v>0</v>
      </c>
      <c r="AV9" s="110">
        <f>SUBTOTAL(9,Cliente1916[[#This Row],[abr/25]:[dez/25]])</f>
        <v>0</v>
      </c>
    </row>
    <row r="10" spans="2:48" s="107" customFormat="1" ht="31.2" hidden="1" customHeight="1" thickTop="1" thickBot="1">
      <c r="B10" s="108" t="s">
        <v>227</v>
      </c>
      <c r="C10" s="108" t="s">
        <v>1993</v>
      </c>
      <c r="D10" s="109" t="s">
        <v>1185</v>
      </c>
      <c r="E10" s="118" t="s">
        <v>41</v>
      </c>
      <c r="F10" s="676" t="s">
        <v>1948</v>
      </c>
      <c r="G10" s="118" t="s">
        <v>27</v>
      </c>
      <c r="H10" s="109" t="s">
        <v>1186</v>
      </c>
      <c r="I10" s="117" t="s">
        <v>1187</v>
      </c>
      <c r="J10" s="110" t="s">
        <v>1188</v>
      </c>
      <c r="K10" s="110" t="s">
        <v>1189</v>
      </c>
      <c r="L10" s="110" t="s">
        <v>1190</v>
      </c>
      <c r="M10" s="110" t="s">
        <v>1191</v>
      </c>
      <c r="N10" s="110" t="s">
        <v>1192</v>
      </c>
      <c r="O10" s="110" t="s">
        <v>1193</v>
      </c>
      <c r="P10" s="110"/>
      <c r="Q10" s="110"/>
      <c r="R10" s="108" t="s">
        <v>1194</v>
      </c>
      <c r="S10" s="111">
        <v>43822</v>
      </c>
      <c r="T10" s="112">
        <f>Cliente1916[[#This Row],[INICIO ]]+365*2</f>
        <v>44552</v>
      </c>
      <c r="U10" s="110" t="s">
        <v>1195</v>
      </c>
      <c r="V10" s="375">
        <v>4</v>
      </c>
      <c r="W10" s="114">
        <v>16865.03</v>
      </c>
      <c r="X10" s="114"/>
      <c r="Y10" s="114" t="s">
        <v>1185</v>
      </c>
      <c r="Z10" s="670">
        <v>0</v>
      </c>
      <c r="AA10" s="670">
        <v>0</v>
      </c>
      <c r="AB10" s="145">
        <v>0</v>
      </c>
      <c r="AC10" s="145">
        <v>0</v>
      </c>
      <c r="AD10" s="145">
        <v>0</v>
      </c>
      <c r="AE10" s="145">
        <v>0</v>
      </c>
      <c r="AF10" s="145">
        <v>0</v>
      </c>
      <c r="AG10" s="145">
        <v>0</v>
      </c>
      <c r="AH10" s="671">
        <f>SUBTOTAL(9,Cliente1916[[#This Row],[II         REMUNERAÇÃO]:[VIII             TRIBUTOS]])</f>
        <v>0</v>
      </c>
      <c r="AI10" s="671">
        <f>Cliente1916[[#This Row],[VALOR CONTRATUAL]]-Cliente1916[[#This Row],[TOTAL DESPESAS]]</f>
        <v>16865.03</v>
      </c>
      <c r="AJ10" s="651">
        <f>Cliente1916[[#This Row],[LUCRO LIQUIDO]]/Cliente1916[[#This Row],[VALOR CONTRATUAL]]</f>
        <v>1</v>
      </c>
      <c r="AK10" s="653"/>
      <c r="AL10" s="110"/>
      <c r="AM10" s="110">
        <v>0</v>
      </c>
      <c r="AN10" s="110">
        <v>0</v>
      </c>
      <c r="AO10" s="110">
        <v>0</v>
      </c>
      <c r="AP10" s="110">
        <v>0</v>
      </c>
      <c r="AQ10" s="110">
        <v>0</v>
      </c>
      <c r="AR10" s="110">
        <v>0</v>
      </c>
      <c r="AS10" s="110">
        <v>0</v>
      </c>
      <c r="AT10" s="110">
        <v>0</v>
      </c>
      <c r="AU10" s="110">
        <v>0</v>
      </c>
      <c r="AV10" s="110">
        <f>SUBTOTAL(9,Cliente1916[[#This Row],[abr/25]:[dez/25]])</f>
        <v>0</v>
      </c>
    </row>
    <row r="11" spans="2:48" s="107" customFormat="1" ht="31.2" customHeight="1" thickTop="1" thickBot="1">
      <c r="B11" s="108" t="s">
        <v>228</v>
      </c>
      <c r="C11" s="108" t="s">
        <v>1993</v>
      </c>
      <c r="D11" s="118" t="s">
        <v>1196</v>
      </c>
      <c r="E11" s="118" t="s">
        <v>41</v>
      </c>
      <c r="F11" s="676" t="s">
        <v>1950</v>
      </c>
      <c r="G11" s="118" t="s">
        <v>40</v>
      </c>
      <c r="H11" s="109" t="s">
        <v>595</v>
      </c>
      <c r="I11" s="117" t="s">
        <v>1197</v>
      </c>
      <c r="J11" s="110" t="s">
        <v>217</v>
      </c>
      <c r="K11" s="852" t="s">
        <v>1198</v>
      </c>
      <c r="L11" s="110" t="s">
        <v>1199</v>
      </c>
      <c r="M11" s="110" t="s">
        <v>1200</v>
      </c>
      <c r="N11" s="110" t="s">
        <v>239</v>
      </c>
      <c r="O11" s="110" t="s">
        <v>1201</v>
      </c>
      <c r="P11" s="110" t="s">
        <v>1661</v>
      </c>
      <c r="Q11" s="110"/>
      <c r="R11" s="108">
        <v>0</v>
      </c>
      <c r="S11" s="111">
        <v>42275</v>
      </c>
      <c r="T11" s="112">
        <v>44561</v>
      </c>
      <c r="U11" s="108"/>
      <c r="V11" s="678">
        <v>1</v>
      </c>
      <c r="W11" s="113">
        <v>0</v>
      </c>
      <c r="X11" s="119">
        <v>0</v>
      </c>
      <c r="Y11" s="108" t="s">
        <v>1920</v>
      </c>
      <c r="Z11" s="670">
        <v>0</v>
      </c>
      <c r="AA11" s="670">
        <v>0</v>
      </c>
      <c r="AB11" s="670">
        <v>0</v>
      </c>
      <c r="AC11" s="670">
        <v>0</v>
      </c>
      <c r="AD11" s="670">
        <v>0</v>
      </c>
      <c r="AE11" s="670">
        <v>0</v>
      </c>
      <c r="AF11" s="670">
        <v>0</v>
      </c>
      <c r="AG11" s="670">
        <v>0</v>
      </c>
      <c r="AH11" s="671">
        <f>SUBTOTAL(9,Cliente1916[[#This Row],[II         REMUNERAÇÃO]:[VIII             TRIBUTOS]])</f>
        <v>0</v>
      </c>
      <c r="AI11" s="671">
        <f>Cliente1916[[#This Row],[VALOR CONTRATUAL]]-Cliente1916[[#This Row],[TOTAL DESPESAS]]</f>
        <v>0</v>
      </c>
      <c r="AJ11" s="651" t="e">
        <f>Cliente1916[[#This Row],[LUCRO LIQUIDO]]/Cliente1916[[#This Row],[VALOR CONTRATUAL]]</f>
        <v>#DIV/0!</v>
      </c>
      <c r="AK11" s="653"/>
      <c r="AL11" s="110"/>
      <c r="AM11" s="110">
        <v>0</v>
      </c>
      <c r="AN11" s="110">
        <v>0</v>
      </c>
      <c r="AO11" s="110">
        <v>0</v>
      </c>
      <c r="AP11" s="110">
        <v>0</v>
      </c>
      <c r="AQ11" s="110">
        <v>0</v>
      </c>
      <c r="AR11" s="110">
        <v>0</v>
      </c>
      <c r="AS11" s="110">
        <v>0</v>
      </c>
      <c r="AT11" s="110">
        <v>0</v>
      </c>
      <c r="AU11" s="110">
        <v>0</v>
      </c>
      <c r="AV11" s="116">
        <f>SUBTOTAL(9,Cliente1916[[#This Row],[abr/25]:[dez/25]])</f>
        <v>0</v>
      </c>
    </row>
    <row r="12" spans="2:48" s="107" customFormat="1" ht="31.2" customHeight="1" thickTop="1" thickBot="1">
      <c r="B12" s="108" t="s">
        <v>229</v>
      </c>
      <c r="C12" s="108" t="s">
        <v>1993</v>
      </c>
      <c r="D12" s="118" t="s">
        <v>1196</v>
      </c>
      <c r="E12" s="118" t="s">
        <v>41</v>
      </c>
      <c r="F12" s="676" t="s">
        <v>1950</v>
      </c>
      <c r="G12" s="118" t="s">
        <v>40</v>
      </c>
      <c r="H12" s="109" t="s">
        <v>1130</v>
      </c>
      <c r="I12" s="117" t="s">
        <v>1197</v>
      </c>
      <c r="J12" s="110" t="s">
        <v>217</v>
      </c>
      <c r="K12" s="852" t="s">
        <v>1198</v>
      </c>
      <c r="L12" s="110" t="s">
        <v>1199</v>
      </c>
      <c r="M12" s="110" t="s">
        <v>1200</v>
      </c>
      <c r="N12" s="110" t="s">
        <v>239</v>
      </c>
      <c r="O12" s="110" t="s">
        <v>1201</v>
      </c>
      <c r="P12" s="110" t="s">
        <v>1661</v>
      </c>
      <c r="Q12" s="110"/>
      <c r="R12" s="108">
        <v>0</v>
      </c>
      <c r="S12" s="111">
        <v>42275</v>
      </c>
      <c r="T12" s="112">
        <v>44561</v>
      </c>
      <c r="U12" s="108"/>
      <c r="V12" s="678">
        <v>2</v>
      </c>
      <c r="W12" s="113">
        <v>0</v>
      </c>
      <c r="X12" s="119">
        <v>0</v>
      </c>
      <c r="Y12" s="108" t="s">
        <v>1920</v>
      </c>
      <c r="Z12" s="670">
        <v>0</v>
      </c>
      <c r="AA12" s="670">
        <v>0</v>
      </c>
      <c r="AB12" s="670">
        <v>0</v>
      </c>
      <c r="AC12" s="670">
        <v>0</v>
      </c>
      <c r="AD12" s="670">
        <v>0</v>
      </c>
      <c r="AE12" s="670">
        <v>0</v>
      </c>
      <c r="AF12" s="670">
        <v>0</v>
      </c>
      <c r="AG12" s="670">
        <v>0</v>
      </c>
      <c r="AH12" s="671">
        <f>SUBTOTAL(9,Cliente1916[[#This Row],[II         REMUNERAÇÃO]:[VIII             TRIBUTOS]])</f>
        <v>0</v>
      </c>
      <c r="AI12" s="671">
        <f>Cliente1916[[#This Row],[VALOR CONTRATUAL]]-Cliente1916[[#This Row],[TOTAL DESPESAS]]</f>
        <v>0</v>
      </c>
      <c r="AJ12" s="651" t="e">
        <f>Cliente1916[[#This Row],[LUCRO LIQUIDO]]/Cliente1916[[#This Row],[VALOR CONTRATUAL]]</f>
        <v>#DIV/0!</v>
      </c>
      <c r="AK12" s="653"/>
      <c r="AL12" s="110"/>
      <c r="AM12" s="110">
        <v>0</v>
      </c>
      <c r="AN12" s="110">
        <v>0</v>
      </c>
      <c r="AO12" s="110">
        <v>0</v>
      </c>
      <c r="AP12" s="110">
        <v>0</v>
      </c>
      <c r="AQ12" s="110">
        <v>0</v>
      </c>
      <c r="AR12" s="110">
        <v>0</v>
      </c>
      <c r="AS12" s="110">
        <v>0</v>
      </c>
      <c r="AT12" s="110">
        <v>0</v>
      </c>
      <c r="AU12" s="110">
        <v>0</v>
      </c>
      <c r="AV12" s="116">
        <f>SUBTOTAL(9,Cliente1916[[#This Row],[abr/25]:[dez/25]])</f>
        <v>0</v>
      </c>
    </row>
    <row r="13" spans="2:48" s="107" customFormat="1" ht="31.2" hidden="1" customHeight="1" thickTop="1" thickBot="1">
      <c r="B13" s="108" t="s">
        <v>230</v>
      </c>
      <c r="C13" s="108" t="s">
        <v>1993</v>
      </c>
      <c r="D13" s="109" t="s">
        <v>1185</v>
      </c>
      <c r="E13" s="118" t="s">
        <v>41</v>
      </c>
      <c r="F13" s="676" t="s">
        <v>1951</v>
      </c>
      <c r="G13" s="118" t="s">
        <v>27</v>
      </c>
      <c r="H13" s="109" t="s">
        <v>1202</v>
      </c>
      <c r="I13" s="117" t="s">
        <v>1203</v>
      </c>
      <c r="J13" s="110" t="s">
        <v>1204</v>
      </c>
      <c r="K13" s="110" t="s">
        <v>1189</v>
      </c>
      <c r="L13" s="110" t="s">
        <v>1190</v>
      </c>
      <c r="M13" s="110" t="s">
        <v>1205</v>
      </c>
      <c r="N13" s="110" t="s">
        <v>1206</v>
      </c>
      <c r="O13" s="110" t="s">
        <v>1207</v>
      </c>
      <c r="P13" s="110"/>
      <c r="Q13" s="110"/>
      <c r="R13" s="108" t="s">
        <v>1208</v>
      </c>
      <c r="S13" s="112">
        <v>44197</v>
      </c>
      <c r="T13" s="112">
        <f>Cliente1916[[#This Row],[INICIO ]]+365</f>
        <v>44562</v>
      </c>
      <c r="U13" s="110" t="s">
        <v>1209</v>
      </c>
      <c r="V13" s="375">
        <v>6</v>
      </c>
      <c r="W13" s="114">
        <v>29439.040000000001</v>
      </c>
      <c r="X13" s="114"/>
      <c r="Y13" s="113" t="s">
        <v>1920</v>
      </c>
      <c r="Z13" s="670">
        <v>0</v>
      </c>
      <c r="AA13" s="670">
        <v>0</v>
      </c>
      <c r="AB13" s="145">
        <v>0</v>
      </c>
      <c r="AC13" s="145">
        <v>0</v>
      </c>
      <c r="AD13" s="145">
        <v>0</v>
      </c>
      <c r="AE13" s="145">
        <v>0</v>
      </c>
      <c r="AF13" s="145">
        <v>0</v>
      </c>
      <c r="AG13" s="145">
        <v>0</v>
      </c>
      <c r="AH13" s="671">
        <f>SUBTOTAL(9,Cliente1916[[#This Row],[II         REMUNERAÇÃO]:[VIII             TRIBUTOS]])</f>
        <v>0</v>
      </c>
      <c r="AI13" s="671">
        <f>Cliente1916[[#This Row],[VALOR CONTRATUAL]]-Cliente1916[[#This Row],[TOTAL DESPESAS]]</f>
        <v>29439.040000000001</v>
      </c>
      <c r="AJ13" s="651">
        <f>Cliente1916[[#This Row],[LUCRO LIQUIDO]]/Cliente1916[[#This Row],[VALOR CONTRATUAL]]</f>
        <v>1</v>
      </c>
      <c r="AK13" s="653"/>
      <c r="AL13" s="110"/>
      <c r="AM13" s="110">
        <v>0</v>
      </c>
      <c r="AN13" s="110">
        <v>0</v>
      </c>
      <c r="AO13" s="110">
        <v>0</v>
      </c>
      <c r="AP13" s="110">
        <v>0</v>
      </c>
      <c r="AQ13" s="110">
        <v>0</v>
      </c>
      <c r="AR13" s="110">
        <v>0</v>
      </c>
      <c r="AS13" s="110">
        <v>0</v>
      </c>
      <c r="AT13" s="110">
        <v>0</v>
      </c>
      <c r="AU13" s="110">
        <v>0</v>
      </c>
      <c r="AV13" s="110">
        <f>SUBTOTAL(9,Cliente1916[[#This Row],[abr/25]:[dez/25]])</f>
        <v>0</v>
      </c>
    </row>
    <row r="14" spans="2:48" s="107" customFormat="1" ht="31.2" hidden="1" customHeight="1" thickTop="1" thickBot="1">
      <c r="B14" s="108" t="s">
        <v>231</v>
      </c>
      <c r="C14" s="108" t="s">
        <v>1993</v>
      </c>
      <c r="D14" s="109" t="s">
        <v>1185</v>
      </c>
      <c r="E14" s="118" t="s">
        <v>41</v>
      </c>
      <c r="F14" s="676" t="s">
        <v>1951</v>
      </c>
      <c r="G14" s="118" t="s">
        <v>27</v>
      </c>
      <c r="H14" s="109" t="s">
        <v>1210</v>
      </c>
      <c r="I14" s="117" t="s">
        <v>1211</v>
      </c>
      <c r="J14" s="110" t="s">
        <v>1212</v>
      </c>
      <c r="K14" s="110" t="s">
        <v>1189</v>
      </c>
      <c r="L14" s="110" t="s">
        <v>1213</v>
      </c>
      <c r="M14" s="110" t="s">
        <v>1214</v>
      </c>
      <c r="N14" s="110" t="s">
        <v>1215</v>
      </c>
      <c r="O14" s="108" t="s">
        <v>1216</v>
      </c>
      <c r="P14" s="108"/>
      <c r="Q14" s="108"/>
      <c r="R14" s="110" t="s">
        <v>1217</v>
      </c>
      <c r="S14" s="111">
        <v>44197</v>
      </c>
      <c r="T14" s="112">
        <f>Cliente1916[[#This Row],[INICIO ]]+365*2</f>
        <v>44927</v>
      </c>
      <c r="U14" s="110" t="s">
        <v>1218</v>
      </c>
      <c r="V14" s="375">
        <v>5</v>
      </c>
      <c r="W14" s="114">
        <v>21079.31</v>
      </c>
      <c r="X14" s="114"/>
      <c r="Y14" s="113" t="s">
        <v>1920</v>
      </c>
      <c r="Z14" s="670">
        <v>0</v>
      </c>
      <c r="AA14" s="670">
        <v>0</v>
      </c>
      <c r="AB14" s="145">
        <v>0</v>
      </c>
      <c r="AC14" s="145">
        <v>0</v>
      </c>
      <c r="AD14" s="145">
        <v>0</v>
      </c>
      <c r="AE14" s="145">
        <v>0</v>
      </c>
      <c r="AF14" s="145">
        <v>0</v>
      </c>
      <c r="AG14" s="145">
        <v>0</v>
      </c>
      <c r="AH14" s="671">
        <f>SUBTOTAL(9,Cliente1916[[#This Row],[II         REMUNERAÇÃO]:[VIII             TRIBUTOS]])</f>
        <v>0</v>
      </c>
      <c r="AI14" s="671">
        <f>Cliente1916[[#This Row],[VALOR CONTRATUAL]]-Cliente1916[[#This Row],[TOTAL DESPESAS]]</f>
        <v>21079.31</v>
      </c>
      <c r="AJ14" s="651">
        <f>Cliente1916[[#This Row],[LUCRO LIQUIDO]]/Cliente1916[[#This Row],[VALOR CONTRATUAL]]</f>
        <v>1</v>
      </c>
      <c r="AK14" s="653"/>
      <c r="AL14" s="110"/>
      <c r="AM14" s="110">
        <v>0</v>
      </c>
      <c r="AN14" s="110">
        <v>0</v>
      </c>
      <c r="AO14" s="110">
        <v>0</v>
      </c>
      <c r="AP14" s="110">
        <v>0</v>
      </c>
      <c r="AQ14" s="110">
        <v>0</v>
      </c>
      <c r="AR14" s="110">
        <v>0</v>
      </c>
      <c r="AS14" s="110">
        <v>0</v>
      </c>
      <c r="AT14" s="110">
        <v>0</v>
      </c>
      <c r="AU14" s="110">
        <v>0</v>
      </c>
      <c r="AV14" s="110">
        <f>SUBTOTAL(9,Cliente1916[[#This Row],[abr/25]:[dez/25]])</f>
        <v>0</v>
      </c>
    </row>
    <row r="15" spans="2:48" s="107" customFormat="1" ht="31.2" hidden="1" customHeight="1" thickTop="1" thickBot="1">
      <c r="B15" s="108" t="s">
        <v>232</v>
      </c>
      <c r="C15" s="108" t="s">
        <v>1993</v>
      </c>
      <c r="D15" s="109" t="s">
        <v>1185</v>
      </c>
      <c r="E15" s="118" t="s">
        <v>41</v>
      </c>
      <c r="F15" s="676" t="s">
        <v>1952</v>
      </c>
      <c r="G15" s="118" t="s">
        <v>1470</v>
      </c>
      <c r="H15" s="109" t="s">
        <v>1219</v>
      </c>
      <c r="I15" s="117" t="s">
        <v>1220</v>
      </c>
      <c r="J15" s="110" t="s">
        <v>1221</v>
      </c>
      <c r="K15" s="108" t="s">
        <v>1222</v>
      </c>
      <c r="L15" s="110" t="s">
        <v>1223</v>
      </c>
      <c r="M15" s="110" t="s">
        <v>1224</v>
      </c>
      <c r="N15" s="110" t="s">
        <v>1225</v>
      </c>
      <c r="O15" s="110" t="s">
        <v>1226</v>
      </c>
      <c r="P15" s="110"/>
      <c r="Q15" s="110"/>
      <c r="R15" s="110"/>
      <c r="S15" s="111">
        <v>44771</v>
      </c>
      <c r="T15" s="112">
        <v>44772</v>
      </c>
      <c r="U15" s="110" t="s">
        <v>1227</v>
      </c>
      <c r="V15" s="375">
        <v>4</v>
      </c>
      <c r="W15" s="113">
        <v>0</v>
      </c>
      <c r="X15" s="120"/>
      <c r="Y15" s="113" t="s">
        <v>1920</v>
      </c>
      <c r="Z15" s="670">
        <v>0</v>
      </c>
      <c r="AA15" s="670">
        <v>0</v>
      </c>
      <c r="AB15" s="145">
        <v>0</v>
      </c>
      <c r="AC15" s="145">
        <v>0</v>
      </c>
      <c r="AD15" s="145">
        <v>0</v>
      </c>
      <c r="AE15" s="145">
        <v>0</v>
      </c>
      <c r="AF15" s="145">
        <v>0</v>
      </c>
      <c r="AG15" s="145">
        <v>0</v>
      </c>
      <c r="AH15" s="671">
        <f>SUBTOTAL(9,Cliente1916[[#This Row],[II         REMUNERAÇÃO]:[VIII             TRIBUTOS]])</f>
        <v>0</v>
      </c>
      <c r="AI15" s="671">
        <f>Cliente1916[[#This Row],[VALOR CONTRATUAL]]-Cliente1916[[#This Row],[TOTAL DESPESAS]]</f>
        <v>0</v>
      </c>
      <c r="AJ15" s="651" t="e">
        <f>Cliente1916[[#This Row],[LUCRO LIQUIDO]]/Cliente1916[[#This Row],[VALOR CONTRATUAL]]</f>
        <v>#DIV/0!</v>
      </c>
      <c r="AK15" s="653"/>
      <c r="AL15" s="110"/>
      <c r="AM15" s="110">
        <v>0</v>
      </c>
      <c r="AN15" s="110">
        <v>0</v>
      </c>
      <c r="AO15" s="110">
        <v>0</v>
      </c>
      <c r="AP15" s="110">
        <v>0</v>
      </c>
      <c r="AQ15" s="110">
        <v>0</v>
      </c>
      <c r="AR15" s="110">
        <v>0</v>
      </c>
      <c r="AS15" s="110">
        <v>0</v>
      </c>
      <c r="AT15" s="110">
        <v>0</v>
      </c>
      <c r="AU15" s="110">
        <v>0</v>
      </c>
      <c r="AV15" s="110">
        <f>SUBTOTAL(9,Cliente1916[[#This Row],[abr/25]:[dez/25]])</f>
        <v>0</v>
      </c>
    </row>
    <row r="16" spans="2:48" s="107" customFormat="1" ht="31.2" hidden="1" customHeight="1" thickTop="1" thickBot="1">
      <c r="B16" s="108" t="s">
        <v>233</v>
      </c>
      <c r="C16" s="108" t="s">
        <v>1993</v>
      </c>
      <c r="D16" s="118" t="s">
        <v>1185</v>
      </c>
      <c r="E16" s="118" t="s">
        <v>603</v>
      </c>
      <c r="F16" s="676" t="s">
        <v>1950</v>
      </c>
      <c r="G16" s="118" t="s">
        <v>1469</v>
      </c>
      <c r="H16" s="109" t="s">
        <v>606</v>
      </c>
      <c r="I16" s="110" t="s">
        <v>606</v>
      </c>
      <c r="J16" s="110"/>
      <c r="K16" s="110" t="s">
        <v>1228</v>
      </c>
      <c r="L16" s="110"/>
      <c r="M16" s="110"/>
      <c r="N16" s="110"/>
      <c r="O16" s="110"/>
      <c r="P16" s="110"/>
      <c r="Q16" s="110"/>
      <c r="R16" s="108"/>
      <c r="S16" s="112"/>
      <c r="T16" s="112"/>
      <c r="U16" s="108"/>
      <c r="V16" s="374">
        <v>0</v>
      </c>
      <c r="W16" s="113">
        <v>0</v>
      </c>
      <c r="X16" s="119">
        <v>0</v>
      </c>
      <c r="Y16" s="113" t="s">
        <v>1920</v>
      </c>
      <c r="Z16" s="670">
        <v>0</v>
      </c>
      <c r="AA16" s="670">
        <v>0</v>
      </c>
      <c r="AB16" s="145">
        <v>0</v>
      </c>
      <c r="AC16" s="145">
        <v>0</v>
      </c>
      <c r="AD16" s="145">
        <v>0</v>
      </c>
      <c r="AE16" s="145">
        <v>0</v>
      </c>
      <c r="AF16" s="145">
        <v>0</v>
      </c>
      <c r="AG16" s="145">
        <v>0</v>
      </c>
      <c r="AH16" s="671">
        <f>SUBTOTAL(9,Cliente1916[[#This Row],[II         REMUNERAÇÃO]:[VIII             TRIBUTOS]])</f>
        <v>0</v>
      </c>
      <c r="AI16" s="671">
        <f>Cliente1916[[#This Row],[VALOR CONTRATUAL]]-Cliente1916[[#This Row],[TOTAL DESPESAS]]</f>
        <v>0</v>
      </c>
      <c r="AJ16" s="651" t="e">
        <f>Cliente1916[[#This Row],[LUCRO LIQUIDO]]/Cliente1916[[#This Row],[VALOR CONTRATUAL]]</f>
        <v>#DIV/0!</v>
      </c>
      <c r="AK16" s="653"/>
      <c r="AL16" s="110"/>
      <c r="AM16" s="110">
        <v>0</v>
      </c>
      <c r="AN16" s="110">
        <v>0</v>
      </c>
      <c r="AO16" s="110">
        <v>0</v>
      </c>
      <c r="AP16" s="110">
        <v>0</v>
      </c>
      <c r="AQ16" s="110">
        <v>0</v>
      </c>
      <c r="AR16" s="110">
        <v>0</v>
      </c>
      <c r="AS16" s="110">
        <v>0</v>
      </c>
      <c r="AT16" s="110">
        <v>0</v>
      </c>
      <c r="AU16" s="110">
        <v>0</v>
      </c>
      <c r="AV16" s="110">
        <f>SUBTOTAL(9,Cliente1916[[#This Row],[abr/25]:[dez/25]])</f>
        <v>0</v>
      </c>
    </row>
    <row r="17" spans="1:48" s="107" customFormat="1" ht="31.2" hidden="1" customHeight="1" thickTop="1" thickBot="1">
      <c r="A17" s="121"/>
      <c r="B17" s="108" t="s">
        <v>234</v>
      </c>
      <c r="C17" s="108" t="s">
        <v>1993</v>
      </c>
      <c r="D17" s="118" t="s">
        <v>1185</v>
      </c>
      <c r="E17" s="118" t="s">
        <v>603</v>
      </c>
      <c r="F17" s="676" t="s">
        <v>1950</v>
      </c>
      <c r="G17" s="118" t="s">
        <v>1469</v>
      </c>
      <c r="H17" s="109" t="s">
        <v>607</v>
      </c>
      <c r="I17" s="110" t="s">
        <v>607</v>
      </c>
      <c r="J17" s="110"/>
      <c r="K17" s="110" t="s">
        <v>1228</v>
      </c>
      <c r="L17" s="110"/>
      <c r="M17" s="110"/>
      <c r="N17" s="110"/>
      <c r="O17" s="110"/>
      <c r="P17" s="110"/>
      <c r="Q17" s="110"/>
      <c r="R17" s="108"/>
      <c r="S17" s="112"/>
      <c r="T17" s="112"/>
      <c r="U17" s="108"/>
      <c r="V17" s="374">
        <v>0</v>
      </c>
      <c r="W17" s="113">
        <v>0</v>
      </c>
      <c r="X17" s="119">
        <v>0</v>
      </c>
      <c r="Y17" s="113" t="s">
        <v>1920</v>
      </c>
      <c r="Z17" s="670">
        <v>0</v>
      </c>
      <c r="AA17" s="670">
        <v>0</v>
      </c>
      <c r="AB17" s="145">
        <v>0</v>
      </c>
      <c r="AC17" s="145">
        <v>0</v>
      </c>
      <c r="AD17" s="145">
        <v>0</v>
      </c>
      <c r="AE17" s="145">
        <v>0</v>
      </c>
      <c r="AF17" s="145">
        <v>0</v>
      </c>
      <c r="AG17" s="145">
        <v>0</v>
      </c>
      <c r="AH17" s="671">
        <f>SUBTOTAL(9,Cliente1916[[#This Row],[II         REMUNERAÇÃO]:[VIII             TRIBUTOS]])</f>
        <v>0</v>
      </c>
      <c r="AI17" s="671">
        <f>Cliente1916[[#This Row],[VALOR CONTRATUAL]]-Cliente1916[[#This Row],[TOTAL DESPESAS]]</f>
        <v>0</v>
      </c>
      <c r="AJ17" s="651" t="e">
        <f>Cliente1916[[#This Row],[LUCRO LIQUIDO]]/Cliente1916[[#This Row],[VALOR CONTRATUAL]]</f>
        <v>#DIV/0!</v>
      </c>
      <c r="AK17" s="653"/>
      <c r="AL17" s="110"/>
      <c r="AM17" s="110">
        <v>0</v>
      </c>
      <c r="AN17" s="110">
        <v>0</v>
      </c>
      <c r="AO17" s="110">
        <v>0</v>
      </c>
      <c r="AP17" s="110">
        <v>0</v>
      </c>
      <c r="AQ17" s="110">
        <v>0</v>
      </c>
      <c r="AR17" s="110">
        <v>0</v>
      </c>
      <c r="AS17" s="110">
        <v>0</v>
      </c>
      <c r="AT17" s="110">
        <v>0</v>
      </c>
      <c r="AU17" s="110">
        <v>0</v>
      </c>
      <c r="AV17" s="110">
        <f>SUBTOTAL(9,Cliente1916[[#This Row],[abr/25]:[dez/25]])</f>
        <v>0</v>
      </c>
    </row>
    <row r="18" spans="1:48" s="107" customFormat="1" ht="31.2" hidden="1" customHeight="1" thickTop="1" thickBot="1">
      <c r="B18" s="108" t="s">
        <v>235</v>
      </c>
      <c r="C18" s="108" t="s">
        <v>1993</v>
      </c>
      <c r="D18" s="118" t="s">
        <v>1185</v>
      </c>
      <c r="E18" s="118" t="s">
        <v>603</v>
      </c>
      <c r="F18" s="676" t="s">
        <v>1950</v>
      </c>
      <c r="G18" s="118" t="s">
        <v>1469</v>
      </c>
      <c r="H18" s="109" t="s">
        <v>608</v>
      </c>
      <c r="I18" s="110" t="s">
        <v>608</v>
      </c>
      <c r="J18" s="110"/>
      <c r="K18" s="110" t="s">
        <v>1228</v>
      </c>
      <c r="L18" s="110"/>
      <c r="M18" s="110"/>
      <c r="N18" s="110"/>
      <c r="O18" s="110"/>
      <c r="P18" s="110"/>
      <c r="Q18" s="110"/>
      <c r="R18" s="108"/>
      <c r="S18" s="112"/>
      <c r="T18" s="112"/>
      <c r="U18" s="108"/>
      <c r="V18" s="374">
        <v>0</v>
      </c>
      <c r="W18" s="113">
        <v>0</v>
      </c>
      <c r="X18" s="119">
        <v>0</v>
      </c>
      <c r="Y18" s="113" t="s">
        <v>1920</v>
      </c>
      <c r="Z18" s="670">
        <v>0</v>
      </c>
      <c r="AA18" s="670">
        <v>0</v>
      </c>
      <c r="AB18" s="145">
        <v>0</v>
      </c>
      <c r="AC18" s="145">
        <v>0</v>
      </c>
      <c r="AD18" s="145">
        <v>0</v>
      </c>
      <c r="AE18" s="145">
        <v>0</v>
      </c>
      <c r="AF18" s="145">
        <v>0</v>
      </c>
      <c r="AG18" s="145">
        <v>0</v>
      </c>
      <c r="AH18" s="671">
        <f>SUBTOTAL(9,Cliente1916[[#This Row],[II         REMUNERAÇÃO]:[VIII             TRIBUTOS]])</f>
        <v>0</v>
      </c>
      <c r="AI18" s="671">
        <f>Cliente1916[[#This Row],[VALOR CONTRATUAL]]-Cliente1916[[#This Row],[TOTAL DESPESAS]]</f>
        <v>0</v>
      </c>
      <c r="AJ18" s="651" t="e">
        <f>Cliente1916[[#This Row],[LUCRO LIQUIDO]]/Cliente1916[[#This Row],[VALOR CONTRATUAL]]</f>
        <v>#DIV/0!</v>
      </c>
      <c r="AK18" s="653"/>
      <c r="AL18" s="110"/>
      <c r="AM18" s="110">
        <v>0</v>
      </c>
      <c r="AN18" s="110">
        <v>0</v>
      </c>
      <c r="AO18" s="110">
        <v>0</v>
      </c>
      <c r="AP18" s="110">
        <v>0</v>
      </c>
      <c r="AQ18" s="110">
        <v>0</v>
      </c>
      <c r="AR18" s="110">
        <v>0</v>
      </c>
      <c r="AS18" s="110">
        <v>0</v>
      </c>
      <c r="AT18" s="110">
        <v>0</v>
      </c>
      <c r="AU18" s="110">
        <v>0</v>
      </c>
      <c r="AV18" s="110">
        <f>SUBTOTAL(9,Cliente1916[[#This Row],[abr/25]:[dez/25]])</f>
        <v>0</v>
      </c>
    </row>
    <row r="19" spans="1:48" s="107" customFormat="1" ht="31.2" customHeight="1" thickTop="1" thickBot="1">
      <c r="B19" s="108" t="s">
        <v>249</v>
      </c>
      <c r="C19" s="108" t="s">
        <v>1993</v>
      </c>
      <c r="D19" s="118" t="s">
        <v>1196</v>
      </c>
      <c r="E19" s="118" t="s">
        <v>582</v>
      </c>
      <c r="F19" s="676" t="s">
        <v>1951</v>
      </c>
      <c r="G19" s="118" t="s">
        <v>40</v>
      </c>
      <c r="H19" s="109" t="s">
        <v>595</v>
      </c>
      <c r="I19" s="117" t="s">
        <v>1229</v>
      </c>
      <c r="J19" s="852" t="s">
        <v>580</v>
      </c>
      <c r="K19" s="110" t="s">
        <v>1230</v>
      </c>
      <c r="L19" s="110" t="s">
        <v>1199</v>
      </c>
      <c r="M19" s="110" t="s">
        <v>1200</v>
      </c>
      <c r="N19" s="122">
        <v>71953000</v>
      </c>
      <c r="O19" s="110" t="s">
        <v>1201</v>
      </c>
      <c r="P19" s="110" t="s">
        <v>614</v>
      </c>
      <c r="Q19" s="110"/>
      <c r="R19" s="108">
        <v>0</v>
      </c>
      <c r="S19" s="111">
        <v>44260</v>
      </c>
      <c r="T19" s="112"/>
      <c r="U19" s="108">
        <v>0</v>
      </c>
      <c r="V19" s="678">
        <v>0</v>
      </c>
      <c r="W19" s="113">
        <v>0</v>
      </c>
      <c r="X19" s="119">
        <v>0</v>
      </c>
      <c r="Y19" s="108" t="s">
        <v>1920</v>
      </c>
      <c r="Z19" s="670">
        <v>0</v>
      </c>
      <c r="AA19" s="670">
        <v>0</v>
      </c>
      <c r="AB19" s="670">
        <v>0</v>
      </c>
      <c r="AC19" s="670">
        <v>0</v>
      </c>
      <c r="AD19" s="670">
        <v>0</v>
      </c>
      <c r="AE19" s="670">
        <v>0</v>
      </c>
      <c r="AF19" s="670">
        <v>0</v>
      </c>
      <c r="AG19" s="670">
        <v>0</v>
      </c>
      <c r="AH19" s="671">
        <f>SUBTOTAL(9,Cliente1916[[#This Row],[II         REMUNERAÇÃO]:[VIII             TRIBUTOS]])</f>
        <v>0</v>
      </c>
      <c r="AI19" s="671">
        <f>Cliente1916[[#This Row],[VALOR CONTRATUAL]]-Cliente1916[[#This Row],[TOTAL DESPESAS]]</f>
        <v>0</v>
      </c>
      <c r="AJ19" s="651" t="e">
        <f>Cliente1916[[#This Row],[LUCRO LIQUIDO]]/Cliente1916[[#This Row],[VALOR CONTRATUAL]]</f>
        <v>#DIV/0!</v>
      </c>
      <c r="AK19" s="653"/>
      <c r="AL19" s="110"/>
      <c r="AM19" s="110">
        <v>0</v>
      </c>
      <c r="AN19" s="110">
        <v>0</v>
      </c>
      <c r="AO19" s="110">
        <v>0</v>
      </c>
      <c r="AP19" s="110">
        <v>0</v>
      </c>
      <c r="AQ19" s="110">
        <v>0</v>
      </c>
      <c r="AR19" s="110">
        <v>0</v>
      </c>
      <c r="AS19" s="110">
        <v>0</v>
      </c>
      <c r="AT19" s="110">
        <v>0</v>
      </c>
      <c r="AU19" s="110">
        <v>0</v>
      </c>
      <c r="AV19" s="110">
        <f>SUBTOTAL(9,Cliente1916[[#This Row],[abr/25]:[dez/25]])</f>
        <v>0</v>
      </c>
    </row>
    <row r="20" spans="1:48" s="107" customFormat="1" ht="31.2" hidden="1" customHeight="1" thickTop="1" thickBot="1">
      <c r="B20" s="108" t="s">
        <v>281</v>
      </c>
      <c r="C20" s="108" t="s">
        <v>1993</v>
      </c>
      <c r="D20" s="109" t="s">
        <v>1185</v>
      </c>
      <c r="E20" s="118" t="s">
        <v>582</v>
      </c>
      <c r="F20" s="676" t="s">
        <v>1951</v>
      </c>
      <c r="G20" s="118" t="s">
        <v>27</v>
      </c>
      <c r="H20" s="109" t="s">
        <v>1231</v>
      </c>
      <c r="I20" s="117" t="s">
        <v>1232</v>
      </c>
      <c r="J20" s="110" t="s">
        <v>1233</v>
      </c>
      <c r="K20" s="110"/>
      <c r="L20" s="110" t="s">
        <v>1234</v>
      </c>
      <c r="M20" s="110" t="s">
        <v>1235</v>
      </c>
      <c r="N20" s="123" t="s">
        <v>1236</v>
      </c>
      <c r="O20" s="110"/>
      <c r="P20" s="110"/>
      <c r="Q20" s="110"/>
      <c r="R20" s="108" t="s">
        <v>1237</v>
      </c>
      <c r="S20" s="111">
        <v>44256</v>
      </c>
      <c r="T20" s="112">
        <f>Cliente1916[[#This Row],[INICIO ]]+365*1</f>
        <v>44621</v>
      </c>
      <c r="U20" s="110" t="s">
        <v>1238</v>
      </c>
      <c r="V20" s="375">
        <v>1</v>
      </c>
      <c r="W20" s="114">
        <v>4708</v>
      </c>
      <c r="X20" s="114"/>
      <c r="Y20" s="114" t="s">
        <v>1185</v>
      </c>
      <c r="Z20" s="670">
        <v>0</v>
      </c>
      <c r="AA20" s="670">
        <v>0</v>
      </c>
      <c r="AB20" s="145">
        <v>0</v>
      </c>
      <c r="AC20" s="145">
        <v>0</v>
      </c>
      <c r="AD20" s="145">
        <v>0</v>
      </c>
      <c r="AE20" s="145">
        <v>0</v>
      </c>
      <c r="AF20" s="145">
        <v>0</v>
      </c>
      <c r="AG20" s="145">
        <v>0</v>
      </c>
      <c r="AH20" s="671">
        <f>SUBTOTAL(9,Cliente1916[[#This Row],[II         REMUNERAÇÃO]:[VIII             TRIBUTOS]])</f>
        <v>0</v>
      </c>
      <c r="AI20" s="671">
        <f>Cliente1916[[#This Row],[VALOR CONTRATUAL]]-Cliente1916[[#This Row],[TOTAL DESPESAS]]</f>
        <v>4708</v>
      </c>
      <c r="AJ20" s="651">
        <f>Cliente1916[[#This Row],[LUCRO LIQUIDO]]/Cliente1916[[#This Row],[VALOR CONTRATUAL]]</f>
        <v>1</v>
      </c>
      <c r="AK20" s="653"/>
      <c r="AL20" s="110"/>
      <c r="AM20" s="110">
        <v>0</v>
      </c>
      <c r="AN20" s="110">
        <v>0</v>
      </c>
      <c r="AO20" s="110">
        <v>0</v>
      </c>
      <c r="AP20" s="110">
        <v>0</v>
      </c>
      <c r="AQ20" s="110">
        <v>0</v>
      </c>
      <c r="AR20" s="110">
        <v>0</v>
      </c>
      <c r="AS20" s="110">
        <v>0</v>
      </c>
      <c r="AT20" s="110">
        <v>0</v>
      </c>
      <c r="AU20" s="110">
        <v>0</v>
      </c>
      <c r="AV20" s="110">
        <f>SUBTOTAL(9,Cliente1916[[#This Row],[abr/25]:[dez/25]])</f>
        <v>0</v>
      </c>
    </row>
    <row r="21" spans="1:48" s="107" customFormat="1" ht="31.2" hidden="1" customHeight="1" thickTop="1" thickBot="1">
      <c r="B21" s="108" t="s">
        <v>248</v>
      </c>
      <c r="C21" s="108" t="s">
        <v>1993</v>
      </c>
      <c r="D21" s="109" t="s">
        <v>1185</v>
      </c>
      <c r="E21" s="118" t="s">
        <v>582</v>
      </c>
      <c r="F21" s="676" t="s">
        <v>1951</v>
      </c>
      <c r="G21" s="118" t="s">
        <v>27</v>
      </c>
      <c r="H21" s="109" t="s">
        <v>1239</v>
      </c>
      <c r="I21" s="110" t="s">
        <v>1240</v>
      </c>
      <c r="J21" s="110" t="s">
        <v>1241</v>
      </c>
      <c r="K21" s="110" t="s">
        <v>1189</v>
      </c>
      <c r="L21" s="110" t="s">
        <v>1234</v>
      </c>
      <c r="M21" s="110" t="s">
        <v>1242</v>
      </c>
      <c r="N21" s="122">
        <v>71810200</v>
      </c>
      <c r="O21" s="110"/>
      <c r="P21" s="110"/>
      <c r="Q21" s="110"/>
      <c r="R21" s="124" t="s">
        <v>1243</v>
      </c>
      <c r="S21" s="111">
        <v>44317</v>
      </c>
      <c r="T21" s="112">
        <f>Cliente1916[[#This Row],[INICIO ]]+365*1</f>
        <v>44682</v>
      </c>
      <c r="U21" s="110" t="s">
        <v>1244</v>
      </c>
      <c r="V21" s="375">
        <v>6</v>
      </c>
      <c r="W21" s="109">
        <v>24300</v>
      </c>
      <c r="X21" s="109"/>
      <c r="Y21" s="114" t="s">
        <v>1185</v>
      </c>
      <c r="Z21" s="670">
        <v>0</v>
      </c>
      <c r="AA21" s="670">
        <v>0</v>
      </c>
      <c r="AB21" s="145">
        <v>0</v>
      </c>
      <c r="AC21" s="145">
        <v>0</v>
      </c>
      <c r="AD21" s="145">
        <v>0</v>
      </c>
      <c r="AE21" s="145">
        <v>0</v>
      </c>
      <c r="AF21" s="145">
        <v>0</v>
      </c>
      <c r="AG21" s="145">
        <v>0</v>
      </c>
      <c r="AH21" s="671">
        <f>SUBTOTAL(9,Cliente1916[[#This Row],[II         REMUNERAÇÃO]:[VIII             TRIBUTOS]])</f>
        <v>0</v>
      </c>
      <c r="AI21" s="671">
        <f>Cliente1916[[#This Row],[VALOR CONTRATUAL]]-Cliente1916[[#This Row],[TOTAL DESPESAS]]</f>
        <v>24300</v>
      </c>
      <c r="AJ21" s="651">
        <f>Cliente1916[[#This Row],[LUCRO LIQUIDO]]/Cliente1916[[#This Row],[VALOR CONTRATUAL]]</f>
        <v>1</v>
      </c>
      <c r="AK21" s="653"/>
      <c r="AL21" s="110"/>
      <c r="AM21" s="110">
        <v>0</v>
      </c>
      <c r="AN21" s="110">
        <v>0</v>
      </c>
      <c r="AO21" s="110">
        <v>0</v>
      </c>
      <c r="AP21" s="110">
        <v>0</v>
      </c>
      <c r="AQ21" s="110">
        <v>0</v>
      </c>
      <c r="AR21" s="110">
        <v>0</v>
      </c>
      <c r="AS21" s="110">
        <v>0</v>
      </c>
      <c r="AT21" s="110">
        <v>0</v>
      </c>
      <c r="AU21" s="110">
        <v>0</v>
      </c>
      <c r="AV21" s="110">
        <f>SUBTOTAL(9,Cliente1916[[#This Row],[abr/25]:[dez/25]])</f>
        <v>0</v>
      </c>
    </row>
    <row r="22" spans="1:48" s="107" customFormat="1" ht="31.2" customHeight="1" thickTop="1" thickBot="1">
      <c r="B22" s="108" t="s">
        <v>315</v>
      </c>
      <c r="C22" s="108" t="s">
        <v>1993</v>
      </c>
      <c r="D22" s="118" t="s">
        <v>1196</v>
      </c>
      <c r="E22" s="118" t="s">
        <v>582</v>
      </c>
      <c r="F22" s="676" t="s">
        <v>1951</v>
      </c>
      <c r="G22" s="118" t="s">
        <v>27</v>
      </c>
      <c r="H22" s="109" t="s">
        <v>583</v>
      </c>
      <c r="I22" s="110" t="s">
        <v>1245</v>
      </c>
      <c r="J22" s="852" t="s">
        <v>1246</v>
      </c>
      <c r="K22" s="108" t="s">
        <v>1247</v>
      </c>
      <c r="L22" s="110" t="s">
        <v>1248</v>
      </c>
      <c r="M22" s="110" t="s">
        <v>1249</v>
      </c>
      <c r="N22" s="123" t="s">
        <v>1250</v>
      </c>
      <c r="O22" s="110"/>
      <c r="P22" s="110"/>
      <c r="Q22" s="110"/>
      <c r="R22" s="110" t="s">
        <v>1217</v>
      </c>
      <c r="S22" s="111">
        <v>44285</v>
      </c>
      <c r="T22" s="1277">
        <f>Cliente1916[[#This Row],[INICIO ]]+365*4</f>
        <v>45745</v>
      </c>
      <c r="U22" s="110" t="s">
        <v>1251</v>
      </c>
      <c r="V22" s="679">
        <v>2</v>
      </c>
      <c r="W22" s="109">
        <v>13744</v>
      </c>
      <c r="X22" s="113" t="s">
        <v>320</v>
      </c>
      <c r="Y22" s="108" t="s">
        <v>2645</v>
      </c>
      <c r="Z22" s="670">
        <v>3800.4</v>
      </c>
      <c r="AA22" s="670">
        <v>4059.5181818181823</v>
      </c>
      <c r="AB22" s="670">
        <v>3008.7421309090914</v>
      </c>
      <c r="AC22" s="670">
        <v>2828.8560000000002</v>
      </c>
      <c r="AD22" s="670">
        <v>140.66666666666669</v>
      </c>
      <c r="AE22" s="670">
        <v>1353.620787878788</v>
      </c>
      <c r="AF22" s="670">
        <v>228.96721572218183</v>
      </c>
      <c r="AG22" s="670">
        <v>1120.244859984133</v>
      </c>
      <c r="AH22" s="671">
        <f>SUBTOTAL(9,Cliente1916[[#This Row],[II         REMUNERAÇÃO]:[VIII             TRIBUTOS]])</f>
        <v>12740.615842979043</v>
      </c>
      <c r="AI22" s="671">
        <f>Cliente1916[[#This Row],[VALOR CONTRATUAL]]-Cliente1916[[#This Row],[TOTAL DESPESAS]]</f>
        <v>1003.384157020957</v>
      </c>
      <c r="AJ22" s="651">
        <f>Cliente1916[[#This Row],[LUCRO LIQUIDO]]/Cliente1916[[#This Row],[VALOR CONTRATUAL]]</f>
        <v>7.3005250074283837E-2</v>
      </c>
      <c r="AK22" s="653"/>
      <c r="AL22" s="110"/>
      <c r="AM22" s="110">
        <v>281.21000000000004</v>
      </c>
      <c r="AN22" s="110">
        <v>303.89999999999998</v>
      </c>
      <c r="AO22" s="110">
        <v>239.26</v>
      </c>
      <c r="AP22" s="621"/>
      <c r="AQ22" s="110">
        <v>0</v>
      </c>
      <c r="AR22" s="110">
        <v>0</v>
      </c>
      <c r="AS22" s="110">
        <v>0</v>
      </c>
      <c r="AT22" s="110">
        <v>0</v>
      </c>
      <c r="AU22" s="110">
        <v>0</v>
      </c>
      <c r="AV22" s="110">
        <f>SUBTOTAL(9,Cliente1916[[#This Row],[abr/25]:[dez/25]])</f>
        <v>824.37</v>
      </c>
    </row>
    <row r="23" spans="1:48" s="107" customFormat="1" ht="31.2" customHeight="1" thickTop="1" thickBot="1">
      <c r="B23" s="108" t="s">
        <v>316</v>
      </c>
      <c r="C23" s="108" t="s">
        <v>1993</v>
      </c>
      <c r="D23" s="118" t="s">
        <v>1196</v>
      </c>
      <c r="E23" s="118" t="s">
        <v>582</v>
      </c>
      <c r="F23" s="676" t="s">
        <v>1951</v>
      </c>
      <c r="G23" s="118" t="s">
        <v>27</v>
      </c>
      <c r="H23" s="109" t="s">
        <v>638</v>
      </c>
      <c r="I23" s="110" t="s">
        <v>1252</v>
      </c>
      <c r="J23" s="852" t="s">
        <v>1253</v>
      </c>
      <c r="K23" s="110" t="s">
        <v>1254</v>
      </c>
      <c r="L23" s="110" t="s">
        <v>1255</v>
      </c>
      <c r="M23" s="110" t="s">
        <v>1256</v>
      </c>
      <c r="N23" s="126" t="s">
        <v>1257</v>
      </c>
      <c r="O23" s="110"/>
      <c r="P23" s="110"/>
      <c r="Q23" s="110"/>
      <c r="R23" s="108" t="s">
        <v>1258</v>
      </c>
      <c r="S23" s="111">
        <v>44317</v>
      </c>
      <c r="T23" s="1277">
        <f>Cliente1916[[#This Row],[INICIO ]]+365*4</f>
        <v>45777</v>
      </c>
      <c r="U23" s="110" t="s">
        <v>1238</v>
      </c>
      <c r="V23" s="679">
        <v>1</v>
      </c>
      <c r="W23" s="109">
        <v>6301</v>
      </c>
      <c r="X23" s="113" t="s">
        <v>225</v>
      </c>
      <c r="Y23" s="108" t="s">
        <v>2645</v>
      </c>
      <c r="Z23" s="135">
        <v>1900.2</v>
      </c>
      <c r="AA23" s="135">
        <v>1900.2</v>
      </c>
      <c r="AB23" s="135">
        <v>1468.0945200000001</v>
      </c>
      <c r="AC23" s="135">
        <v>1401.4280000000001</v>
      </c>
      <c r="AD23" s="135">
        <v>70.333333333333343</v>
      </c>
      <c r="AE23" s="135">
        <v>299.21245454545448</v>
      </c>
      <c r="AF23" s="135">
        <v>103.29929298836363</v>
      </c>
      <c r="AG23" s="135">
        <v>569.1216240691175</v>
      </c>
      <c r="AH23" s="671">
        <f>SUBTOTAL(9,Cliente1916[[#This Row],[II         REMUNERAÇÃO]:[VIII             TRIBUTOS]])</f>
        <v>5811.6892249362691</v>
      </c>
      <c r="AI23" s="671">
        <f>Cliente1916[[#This Row],[VALOR CONTRATUAL]]-Cliente1916[[#This Row],[TOTAL DESPESAS]]</f>
        <v>489.31077506373094</v>
      </c>
      <c r="AJ23" s="651">
        <f>Cliente1916[[#This Row],[LUCRO LIQUIDO]]/Cliente1916[[#This Row],[VALOR CONTRATUAL]]</f>
        <v>7.7656050636999041E-2</v>
      </c>
      <c r="AK23" s="653"/>
      <c r="AL23" s="110"/>
      <c r="AM23" s="110">
        <v>18.240000000000009</v>
      </c>
      <c r="AN23" s="110">
        <f>148.24-130</f>
        <v>18.240000000000009</v>
      </c>
      <c r="AO23" s="110">
        <v>0</v>
      </c>
      <c r="AP23" s="110">
        <v>0</v>
      </c>
      <c r="AQ23" s="110">
        <v>0</v>
      </c>
      <c r="AR23" s="110">
        <v>0</v>
      </c>
      <c r="AS23" s="110">
        <v>0</v>
      </c>
      <c r="AT23" s="110">
        <v>0</v>
      </c>
      <c r="AU23" s="110">
        <v>0</v>
      </c>
      <c r="AV23" s="110">
        <f>SUBTOTAL(9,Cliente1916[[#This Row],[abr/25]:[dez/25]])</f>
        <v>36.480000000000018</v>
      </c>
    </row>
    <row r="24" spans="1:48" s="107" customFormat="1" ht="31.2" customHeight="1" thickTop="1" thickBot="1">
      <c r="B24" s="108" t="s">
        <v>351</v>
      </c>
      <c r="C24" s="108" t="s">
        <v>1993</v>
      </c>
      <c r="D24" s="118" t="s">
        <v>1196</v>
      </c>
      <c r="E24" s="118" t="s">
        <v>582</v>
      </c>
      <c r="F24" s="676" t="s">
        <v>1953</v>
      </c>
      <c r="G24" s="118" t="s">
        <v>27</v>
      </c>
      <c r="H24" s="109" t="s">
        <v>653</v>
      </c>
      <c r="I24" s="110" t="s">
        <v>1259</v>
      </c>
      <c r="J24" s="852" t="s">
        <v>1260</v>
      </c>
      <c r="K24" s="108" t="s">
        <v>1492</v>
      </c>
      <c r="L24" s="110" t="s">
        <v>1261</v>
      </c>
      <c r="M24" s="110" t="s">
        <v>1262</v>
      </c>
      <c r="N24" s="126" t="s">
        <v>1263</v>
      </c>
      <c r="O24" s="110"/>
      <c r="P24" s="110"/>
      <c r="Q24" s="110"/>
      <c r="R24" s="108" t="s">
        <v>1264</v>
      </c>
      <c r="S24" s="111">
        <v>45170</v>
      </c>
      <c r="T24" s="1277">
        <f>Cliente1916[[#This Row],[INICIO ]]+365*3</f>
        <v>46265</v>
      </c>
      <c r="U24" s="110" t="s">
        <v>2639</v>
      </c>
      <c r="V24" s="679">
        <v>4</v>
      </c>
      <c r="W24" s="109">
        <v>24230</v>
      </c>
      <c r="X24" s="113" t="s">
        <v>225</v>
      </c>
      <c r="Y24" s="108" t="s">
        <v>2645</v>
      </c>
      <c r="Z24" s="135">
        <v>11401.2</v>
      </c>
      <c r="AA24" s="135">
        <v>12268.382181818182</v>
      </c>
      <c r="AB24" s="135">
        <v>9051.3781309090919</v>
      </c>
      <c r="AC24" s="135">
        <v>6170.268</v>
      </c>
      <c r="AD24" s="135">
        <v>638.66666666666674</v>
      </c>
      <c r="AE24" s="135">
        <v>1605.3507878787877</v>
      </c>
      <c r="AF24" s="135">
        <v>597.65431992218191</v>
      </c>
      <c r="AG24" s="135">
        <v>2924.0831611129006</v>
      </c>
      <c r="AH24" s="671">
        <f>SUBTOTAL(9,Cliente1916[[#This Row],[II         REMUNERAÇÃO]:[VIII             TRIBUTOS]])</f>
        <v>33255.783248307809</v>
      </c>
      <c r="AI24" s="671">
        <f>Cliente1916[[#This Row],[VALOR CONTRATUAL]]-Cliente1916[[#This Row],[TOTAL DESPESAS]]</f>
        <v>-9025.7832483078091</v>
      </c>
      <c r="AJ24" s="651">
        <f>Cliente1916[[#This Row],[LUCRO LIQUIDO]]/Cliente1916[[#This Row],[VALOR CONTRATUAL]]</f>
        <v>-0.37250446753230743</v>
      </c>
      <c r="AK24" s="653"/>
      <c r="AL24" s="110"/>
      <c r="AM24" s="110">
        <v>876.74</v>
      </c>
      <c r="AN24" s="110">
        <f>930.94-65</f>
        <v>865.94</v>
      </c>
      <c r="AO24" s="110">
        <v>858.7</v>
      </c>
      <c r="AP24" s="621"/>
      <c r="AQ24" s="110">
        <v>0</v>
      </c>
      <c r="AR24" s="110">
        <v>0</v>
      </c>
      <c r="AS24" s="110">
        <v>0</v>
      </c>
      <c r="AT24" s="110">
        <v>0</v>
      </c>
      <c r="AU24" s="110">
        <v>0</v>
      </c>
      <c r="AV24" s="110">
        <f>SUBTOTAL(9,Cliente1916[[#This Row],[abr/25]:[dez/25]])</f>
        <v>2601.38</v>
      </c>
    </row>
    <row r="25" spans="1:48" s="107" customFormat="1" ht="31.2" customHeight="1" thickTop="1" thickBot="1">
      <c r="B25" s="108" t="s">
        <v>352</v>
      </c>
      <c r="C25" s="108" t="s">
        <v>1993</v>
      </c>
      <c r="D25" s="118" t="s">
        <v>1196</v>
      </c>
      <c r="E25" s="118" t="s">
        <v>581</v>
      </c>
      <c r="F25" s="676" t="s">
        <v>1954</v>
      </c>
      <c r="G25" s="118" t="s">
        <v>40</v>
      </c>
      <c r="H25" s="109" t="s">
        <v>595</v>
      </c>
      <c r="I25" s="117" t="s">
        <v>1266</v>
      </c>
      <c r="J25" s="110" t="s">
        <v>1267</v>
      </c>
      <c r="K25" s="110" t="s">
        <v>1268</v>
      </c>
      <c r="L25" s="110" t="s">
        <v>1199</v>
      </c>
      <c r="M25" s="110" t="s">
        <v>1200</v>
      </c>
      <c r="N25" s="122">
        <v>71953000</v>
      </c>
      <c r="O25" s="110" t="s">
        <v>1201</v>
      </c>
      <c r="P25" s="110" t="s">
        <v>1661</v>
      </c>
      <c r="Q25" s="110"/>
      <c r="R25" s="108">
        <v>0</v>
      </c>
      <c r="S25" s="111">
        <v>42830</v>
      </c>
      <c r="T25" s="112"/>
      <c r="U25" s="142" t="s">
        <v>1636</v>
      </c>
      <c r="V25" s="680">
        <v>2</v>
      </c>
      <c r="W25" s="113">
        <v>0</v>
      </c>
      <c r="X25" s="113" t="s">
        <v>225</v>
      </c>
      <c r="Y25" s="108" t="s">
        <v>1920</v>
      </c>
      <c r="Z25" s="145">
        <v>4901.5</v>
      </c>
      <c r="AA25" s="145">
        <v>4409.04</v>
      </c>
      <c r="AB25" s="145">
        <f>Cliente1916[[#This Row],[SALÁRIO BASE]]*77.26%</f>
        <v>3786.8989000000001</v>
      </c>
      <c r="AC25" s="670">
        <f>(44.3*26)+(11*26)</f>
        <v>1437.8</v>
      </c>
      <c r="AD25" s="670">
        <v>0</v>
      </c>
      <c r="AE25" s="670">
        <v>0</v>
      </c>
      <c r="AF25" s="670">
        <v>0</v>
      </c>
      <c r="AG25" s="670">
        <v>0</v>
      </c>
      <c r="AH25" s="671">
        <f>SUBTOTAL(9,Cliente1916[[#This Row],[II         REMUNERAÇÃO]:[VIII             TRIBUTOS]])</f>
        <v>9633.7389000000003</v>
      </c>
      <c r="AI25" s="671">
        <f>Cliente1916[[#This Row],[VALOR CONTRATUAL]]-Cliente1916[[#This Row],[TOTAL DESPESAS]]</f>
        <v>-9633.7389000000003</v>
      </c>
      <c r="AJ25" s="652" t="e">
        <f>Cliente1916[[#This Row],[LUCRO LIQUIDO]]/Cliente1916[[#This Row],[VALOR CONTRATUAL]]</f>
        <v>#DIV/0!</v>
      </c>
      <c r="AK25" s="654"/>
      <c r="AL25" s="116"/>
      <c r="AM25" s="110">
        <v>466.4</v>
      </c>
      <c r="AN25" s="110">
        <v>603.04999999999995</v>
      </c>
      <c r="AO25" s="110">
        <v>466.4</v>
      </c>
      <c r="AP25" s="110">
        <v>0</v>
      </c>
      <c r="AQ25" s="110">
        <v>0</v>
      </c>
      <c r="AR25" s="110">
        <v>0</v>
      </c>
      <c r="AS25" s="110">
        <v>0</v>
      </c>
      <c r="AT25" s="110">
        <v>0</v>
      </c>
      <c r="AU25" s="110">
        <v>0</v>
      </c>
      <c r="AV25" s="110">
        <f>SUBTOTAL(9,Cliente1916[[#This Row],[abr/25]:[dez/25]])</f>
        <v>1535.85</v>
      </c>
    </row>
    <row r="26" spans="1:48" s="107" customFormat="1" ht="31.2" customHeight="1" thickTop="1" thickBot="1">
      <c r="B26" s="108" t="s">
        <v>353</v>
      </c>
      <c r="C26" s="108" t="s">
        <v>1993</v>
      </c>
      <c r="D26" s="118" t="s">
        <v>1196</v>
      </c>
      <c r="E26" s="118" t="s">
        <v>581</v>
      </c>
      <c r="F26" s="676" t="s">
        <v>1954</v>
      </c>
      <c r="G26" s="118" t="s">
        <v>40</v>
      </c>
      <c r="H26" s="109" t="s">
        <v>1130</v>
      </c>
      <c r="I26" s="117" t="s">
        <v>1266</v>
      </c>
      <c r="J26" s="110" t="s">
        <v>1267</v>
      </c>
      <c r="K26" s="110" t="s">
        <v>1268</v>
      </c>
      <c r="L26" s="110" t="s">
        <v>1199</v>
      </c>
      <c r="M26" s="110" t="s">
        <v>1200</v>
      </c>
      <c r="N26" s="122">
        <v>71953000</v>
      </c>
      <c r="O26" s="110" t="s">
        <v>1201</v>
      </c>
      <c r="P26" s="110" t="s">
        <v>1661</v>
      </c>
      <c r="Q26" s="110"/>
      <c r="R26" s="108">
        <v>0</v>
      </c>
      <c r="S26" s="111">
        <v>42830</v>
      </c>
      <c r="T26" s="112"/>
      <c r="U26" s="108" t="s">
        <v>2640</v>
      </c>
      <c r="V26" s="678">
        <v>3</v>
      </c>
      <c r="W26" s="113">
        <v>0</v>
      </c>
      <c r="X26" s="119">
        <v>0</v>
      </c>
      <c r="Y26" s="108" t="s">
        <v>1920</v>
      </c>
      <c r="Z26" s="145">
        <v>9362.82</v>
      </c>
      <c r="AA26" s="145">
        <v>9362.82</v>
      </c>
      <c r="AB26" s="145">
        <f>Cliente1916[[#This Row],[II         REMUNERAÇÃO]]*77.26%</f>
        <v>7233.7147320000004</v>
      </c>
      <c r="AC26" s="670">
        <v>5919.5</v>
      </c>
      <c r="AD26" s="670">
        <v>0</v>
      </c>
      <c r="AE26" s="670">
        <v>0</v>
      </c>
      <c r="AF26" s="670">
        <v>0</v>
      </c>
      <c r="AG26" s="670">
        <v>0</v>
      </c>
      <c r="AH26" s="671">
        <f>SUBTOTAL(9,Cliente1916[[#This Row],[II         REMUNERAÇÃO]:[VIII             TRIBUTOS]])</f>
        <v>22516.034732</v>
      </c>
      <c r="AI26" s="671">
        <f>Cliente1916[[#This Row],[VALOR CONTRATUAL]]-Cliente1916[[#This Row],[TOTAL DESPESAS]]</f>
        <v>-22516.034732</v>
      </c>
      <c r="AJ26" s="651" t="e">
        <f>Cliente1916[[#This Row],[LUCRO LIQUIDO]]/Cliente1916[[#This Row],[VALOR CONTRATUAL]]</f>
        <v>#DIV/0!</v>
      </c>
      <c r="AK26" s="653"/>
      <c r="AL26" s="110"/>
      <c r="AM26" s="110">
        <v>780.21</v>
      </c>
      <c r="AN26" s="110">
        <v>632.4</v>
      </c>
      <c r="AO26" s="110">
        <f>892.4-260</f>
        <v>632.4</v>
      </c>
      <c r="AP26" s="110">
        <v>0</v>
      </c>
      <c r="AQ26" s="110">
        <v>0</v>
      </c>
      <c r="AR26" s="110">
        <v>0</v>
      </c>
      <c r="AS26" s="110">
        <v>0</v>
      </c>
      <c r="AT26" s="110">
        <v>0</v>
      </c>
      <c r="AU26" s="110">
        <v>0</v>
      </c>
      <c r="AV26" s="110">
        <f>SUBTOTAL(9,Cliente1916[[#This Row],[abr/25]:[dez/25]])</f>
        <v>2045.0100000000002</v>
      </c>
    </row>
    <row r="27" spans="1:48" s="107" customFormat="1" ht="31.2" hidden="1" customHeight="1" thickTop="1" thickBot="1">
      <c r="B27" s="108" t="s">
        <v>354</v>
      </c>
      <c r="C27" s="108" t="s">
        <v>1993</v>
      </c>
      <c r="D27" s="109" t="s">
        <v>1185</v>
      </c>
      <c r="E27" s="118" t="s">
        <v>581</v>
      </c>
      <c r="F27" s="676" t="s">
        <v>1951</v>
      </c>
      <c r="G27" s="118" t="s">
        <v>1472</v>
      </c>
      <c r="H27" s="109" t="s">
        <v>1269</v>
      </c>
      <c r="I27" s="117" t="s">
        <v>1270</v>
      </c>
      <c r="J27" s="110" t="s">
        <v>1271</v>
      </c>
      <c r="K27" s="110"/>
      <c r="L27" s="110" t="s">
        <v>1272</v>
      </c>
      <c r="M27" s="110" t="s">
        <v>1273</v>
      </c>
      <c r="N27" s="128">
        <v>71200030</v>
      </c>
      <c r="O27" s="110" t="s">
        <v>1274</v>
      </c>
      <c r="P27" s="110"/>
      <c r="Q27" s="110"/>
      <c r="R27" s="108">
        <v>0</v>
      </c>
      <c r="S27" s="111">
        <v>44410</v>
      </c>
      <c r="T27" s="112">
        <v>44484</v>
      </c>
      <c r="U27" s="108" t="s">
        <v>1251</v>
      </c>
      <c r="V27" s="374">
        <v>0</v>
      </c>
      <c r="W27" s="113">
        <v>0</v>
      </c>
      <c r="X27" s="119"/>
      <c r="Y27" s="114" t="s">
        <v>1185</v>
      </c>
      <c r="Z27" s="670">
        <v>0</v>
      </c>
      <c r="AA27" s="670">
        <v>0</v>
      </c>
      <c r="AB27" s="145">
        <v>0</v>
      </c>
      <c r="AC27" s="145">
        <v>0</v>
      </c>
      <c r="AD27" s="145">
        <v>0</v>
      </c>
      <c r="AE27" s="145">
        <v>0</v>
      </c>
      <c r="AF27" s="145">
        <v>0</v>
      </c>
      <c r="AG27" s="145">
        <v>0</v>
      </c>
      <c r="AH27" s="671">
        <f>SUBTOTAL(9,Cliente1916[[#This Row],[II         REMUNERAÇÃO]:[VIII             TRIBUTOS]])</f>
        <v>0</v>
      </c>
      <c r="AI27" s="671">
        <f>Cliente1916[[#This Row],[VALOR CONTRATUAL]]-Cliente1916[[#This Row],[TOTAL DESPESAS]]</f>
        <v>0</v>
      </c>
      <c r="AJ27" s="651" t="e">
        <f>Cliente1916[[#This Row],[LUCRO LIQUIDO]]/Cliente1916[[#This Row],[VALOR CONTRATUAL]]</f>
        <v>#DIV/0!</v>
      </c>
      <c r="AK27" s="653"/>
      <c r="AL27" s="110"/>
      <c r="AM27" s="110">
        <v>0</v>
      </c>
      <c r="AN27" s="110">
        <v>0</v>
      </c>
      <c r="AO27" s="110">
        <v>0</v>
      </c>
      <c r="AP27" s="110">
        <v>0</v>
      </c>
      <c r="AQ27" s="110">
        <v>0</v>
      </c>
      <c r="AR27" s="110">
        <v>0</v>
      </c>
      <c r="AS27" s="110">
        <v>0</v>
      </c>
      <c r="AT27" s="110">
        <v>0</v>
      </c>
      <c r="AU27" s="110">
        <v>0</v>
      </c>
      <c r="AV27" s="110">
        <f>SUBTOTAL(9,Cliente1916[[#This Row],[abr/25]:[dez/25]])</f>
        <v>0</v>
      </c>
    </row>
    <row r="28" spans="1:48" s="107" customFormat="1" ht="31.2" hidden="1" customHeight="1" thickTop="1" thickBot="1">
      <c r="B28" s="108" t="s">
        <v>355</v>
      </c>
      <c r="C28" s="108" t="s">
        <v>1993</v>
      </c>
      <c r="D28" s="109" t="s">
        <v>1185</v>
      </c>
      <c r="E28" s="118" t="s">
        <v>581</v>
      </c>
      <c r="F28" s="676" t="s">
        <v>1955</v>
      </c>
      <c r="G28" s="118" t="s">
        <v>27</v>
      </c>
      <c r="H28" s="109" t="s">
        <v>213</v>
      </c>
      <c r="I28" s="117" t="s">
        <v>1275</v>
      </c>
      <c r="J28" s="110" t="s">
        <v>1276</v>
      </c>
      <c r="K28" s="110" t="s">
        <v>1277</v>
      </c>
      <c r="L28" s="110" t="s">
        <v>1234</v>
      </c>
      <c r="M28" s="110" t="s">
        <v>1278</v>
      </c>
      <c r="N28" s="123" t="s">
        <v>1279</v>
      </c>
      <c r="O28" s="110" t="s">
        <v>1280</v>
      </c>
      <c r="P28" s="110"/>
      <c r="Q28" s="110"/>
      <c r="R28" s="108" t="s">
        <v>1281</v>
      </c>
      <c r="S28" s="111">
        <v>43928</v>
      </c>
      <c r="T28" s="112">
        <f>Cliente1916[[#This Row],[INICIO ]]+365</f>
        <v>44293</v>
      </c>
      <c r="U28" s="110" t="s">
        <v>1282</v>
      </c>
      <c r="V28" s="375">
        <v>6</v>
      </c>
      <c r="W28" s="114">
        <v>28330</v>
      </c>
      <c r="X28" s="114"/>
      <c r="Y28" s="114" t="s">
        <v>1185</v>
      </c>
      <c r="Z28" s="670">
        <v>0</v>
      </c>
      <c r="AA28" s="670">
        <v>0</v>
      </c>
      <c r="AB28" s="145">
        <v>0</v>
      </c>
      <c r="AC28" s="145">
        <v>0</v>
      </c>
      <c r="AD28" s="145">
        <v>0</v>
      </c>
      <c r="AE28" s="145">
        <v>0</v>
      </c>
      <c r="AF28" s="145">
        <v>0</v>
      </c>
      <c r="AG28" s="145">
        <v>0</v>
      </c>
      <c r="AH28" s="671">
        <f>SUBTOTAL(9,Cliente1916[[#This Row],[II         REMUNERAÇÃO]:[VIII             TRIBUTOS]])</f>
        <v>0</v>
      </c>
      <c r="AI28" s="671">
        <f>Cliente1916[[#This Row],[VALOR CONTRATUAL]]-Cliente1916[[#This Row],[TOTAL DESPESAS]]</f>
        <v>28330</v>
      </c>
      <c r="AJ28" s="651">
        <f>Cliente1916[[#This Row],[LUCRO LIQUIDO]]/Cliente1916[[#This Row],[VALOR CONTRATUAL]]</f>
        <v>1</v>
      </c>
      <c r="AK28" s="653"/>
      <c r="AL28" s="110"/>
      <c r="AM28" s="110">
        <v>0</v>
      </c>
      <c r="AN28" s="110">
        <v>0</v>
      </c>
      <c r="AO28" s="110">
        <v>0</v>
      </c>
      <c r="AP28" s="110">
        <v>0</v>
      </c>
      <c r="AQ28" s="110">
        <v>0</v>
      </c>
      <c r="AR28" s="110">
        <v>0</v>
      </c>
      <c r="AS28" s="110">
        <v>0</v>
      </c>
      <c r="AT28" s="110">
        <v>0</v>
      </c>
      <c r="AU28" s="110">
        <v>0</v>
      </c>
      <c r="AV28" s="110">
        <f>SUBTOTAL(9,Cliente1916[[#This Row],[abr/25]:[dez/25]])</f>
        <v>0</v>
      </c>
    </row>
    <row r="29" spans="1:48" s="107" customFormat="1" ht="31.2" hidden="1" customHeight="1" thickTop="1" thickBot="1">
      <c r="B29" s="108" t="s">
        <v>356</v>
      </c>
      <c r="C29" s="108" t="s">
        <v>1993</v>
      </c>
      <c r="D29" s="109" t="s">
        <v>1185</v>
      </c>
      <c r="E29" s="118" t="s">
        <v>581</v>
      </c>
      <c r="F29" s="676" t="s">
        <v>1951</v>
      </c>
      <c r="G29" s="118" t="s">
        <v>1470</v>
      </c>
      <c r="H29" s="109" t="s">
        <v>1283</v>
      </c>
      <c r="I29" s="117" t="s">
        <v>1284</v>
      </c>
      <c r="J29" s="110" t="s">
        <v>1285</v>
      </c>
      <c r="K29" s="110" t="s">
        <v>1286</v>
      </c>
      <c r="L29" s="110" t="s">
        <v>1223</v>
      </c>
      <c r="M29" s="110" t="s">
        <v>1287</v>
      </c>
      <c r="N29" s="128" t="s">
        <v>1288</v>
      </c>
      <c r="O29" s="110" t="s">
        <v>1289</v>
      </c>
      <c r="P29" s="110"/>
      <c r="Q29" s="110"/>
      <c r="R29" s="108">
        <v>0</v>
      </c>
      <c r="S29" s="111">
        <v>44410</v>
      </c>
      <c r="T29" s="112">
        <v>44484</v>
      </c>
      <c r="U29" s="108" t="s">
        <v>1290</v>
      </c>
      <c r="V29" s="374">
        <v>4</v>
      </c>
      <c r="W29" s="113">
        <v>0</v>
      </c>
      <c r="X29" s="119"/>
      <c r="Y29" s="114" t="s">
        <v>1185</v>
      </c>
      <c r="Z29" s="670">
        <v>0</v>
      </c>
      <c r="AA29" s="670">
        <v>0</v>
      </c>
      <c r="AB29" s="145">
        <v>0</v>
      </c>
      <c r="AC29" s="145">
        <v>0</v>
      </c>
      <c r="AD29" s="145">
        <v>0</v>
      </c>
      <c r="AE29" s="145">
        <v>0</v>
      </c>
      <c r="AF29" s="145">
        <v>0</v>
      </c>
      <c r="AG29" s="145">
        <v>0</v>
      </c>
      <c r="AH29" s="671">
        <f>SUBTOTAL(9,Cliente1916[[#This Row],[II         REMUNERAÇÃO]:[VIII             TRIBUTOS]])</f>
        <v>0</v>
      </c>
      <c r="AI29" s="671">
        <f>Cliente1916[[#This Row],[VALOR CONTRATUAL]]-Cliente1916[[#This Row],[TOTAL DESPESAS]]</f>
        <v>0</v>
      </c>
      <c r="AJ29" s="651" t="e">
        <f>Cliente1916[[#This Row],[LUCRO LIQUIDO]]/Cliente1916[[#This Row],[VALOR CONTRATUAL]]</f>
        <v>#DIV/0!</v>
      </c>
      <c r="AK29" s="653"/>
      <c r="AL29" s="110"/>
      <c r="AM29" s="110">
        <v>0</v>
      </c>
      <c r="AN29" s="110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0">
        <v>0</v>
      </c>
      <c r="AV29" s="110">
        <f>SUBTOTAL(9,Cliente1916[[#This Row],[abr/25]:[dez/25]])</f>
        <v>0</v>
      </c>
    </row>
    <row r="30" spans="1:48" s="107" customFormat="1" ht="31.2" hidden="1" customHeight="1" thickTop="1" thickBot="1">
      <c r="B30" s="108" t="s">
        <v>357</v>
      </c>
      <c r="C30" s="108" t="s">
        <v>1993</v>
      </c>
      <c r="D30" s="109" t="s">
        <v>1185</v>
      </c>
      <c r="E30" s="118" t="s">
        <v>581</v>
      </c>
      <c r="F30" s="676" t="s">
        <v>1951</v>
      </c>
      <c r="G30" s="118" t="s">
        <v>1473</v>
      </c>
      <c r="H30" s="109" t="s">
        <v>883</v>
      </c>
      <c r="I30" s="117" t="s">
        <v>883</v>
      </c>
      <c r="J30" s="110"/>
      <c r="K30" s="110"/>
      <c r="L30" s="110"/>
      <c r="M30" s="110"/>
      <c r="N30" s="129"/>
      <c r="O30" s="110"/>
      <c r="P30" s="110"/>
      <c r="Q30" s="110"/>
      <c r="R30" s="108"/>
      <c r="S30" s="111"/>
      <c r="T30" s="112"/>
      <c r="U30" s="108"/>
      <c r="V30" s="374">
        <v>0</v>
      </c>
      <c r="W30" s="113">
        <v>0</v>
      </c>
      <c r="X30" s="119"/>
      <c r="Y30" s="114" t="s">
        <v>1185</v>
      </c>
      <c r="Z30" s="670">
        <v>0</v>
      </c>
      <c r="AA30" s="670">
        <v>0</v>
      </c>
      <c r="AB30" s="145">
        <v>0</v>
      </c>
      <c r="AC30" s="145">
        <v>0</v>
      </c>
      <c r="AD30" s="145">
        <v>0</v>
      </c>
      <c r="AE30" s="145">
        <v>0</v>
      </c>
      <c r="AF30" s="145">
        <v>0</v>
      </c>
      <c r="AG30" s="145">
        <v>0</v>
      </c>
      <c r="AH30" s="671">
        <f>SUBTOTAL(9,Cliente1916[[#This Row],[II         REMUNERAÇÃO]:[VIII             TRIBUTOS]])</f>
        <v>0</v>
      </c>
      <c r="AI30" s="671">
        <f>Cliente1916[[#This Row],[VALOR CONTRATUAL]]-Cliente1916[[#This Row],[TOTAL DESPESAS]]</f>
        <v>0</v>
      </c>
      <c r="AJ30" s="651" t="e">
        <f>Cliente1916[[#This Row],[LUCRO LIQUIDO]]/Cliente1916[[#This Row],[VALOR CONTRATUAL]]</f>
        <v>#DIV/0!</v>
      </c>
      <c r="AK30" s="653"/>
      <c r="AL30" s="110"/>
      <c r="AM30" s="110">
        <v>0</v>
      </c>
      <c r="AN30" s="110">
        <v>0</v>
      </c>
      <c r="AO30" s="110">
        <v>0</v>
      </c>
      <c r="AP30" s="110">
        <v>0</v>
      </c>
      <c r="AQ30" s="110">
        <v>0</v>
      </c>
      <c r="AR30" s="110">
        <v>0</v>
      </c>
      <c r="AS30" s="110">
        <v>0</v>
      </c>
      <c r="AT30" s="110">
        <v>0</v>
      </c>
      <c r="AU30" s="110">
        <v>0</v>
      </c>
      <c r="AV30" s="110">
        <f>SUBTOTAL(9,Cliente1916[[#This Row],[abr/25]:[dez/25]])</f>
        <v>0</v>
      </c>
    </row>
    <row r="31" spans="1:48" s="107" customFormat="1" ht="31.2" hidden="1" customHeight="1" thickTop="1" thickBot="1">
      <c r="B31" s="108" t="s">
        <v>358</v>
      </c>
      <c r="C31" s="108" t="s">
        <v>1993</v>
      </c>
      <c r="D31" s="109" t="s">
        <v>1185</v>
      </c>
      <c r="E31" s="118" t="s">
        <v>581</v>
      </c>
      <c r="F31" s="676" t="s">
        <v>1952</v>
      </c>
      <c r="G31" s="118" t="s">
        <v>27</v>
      </c>
      <c r="H31" s="109" t="s">
        <v>49</v>
      </c>
      <c r="I31" s="117" t="s">
        <v>1291</v>
      </c>
      <c r="J31" s="110" t="s">
        <v>1292</v>
      </c>
      <c r="K31" s="110" t="s">
        <v>1293</v>
      </c>
      <c r="L31" s="110" t="s">
        <v>1294</v>
      </c>
      <c r="M31" s="110" t="s">
        <v>1295</v>
      </c>
      <c r="N31" s="126" t="s">
        <v>1296</v>
      </c>
      <c r="O31" s="110" t="s">
        <v>1297</v>
      </c>
      <c r="P31" s="110"/>
      <c r="Q31" s="110"/>
      <c r="R31" s="108" t="s">
        <v>1298</v>
      </c>
      <c r="S31" s="111">
        <v>44621</v>
      </c>
      <c r="T31" s="112">
        <f>Cliente1916[[#This Row],[INICIO ]]+720</f>
        <v>45341</v>
      </c>
      <c r="U31" s="110" t="s">
        <v>1209</v>
      </c>
      <c r="V31" s="375">
        <v>6</v>
      </c>
      <c r="W31" s="114">
        <v>29976</v>
      </c>
      <c r="X31" s="114"/>
      <c r="Y31" s="114" t="s">
        <v>1185</v>
      </c>
      <c r="Z31" s="670">
        <v>0</v>
      </c>
      <c r="AA31" s="670">
        <v>0</v>
      </c>
      <c r="AB31" s="145">
        <v>0</v>
      </c>
      <c r="AC31" s="145">
        <v>0</v>
      </c>
      <c r="AD31" s="145">
        <v>0</v>
      </c>
      <c r="AE31" s="145">
        <v>0</v>
      </c>
      <c r="AF31" s="145">
        <v>0</v>
      </c>
      <c r="AG31" s="145">
        <v>0</v>
      </c>
      <c r="AH31" s="671">
        <f>SUBTOTAL(9,Cliente1916[[#This Row],[II         REMUNERAÇÃO]:[VIII             TRIBUTOS]])</f>
        <v>0</v>
      </c>
      <c r="AI31" s="671">
        <f>Cliente1916[[#This Row],[VALOR CONTRATUAL]]-Cliente1916[[#This Row],[TOTAL DESPESAS]]</f>
        <v>29976</v>
      </c>
      <c r="AJ31" s="651">
        <f>Cliente1916[[#This Row],[LUCRO LIQUIDO]]/Cliente1916[[#This Row],[VALOR CONTRATUAL]]</f>
        <v>1</v>
      </c>
      <c r="AK31" s="653"/>
      <c r="AL31" s="110"/>
      <c r="AM31" s="110">
        <v>0</v>
      </c>
      <c r="AN31" s="110">
        <v>0</v>
      </c>
      <c r="AO31" s="110">
        <v>0</v>
      </c>
      <c r="AP31" s="110">
        <v>0</v>
      </c>
      <c r="AQ31" s="110">
        <v>0</v>
      </c>
      <c r="AR31" s="110">
        <v>0</v>
      </c>
      <c r="AS31" s="110">
        <v>0</v>
      </c>
      <c r="AT31" s="110">
        <v>0</v>
      </c>
      <c r="AU31" s="110">
        <v>0</v>
      </c>
      <c r="AV31" s="110">
        <f>SUBTOTAL(9,Cliente1916[[#This Row],[abr/25]:[dez/25]])</f>
        <v>0</v>
      </c>
    </row>
    <row r="32" spans="1:48" s="107" customFormat="1" ht="31.2" hidden="1" customHeight="1" thickTop="1" thickBot="1">
      <c r="B32" s="108" t="s">
        <v>320</v>
      </c>
      <c r="C32" s="108" t="s">
        <v>1993</v>
      </c>
      <c r="D32" s="109" t="s">
        <v>1185</v>
      </c>
      <c r="E32" s="118" t="s">
        <v>581</v>
      </c>
      <c r="F32" s="676" t="s">
        <v>1948</v>
      </c>
      <c r="G32" s="118" t="s">
        <v>27</v>
      </c>
      <c r="H32" s="109" t="s">
        <v>1186</v>
      </c>
      <c r="I32" s="117" t="s">
        <v>1187</v>
      </c>
      <c r="J32" s="110" t="s">
        <v>1188</v>
      </c>
      <c r="K32" s="110" t="s">
        <v>1189</v>
      </c>
      <c r="L32" s="110" t="s">
        <v>1190</v>
      </c>
      <c r="M32" s="110" t="s">
        <v>1191</v>
      </c>
      <c r="N32" s="123" t="s">
        <v>1192</v>
      </c>
      <c r="O32" s="110" t="s">
        <v>1193</v>
      </c>
      <c r="P32" s="110"/>
      <c r="Q32" s="110"/>
      <c r="R32" s="108" t="s">
        <v>1194</v>
      </c>
      <c r="S32" s="111">
        <v>43822</v>
      </c>
      <c r="T32" s="112">
        <f>Cliente1916[[#This Row],[INICIO ]]+365*2</f>
        <v>44552</v>
      </c>
      <c r="U32" s="110" t="s">
        <v>1299</v>
      </c>
      <c r="V32" s="375">
        <v>2</v>
      </c>
      <c r="W32" s="114">
        <v>11773.13</v>
      </c>
      <c r="X32" s="114"/>
      <c r="Y32" s="114" t="s">
        <v>1185</v>
      </c>
      <c r="Z32" s="670">
        <v>0</v>
      </c>
      <c r="AA32" s="670">
        <v>0</v>
      </c>
      <c r="AB32" s="145">
        <v>0</v>
      </c>
      <c r="AC32" s="145">
        <v>0</v>
      </c>
      <c r="AD32" s="145">
        <v>0</v>
      </c>
      <c r="AE32" s="145">
        <v>0</v>
      </c>
      <c r="AF32" s="145">
        <v>0</v>
      </c>
      <c r="AG32" s="145">
        <v>0</v>
      </c>
      <c r="AH32" s="671">
        <f>SUBTOTAL(9,Cliente1916[[#This Row],[II         REMUNERAÇÃO]:[VIII             TRIBUTOS]])</f>
        <v>0</v>
      </c>
      <c r="AI32" s="671">
        <f>Cliente1916[[#This Row],[VALOR CONTRATUAL]]-Cliente1916[[#This Row],[TOTAL DESPESAS]]</f>
        <v>11773.13</v>
      </c>
      <c r="AJ32" s="651">
        <f>Cliente1916[[#This Row],[LUCRO LIQUIDO]]/Cliente1916[[#This Row],[VALOR CONTRATUAL]]</f>
        <v>1</v>
      </c>
      <c r="AK32" s="653"/>
      <c r="AL32" s="110"/>
      <c r="AM32" s="110">
        <v>0</v>
      </c>
      <c r="AN32" s="110">
        <v>0</v>
      </c>
      <c r="AO32" s="110">
        <v>0</v>
      </c>
      <c r="AP32" s="110">
        <v>0</v>
      </c>
      <c r="AQ32" s="110">
        <v>0</v>
      </c>
      <c r="AR32" s="110">
        <v>0</v>
      </c>
      <c r="AS32" s="110">
        <v>0</v>
      </c>
      <c r="AT32" s="110">
        <v>0</v>
      </c>
      <c r="AU32" s="110">
        <v>0</v>
      </c>
      <c r="AV32" s="110">
        <f>SUBTOTAL(9,Cliente1916[[#This Row],[abr/25]:[dez/25]])</f>
        <v>0</v>
      </c>
    </row>
    <row r="33" spans="2:48" s="107" customFormat="1" ht="31.2" hidden="1" customHeight="1" thickTop="1" thickBot="1">
      <c r="B33" s="108" t="s">
        <v>321</v>
      </c>
      <c r="C33" s="108" t="s">
        <v>1993</v>
      </c>
      <c r="D33" s="109" t="s">
        <v>1185</v>
      </c>
      <c r="E33" s="118" t="s">
        <v>581</v>
      </c>
      <c r="F33" s="676" t="s">
        <v>1951</v>
      </c>
      <c r="G33" s="118" t="s">
        <v>27</v>
      </c>
      <c r="H33" s="109" t="s">
        <v>1300</v>
      </c>
      <c r="I33" s="117" t="s">
        <v>1301</v>
      </c>
      <c r="J33" s="110" t="s">
        <v>1302</v>
      </c>
      <c r="K33" s="110" t="s">
        <v>1303</v>
      </c>
      <c r="L33" s="110" t="s">
        <v>1294</v>
      </c>
      <c r="M33" s="110" t="s">
        <v>1304</v>
      </c>
      <c r="N33" s="123" t="s">
        <v>1305</v>
      </c>
      <c r="O33" s="110" t="s">
        <v>1306</v>
      </c>
      <c r="P33" s="110"/>
      <c r="Q33" s="110"/>
      <c r="R33" s="108" t="s">
        <v>1217</v>
      </c>
      <c r="S33" s="112">
        <v>44470</v>
      </c>
      <c r="T33" s="112">
        <f>Cliente1916[[#This Row],[INICIO ]]+365*2</f>
        <v>45200</v>
      </c>
      <c r="U33" s="110" t="s">
        <v>1209</v>
      </c>
      <c r="V33" s="375">
        <v>6</v>
      </c>
      <c r="W33" s="114">
        <v>26500</v>
      </c>
      <c r="X33" s="114"/>
      <c r="Y33" s="114" t="s">
        <v>1185</v>
      </c>
      <c r="Z33" s="670">
        <v>0</v>
      </c>
      <c r="AA33" s="670">
        <v>0</v>
      </c>
      <c r="AB33" s="145">
        <v>0</v>
      </c>
      <c r="AC33" s="145">
        <v>0</v>
      </c>
      <c r="AD33" s="145">
        <v>0</v>
      </c>
      <c r="AE33" s="145">
        <v>0</v>
      </c>
      <c r="AF33" s="145">
        <v>0</v>
      </c>
      <c r="AG33" s="145">
        <v>0</v>
      </c>
      <c r="AH33" s="671">
        <f>SUBTOTAL(9,Cliente1916[[#This Row],[II         REMUNERAÇÃO]:[VIII             TRIBUTOS]])</f>
        <v>0</v>
      </c>
      <c r="AI33" s="671">
        <f>Cliente1916[[#This Row],[VALOR CONTRATUAL]]-Cliente1916[[#This Row],[TOTAL DESPESAS]]</f>
        <v>26500</v>
      </c>
      <c r="AJ33" s="651">
        <f>Cliente1916[[#This Row],[LUCRO LIQUIDO]]/Cliente1916[[#This Row],[VALOR CONTRATUAL]]</f>
        <v>1</v>
      </c>
      <c r="AK33" s="653"/>
      <c r="AL33" s="110"/>
      <c r="AM33" s="110">
        <v>0</v>
      </c>
      <c r="AN33" s="110">
        <v>0</v>
      </c>
      <c r="AO33" s="110">
        <v>0</v>
      </c>
      <c r="AP33" s="110">
        <v>0</v>
      </c>
      <c r="AQ33" s="110">
        <v>0</v>
      </c>
      <c r="AR33" s="110">
        <v>0</v>
      </c>
      <c r="AS33" s="110">
        <v>0</v>
      </c>
      <c r="AT33" s="110">
        <v>0</v>
      </c>
      <c r="AU33" s="110">
        <v>0</v>
      </c>
      <c r="AV33" s="110">
        <f>SUBTOTAL(9,Cliente1916[[#This Row],[abr/25]:[dez/25]])</f>
        <v>0</v>
      </c>
    </row>
    <row r="34" spans="2:48" s="107" customFormat="1" ht="31.2" hidden="1" customHeight="1" thickTop="1" thickBot="1">
      <c r="B34" s="108" t="s">
        <v>322</v>
      </c>
      <c r="C34" s="108" t="s">
        <v>1993</v>
      </c>
      <c r="D34" s="109" t="s">
        <v>1185</v>
      </c>
      <c r="E34" s="118" t="s">
        <v>581</v>
      </c>
      <c r="F34" s="676" t="s">
        <v>1952</v>
      </c>
      <c r="G34" s="118" t="s">
        <v>27</v>
      </c>
      <c r="H34" s="109" t="s">
        <v>250</v>
      </c>
      <c r="I34" s="117" t="s">
        <v>1307</v>
      </c>
      <c r="J34" s="110" t="s">
        <v>1308</v>
      </c>
      <c r="K34" s="110" t="s">
        <v>1309</v>
      </c>
      <c r="L34" s="110" t="s">
        <v>1310</v>
      </c>
      <c r="M34" s="110" t="s">
        <v>1311</v>
      </c>
      <c r="N34" s="123" t="s">
        <v>1312</v>
      </c>
      <c r="O34" s="110" t="s">
        <v>1313</v>
      </c>
      <c r="P34" s="110"/>
      <c r="Q34" s="110"/>
      <c r="R34" s="108" t="s">
        <v>1314</v>
      </c>
      <c r="S34" s="111">
        <v>44621</v>
      </c>
      <c r="T34" s="112">
        <f>Cliente1916[[#This Row],[INICIO ]]+365*2</f>
        <v>45351</v>
      </c>
      <c r="U34" s="110" t="s">
        <v>1209</v>
      </c>
      <c r="V34" s="375">
        <v>6</v>
      </c>
      <c r="W34" s="114">
        <v>28718</v>
      </c>
      <c r="X34" s="114"/>
      <c r="Y34" s="114" t="s">
        <v>1185</v>
      </c>
      <c r="Z34" s="670">
        <v>0</v>
      </c>
      <c r="AA34" s="670">
        <v>0</v>
      </c>
      <c r="AB34" s="145">
        <v>0</v>
      </c>
      <c r="AC34" s="145">
        <v>0</v>
      </c>
      <c r="AD34" s="145">
        <v>0</v>
      </c>
      <c r="AE34" s="145">
        <v>0</v>
      </c>
      <c r="AF34" s="145">
        <v>0</v>
      </c>
      <c r="AG34" s="145">
        <v>0</v>
      </c>
      <c r="AH34" s="671">
        <f>SUBTOTAL(9,Cliente1916[[#This Row],[II         REMUNERAÇÃO]:[VIII             TRIBUTOS]])</f>
        <v>0</v>
      </c>
      <c r="AI34" s="671">
        <f>Cliente1916[[#This Row],[VALOR CONTRATUAL]]-Cliente1916[[#This Row],[TOTAL DESPESAS]]</f>
        <v>28718</v>
      </c>
      <c r="AJ34" s="651">
        <f>Cliente1916[[#This Row],[LUCRO LIQUIDO]]/Cliente1916[[#This Row],[VALOR CONTRATUAL]]</f>
        <v>1</v>
      </c>
      <c r="AK34" s="653"/>
      <c r="AL34" s="110"/>
      <c r="AM34" s="110">
        <v>0</v>
      </c>
      <c r="AN34" s="110">
        <v>0</v>
      </c>
      <c r="AO34" s="110">
        <v>0</v>
      </c>
      <c r="AP34" s="110">
        <v>0</v>
      </c>
      <c r="AQ34" s="110">
        <v>0</v>
      </c>
      <c r="AR34" s="110">
        <v>0</v>
      </c>
      <c r="AS34" s="110">
        <v>0</v>
      </c>
      <c r="AT34" s="110">
        <v>0</v>
      </c>
      <c r="AU34" s="110">
        <v>0</v>
      </c>
      <c r="AV34" s="110">
        <f>SUBTOTAL(9,Cliente1916[[#This Row],[abr/25]:[dez/25]])</f>
        <v>0</v>
      </c>
    </row>
    <row r="35" spans="2:48" s="107" customFormat="1" ht="31.2" hidden="1" customHeight="1" thickTop="1" thickBot="1">
      <c r="B35" s="108" t="s">
        <v>323</v>
      </c>
      <c r="C35" s="108" t="s">
        <v>1993</v>
      </c>
      <c r="D35" s="591" t="s">
        <v>1937</v>
      </c>
      <c r="E35" s="118" t="s">
        <v>581</v>
      </c>
      <c r="F35" s="676" t="s">
        <v>1955</v>
      </c>
      <c r="G35" s="118" t="s">
        <v>27</v>
      </c>
      <c r="H35" s="109" t="s">
        <v>218</v>
      </c>
      <c r="I35" s="117" t="s">
        <v>1315</v>
      </c>
      <c r="J35" s="110" t="s">
        <v>1316</v>
      </c>
      <c r="K35" s="110" t="s">
        <v>1317</v>
      </c>
      <c r="L35" s="110" t="s">
        <v>1318</v>
      </c>
      <c r="M35" s="110" t="s">
        <v>1319</v>
      </c>
      <c r="N35" s="126" t="s">
        <v>1320</v>
      </c>
      <c r="O35" s="110" t="s">
        <v>1313</v>
      </c>
      <c r="P35" s="110"/>
      <c r="Q35" s="110"/>
      <c r="R35" s="108" t="s">
        <v>1321</v>
      </c>
      <c r="S35" s="111">
        <v>43989</v>
      </c>
      <c r="T35" s="112">
        <f>Cliente1916[[#This Row],[INICIO ]]+365</f>
        <v>44354</v>
      </c>
      <c r="U35" s="110" t="s">
        <v>1209</v>
      </c>
      <c r="V35" s="375">
        <v>6</v>
      </c>
      <c r="W35" s="114">
        <v>33317</v>
      </c>
      <c r="X35" s="113" t="s">
        <v>235</v>
      </c>
      <c r="Y35" s="591" t="s">
        <v>1937</v>
      </c>
      <c r="Z35" s="670">
        <v>0</v>
      </c>
      <c r="AA35" s="670">
        <v>0</v>
      </c>
      <c r="AB35" s="145">
        <v>0</v>
      </c>
      <c r="AC35" s="145">
        <v>0</v>
      </c>
      <c r="AD35" s="145">
        <v>0</v>
      </c>
      <c r="AE35" s="145">
        <v>0</v>
      </c>
      <c r="AF35" s="145">
        <v>0</v>
      </c>
      <c r="AG35" s="145">
        <v>0</v>
      </c>
      <c r="AH35" s="671">
        <f>SUBTOTAL(9,Cliente1916[[#This Row],[II         REMUNERAÇÃO]:[VIII             TRIBUTOS]])</f>
        <v>0</v>
      </c>
      <c r="AI35" s="671">
        <f>Cliente1916[[#This Row],[VALOR CONTRATUAL]]-Cliente1916[[#This Row],[TOTAL DESPESAS]]</f>
        <v>33317</v>
      </c>
      <c r="AJ35" s="651">
        <f>Cliente1916[[#This Row],[LUCRO LIQUIDO]]/Cliente1916[[#This Row],[VALOR CONTRATUAL]]</f>
        <v>1</v>
      </c>
      <c r="AK35" s="653"/>
      <c r="AL35" s="110"/>
      <c r="AM35" s="110">
        <v>689.51</v>
      </c>
      <c r="AN35" s="110">
        <v>0</v>
      </c>
      <c r="AO35" s="110">
        <v>0</v>
      </c>
      <c r="AP35" s="110">
        <v>0</v>
      </c>
      <c r="AQ35" s="110">
        <v>0</v>
      </c>
      <c r="AR35" s="110">
        <v>0</v>
      </c>
      <c r="AS35" s="110">
        <v>0</v>
      </c>
      <c r="AT35" s="110">
        <v>0</v>
      </c>
      <c r="AU35" s="110">
        <v>0</v>
      </c>
      <c r="AV35" s="110">
        <f>SUBTOTAL(9,Cliente1916[[#This Row],[abr/25]:[dez/25]])</f>
        <v>0</v>
      </c>
    </row>
    <row r="36" spans="2:48" s="107" customFormat="1" ht="31.2" hidden="1" customHeight="1" thickTop="1" thickBot="1">
      <c r="B36" s="108" t="s">
        <v>334</v>
      </c>
      <c r="C36" s="108" t="s">
        <v>1993</v>
      </c>
      <c r="D36" s="109" t="s">
        <v>1185</v>
      </c>
      <c r="E36" s="118" t="s">
        <v>41</v>
      </c>
      <c r="F36" s="676" t="s">
        <v>1955</v>
      </c>
      <c r="G36" s="118" t="s">
        <v>1470</v>
      </c>
      <c r="H36" s="109" t="s">
        <v>1322</v>
      </c>
      <c r="I36" s="117" t="s">
        <v>1323</v>
      </c>
      <c r="J36" s="110" t="s">
        <v>1324</v>
      </c>
      <c r="K36" s="110" t="s">
        <v>1325</v>
      </c>
      <c r="L36" s="110" t="s">
        <v>1318</v>
      </c>
      <c r="M36" s="110" t="s">
        <v>1326</v>
      </c>
      <c r="N36" s="123" t="s">
        <v>1327</v>
      </c>
      <c r="O36" s="110"/>
      <c r="P36" s="110"/>
      <c r="Q36" s="110"/>
      <c r="R36" s="108">
        <v>0</v>
      </c>
      <c r="S36" s="111"/>
      <c r="T36" s="112"/>
      <c r="U36" s="108" t="s">
        <v>1290</v>
      </c>
      <c r="V36" s="375">
        <v>4</v>
      </c>
      <c r="W36" s="114">
        <v>0</v>
      </c>
      <c r="X36" s="120"/>
      <c r="Y36" s="114" t="s">
        <v>1185</v>
      </c>
      <c r="Z36" s="670">
        <v>0</v>
      </c>
      <c r="AA36" s="670">
        <v>0</v>
      </c>
      <c r="AB36" s="145">
        <v>0</v>
      </c>
      <c r="AC36" s="145">
        <v>0</v>
      </c>
      <c r="AD36" s="145">
        <v>0</v>
      </c>
      <c r="AE36" s="145">
        <v>0</v>
      </c>
      <c r="AF36" s="145">
        <v>0</v>
      </c>
      <c r="AG36" s="145">
        <v>0</v>
      </c>
      <c r="AH36" s="671">
        <f>SUBTOTAL(9,Cliente1916[[#This Row],[II         REMUNERAÇÃO]:[VIII             TRIBUTOS]])</f>
        <v>0</v>
      </c>
      <c r="AI36" s="671">
        <f>Cliente1916[[#This Row],[VALOR CONTRATUAL]]-Cliente1916[[#This Row],[TOTAL DESPESAS]]</f>
        <v>0</v>
      </c>
      <c r="AJ36" s="651" t="e">
        <f>Cliente1916[[#This Row],[LUCRO LIQUIDO]]/Cliente1916[[#This Row],[VALOR CONTRATUAL]]</f>
        <v>#DIV/0!</v>
      </c>
      <c r="AK36" s="653"/>
      <c r="AL36" s="110"/>
      <c r="AM36" s="110">
        <v>0</v>
      </c>
      <c r="AN36" s="110">
        <v>0</v>
      </c>
      <c r="AO36" s="110">
        <v>0</v>
      </c>
      <c r="AP36" s="110">
        <v>0</v>
      </c>
      <c r="AQ36" s="110">
        <v>0</v>
      </c>
      <c r="AR36" s="110">
        <v>0</v>
      </c>
      <c r="AS36" s="110">
        <v>0</v>
      </c>
      <c r="AT36" s="110">
        <v>0</v>
      </c>
      <c r="AU36" s="110">
        <v>0</v>
      </c>
      <c r="AV36" s="110">
        <f>SUBTOTAL(9,Cliente1916[[#This Row],[abr/25]:[dez/25]])</f>
        <v>0</v>
      </c>
    </row>
    <row r="37" spans="2:48" s="107" customFormat="1" ht="31.2" hidden="1" customHeight="1" thickTop="1" thickBot="1">
      <c r="B37" s="108" t="s">
        <v>335</v>
      </c>
      <c r="C37" s="108" t="s">
        <v>1993</v>
      </c>
      <c r="D37" s="591" t="s">
        <v>1937</v>
      </c>
      <c r="E37" s="118" t="s">
        <v>41</v>
      </c>
      <c r="F37" s="676" t="s">
        <v>1952</v>
      </c>
      <c r="G37" s="118" t="s">
        <v>27</v>
      </c>
      <c r="H37" s="109" t="s">
        <v>941</v>
      </c>
      <c r="I37" s="117" t="s">
        <v>1328</v>
      </c>
      <c r="J37" s="110" t="s">
        <v>1329</v>
      </c>
      <c r="K37" s="110" t="s">
        <v>1330</v>
      </c>
      <c r="L37" s="110" t="s">
        <v>1331</v>
      </c>
      <c r="M37" s="110" t="s">
        <v>1332</v>
      </c>
      <c r="N37" s="126" t="s">
        <v>1333</v>
      </c>
      <c r="O37" s="110"/>
      <c r="P37" s="110"/>
      <c r="Q37" s="110"/>
      <c r="R37" s="108" t="s">
        <v>1314</v>
      </c>
      <c r="S37" s="111">
        <v>44855</v>
      </c>
      <c r="T37" s="112">
        <f>Cliente1916[[#This Row],[INICIO ]]+365*2</f>
        <v>45585</v>
      </c>
      <c r="U37" s="108" t="s">
        <v>1238</v>
      </c>
      <c r="V37" s="374">
        <v>1</v>
      </c>
      <c r="W37" s="114">
        <v>5928</v>
      </c>
      <c r="X37" s="120"/>
      <c r="Y37" s="114" t="s">
        <v>1937</v>
      </c>
      <c r="Z37" s="135">
        <v>1775.88</v>
      </c>
      <c r="AA37" s="135">
        <v>1896.9627272727273</v>
      </c>
      <c r="AB37" s="135">
        <v>1405.9480516363637</v>
      </c>
      <c r="AC37" s="135">
        <v>1457.4572000000001</v>
      </c>
      <c r="AD37" s="135">
        <v>68.333333333333343</v>
      </c>
      <c r="AE37" s="135">
        <v>344.54199333333315</v>
      </c>
      <c r="AF37" s="135">
        <v>182.61548868682422</v>
      </c>
      <c r="AG37" s="135">
        <v>572.04247221509593</v>
      </c>
      <c r="AH37" s="671">
        <f>SUBTOTAL(9,Cliente1916[[#This Row],[II         REMUNERAÇÃO]:[VIII             TRIBUTOS]])</f>
        <v>0</v>
      </c>
      <c r="AI37" s="671">
        <f>Cliente1916[[#This Row],[VALOR CONTRATUAL]]-Cliente1916[[#This Row],[TOTAL DESPESAS]]</f>
        <v>5928</v>
      </c>
      <c r="AJ37" s="651">
        <f>Cliente1916[[#This Row],[LUCRO LIQUIDO]]/Cliente1916[[#This Row],[VALOR CONTRATUAL]]</f>
        <v>1</v>
      </c>
      <c r="AK37" s="653"/>
      <c r="AL37" s="110"/>
      <c r="AM37" s="110">
        <v>0</v>
      </c>
      <c r="AN37" s="110">
        <v>0</v>
      </c>
      <c r="AO37" s="110">
        <v>0</v>
      </c>
      <c r="AP37" s="110">
        <v>0</v>
      </c>
      <c r="AQ37" s="110">
        <v>0</v>
      </c>
      <c r="AR37" s="110">
        <v>0</v>
      </c>
      <c r="AS37" s="110">
        <v>0</v>
      </c>
      <c r="AT37" s="110">
        <v>0</v>
      </c>
      <c r="AU37" s="110">
        <v>0</v>
      </c>
      <c r="AV37" s="110">
        <f>SUBTOTAL(9,Cliente1916[[#This Row],[abr/25]:[dez/25]])</f>
        <v>0</v>
      </c>
    </row>
    <row r="38" spans="2:48" s="107" customFormat="1" ht="31.2" customHeight="1" thickTop="1" thickBot="1">
      <c r="B38" s="108" t="s">
        <v>336</v>
      </c>
      <c r="C38" s="108" t="s">
        <v>1993</v>
      </c>
      <c r="D38" s="118" t="s">
        <v>1196</v>
      </c>
      <c r="E38" s="118" t="s">
        <v>41</v>
      </c>
      <c r="F38" s="676" t="s">
        <v>1952</v>
      </c>
      <c r="G38" s="677" t="s">
        <v>27</v>
      </c>
      <c r="H38" s="109" t="s">
        <v>982</v>
      </c>
      <c r="I38" s="117" t="s">
        <v>1334</v>
      </c>
      <c r="J38" s="110" t="s">
        <v>1335</v>
      </c>
      <c r="K38" s="852"/>
      <c r="L38" s="110" t="s">
        <v>1336</v>
      </c>
      <c r="M38" s="110" t="s">
        <v>1337</v>
      </c>
      <c r="N38" s="126" t="s">
        <v>1338</v>
      </c>
      <c r="O38" s="110"/>
      <c r="P38" s="110"/>
      <c r="Q38" s="110"/>
      <c r="R38" s="108" t="s">
        <v>1298</v>
      </c>
      <c r="S38" s="111">
        <v>44866</v>
      </c>
      <c r="T38" s="112">
        <f>Cliente1916[[#This Row],[INICIO ]]+365*2</f>
        <v>45596</v>
      </c>
      <c r="U38" s="108" t="s">
        <v>1238</v>
      </c>
      <c r="V38" s="678">
        <v>1</v>
      </c>
      <c r="W38" s="114">
        <v>7054</v>
      </c>
      <c r="X38" s="113" t="s">
        <v>225</v>
      </c>
      <c r="Y38" s="108" t="s">
        <v>2645</v>
      </c>
      <c r="Z38" s="135">
        <v>1900.2</v>
      </c>
      <c r="AA38" s="135">
        <v>1900.2</v>
      </c>
      <c r="AB38" s="135">
        <v>1468.0945200000001</v>
      </c>
      <c r="AC38" s="135">
        <v>1401.4280000000001</v>
      </c>
      <c r="AD38" s="135">
        <v>70.333333333333343</v>
      </c>
      <c r="AE38" s="135">
        <v>411.33245454545465</v>
      </c>
      <c r="AF38" s="135">
        <v>105.55290498836364</v>
      </c>
      <c r="AG38" s="135">
        <v>1048.5845707836334</v>
      </c>
      <c r="AH38" s="671">
        <f>SUBTOTAL(9,Cliente1916[[#This Row],[II         REMUNERAÇÃO]:[VIII             TRIBUTOS]])</f>
        <v>6405.5257836507844</v>
      </c>
      <c r="AI38" s="671">
        <f>Cliente1916[[#This Row],[VALOR CONTRATUAL]]-Cliente1916[[#This Row],[TOTAL DESPESAS]]</f>
        <v>648.47421634921557</v>
      </c>
      <c r="AJ38" s="651">
        <f>Cliente1916[[#This Row],[LUCRO LIQUIDO]]/Cliente1916[[#This Row],[VALOR CONTRATUAL]]</f>
        <v>9.1929999482451882E-2</v>
      </c>
      <c r="AK38" s="653"/>
      <c r="AL38" s="110"/>
      <c r="AM38" s="110">
        <v>601.99</v>
      </c>
      <c r="AN38" s="110">
        <v>601.99</v>
      </c>
      <c r="AO38" s="110">
        <v>601.99</v>
      </c>
      <c r="AP38" s="110">
        <v>0</v>
      </c>
      <c r="AQ38" s="110">
        <v>0</v>
      </c>
      <c r="AR38" s="110">
        <v>0</v>
      </c>
      <c r="AS38" s="110">
        <v>0</v>
      </c>
      <c r="AT38" s="110">
        <v>0</v>
      </c>
      <c r="AU38" s="110">
        <v>0</v>
      </c>
      <c r="AV38" s="116">
        <f>SUBTOTAL(9,Cliente1916[[#This Row],[abr/25]:[dez/25]])</f>
        <v>1805.97</v>
      </c>
    </row>
    <row r="39" spans="2:48" s="107" customFormat="1" ht="31.2" hidden="1" customHeight="1" thickTop="1" thickBot="1">
      <c r="B39" s="108" t="s">
        <v>337</v>
      </c>
      <c r="C39" s="108" t="s">
        <v>1993</v>
      </c>
      <c r="D39" s="109" t="s">
        <v>1185</v>
      </c>
      <c r="E39" s="118" t="s">
        <v>41</v>
      </c>
      <c r="F39" s="676" t="s">
        <v>1953</v>
      </c>
      <c r="G39" s="118" t="s">
        <v>27</v>
      </c>
      <c r="H39" s="109" t="s">
        <v>1002</v>
      </c>
      <c r="I39" s="117" t="s">
        <v>1339</v>
      </c>
      <c r="J39" s="110" t="s">
        <v>1340</v>
      </c>
      <c r="K39" s="110" t="s">
        <v>1341</v>
      </c>
      <c r="L39" s="110" t="s">
        <v>1318</v>
      </c>
      <c r="M39" s="110" t="s">
        <v>1342</v>
      </c>
      <c r="N39" s="123" t="s">
        <v>1343</v>
      </c>
      <c r="O39" s="110"/>
      <c r="P39" s="110"/>
      <c r="Q39" s="110"/>
      <c r="R39" s="108" t="s">
        <v>1344</v>
      </c>
      <c r="S39" s="111">
        <v>44927</v>
      </c>
      <c r="T39" s="112">
        <f>Cliente1916[[#This Row],[INICIO ]]+365*2</f>
        <v>45657</v>
      </c>
      <c r="U39" s="110" t="s">
        <v>1345</v>
      </c>
      <c r="V39" s="375">
        <v>4</v>
      </c>
      <c r="W39" s="114">
        <v>19359</v>
      </c>
      <c r="X39" s="114"/>
      <c r="Y39" s="114" t="s">
        <v>1185</v>
      </c>
      <c r="Z39" s="670">
        <v>0</v>
      </c>
      <c r="AA39" s="670">
        <v>0</v>
      </c>
      <c r="AB39" s="145">
        <v>0</v>
      </c>
      <c r="AC39" s="145">
        <v>0</v>
      </c>
      <c r="AD39" s="145">
        <v>0</v>
      </c>
      <c r="AE39" s="145">
        <v>0</v>
      </c>
      <c r="AF39" s="145">
        <v>0</v>
      </c>
      <c r="AG39" s="145">
        <v>0</v>
      </c>
      <c r="AH39" s="671">
        <f>SUBTOTAL(9,Cliente1916[[#This Row],[II         REMUNERAÇÃO]:[VIII             TRIBUTOS]])</f>
        <v>0</v>
      </c>
      <c r="AI39" s="671">
        <f>Cliente1916[[#This Row],[VALOR CONTRATUAL]]-Cliente1916[[#This Row],[TOTAL DESPESAS]]</f>
        <v>19359</v>
      </c>
      <c r="AJ39" s="651">
        <f>Cliente1916[[#This Row],[LUCRO LIQUIDO]]/Cliente1916[[#This Row],[VALOR CONTRATUAL]]</f>
        <v>1</v>
      </c>
      <c r="AK39" s="653"/>
      <c r="AL39" s="110"/>
      <c r="AM39" s="110">
        <v>0</v>
      </c>
      <c r="AN39" s="110">
        <v>0</v>
      </c>
      <c r="AO39" s="110">
        <v>0</v>
      </c>
      <c r="AP39" s="110">
        <v>0</v>
      </c>
      <c r="AQ39" s="110">
        <v>0</v>
      </c>
      <c r="AR39" s="110">
        <v>0</v>
      </c>
      <c r="AS39" s="110">
        <v>0</v>
      </c>
      <c r="AT39" s="110">
        <v>0</v>
      </c>
      <c r="AU39" s="110">
        <v>0</v>
      </c>
      <c r="AV39" s="110">
        <f>SUBTOTAL(9,Cliente1916[[#This Row],[abr/25]:[dez/25]])</f>
        <v>0</v>
      </c>
    </row>
    <row r="40" spans="2:48" s="131" customFormat="1" ht="31.2" hidden="1" customHeight="1" thickTop="1" thickBot="1">
      <c r="B40" s="108" t="s">
        <v>338</v>
      </c>
      <c r="C40" s="108" t="s">
        <v>1993</v>
      </c>
      <c r="D40" s="591" t="s">
        <v>1937</v>
      </c>
      <c r="E40" s="118" t="s">
        <v>41</v>
      </c>
      <c r="F40" s="676" t="s">
        <v>1953</v>
      </c>
      <c r="G40" s="677" t="s">
        <v>27</v>
      </c>
      <c r="H40" s="683" t="s">
        <v>1003</v>
      </c>
      <c r="I40" s="130" t="s">
        <v>1346</v>
      </c>
      <c r="J40" s="130" t="s">
        <v>1347</v>
      </c>
      <c r="K40" s="852" t="s">
        <v>1348</v>
      </c>
      <c r="L40" s="110" t="s">
        <v>1331</v>
      </c>
      <c r="M40" s="130" t="s">
        <v>1349</v>
      </c>
      <c r="N40" s="130" t="s">
        <v>1350</v>
      </c>
      <c r="O40" s="130"/>
      <c r="P40" s="130"/>
      <c r="Q40" s="130"/>
      <c r="R40" s="108" t="s">
        <v>1351</v>
      </c>
      <c r="S40" s="111">
        <v>44931</v>
      </c>
      <c r="T40" s="112">
        <f>Cliente1916[[#This Row],[INICIO ]]+365*2</f>
        <v>45661</v>
      </c>
      <c r="U40" s="110" t="s">
        <v>1352</v>
      </c>
      <c r="V40" s="679">
        <v>3</v>
      </c>
      <c r="W40" s="114">
        <v>18185</v>
      </c>
      <c r="X40" s="113" t="s">
        <v>235</v>
      </c>
      <c r="Y40" s="620" t="s">
        <v>1922</v>
      </c>
      <c r="Z40" s="135">
        <v>5700.6</v>
      </c>
      <c r="AA40" s="135">
        <v>5700.6</v>
      </c>
      <c r="AB40" s="135">
        <v>4404.2835599999999</v>
      </c>
      <c r="AC40" s="135">
        <v>3078.2840000000001</v>
      </c>
      <c r="AD40" s="135">
        <v>211.00000000000003</v>
      </c>
      <c r="AE40" s="135">
        <v>1514.3141212121213</v>
      </c>
      <c r="AF40" s="135">
        <v>299.66048179236367</v>
      </c>
      <c r="AG40" s="135">
        <v>2976.8897191006031</v>
      </c>
      <c r="AH40" s="671">
        <f>SUBTOTAL(9,Cliente1916[[#This Row],[II         REMUNERAÇÃO]:[VIII             TRIBUTOS]])</f>
        <v>0</v>
      </c>
      <c r="AI40" s="671">
        <f>Cliente1916[[#This Row],[VALOR CONTRATUAL]]-Cliente1916[[#This Row],[TOTAL DESPESAS]]</f>
        <v>18185</v>
      </c>
      <c r="AJ40" s="651">
        <f>Cliente1916[[#This Row],[LUCRO LIQUIDO]]/Cliente1916[[#This Row],[VALOR CONTRATUAL]]</f>
        <v>1</v>
      </c>
      <c r="AK40" s="653"/>
      <c r="AL40" s="110"/>
      <c r="AM40" s="110">
        <v>1268.99</v>
      </c>
      <c r="AN40" s="110">
        <f>347.04+962.05+259.53-65</f>
        <v>1503.62</v>
      </c>
      <c r="AO40" s="110">
        <f>444.72-65</f>
        <v>379.72</v>
      </c>
      <c r="AP40" s="110">
        <v>0</v>
      </c>
      <c r="AQ40" s="110">
        <v>0</v>
      </c>
      <c r="AR40" s="110">
        <v>0</v>
      </c>
      <c r="AS40" s="110">
        <v>0</v>
      </c>
      <c r="AT40" s="110">
        <v>0</v>
      </c>
      <c r="AU40" s="110">
        <v>0</v>
      </c>
      <c r="AV40" s="116">
        <f>SUBTOTAL(9,Cliente1916[[#This Row],[abr/25]:[dez/25]])</f>
        <v>0</v>
      </c>
    </row>
    <row r="41" spans="2:48" ht="31.2" hidden="1" customHeight="1" thickTop="1" thickBot="1">
      <c r="B41" s="108" t="s">
        <v>339</v>
      </c>
      <c r="C41" s="108" t="s">
        <v>1993</v>
      </c>
      <c r="D41" s="591" t="s">
        <v>1937</v>
      </c>
      <c r="E41" s="118" t="s">
        <v>581</v>
      </c>
      <c r="F41" s="676" t="s">
        <v>1953</v>
      </c>
      <c r="G41" s="118" t="s">
        <v>37</v>
      </c>
      <c r="H41" s="677" t="s">
        <v>1070</v>
      </c>
      <c r="I41" s="132" t="s">
        <v>1353</v>
      </c>
      <c r="J41" s="130"/>
      <c r="K41" s="130"/>
      <c r="L41" s="130" t="s">
        <v>1354</v>
      </c>
      <c r="M41" s="130" t="s">
        <v>1355</v>
      </c>
      <c r="N41" s="133"/>
      <c r="O41" s="130"/>
      <c r="P41" s="130"/>
      <c r="Q41" s="130"/>
      <c r="R41" s="130">
        <v>0</v>
      </c>
      <c r="S41" s="111">
        <v>44936</v>
      </c>
      <c r="T41" s="112">
        <f>Cliente1916[[#This Row],[INICIO ]]+365*1</f>
        <v>45301</v>
      </c>
      <c r="U41" s="130" t="s">
        <v>37</v>
      </c>
      <c r="V41" s="375">
        <v>3</v>
      </c>
      <c r="W41" s="135">
        <v>1380</v>
      </c>
      <c r="X41" s="145" t="s">
        <v>225</v>
      </c>
      <c r="Y41" s="145" t="s">
        <v>1921</v>
      </c>
      <c r="Z41" s="670">
        <v>0</v>
      </c>
      <c r="AA41" s="670">
        <v>0</v>
      </c>
      <c r="AB41" s="145">
        <v>0</v>
      </c>
      <c r="AC41" s="145">
        <v>0</v>
      </c>
      <c r="AD41" s="145">
        <v>0</v>
      </c>
      <c r="AE41" s="145">
        <v>0</v>
      </c>
      <c r="AF41" s="145">
        <v>0</v>
      </c>
      <c r="AG41" s="145">
        <v>0</v>
      </c>
      <c r="AH41" s="671">
        <f>SUBTOTAL(9,Cliente1916[[#This Row],[II         REMUNERAÇÃO]:[VIII             TRIBUTOS]])</f>
        <v>0</v>
      </c>
      <c r="AI41" s="671">
        <f>Cliente1916[[#This Row],[VALOR CONTRATUAL]]-Cliente1916[[#This Row],[TOTAL DESPESAS]]</f>
        <v>1380</v>
      </c>
      <c r="AJ41" s="651">
        <f>Cliente1916[[#This Row],[LUCRO LIQUIDO]]/Cliente1916[[#This Row],[VALOR CONTRATUAL]]</f>
        <v>1</v>
      </c>
      <c r="AK41" s="653"/>
      <c r="AL41" s="110"/>
      <c r="AM41" s="110">
        <v>0</v>
      </c>
      <c r="AN41" s="110">
        <v>0</v>
      </c>
      <c r="AO41" s="110">
        <v>0</v>
      </c>
      <c r="AP41" s="110">
        <v>0</v>
      </c>
      <c r="AQ41" s="110">
        <v>0</v>
      </c>
      <c r="AR41" s="110">
        <v>0</v>
      </c>
      <c r="AS41" s="110">
        <v>0</v>
      </c>
      <c r="AT41" s="110">
        <v>0</v>
      </c>
      <c r="AU41" s="110">
        <v>0</v>
      </c>
      <c r="AV41" s="110">
        <f>SUBTOTAL(9,Cliente1916[[#This Row],[abr/25]:[dez/25]])</f>
        <v>0</v>
      </c>
    </row>
    <row r="42" spans="2:48" ht="31.2" hidden="1" customHeight="1" thickTop="1" thickBot="1">
      <c r="B42" s="108" t="s">
        <v>340</v>
      </c>
      <c r="C42" s="108" t="s">
        <v>1993</v>
      </c>
      <c r="D42" s="109" t="s">
        <v>1185</v>
      </c>
      <c r="E42" s="118" t="s">
        <v>581</v>
      </c>
      <c r="F42" s="676" t="s">
        <v>1953</v>
      </c>
      <c r="G42" s="118" t="s">
        <v>1475</v>
      </c>
      <c r="H42" s="677" t="s">
        <v>1356</v>
      </c>
      <c r="I42" s="132" t="s">
        <v>1357</v>
      </c>
      <c r="J42" s="130"/>
      <c r="K42" s="130"/>
      <c r="L42" s="130" t="s">
        <v>1354</v>
      </c>
      <c r="M42" s="130" t="s">
        <v>1358</v>
      </c>
      <c r="N42" s="133"/>
      <c r="O42" s="130"/>
      <c r="P42" s="130"/>
      <c r="Q42" s="130"/>
      <c r="R42" s="130"/>
      <c r="S42" s="111"/>
      <c r="T42" s="111"/>
      <c r="U42" s="130"/>
      <c r="V42" s="375">
        <v>0</v>
      </c>
      <c r="W42" s="114">
        <v>0</v>
      </c>
      <c r="X42" s="120"/>
      <c r="Y42" s="114" t="s">
        <v>1185</v>
      </c>
      <c r="Z42" s="670">
        <v>0</v>
      </c>
      <c r="AA42" s="670">
        <v>0</v>
      </c>
      <c r="AB42" s="145">
        <v>0</v>
      </c>
      <c r="AC42" s="145">
        <v>0</v>
      </c>
      <c r="AD42" s="145">
        <v>0</v>
      </c>
      <c r="AE42" s="145">
        <v>0</v>
      </c>
      <c r="AF42" s="145">
        <v>0</v>
      </c>
      <c r="AG42" s="145">
        <v>0</v>
      </c>
      <c r="AH42" s="671">
        <f>SUBTOTAL(9,Cliente1916[[#This Row],[II         REMUNERAÇÃO]:[VIII             TRIBUTOS]])</f>
        <v>0</v>
      </c>
      <c r="AI42" s="671">
        <f>Cliente1916[[#This Row],[VALOR CONTRATUAL]]-Cliente1916[[#This Row],[TOTAL DESPESAS]]</f>
        <v>0</v>
      </c>
      <c r="AJ42" s="651" t="e">
        <f>Cliente1916[[#This Row],[LUCRO LIQUIDO]]/Cliente1916[[#This Row],[VALOR CONTRATUAL]]</f>
        <v>#DIV/0!</v>
      </c>
      <c r="AK42" s="653"/>
      <c r="AL42" s="110"/>
      <c r="AM42" s="110">
        <v>0</v>
      </c>
      <c r="AN42" s="110">
        <v>0</v>
      </c>
      <c r="AO42" s="110">
        <v>0</v>
      </c>
      <c r="AP42" s="110">
        <v>0</v>
      </c>
      <c r="AQ42" s="110">
        <v>0</v>
      </c>
      <c r="AR42" s="110">
        <v>0</v>
      </c>
      <c r="AS42" s="110">
        <v>0</v>
      </c>
      <c r="AT42" s="110">
        <v>0</v>
      </c>
      <c r="AU42" s="110">
        <v>0</v>
      </c>
      <c r="AV42" s="110">
        <f>SUBTOTAL(9,Cliente1916[[#This Row],[abr/25]:[dez/25]])</f>
        <v>0</v>
      </c>
    </row>
    <row r="43" spans="2:48" ht="31.2" hidden="1" customHeight="1" thickTop="1" thickBot="1">
      <c r="B43" s="108" t="s">
        <v>341</v>
      </c>
      <c r="C43" s="108" t="s">
        <v>1993</v>
      </c>
      <c r="D43" s="591" t="s">
        <v>1937</v>
      </c>
      <c r="E43" s="677" t="s">
        <v>41</v>
      </c>
      <c r="F43" s="676" t="s">
        <v>1953</v>
      </c>
      <c r="G43" s="677" t="s">
        <v>1474</v>
      </c>
      <c r="H43" s="677" t="s">
        <v>1050</v>
      </c>
      <c r="I43" s="132" t="s">
        <v>1510</v>
      </c>
      <c r="J43" s="134" t="s">
        <v>1511</v>
      </c>
      <c r="K43" s="134" t="s">
        <v>1512</v>
      </c>
      <c r="L43" s="130" t="s">
        <v>1190</v>
      </c>
      <c r="M43" s="130" t="s">
        <v>1513</v>
      </c>
      <c r="N43" s="130" t="s">
        <v>1514</v>
      </c>
      <c r="O43" s="130"/>
      <c r="P43" s="130"/>
      <c r="Q43" s="130"/>
      <c r="R43" s="108" t="s">
        <v>1509</v>
      </c>
      <c r="S43" s="111">
        <v>45005</v>
      </c>
      <c r="T43" s="141" t="s">
        <v>1516</v>
      </c>
      <c r="U43" s="132" t="s">
        <v>1515</v>
      </c>
      <c r="V43" s="376">
        <v>12</v>
      </c>
      <c r="W43" s="114">
        <v>1253.67</v>
      </c>
      <c r="X43" s="113" t="s">
        <v>225</v>
      </c>
      <c r="Y43" s="620" t="s">
        <v>1922</v>
      </c>
      <c r="Z43" s="670">
        <v>0</v>
      </c>
      <c r="AA43" s="670">
        <v>0</v>
      </c>
      <c r="AB43" s="145">
        <v>0</v>
      </c>
      <c r="AC43" s="145">
        <v>0</v>
      </c>
      <c r="AD43" s="145">
        <v>0</v>
      </c>
      <c r="AE43" s="145">
        <v>0</v>
      </c>
      <c r="AF43" s="145">
        <v>0</v>
      </c>
      <c r="AG43" s="145">
        <v>0</v>
      </c>
      <c r="AH43" s="671">
        <f>SUBTOTAL(9,Cliente1916[[#This Row],[II         REMUNERAÇÃO]:[VIII             TRIBUTOS]])</f>
        <v>0</v>
      </c>
      <c r="AI43" s="671">
        <f>Cliente1916[[#This Row],[VALOR CONTRATUAL]]-Cliente1916[[#This Row],[TOTAL DESPESAS]]</f>
        <v>1253.67</v>
      </c>
      <c r="AJ43" s="651">
        <f>Cliente1916[[#This Row],[LUCRO LIQUIDO]]/Cliente1916[[#This Row],[VALOR CONTRATUAL]]</f>
        <v>1</v>
      </c>
      <c r="AK43" s="653"/>
      <c r="AL43" s="110"/>
      <c r="AM43" s="110">
        <v>2311.1</v>
      </c>
      <c r="AN43" s="110">
        <v>0</v>
      </c>
      <c r="AO43" s="110">
        <v>0</v>
      </c>
      <c r="AP43" s="110">
        <v>0</v>
      </c>
      <c r="AQ43" s="110">
        <v>0</v>
      </c>
      <c r="AR43" s="110">
        <v>0</v>
      </c>
      <c r="AS43" s="110">
        <v>0</v>
      </c>
      <c r="AT43" s="110">
        <v>0</v>
      </c>
      <c r="AU43" s="110">
        <v>0</v>
      </c>
      <c r="AV43" s="110">
        <f>SUBTOTAL(9,Cliente1916[[#This Row],[abr/25]:[dez/25]])</f>
        <v>0</v>
      </c>
    </row>
    <row r="44" spans="2:48" ht="31.2" hidden="1" customHeight="1" thickTop="1" thickBot="1">
      <c r="B44" s="108" t="s">
        <v>359</v>
      </c>
      <c r="C44" s="108" t="s">
        <v>1993</v>
      </c>
      <c r="D44" s="109" t="s">
        <v>1185</v>
      </c>
      <c r="E44" s="118" t="s">
        <v>581</v>
      </c>
      <c r="F44" s="676" t="s">
        <v>1953</v>
      </c>
      <c r="G44" s="118" t="s">
        <v>1475</v>
      </c>
      <c r="H44" s="677" t="s">
        <v>1359</v>
      </c>
      <c r="I44" s="132" t="s">
        <v>1359</v>
      </c>
      <c r="J44" s="130" t="s">
        <v>1360</v>
      </c>
      <c r="K44" s="130" t="s">
        <v>1360</v>
      </c>
      <c r="L44" s="130"/>
      <c r="M44" s="130" t="s">
        <v>1361</v>
      </c>
      <c r="N44" s="133"/>
      <c r="O44" s="130"/>
      <c r="P44" s="130"/>
      <c r="Q44" s="130"/>
      <c r="R44" s="130"/>
      <c r="S44" s="111"/>
      <c r="T44" s="111"/>
      <c r="U44" s="130"/>
      <c r="V44" s="375">
        <v>0</v>
      </c>
      <c r="W44" s="114">
        <v>0</v>
      </c>
      <c r="X44" s="120"/>
      <c r="Y44" s="114" t="s">
        <v>1185</v>
      </c>
      <c r="Z44" s="670">
        <v>0</v>
      </c>
      <c r="AA44" s="670">
        <v>0</v>
      </c>
      <c r="AB44" s="145">
        <v>0</v>
      </c>
      <c r="AC44" s="145">
        <v>0</v>
      </c>
      <c r="AD44" s="145">
        <v>0</v>
      </c>
      <c r="AE44" s="145">
        <v>0</v>
      </c>
      <c r="AF44" s="145">
        <v>0</v>
      </c>
      <c r="AG44" s="145">
        <v>0</v>
      </c>
      <c r="AH44" s="671">
        <f>SUBTOTAL(9,Cliente1916[[#This Row],[II         REMUNERAÇÃO]:[VIII             TRIBUTOS]])</f>
        <v>0</v>
      </c>
      <c r="AI44" s="671">
        <f>Cliente1916[[#This Row],[VALOR CONTRATUAL]]-Cliente1916[[#This Row],[TOTAL DESPESAS]]</f>
        <v>0</v>
      </c>
      <c r="AJ44" s="651" t="e">
        <f>Cliente1916[[#This Row],[LUCRO LIQUIDO]]/Cliente1916[[#This Row],[VALOR CONTRATUAL]]</f>
        <v>#DIV/0!</v>
      </c>
      <c r="AK44" s="653"/>
      <c r="AL44" s="110"/>
      <c r="AM44" s="110">
        <v>0</v>
      </c>
      <c r="AN44" s="110">
        <v>0</v>
      </c>
      <c r="AO44" s="110">
        <v>0</v>
      </c>
      <c r="AP44" s="110">
        <v>0</v>
      </c>
      <c r="AQ44" s="110">
        <v>0</v>
      </c>
      <c r="AR44" s="110">
        <v>0</v>
      </c>
      <c r="AS44" s="110">
        <v>0</v>
      </c>
      <c r="AT44" s="110">
        <v>0</v>
      </c>
      <c r="AU44" s="110">
        <v>0</v>
      </c>
      <c r="AV44" s="110">
        <f>SUBTOTAL(9,Cliente1916[[#This Row],[abr/25]:[dez/25]])</f>
        <v>0</v>
      </c>
    </row>
    <row r="45" spans="2:48" ht="31.2" hidden="1" customHeight="1" thickTop="1" thickBot="1">
      <c r="B45" s="108" t="s">
        <v>360</v>
      </c>
      <c r="C45" s="108" t="s">
        <v>1993</v>
      </c>
      <c r="D45" s="591" t="s">
        <v>1937</v>
      </c>
      <c r="E45" s="677" t="s">
        <v>41</v>
      </c>
      <c r="F45" s="676" t="s">
        <v>1953</v>
      </c>
      <c r="G45" s="677" t="s">
        <v>27</v>
      </c>
      <c r="H45" s="677" t="s">
        <v>1082</v>
      </c>
      <c r="I45" s="132" t="s">
        <v>1362</v>
      </c>
      <c r="J45" s="130" t="s">
        <v>1363</v>
      </c>
      <c r="K45" s="130" t="s">
        <v>1364</v>
      </c>
      <c r="L45" s="110" t="s">
        <v>1336</v>
      </c>
      <c r="M45" s="130" t="s">
        <v>1365</v>
      </c>
      <c r="N45" s="130" t="s">
        <v>1366</v>
      </c>
      <c r="O45" s="130"/>
      <c r="P45" s="130" t="s">
        <v>1836</v>
      </c>
      <c r="Q45" s="130"/>
      <c r="R45" s="108" t="s">
        <v>1367</v>
      </c>
      <c r="S45" s="111">
        <v>45012</v>
      </c>
      <c r="T45" s="112">
        <f>Cliente1916[[#This Row],[INICIO ]]+365*2</f>
        <v>45742</v>
      </c>
      <c r="U45" s="108" t="s">
        <v>1238</v>
      </c>
      <c r="V45" s="374">
        <v>1</v>
      </c>
      <c r="W45" s="135">
        <v>5562</v>
      </c>
      <c r="X45" s="145" t="s">
        <v>235</v>
      </c>
      <c r="Y45" s="114" t="s">
        <v>1937</v>
      </c>
      <c r="Z45" s="670">
        <v>0</v>
      </c>
      <c r="AA45" s="670">
        <v>0</v>
      </c>
      <c r="AB45" s="145">
        <v>0</v>
      </c>
      <c r="AC45" s="145">
        <v>0</v>
      </c>
      <c r="AD45" s="145">
        <v>0</v>
      </c>
      <c r="AE45" s="145">
        <v>0</v>
      </c>
      <c r="AF45" s="145">
        <v>0</v>
      </c>
      <c r="AG45" s="145">
        <v>0</v>
      </c>
      <c r="AH45" s="671">
        <f>SUBTOTAL(9,Cliente1916[[#This Row],[II         REMUNERAÇÃO]:[VIII             TRIBUTOS]])</f>
        <v>0</v>
      </c>
      <c r="AI45" s="671">
        <f>Cliente1916[[#This Row],[VALOR CONTRATUAL]]-Cliente1916[[#This Row],[TOTAL DESPESAS]]</f>
        <v>5562</v>
      </c>
      <c r="AJ45" s="651">
        <f>Cliente1916[[#This Row],[LUCRO LIQUIDO]]/Cliente1916[[#This Row],[VALOR CONTRATUAL]]</f>
        <v>1</v>
      </c>
      <c r="AK45" s="653"/>
      <c r="AL45" s="110"/>
      <c r="AM45" s="110">
        <v>0</v>
      </c>
      <c r="AN45" s="110">
        <v>0</v>
      </c>
      <c r="AO45" s="110">
        <v>0</v>
      </c>
      <c r="AP45" s="110">
        <v>0</v>
      </c>
      <c r="AQ45" s="110">
        <v>0</v>
      </c>
      <c r="AR45" s="110">
        <v>0</v>
      </c>
      <c r="AS45" s="110">
        <v>0</v>
      </c>
      <c r="AT45" s="110">
        <v>0</v>
      </c>
      <c r="AU45" s="110">
        <v>0</v>
      </c>
      <c r="AV45" s="110">
        <f>SUBTOTAL(9,Cliente1916[[#This Row],[abr/25]:[dez/25]])</f>
        <v>0</v>
      </c>
    </row>
    <row r="46" spans="2:48" ht="31.2" customHeight="1" thickTop="1" thickBot="1">
      <c r="B46" s="108" t="s">
        <v>361</v>
      </c>
      <c r="C46" s="108" t="s">
        <v>1993</v>
      </c>
      <c r="D46" s="118" t="s">
        <v>1196</v>
      </c>
      <c r="E46" s="677" t="s">
        <v>41</v>
      </c>
      <c r="F46" s="676" t="s">
        <v>1953</v>
      </c>
      <c r="G46" s="677" t="s">
        <v>27</v>
      </c>
      <c r="H46" s="683" t="s">
        <v>1081</v>
      </c>
      <c r="I46" s="132" t="s">
        <v>1368</v>
      </c>
      <c r="J46" s="130" t="s">
        <v>1369</v>
      </c>
      <c r="K46" s="853" t="s">
        <v>1370</v>
      </c>
      <c r="L46" s="110" t="s">
        <v>1331</v>
      </c>
      <c r="M46" s="130" t="s">
        <v>1371</v>
      </c>
      <c r="N46" s="130" t="s">
        <v>1372</v>
      </c>
      <c r="O46" s="130"/>
      <c r="P46" s="130"/>
      <c r="Q46" s="130"/>
      <c r="R46" s="108" t="s">
        <v>1373</v>
      </c>
      <c r="S46" s="111">
        <v>45032</v>
      </c>
      <c r="T46" s="112">
        <f>Cliente1916[[#This Row],[INICIO ]]+365*2</f>
        <v>45762</v>
      </c>
      <c r="U46" s="108" t="s">
        <v>1238</v>
      </c>
      <c r="V46" s="678">
        <v>1</v>
      </c>
      <c r="W46" s="114">
        <v>7388</v>
      </c>
      <c r="X46" s="113" t="s">
        <v>235</v>
      </c>
      <c r="Y46" s="108" t="s">
        <v>2644</v>
      </c>
      <c r="Z46" s="135">
        <v>1900.2</v>
      </c>
      <c r="AA46" s="135">
        <v>1900.2</v>
      </c>
      <c r="AB46" s="135">
        <v>1468.0945200000001</v>
      </c>
      <c r="AC46" s="135">
        <v>1401.4280000000001</v>
      </c>
      <c r="AD46" s="135">
        <v>70.333333333333343</v>
      </c>
      <c r="AE46" s="135">
        <v>409.23245454545463</v>
      </c>
      <c r="AF46" s="135">
        <v>105.51069498836364</v>
      </c>
      <c r="AG46" s="135">
        <v>1048.1652478409096</v>
      </c>
      <c r="AH46" s="671">
        <f>SUBTOTAL(9,Cliente1916[[#This Row],[II         REMUNERAÇÃO]:[VIII             TRIBUTOS]])</f>
        <v>6402.9642507080616</v>
      </c>
      <c r="AI46" s="671">
        <f>Cliente1916[[#This Row],[VALOR CONTRATUAL]]-Cliente1916[[#This Row],[TOTAL DESPESAS]]</f>
        <v>985.03574929193837</v>
      </c>
      <c r="AJ46" s="651">
        <f>Cliente1916[[#This Row],[LUCRO LIQUIDO]]/Cliente1916[[#This Row],[VALOR CONTRATUAL]]</f>
        <v>0.13332914852354336</v>
      </c>
      <c r="AK46" s="653"/>
      <c r="AL46" s="110"/>
      <c r="AM46" s="110">
        <v>666.99</v>
      </c>
      <c r="AN46" s="110">
        <v>709.29</v>
      </c>
      <c r="AO46" s="110">
        <v>601.99</v>
      </c>
      <c r="AP46" s="110">
        <v>0</v>
      </c>
      <c r="AQ46" s="110">
        <v>0</v>
      </c>
      <c r="AR46" s="110">
        <v>0</v>
      </c>
      <c r="AS46" s="110">
        <v>0</v>
      </c>
      <c r="AT46" s="110">
        <v>0</v>
      </c>
      <c r="AU46" s="110">
        <v>0</v>
      </c>
      <c r="AV46" s="116">
        <f>SUBTOTAL(9,Cliente1916[[#This Row],[abr/25]:[dez/25]])</f>
        <v>1978.27</v>
      </c>
    </row>
    <row r="47" spans="2:48" ht="31.2" hidden="1" customHeight="1" thickTop="1" thickBot="1">
      <c r="B47" s="108" t="s">
        <v>362</v>
      </c>
      <c r="C47" s="108" t="s">
        <v>1993</v>
      </c>
      <c r="D47" s="109" t="s">
        <v>1185</v>
      </c>
      <c r="E47" s="677" t="s">
        <v>41</v>
      </c>
      <c r="F47" s="676" t="s">
        <v>1953</v>
      </c>
      <c r="G47" s="677" t="s">
        <v>27</v>
      </c>
      <c r="H47" s="109" t="s">
        <v>213</v>
      </c>
      <c r="I47" s="117" t="s">
        <v>1275</v>
      </c>
      <c r="J47" s="110" t="s">
        <v>1276</v>
      </c>
      <c r="K47" s="110" t="s">
        <v>1277</v>
      </c>
      <c r="L47" s="110" t="s">
        <v>1234</v>
      </c>
      <c r="M47" s="110" t="s">
        <v>1278</v>
      </c>
      <c r="N47" s="123" t="s">
        <v>1279</v>
      </c>
      <c r="O47" s="110" t="s">
        <v>1280</v>
      </c>
      <c r="P47" s="110"/>
      <c r="Q47" s="110"/>
      <c r="R47" s="108" t="s">
        <v>1374</v>
      </c>
      <c r="S47" s="111">
        <v>45023</v>
      </c>
      <c r="T47" s="112">
        <f>Cliente1916[[#This Row],[INICIO ]]+365</f>
        <v>45388</v>
      </c>
      <c r="U47" s="110" t="s">
        <v>1375</v>
      </c>
      <c r="V47" s="375">
        <v>6</v>
      </c>
      <c r="W47" s="114">
        <v>24300</v>
      </c>
      <c r="X47" s="114"/>
      <c r="Y47" s="114" t="s">
        <v>1185</v>
      </c>
      <c r="Z47" s="670">
        <v>0</v>
      </c>
      <c r="AA47" s="670">
        <v>0</v>
      </c>
      <c r="AB47" s="145">
        <v>0</v>
      </c>
      <c r="AC47" s="145">
        <v>0</v>
      </c>
      <c r="AD47" s="145">
        <v>0</v>
      </c>
      <c r="AE47" s="145">
        <v>0</v>
      </c>
      <c r="AF47" s="145">
        <v>0</v>
      </c>
      <c r="AG47" s="145">
        <v>0</v>
      </c>
      <c r="AH47" s="671">
        <f>SUBTOTAL(9,Cliente1916[[#This Row],[II         REMUNERAÇÃO]:[VIII             TRIBUTOS]])</f>
        <v>0</v>
      </c>
      <c r="AI47" s="671">
        <f>Cliente1916[[#This Row],[VALOR CONTRATUAL]]-Cliente1916[[#This Row],[TOTAL DESPESAS]]</f>
        <v>24300</v>
      </c>
      <c r="AJ47" s="651">
        <f>Cliente1916[[#This Row],[LUCRO LIQUIDO]]/Cliente1916[[#This Row],[VALOR CONTRATUAL]]</f>
        <v>1</v>
      </c>
      <c r="AK47" s="653"/>
      <c r="AL47" s="110"/>
      <c r="AM47" s="110">
        <v>0</v>
      </c>
      <c r="AN47" s="110">
        <v>0</v>
      </c>
      <c r="AO47" s="110">
        <v>0</v>
      </c>
      <c r="AP47" s="110">
        <v>0</v>
      </c>
      <c r="AQ47" s="110">
        <v>0</v>
      </c>
      <c r="AR47" s="110">
        <v>0</v>
      </c>
      <c r="AS47" s="110">
        <v>0</v>
      </c>
      <c r="AT47" s="110">
        <v>0</v>
      </c>
      <c r="AU47" s="110">
        <v>0</v>
      </c>
      <c r="AV47" s="110">
        <f>SUBTOTAL(9,Cliente1916[[#This Row],[abr/25]:[dez/25]])</f>
        <v>0</v>
      </c>
    </row>
    <row r="48" spans="2:48" ht="31.2" hidden="1" customHeight="1" thickTop="1" thickBot="1">
      <c r="B48" s="108" t="s">
        <v>363</v>
      </c>
      <c r="C48" s="108" t="s">
        <v>1993</v>
      </c>
      <c r="D48" s="109" t="s">
        <v>1185</v>
      </c>
      <c r="E48" s="118" t="s">
        <v>581</v>
      </c>
      <c r="F48" s="676" t="s">
        <v>1953</v>
      </c>
      <c r="G48" s="118" t="s">
        <v>1475</v>
      </c>
      <c r="H48" s="677" t="s">
        <v>1376</v>
      </c>
      <c r="I48" s="132" t="s">
        <v>1377</v>
      </c>
      <c r="J48" s="130" t="s">
        <v>1378</v>
      </c>
      <c r="K48" s="130" t="s">
        <v>1378</v>
      </c>
      <c r="L48" s="110" t="s">
        <v>1318</v>
      </c>
      <c r="M48" s="110" t="s">
        <v>1319</v>
      </c>
      <c r="N48" s="133"/>
      <c r="O48" s="130"/>
      <c r="P48" s="130"/>
      <c r="Q48" s="130"/>
      <c r="R48" s="130"/>
      <c r="S48" s="111"/>
      <c r="T48" s="111"/>
      <c r="U48" s="130"/>
      <c r="V48" s="375">
        <v>0</v>
      </c>
      <c r="W48" s="114">
        <v>0</v>
      </c>
      <c r="X48" s="120"/>
      <c r="Y48" s="114" t="s">
        <v>1185</v>
      </c>
      <c r="Z48" s="670">
        <v>0</v>
      </c>
      <c r="AA48" s="670">
        <v>0</v>
      </c>
      <c r="AB48" s="145">
        <v>0</v>
      </c>
      <c r="AC48" s="145">
        <v>0</v>
      </c>
      <c r="AD48" s="145">
        <v>0</v>
      </c>
      <c r="AE48" s="145">
        <v>0</v>
      </c>
      <c r="AF48" s="145">
        <v>0</v>
      </c>
      <c r="AG48" s="145">
        <v>0</v>
      </c>
      <c r="AH48" s="671">
        <f>SUBTOTAL(9,Cliente1916[[#This Row],[II         REMUNERAÇÃO]:[VIII             TRIBUTOS]])</f>
        <v>0</v>
      </c>
      <c r="AI48" s="671">
        <f>Cliente1916[[#This Row],[VALOR CONTRATUAL]]-Cliente1916[[#This Row],[TOTAL DESPESAS]]</f>
        <v>0</v>
      </c>
      <c r="AJ48" s="651" t="e">
        <f>Cliente1916[[#This Row],[LUCRO LIQUIDO]]/Cliente1916[[#This Row],[VALOR CONTRATUAL]]</f>
        <v>#DIV/0!</v>
      </c>
      <c r="AK48" s="653"/>
      <c r="AL48" s="110"/>
      <c r="AM48" s="110">
        <v>0</v>
      </c>
      <c r="AN48" s="110">
        <v>0</v>
      </c>
      <c r="AO48" s="110">
        <v>0</v>
      </c>
      <c r="AP48" s="110">
        <v>0</v>
      </c>
      <c r="AQ48" s="110">
        <v>0</v>
      </c>
      <c r="AR48" s="110">
        <v>0</v>
      </c>
      <c r="AS48" s="110">
        <v>0</v>
      </c>
      <c r="AT48" s="110">
        <v>0</v>
      </c>
      <c r="AU48" s="110">
        <v>0</v>
      </c>
      <c r="AV48" s="110">
        <f>SUBTOTAL(9,Cliente1916[[#This Row],[abr/25]:[dez/25]])</f>
        <v>0</v>
      </c>
    </row>
    <row r="49" spans="2:48" ht="31.2" hidden="1" customHeight="1" thickTop="1" thickBot="1">
      <c r="B49" s="108" t="s">
        <v>364</v>
      </c>
      <c r="C49" s="108" t="s">
        <v>1993</v>
      </c>
      <c r="D49" s="109" t="s">
        <v>1185</v>
      </c>
      <c r="E49" s="677" t="s">
        <v>41</v>
      </c>
      <c r="F49" s="676" t="s">
        <v>1953</v>
      </c>
      <c r="G49" s="677" t="s">
        <v>27</v>
      </c>
      <c r="H49" s="677" t="s">
        <v>1379</v>
      </c>
      <c r="I49" s="132" t="s">
        <v>1380</v>
      </c>
      <c r="J49" s="130" t="s">
        <v>1381</v>
      </c>
      <c r="K49" s="130" t="s">
        <v>1382</v>
      </c>
      <c r="L49" s="110" t="s">
        <v>1234</v>
      </c>
      <c r="M49" s="130" t="s">
        <v>1383</v>
      </c>
      <c r="N49" s="130" t="s">
        <v>1279</v>
      </c>
      <c r="O49" s="130"/>
      <c r="P49" s="130"/>
      <c r="Q49" s="130"/>
      <c r="R49" s="108" t="s">
        <v>1384</v>
      </c>
      <c r="S49" s="111">
        <v>45149</v>
      </c>
      <c r="T49" s="111">
        <v>45168</v>
      </c>
      <c r="U49" s="108" t="s">
        <v>1238</v>
      </c>
      <c r="V49" s="374">
        <v>1</v>
      </c>
      <c r="W49" s="135">
        <f>4900/30*20</f>
        <v>3266.666666666667</v>
      </c>
      <c r="X49" s="135"/>
      <c r="Y49" s="114" t="s">
        <v>1185</v>
      </c>
      <c r="Z49" s="670">
        <v>0</v>
      </c>
      <c r="AA49" s="670">
        <v>0</v>
      </c>
      <c r="AB49" s="145">
        <v>0</v>
      </c>
      <c r="AC49" s="145">
        <v>0</v>
      </c>
      <c r="AD49" s="145">
        <v>0</v>
      </c>
      <c r="AE49" s="145">
        <v>0</v>
      </c>
      <c r="AF49" s="145">
        <v>0</v>
      </c>
      <c r="AG49" s="145">
        <v>0</v>
      </c>
      <c r="AH49" s="671">
        <f>SUBTOTAL(9,Cliente1916[[#This Row],[II         REMUNERAÇÃO]:[VIII             TRIBUTOS]])</f>
        <v>0</v>
      </c>
      <c r="AI49" s="671">
        <f>Cliente1916[[#This Row],[VALOR CONTRATUAL]]-Cliente1916[[#This Row],[TOTAL DESPESAS]]</f>
        <v>3266.666666666667</v>
      </c>
      <c r="AJ49" s="651">
        <f>Cliente1916[[#This Row],[LUCRO LIQUIDO]]/Cliente1916[[#This Row],[VALOR CONTRATUAL]]</f>
        <v>1</v>
      </c>
      <c r="AK49" s="653"/>
      <c r="AL49" s="110"/>
      <c r="AM49" s="110">
        <v>0</v>
      </c>
      <c r="AN49" s="110">
        <v>0</v>
      </c>
      <c r="AO49" s="110">
        <v>0</v>
      </c>
      <c r="AP49" s="110">
        <v>0</v>
      </c>
      <c r="AQ49" s="110">
        <v>0</v>
      </c>
      <c r="AR49" s="110">
        <v>0</v>
      </c>
      <c r="AS49" s="110">
        <v>0</v>
      </c>
      <c r="AT49" s="110">
        <v>0</v>
      </c>
      <c r="AU49" s="110">
        <v>0</v>
      </c>
      <c r="AV49" s="110">
        <f>SUBTOTAL(9,Cliente1916[[#This Row],[abr/25]:[dez/25]])</f>
        <v>0</v>
      </c>
    </row>
    <row r="50" spans="2:48" ht="31.2" hidden="1" customHeight="1" thickTop="1" thickBot="1">
      <c r="B50" s="108" t="s">
        <v>365</v>
      </c>
      <c r="C50" s="108" t="s">
        <v>1993</v>
      </c>
      <c r="D50" s="109" t="s">
        <v>1185</v>
      </c>
      <c r="E50" s="677" t="s">
        <v>41</v>
      </c>
      <c r="F50" s="676" t="s">
        <v>1953</v>
      </c>
      <c r="G50" s="677" t="s">
        <v>1470</v>
      </c>
      <c r="H50" s="109" t="s">
        <v>1114</v>
      </c>
      <c r="I50" s="117" t="s">
        <v>1385</v>
      </c>
      <c r="J50" s="110" t="s">
        <v>1386</v>
      </c>
      <c r="K50" s="108" t="s">
        <v>1387</v>
      </c>
      <c r="L50" s="110" t="s">
        <v>1388</v>
      </c>
      <c r="M50" s="110" t="s">
        <v>1389</v>
      </c>
      <c r="N50" s="123" t="s">
        <v>1390</v>
      </c>
      <c r="O50" s="110" t="s">
        <v>1391</v>
      </c>
      <c r="P50" s="110"/>
      <c r="Q50" s="110"/>
      <c r="R50" s="108"/>
      <c r="S50" s="111"/>
      <c r="T50" s="112"/>
      <c r="U50" s="108" t="s">
        <v>1406</v>
      </c>
      <c r="V50" s="375">
        <v>1</v>
      </c>
      <c r="W50" s="114">
        <v>0</v>
      </c>
      <c r="X50" s="120"/>
      <c r="Y50" s="114" t="s">
        <v>1185</v>
      </c>
      <c r="Z50" s="670">
        <v>0</v>
      </c>
      <c r="AA50" s="670">
        <v>0</v>
      </c>
      <c r="AB50" s="145">
        <v>0</v>
      </c>
      <c r="AC50" s="145">
        <v>0</v>
      </c>
      <c r="AD50" s="145">
        <v>0</v>
      </c>
      <c r="AE50" s="145">
        <v>0</v>
      </c>
      <c r="AF50" s="145">
        <v>0</v>
      </c>
      <c r="AG50" s="145">
        <v>0</v>
      </c>
      <c r="AH50" s="671">
        <f>SUBTOTAL(9,Cliente1916[[#This Row],[II         REMUNERAÇÃO]:[VIII             TRIBUTOS]])</f>
        <v>0</v>
      </c>
      <c r="AI50" s="671">
        <f>Cliente1916[[#This Row],[VALOR CONTRATUAL]]-Cliente1916[[#This Row],[TOTAL DESPESAS]]</f>
        <v>0</v>
      </c>
      <c r="AJ50" s="651" t="e">
        <f>Cliente1916[[#This Row],[LUCRO LIQUIDO]]/Cliente1916[[#This Row],[VALOR CONTRATUAL]]</f>
        <v>#DIV/0!</v>
      </c>
      <c r="AK50" s="653"/>
      <c r="AL50" s="110"/>
      <c r="AM50" s="110">
        <v>0</v>
      </c>
      <c r="AN50" s="110">
        <v>0</v>
      </c>
      <c r="AO50" s="110">
        <v>0</v>
      </c>
      <c r="AP50" s="110">
        <v>0</v>
      </c>
      <c r="AQ50" s="110">
        <v>0</v>
      </c>
      <c r="AR50" s="110">
        <v>0</v>
      </c>
      <c r="AS50" s="110">
        <v>0</v>
      </c>
      <c r="AT50" s="110">
        <v>0</v>
      </c>
      <c r="AU50" s="110">
        <v>0</v>
      </c>
      <c r="AV50" s="110">
        <f>SUBTOTAL(9,Cliente1916[[#This Row],[abr/25]:[dez/25]])</f>
        <v>0</v>
      </c>
    </row>
    <row r="51" spans="2:48" ht="31.2" hidden="1" customHeight="1" thickTop="1" thickBot="1">
      <c r="B51" s="108" t="s">
        <v>366</v>
      </c>
      <c r="C51" s="108" t="s">
        <v>1993</v>
      </c>
      <c r="D51" s="109" t="s">
        <v>1185</v>
      </c>
      <c r="E51" s="677" t="s">
        <v>41</v>
      </c>
      <c r="F51" s="676" t="s">
        <v>1953</v>
      </c>
      <c r="G51" s="677" t="s">
        <v>1470</v>
      </c>
      <c r="H51" s="109" t="s">
        <v>1113</v>
      </c>
      <c r="I51" s="117" t="s">
        <v>1392</v>
      </c>
      <c r="J51" s="110" t="s">
        <v>1393</v>
      </c>
      <c r="K51" s="108" t="s">
        <v>1394</v>
      </c>
      <c r="L51" s="110" t="s">
        <v>1388</v>
      </c>
      <c r="M51" s="110" t="s">
        <v>1395</v>
      </c>
      <c r="N51" s="123" t="s">
        <v>1396</v>
      </c>
      <c r="O51" s="110" t="s">
        <v>1397</v>
      </c>
      <c r="P51" s="110"/>
      <c r="Q51" s="110"/>
      <c r="R51" s="108"/>
      <c r="S51" s="111"/>
      <c r="T51" s="112"/>
      <c r="U51" s="108" t="s">
        <v>1406</v>
      </c>
      <c r="V51" s="375">
        <v>1</v>
      </c>
      <c r="W51" s="114">
        <v>0</v>
      </c>
      <c r="X51" s="120"/>
      <c r="Y51" s="114" t="s">
        <v>1185</v>
      </c>
      <c r="Z51" s="670">
        <v>0</v>
      </c>
      <c r="AA51" s="670">
        <v>0</v>
      </c>
      <c r="AB51" s="145">
        <v>0</v>
      </c>
      <c r="AC51" s="145">
        <v>0</v>
      </c>
      <c r="AD51" s="145">
        <v>0</v>
      </c>
      <c r="AE51" s="145">
        <v>0</v>
      </c>
      <c r="AF51" s="145">
        <v>0</v>
      </c>
      <c r="AG51" s="145">
        <v>0</v>
      </c>
      <c r="AH51" s="671">
        <f>SUBTOTAL(9,Cliente1916[[#This Row],[II         REMUNERAÇÃO]:[VIII             TRIBUTOS]])</f>
        <v>0</v>
      </c>
      <c r="AI51" s="671">
        <f>Cliente1916[[#This Row],[VALOR CONTRATUAL]]-Cliente1916[[#This Row],[TOTAL DESPESAS]]</f>
        <v>0</v>
      </c>
      <c r="AJ51" s="651" t="e">
        <f>Cliente1916[[#This Row],[LUCRO LIQUIDO]]/Cliente1916[[#This Row],[VALOR CONTRATUAL]]</f>
        <v>#DIV/0!</v>
      </c>
      <c r="AK51" s="653"/>
      <c r="AL51" s="110"/>
      <c r="AM51" s="110">
        <v>0</v>
      </c>
      <c r="AN51" s="110">
        <v>0</v>
      </c>
      <c r="AO51" s="110">
        <v>0</v>
      </c>
      <c r="AP51" s="110">
        <v>0</v>
      </c>
      <c r="AQ51" s="110">
        <v>0</v>
      </c>
      <c r="AR51" s="110">
        <v>0</v>
      </c>
      <c r="AS51" s="110">
        <v>0</v>
      </c>
      <c r="AT51" s="110">
        <v>0</v>
      </c>
      <c r="AU51" s="110">
        <v>0</v>
      </c>
      <c r="AV51" s="110">
        <f>SUBTOTAL(9,Cliente1916[[#This Row],[abr/25]:[dez/25]])</f>
        <v>0</v>
      </c>
    </row>
    <row r="52" spans="2:48" ht="31.2" hidden="1" customHeight="1" thickTop="1" thickBot="1">
      <c r="B52" s="108" t="s">
        <v>367</v>
      </c>
      <c r="C52" s="108" t="s">
        <v>1993</v>
      </c>
      <c r="D52" s="109" t="s">
        <v>1185</v>
      </c>
      <c r="E52" s="677" t="s">
        <v>41</v>
      </c>
      <c r="F52" s="676" t="s">
        <v>1953</v>
      </c>
      <c r="G52" s="677" t="s">
        <v>1470</v>
      </c>
      <c r="H52" s="109" t="s">
        <v>1131</v>
      </c>
      <c r="I52" s="117" t="s">
        <v>1398</v>
      </c>
      <c r="J52" s="108" t="s">
        <v>1399</v>
      </c>
      <c r="K52" s="108" t="s">
        <v>1400</v>
      </c>
      <c r="L52" s="110" t="s">
        <v>1388</v>
      </c>
      <c r="M52" s="110" t="s">
        <v>1395</v>
      </c>
      <c r="N52" s="123" t="s">
        <v>1396</v>
      </c>
      <c r="O52" s="110" t="s">
        <v>1397</v>
      </c>
      <c r="P52" s="110"/>
      <c r="Q52" s="110"/>
      <c r="R52" s="108"/>
      <c r="S52" s="111"/>
      <c r="T52" s="112"/>
      <c r="U52" s="108" t="s">
        <v>1406</v>
      </c>
      <c r="V52" s="375">
        <v>1</v>
      </c>
      <c r="W52" s="114">
        <v>0</v>
      </c>
      <c r="X52" s="120"/>
      <c r="Y52" s="114" t="s">
        <v>1185</v>
      </c>
      <c r="Z52" s="670">
        <v>0</v>
      </c>
      <c r="AA52" s="670">
        <v>0</v>
      </c>
      <c r="AB52" s="145">
        <v>0</v>
      </c>
      <c r="AC52" s="145">
        <v>0</v>
      </c>
      <c r="AD52" s="145">
        <v>0</v>
      </c>
      <c r="AE52" s="145">
        <v>0</v>
      </c>
      <c r="AF52" s="145">
        <v>0</v>
      </c>
      <c r="AG52" s="145">
        <v>0</v>
      </c>
      <c r="AH52" s="671">
        <f>SUBTOTAL(9,Cliente1916[[#This Row],[II         REMUNERAÇÃO]:[VIII             TRIBUTOS]])</f>
        <v>0</v>
      </c>
      <c r="AI52" s="671">
        <f>Cliente1916[[#This Row],[VALOR CONTRATUAL]]-Cliente1916[[#This Row],[TOTAL DESPESAS]]</f>
        <v>0</v>
      </c>
      <c r="AJ52" s="651" t="e">
        <f>Cliente1916[[#This Row],[LUCRO LIQUIDO]]/Cliente1916[[#This Row],[VALOR CONTRATUAL]]</f>
        <v>#DIV/0!</v>
      </c>
      <c r="AK52" s="653"/>
      <c r="AL52" s="110"/>
      <c r="AM52" s="110">
        <v>0</v>
      </c>
      <c r="AN52" s="110">
        <v>0</v>
      </c>
      <c r="AO52" s="110">
        <v>0</v>
      </c>
      <c r="AP52" s="110">
        <v>0</v>
      </c>
      <c r="AQ52" s="110">
        <v>0</v>
      </c>
      <c r="AR52" s="110">
        <v>0</v>
      </c>
      <c r="AS52" s="110">
        <v>0</v>
      </c>
      <c r="AT52" s="110">
        <v>0</v>
      </c>
      <c r="AU52" s="110">
        <v>0</v>
      </c>
      <c r="AV52" s="110">
        <f>SUBTOTAL(9,Cliente1916[[#This Row],[abr/25]:[dez/25]])</f>
        <v>0</v>
      </c>
    </row>
    <row r="53" spans="2:48" ht="31.2" hidden="1" customHeight="1" thickTop="1" thickBot="1">
      <c r="B53" s="108" t="s">
        <v>371</v>
      </c>
      <c r="C53" s="108" t="s">
        <v>1993</v>
      </c>
      <c r="D53" s="109" t="s">
        <v>1185</v>
      </c>
      <c r="E53" s="677" t="s">
        <v>41</v>
      </c>
      <c r="F53" s="676" t="s">
        <v>1953</v>
      </c>
      <c r="G53" s="677" t="s">
        <v>1470</v>
      </c>
      <c r="H53" s="109" t="s">
        <v>1132</v>
      </c>
      <c r="I53" s="117" t="s">
        <v>1401</v>
      </c>
      <c r="J53" s="108" t="s">
        <v>1402</v>
      </c>
      <c r="K53" s="108" t="s">
        <v>1403</v>
      </c>
      <c r="L53" s="110" t="s">
        <v>1388</v>
      </c>
      <c r="M53" s="110" t="s">
        <v>1404</v>
      </c>
      <c r="N53" s="123" t="s">
        <v>1396</v>
      </c>
      <c r="O53" s="110" t="s">
        <v>1405</v>
      </c>
      <c r="P53" s="110"/>
      <c r="Q53" s="110"/>
      <c r="R53" s="108"/>
      <c r="S53" s="111"/>
      <c r="T53" s="112"/>
      <c r="U53" s="108" t="s">
        <v>1406</v>
      </c>
      <c r="V53" s="374">
        <v>1</v>
      </c>
      <c r="W53" s="114">
        <v>0</v>
      </c>
      <c r="X53" s="120"/>
      <c r="Y53" s="114" t="s">
        <v>1185</v>
      </c>
      <c r="Z53" s="670">
        <v>0</v>
      </c>
      <c r="AA53" s="670">
        <v>0</v>
      </c>
      <c r="AB53" s="145">
        <v>0</v>
      </c>
      <c r="AC53" s="145">
        <v>0</v>
      </c>
      <c r="AD53" s="145">
        <v>0</v>
      </c>
      <c r="AE53" s="145">
        <v>0</v>
      </c>
      <c r="AF53" s="145">
        <v>0</v>
      </c>
      <c r="AG53" s="145">
        <v>0</v>
      </c>
      <c r="AH53" s="671">
        <f>SUBTOTAL(9,Cliente1916[[#This Row],[II         REMUNERAÇÃO]:[VIII             TRIBUTOS]])</f>
        <v>0</v>
      </c>
      <c r="AI53" s="671">
        <f>Cliente1916[[#This Row],[VALOR CONTRATUAL]]-Cliente1916[[#This Row],[TOTAL DESPESAS]]</f>
        <v>0</v>
      </c>
      <c r="AJ53" s="651" t="e">
        <f>Cliente1916[[#This Row],[LUCRO LIQUIDO]]/Cliente1916[[#This Row],[VALOR CONTRATUAL]]</f>
        <v>#DIV/0!</v>
      </c>
      <c r="AK53" s="653"/>
      <c r="AL53" s="110"/>
      <c r="AM53" s="110">
        <v>0</v>
      </c>
      <c r="AN53" s="110">
        <v>0</v>
      </c>
      <c r="AO53" s="110">
        <v>0</v>
      </c>
      <c r="AP53" s="110">
        <v>0</v>
      </c>
      <c r="AQ53" s="110">
        <v>0</v>
      </c>
      <c r="AR53" s="110">
        <v>0</v>
      </c>
      <c r="AS53" s="110">
        <v>0</v>
      </c>
      <c r="AT53" s="110">
        <v>0</v>
      </c>
      <c r="AU53" s="110">
        <v>0</v>
      </c>
      <c r="AV53" s="110">
        <f>SUBTOTAL(9,Cliente1916[[#This Row],[abr/25]:[dez/25]])</f>
        <v>0</v>
      </c>
    </row>
    <row r="54" spans="2:48" ht="31.2" hidden="1" customHeight="1" thickTop="1" thickBot="1">
      <c r="B54" s="108" t="s">
        <v>373</v>
      </c>
      <c r="C54" s="108" t="s">
        <v>1993</v>
      </c>
      <c r="D54" s="109" t="s">
        <v>1185</v>
      </c>
      <c r="E54" s="677" t="s">
        <v>41</v>
      </c>
      <c r="F54" s="676" t="s">
        <v>1953</v>
      </c>
      <c r="G54" s="677" t="s">
        <v>1470</v>
      </c>
      <c r="H54" s="109" t="s">
        <v>1487</v>
      </c>
      <c r="I54" s="117" t="s">
        <v>1488</v>
      </c>
      <c r="J54" s="108" t="s">
        <v>1489</v>
      </c>
      <c r="K54" s="108" t="s">
        <v>1490</v>
      </c>
      <c r="L54" s="110" t="s">
        <v>1388</v>
      </c>
      <c r="M54" s="110" t="s">
        <v>1404</v>
      </c>
      <c r="N54" s="123" t="s">
        <v>1396</v>
      </c>
      <c r="O54" s="110" t="s">
        <v>1405</v>
      </c>
      <c r="P54" s="110"/>
      <c r="Q54" s="110"/>
      <c r="R54" s="108"/>
      <c r="S54" s="111"/>
      <c r="T54" s="112"/>
      <c r="U54" s="108" t="s">
        <v>1406</v>
      </c>
      <c r="V54" s="374">
        <v>1</v>
      </c>
      <c r="W54" s="114">
        <v>0</v>
      </c>
      <c r="X54" s="120"/>
      <c r="Y54" s="114" t="s">
        <v>1185</v>
      </c>
      <c r="Z54" s="670">
        <v>0</v>
      </c>
      <c r="AA54" s="670">
        <v>0</v>
      </c>
      <c r="AB54" s="145">
        <v>0</v>
      </c>
      <c r="AC54" s="145">
        <v>0</v>
      </c>
      <c r="AD54" s="145">
        <v>0</v>
      </c>
      <c r="AE54" s="145">
        <v>0</v>
      </c>
      <c r="AF54" s="145">
        <v>0</v>
      </c>
      <c r="AG54" s="145">
        <v>0</v>
      </c>
      <c r="AH54" s="671">
        <f>SUBTOTAL(9,Cliente1916[[#This Row],[II         REMUNERAÇÃO]:[VIII             TRIBUTOS]])</f>
        <v>0</v>
      </c>
      <c r="AI54" s="671">
        <f>Cliente1916[[#This Row],[VALOR CONTRATUAL]]-Cliente1916[[#This Row],[TOTAL DESPESAS]]</f>
        <v>0</v>
      </c>
      <c r="AJ54" s="651" t="e">
        <f>Cliente1916[[#This Row],[LUCRO LIQUIDO]]/Cliente1916[[#This Row],[VALOR CONTRATUAL]]</f>
        <v>#DIV/0!</v>
      </c>
      <c r="AK54" s="653"/>
      <c r="AL54" s="110"/>
      <c r="AM54" s="110">
        <v>0</v>
      </c>
      <c r="AN54" s="110">
        <v>0</v>
      </c>
      <c r="AO54" s="110">
        <v>0</v>
      </c>
      <c r="AP54" s="110">
        <v>0</v>
      </c>
      <c r="AQ54" s="110">
        <v>0</v>
      </c>
      <c r="AR54" s="110">
        <v>0</v>
      </c>
      <c r="AS54" s="110">
        <v>0</v>
      </c>
      <c r="AT54" s="110">
        <v>0</v>
      </c>
      <c r="AU54" s="110">
        <v>0</v>
      </c>
      <c r="AV54" s="110">
        <f>SUBTOTAL(9,Cliente1916[[#This Row],[abr/25]:[dez/25]])</f>
        <v>0</v>
      </c>
    </row>
    <row r="55" spans="2:48" ht="31.2" hidden="1" customHeight="1" thickTop="1" thickBot="1">
      <c r="B55" s="108" t="s">
        <v>383</v>
      </c>
      <c r="C55" s="108" t="s">
        <v>1993</v>
      </c>
      <c r="D55" s="109" t="s">
        <v>1185</v>
      </c>
      <c r="E55" s="677" t="s">
        <v>41</v>
      </c>
      <c r="F55" s="676" t="s">
        <v>1953</v>
      </c>
      <c r="G55" s="677" t="s">
        <v>27</v>
      </c>
      <c r="H55" s="102" t="s">
        <v>1137</v>
      </c>
      <c r="I55" s="104" t="s">
        <v>1407</v>
      </c>
      <c r="J55" s="103" t="s">
        <v>1408</v>
      </c>
      <c r="K55" s="103">
        <v>1132872</v>
      </c>
      <c r="L55" s="103" t="s">
        <v>1409</v>
      </c>
      <c r="M55" s="103" t="s">
        <v>1410</v>
      </c>
      <c r="N55" s="103" t="s">
        <v>1411</v>
      </c>
      <c r="R55" s="108" t="s">
        <v>1412</v>
      </c>
      <c r="S55" s="136">
        <v>45261</v>
      </c>
      <c r="T55" s="112">
        <f>Cliente1916[[#This Row],[INICIO ]]+365</f>
        <v>45626</v>
      </c>
      <c r="U55" s="103" t="s">
        <v>1901</v>
      </c>
      <c r="V55" s="377">
        <v>5</v>
      </c>
      <c r="W55" s="137">
        <v>37805</v>
      </c>
      <c r="X55" s="113" t="s">
        <v>225</v>
      </c>
      <c r="Y55" s="591" t="s">
        <v>1937</v>
      </c>
      <c r="Z55" s="670">
        <v>0</v>
      </c>
      <c r="AA55" s="670">
        <v>0</v>
      </c>
      <c r="AB55" s="145">
        <v>0</v>
      </c>
      <c r="AC55" s="145">
        <v>0</v>
      </c>
      <c r="AD55" s="145">
        <v>0</v>
      </c>
      <c r="AE55" s="145">
        <v>0</v>
      </c>
      <c r="AF55" s="145">
        <v>0</v>
      </c>
      <c r="AG55" s="145">
        <v>0</v>
      </c>
      <c r="AH55" s="671">
        <f>SUBTOTAL(9,Cliente1916[[#This Row],[II         REMUNERAÇÃO]:[VIII             TRIBUTOS]])</f>
        <v>0</v>
      </c>
      <c r="AI55" s="671">
        <f>Cliente1916[[#This Row],[VALOR CONTRATUAL]]-Cliente1916[[#This Row],[TOTAL DESPESAS]]</f>
        <v>37805</v>
      </c>
      <c r="AJ55" s="651">
        <f>Cliente1916[[#This Row],[LUCRO LIQUIDO]]/Cliente1916[[#This Row],[VALOR CONTRATUAL]]</f>
        <v>1</v>
      </c>
      <c r="AK55" s="653"/>
      <c r="AL55" s="110"/>
      <c r="AM55" s="110">
        <v>0</v>
      </c>
      <c r="AN55" s="110">
        <v>0</v>
      </c>
      <c r="AO55" s="110">
        <v>0</v>
      </c>
      <c r="AP55" s="110">
        <v>0</v>
      </c>
      <c r="AQ55" s="110">
        <v>0</v>
      </c>
      <c r="AR55" s="110">
        <v>0</v>
      </c>
      <c r="AS55" s="110">
        <v>0</v>
      </c>
      <c r="AT55" s="110">
        <v>0</v>
      </c>
      <c r="AU55" s="110">
        <v>0</v>
      </c>
      <c r="AV55" s="110">
        <f>SUBTOTAL(9,Cliente1916[[#This Row],[abr/25]:[dez/25]])</f>
        <v>0</v>
      </c>
    </row>
    <row r="56" spans="2:48" ht="31.2" hidden="1" customHeight="1" thickTop="1" thickBot="1">
      <c r="B56" s="108" t="s">
        <v>385</v>
      </c>
      <c r="C56" s="108" t="s">
        <v>1993</v>
      </c>
      <c r="D56" s="591" t="s">
        <v>1937</v>
      </c>
      <c r="E56" s="118" t="s">
        <v>581</v>
      </c>
      <c r="F56" s="676" t="s">
        <v>1953</v>
      </c>
      <c r="G56" s="677" t="s">
        <v>37</v>
      </c>
      <c r="H56" s="677" t="s">
        <v>1140</v>
      </c>
      <c r="I56" s="132" t="s">
        <v>1413</v>
      </c>
      <c r="J56" s="130" t="s">
        <v>1414</v>
      </c>
      <c r="K56" s="130" t="s">
        <v>1414</v>
      </c>
      <c r="L56" s="130" t="s">
        <v>1415</v>
      </c>
      <c r="M56" s="130" t="s">
        <v>1416</v>
      </c>
      <c r="N56" s="130" t="s">
        <v>1417</v>
      </c>
      <c r="O56" s="130"/>
      <c r="P56" s="130"/>
      <c r="Q56" s="130"/>
      <c r="R56" s="108" t="s">
        <v>1418</v>
      </c>
      <c r="S56" s="111">
        <v>45261</v>
      </c>
      <c r="T56" s="111"/>
      <c r="U56" s="130" t="s">
        <v>37</v>
      </c>
      <c r="V56" s="375">
        <v>3</v>
      </c>
      <c r="W56" s="135">
        <v>1490</v>
      </c>
      <c r="X56" s="145" t="s">
        <v>225</v>
      </c>
      <c r="Y56" s="591" t="s">
        <v>1937</v>
      </c>
      <c r="Z56" s="670">
        <v>0</v>
      </c>
      <c r="AA56" s="670">
        <v>0</v>
      </c>
      <c r="AB56" s="145">
        <v>0</v>
      </c>
      <c r="AC56" s="145">
        <v>0</v>
      </c>
      <c r="AD56" s="145">
        <v>0</v>
      </c>
      <c r="AE56" s="145">
        <v>0</v>
      </c>
      <c r="AF56" s="145">
        <v>0</v>
      </c>
      <c r="AG56" s="145">
        <v>0</v>
      </c>
      <c r="AH56" s="671">
        <f>SUBTOTAL(9,Cliente1916[[#This Row],[II         REMUNERAÇÃO]:[VIII             TRIBUTOS]])</f>
        <v>0</v>
      </c>
      <c r="AI56" s="671">
        <f>Cliente1916[[#This Row],[VALOR CONTRATUAL]]-Cliente1916[[#This Row],[TOTAL DESPESAS]]</f>
        <v>1490</v>
      </c>
      <c r="AJ56" s="651">
        <f>Cliente1916[[#This Row],[LUCRO LIQUIDO]]/Cliente1916[[#This Row],[VALOR CONTRATUAL]]</f>
        <v>1</v>
      </c>
      <c r="AK56" s="653"/>
      <c r="AL56" s="110"/>
      <c r="AM56" s="110">
        <v>0</v>
      </c>
      <c r="AN56" s="110">
        <v>0</v>
      </c>
      <c r="AO56" s="110">
        <v>0</v>
      </c>
      <c r="AP56" s="110">
        <v>0</v>
      </c>
      <c r="AQ56" s="110">
        <v>0</v>
      </c>
      <c r="AR56" s="110">
        <v>0</v>
      </c>
      <c r="AS56" s="110">
        <v>0</v>
      </c>
      <c r="AT56" s="110">
        <v>0</v>
      </c>
      <c r="AU56" s="110">
        <v>0</v>
      </c>
      <c r="AV56" s="110">
        <f>SUBTOTAL(9,Cliente1916[[#This Row],[abr/25]:[dez/25]])</f>
        <v>0</v>
      </c>
    </row>
    <row r="57" spans="2:48" ht="31.2" hidden="1" customHeight="1" thickTop="1" thickBot="1">
      <c r="B57" s="108" t="s">
        <v>387</v>
      </c>
      <c r="C57" s="108" t="s">
        <v>1993</v>
      </c>
      <c r="D57" s="591" t="s">
        <v>1937</v>
      </c>
      <c r="E57" s="677" t="s">
        <v>41</v>
      </c>
      <c r="F57" s="676" t="s">
        <v>1956</v>
      </c>
      <c r="G57" s="677" t="s">
        <v>27</v>
      </c>
      <c r="H57" s="102" t="s">
        <v>1426</v>
      </c>
      <c r="I57" s="104" t="s">
        <v>1419</v>
      </c>
      <c r="J57" s="103" t="s">
        <v>1420</v>
      </c>
      <c r="K57" s="140" t="s">
        <v>1421</v>
      </c>
      <c r="L57" s="103" t="s">
        <v>1422</v>
      </c>
      <c r="M57" s="103" t="s">
        <v>1423</v>
      </c>
      <c r="N57" s="103" t="s">
        <v>1424</v>
      </c>
      <c r="R57" s="108" t="s">
        <v>1425</v>
      </c>
      <c r="S57" s="136">
        <v>45413</v>
      </c>
      <c r="T57" s="112">
        <f>Cliente1916[[#This Row],[INICIO ]]+364</f>
        <v>45777</v>
      </c>
      <c r="U57" s="103" t="s">
        <v>1209</v>
      </c>
      <c r="V57" s="592">
        <v>4</v>
      </c>
      <c r="W57" s="137">
        <f>(31952/6)*4</f>
        <v>21301.333333333332</v>
      </c>
      <c r="X57" s="144" t="s">
        <v>235</v>
      </c>
      <c r="Y57" s="591" t="s">
        <v>1937</v>
      </c>
      <c r="Z57" s="670">
        <v>0</v>
      </c>
      <c r="AA57" s="670">
        <v>0</v>
      </c>
      <c r="AB57" s="145">
        <v>0</v>
      </c>
      <c r="AC57" s="145">
        <v>0</v>
      </c>
      <c r="AD57" s="145">
        <v>0</v>
      </c>
      <c r="AE57" s="145">
        <v>0</v>
      </c>
      <c r="AF57" s="145">
        <v>0</v>
      </c>
      <c r="AG57" s="145">
        <v>0</v>
      </c>
      <c r="AH57" s="671">
        <f>SUBTOTAL(9,Cliente1916[[#This Row],[II         REMUNERAÇÃO]:[VIII             TRIBUTOS]])</f>
        <v>0</v>
      </c>
      <c r="AI57" s="671">
        <f>Cliente1916[[#This Row],[VALOR CONTRATUAL]]-Cliente1916[[#This Row],[TOTAL DESPESAS]]</f>
        <v>21301.333333333332</v>
      </c>
      <c r="AJ57" s="651">
        <f>Cliente1916[[#This Row],[LUCRO LIQUIDO]]/Cliente1916[[#This Row],[VALOR CONTRATUAL]]</f>
        <v>1</v>
      </c>
      <c r="AK57" s="653"/>
      <c r="AL57" s="110"/>
      <c r="AM57" s="110">
        <v>0</v>
      </c>
      <c r="AN57" s="110">
        <v>0</v>
      </c>
      <c r="AO57" s="110">
        <v>0</v>
      </c>
      <c r="AP57" s="110">
        <v>0</v>
      </c>
      <c r="AQ57" s="110">
        <v>0</v>
      </c>
      <c r="AR57" s="110">
        <v>0</v>
      </c>
      <c r="AS57" s="110">
        <v>0</v>
      </c>
      <c r="AT57" s="110">
        <v>0</v>
      </c>
      <c r="AU57" s="110">
        <v>0</v>
      </c>
      <c r="AV57" s="110">
        <f>SUBTOTAL(9,Cliente1916[[#This Row],[abr/25]:[dez/25]])</f>
        <v>0</v>
      </c>
    </row>
    <row r="58" spans="2:48" ht="31.2" hidden="1" customHeight="1" thickTop="1" thickBot="1">
      <c r="B58" s="108" t="s">
        <v>389</v>
      </c>
      <c r="C58" s="108" t="s">
        <v>1993</v>
      </c>
      <c r="D58" s="118" t="s">
        <v>1185</v>
      </c>
      <c r="E58" s="677" t="s">
        <v>41</v>
      </c>
      <c r="F58" s="676" t="s">
        <v>1956</v>
      </c>
      <c r="G58" s="677" t="s">
        <v>27</v>
      </c>
      <c r="H58" s="102" t="s">
        <v>1426</v>
      </c>
      <c r="I58" s="104" t="s">
        <v>1419</v>
      </c>
      <c r="J58" s="103" t="s">
        <v>1420</v>
      </c>
      <c r="K58" s="140" t="s">
        <v>1421</v>
      </c>
      <c r="L58" s="103" t="s">
        <v>1422</v>
      </c>
      <c r="M58" s="103" t="s">
        <v>1423</v>
      </c>
      <c r="N58" s="103" t="s">
        <v>1424</v>
      </c>
      <c r="R58" s="108" t="s">
        <v>1425</v>
      </c>
      <c r="S58" s="136">
        <v>45413</v>
      </c>
      <c r="T58" s="112">
        <f>Cliente1916[[#This Row],[INICIO ]]+364</f>
        <v>45777</v>
      </c>
      <c r="U58" s="103" t="s">
        <v>1251</v>
      </c>
      <c r="V58" s="681">
        <v>2</v>
      </c>
      <c r="W58" s="137">
        <v>13960</v>
      </c>
      <c r="X58" s="144" t="s">
        <v>235</v>
      </c>
      <c r="Y58" s="118" t="s">
        <v>1923</v>
      </c>
      <c r="Z58" s="137">
        <v>3800.4</v>
      </c>
      <c r="AA58" s="137">
        <v>3800.4</v>
      </c>
      <c r="AB58" s="137">
        <v>2936.1890400000002</v>
      </c>
      <c r="AC58" s="137">
        <v>3202.8560000000002</v>
      </c>
      <c r="AD58" s="137">
        <v>140.66666666666669</v>
      </c>
      <c r="AE58" s="137">
        <v>1249.3991212121214</v>
      </c>
      <c r="AF58" s="137">
        <v>345.15581327349287</v>
      </c>
      <c r="AG58" s="137">
        <v>2285.236074562511</v>
      </c>
      <c r="AH58" s="671">
        <f>SUBTOTAL(9,Cliente1916[[#This Row],[II         REMUNERAÇÃO]:[VIII             TRIBUTOS]])</f>
        <v>0</v>
      </c>
      <c r="AI58" s="671">
        <f>Cliente1916[[#This Row],[VALOR CONTRATUAL]]-Cliente1916[[#This Row],[TOTAL DESPESAS]]</f>
        <v>13960</v>
      </c>
      <c r="AJ58" s="651">
        <f>Cliente1916[[#This Row],[LUCRO LIQUIDO]]/Cliente1916[[#This Row],[VALOR CONTRATUAL]]</f>
        <v>1</v>
      </c>
      <c r="AK58" s="653"/>
      <c r="AL58" s="110"/>
      <c r="AM58" s="110">
        <v>3992.66</v>
      </c>
      <c r="AN58" s="619">
        <v>1600</v>
      </c>
      <c r="AO58" s="110">
        <v>1556.26</v>
      </c>
      <c r="AP58" s="110">
        <v>0</v>
      </c>
      <c r="AQ58" s="110">
        <v>0</v>
      </c>
      <c r="AR58" s="110">
        <v>0</v>
      </c>
      <c r="AS58" s="110">
        <v>0</v>
      </c>
      <c r="AT58" s="110">
        <v>0</v>
      </c>
      <c r="AU58" s="110">
        <v>0</v>
      </c>
      <c r="AV58" s="116">
        <f>SUBTOTAL(9,Cliente1916[[#This Row],[abr/25]:[dez/25]])</f>
        <v>0</v>
      </c>
    </row>
    <row r="59" spans="2:48" ht="31.2" hidden="1" customHeight="1" thickTop="1" thickBot="1">
      <c r="B59" s="108" t="s">
        <v>391</v>
      </c>
      <c r="C59" s="108" t="s">
        <v>1993</v>
      </c>
      <c r="D59" s="591" t="s">
        <v>1937</v>
      </c>
      <c r="E59" s="677" t="s">
        <v>41</v>
      </c>
      <c r="F59" s="676" t="s">
        <v>1956</v>
      </c>
      <c r="G59" s="677" t="s">
        <v>27</v>
      </c>
      <c r="H59" s="102" t="s">
        <v>1478</v>
      </c>
      <c r="I59" s="104" t="s">
        <v>1477</v>
      </c>
      <c r="J59" s="103" t="s">
        <v>1479</v>
      </c>
      <c r="K59" s="140" t="s">
        <v>1189</v>
      </c>
      <c r="L59" s="103" t="s">
        <v>1480</v>
      </c>
      <c r="M59" s="103" t="s">
        <v>1481</v>
      </c>
      <c r="N59" s="103" t="s">
        <v>1482</v>
      </c>
      <c r="O59" s="103" t="s">
        <v>1483</v>
      </c>
      <c r="R59" s="108" t="s">
        <v>1484</v>
      </c>
      <c r="S59" s="136">
        <v>45429</v>
      </c>
      <c r="T59" s="112">
        <f>Cliente1916[[#This Row],[INICIO ]]+364</f>
        <v>45793</v>
      </c>
      <c r="U59" s="103" t="s">
        <v>1238</v>
      </c>
      <c r="V59" s="592">
        <v>1</v>
      </c>
      <c r="W59" s="593">
        <v>6098</v>
      </c>
      <c r="X59" s="144" t="s">
        <v>225</v>
      </c>
      <c r="Y59" s="591" t="s">
        <v>1937</v>
      </c>
      <c r="Z59" s="670">
        <v>0</v>
      </c>
      <c r="AA59" s="670">
        <v>0</v>
      </c>
      <c r="AB59" s="145">
        <v>0</v>
      </c>
      <c r="AC59" s="145">
        <v>0</v>
      </c>
      <c r="AD59" s="145">
        <v>0</v>
      </c>
      <c r="AE59" s="145">
        <v>0</v>
      </c>
      <c r="AF59" s="145">
        <v>0</v>
      </c>
      <c r="AG59" s="145">
        <v>0</v>
      </c>
      <c r="AH59" s="671">
        <f>SUBTOTAL(9,Cliente1916[[#This Row],[II         REMUNERAÇÃO]:[VIII             TRIBUTOS]])</f>
        <v>0</v>
      </c>
      <c r="AI59" s="671">
        <f>Cliente1916[[#This Row],[VALOR CONTRATUAL]]-Cliente1916[[#This Row],[TOTAL DESPESAS]]</f>
        <v>6098</v>
      </c>
      <c r="AJ59" s="651">
        <f>Cliente1916[[#This Row],[LUCRO LIQUIDO]]/Cliente1916[[#This Row],[VALOR CONTRATUAL]]</f>
        <v>1</v>
      </c>
      <c r="AK59" s="653"/>
      <c r="AL59" s="110"/>
      <c r="AM59" s="110">
        <v>0</v>
      </c>
      <c r="AN59" s="110">
        <v>0</v>
      </c>
      <c r="AO59" s="110">
        <v>0</v>
      </c>
      <c r="AP59" s="110">
        <v>0</v>
      </c>
      <c r="AQ59" s="110">
        <v>0</v>
      </c>
      <c r="AR59" s="110">
        <v>0</v>
      </c>
      <c r="AS59" s="110">
        <v>0</v>
      </c>
      <c r="AT59" s="110">
        <v>0</v>
      </c>
      <c r="AU59" s="110">
        <v>0</v>
      </c>
      <c r="AV59" s="110">
        <f>SUBTOTAL(9,Cliente1916[[#This Row],[abr/25]:[dez/25]])</f>
        <v>0</v>
      </c>
    </row>
    <row r="60" spans="2:48" ht="31.2" customHeight="1" thickTop="1" thickBot="1">
      <c r="B60" s="108" t="s">
        <v>394</v>
      </c>
      <c r="C60" s="108" t="s">
        <v>1993</v>
      </c>
      <c r="D60" s="118" t="s">
        <v>1196</v>
      </c>
      <c r="E60" s="677" t="s">
        <v>41</v>
      </c>
      <c r="F60" s="676" t="s">
        <v>1956</v>
      </c>
      <c r="G60" s="677" t="s">
        <v>27</v>
      </c>
      <c r="H60" s="683" t="s">
        <v>1499</v>
      </c>
      <c r="I60" s="132" t="s">
        <v>1498</v>
      </c>
      <c r="J60" s="130" t="s">
        <v>1500</v>
      </c>
      <c r="K60" s="852" t="s">
        <v>1501</v>
      </c>
      <c r="L60" s="130" t="s">
        <v>1190</v>
      </c>
      <c r="M60" s="130" t="s">
        <v>1502</v>
      </c>
      <c r="N60" s="130" t="s">
        <v>1503</v>
      </c>
      <c r="O60" s="130" t="s">
        <v>1504</v>
      </c>
      <c r="P60" s="130"/>
      <c r="Q60" s="130"/>
      <c r="R60" s="130" t="s">
        <v>1505</v>
      </c>
      <c r="S60" s="111">
        <v>45505</v>
      </c>
      <c r="T60" s="112">
        <f>Cliente1916[[#This Row],[INICIO ]]+364*2</f>
        <v>46233</v>
      </c>
      <c r="U60" s="130" t="s">
        <v>1435</v>
      </c>
      <c r="V60" s="679">
        <v>7</v>
      </c>
      <c r="W60" s="135">
        <v>41450</v>
      </c>
      <c r="X60" s="145" t="s">
        <v>230</v>
      </c>
      <c r="Y60" s="108" t="s">
        <v>2645</v>
      </c>
      <c r="Z60" s="135">
        <v>12988.38</v>
      </c>
      <c r="AA60" s="135">
        <v>13596.444</v>
      </c>
      <c r="AB60" s="135">
        <v>10205.080308000001</v>
      </c>
      <c r="AC60" s="135">
        <v>7576.7771999999995</v>
      </c>
      <c r="AD60" s="135">
        <v>709</v>
      </c>
      <c r="AE60" s="135">
        <v>1210.782454545455</v>
      </c>
      <c r="AF60" s="135">
        <v>669.29148764716365</v>
      </c>
      <c r="AG60" s="135">
        <v>4426.8547410503097</v>
      </c>
      <c r="AH60" s="671">
        <f>SUBTOTAL(9,Cliente1916[[#This Row],[II         REMUNERAÇÃO]:[VIII             TRIBUTOS]])</f>
        <v>38394.230191242925</v>
      </c>
      <c r="AI60" s="671">
        <f>Cliente1916[[#This Row],[VALOR CONTRATUAL]]-Cliente1916[[#This Row],[TOTAL DESPESAS]]</f>
        <v>3055.7698087570752</v>
      </c>
      <c r="AJ60" s="651">
        <f>Cliente1916[[#This Row],[LUCRO LIQUIDO]]/Cliente1916[[#This Row],[VALOR CONTRATUAL]]</f>
        <v>7.3721828920556703E-2</v>
      </c>
      <c r="AK60" s="653"/>
      <c r="AL60" s="110"/>
      <c r="AM60" s="110">
        <v>3907.56</v>
      </c>
      <c r="AN60" s="110">
        <v>3960</v>
      </c>
      <c r="AO60" s="110">
        <v>3953.54</v>
      </c>
      <c r="AP60" s="110">
        <v>0</v>
      </c>
      <c r="AQ60" s="110">
        <v>0</v>
      </c>
      <c r="AR60" s="110">
        <v>0</v>
      </c>
      <c r="AS60" s="110">
        <v>0</v>
      </c>
      <c r="AT60" s="110">
        <v>0</v>
      </c>
      <c r="AU60" s="110">
        <v>0</v>
      </c>
      <c r="AV60" s="116">
        <f>SUBTOTAL(9,Cliente1916[[#This Row],[abr/25]:[dez/25]])</f>
        <v>11821.099999999999</v>
      </c>
    </row>
    <row r="61" spans="2:48" s="107" customFormat="1" ht="31.2" customHeight="1" thickTop="1" thickBot="1">
      <c r="B61" s="108" t="s">
        <v>395</v>
      </c>
      <c r="C61" s="108" t="s">
        <v>1993</v>
      </c>
      <c r="D61" s="118" t="s">
        <v>1196</v>
      </c>
      <c r="E61" s="677" t="s">
        <v>41</v>
      </c>
      <c r="F61" s="676" t="s">
        <v>1956</v>
      </c>
      <c r="G61" s="677" t="s">
        <v>27</v>
      </c>
      <c r="H61" s="683" t="s">
        <v>49</v>
      </c>
      <c r="I61" s="117" t="s">
        <v>1291</v>
      </c>
      <c r="J61" s="110" t="s">
        <v>1292</v>
      </c>
      <c r="K61" s="852" t="s">
        <v>1293</v>
      </c>
      <c r="L61" s="110" t="s">
        <v>1294</v>
      </c>
      <c r="M61" s="110" t="s">
        <v>1295</v>
      </c>
      <c r="N61" s="126" t="s">
        <v>1296</v>
      </c>
      <c r="O61" s="110" t="s">
        <v>1297</v>
      </c>
      <c r="P61" s="110"/>
      <c r="Q61" s="110"/>
      <c r="R61" s="130" t="s">
        <v>1635</v>
      </c>
      <c r="S61" s="111">
        <v>45566</v>
      </c>
      <c r="T61" s="112">
        <f>Cliente1916[[#This Row],[INICIO ]]+365</f>
        <v>45931</v>
      </c>
      <c r="U61" s="110" t="s">
        <v>1209</v>
      </c>
      <c r="V61" s="679">
        <v>6</v>
      </c>
      <c r="W61" s="114">
        <v>36427</v>
      </c>
      <c r="X61" s="113" t="s">
        <v>225</v>
      </c>
      <c r="Y61" s="108" t="s">
        <v>2645</v>
      </c>
      <c r="Z61" s="670">
        <v>11401.2</v>
      </c>
      <c r="AA61" s="670">
        <v>12009.263999999999</v>
      </c>
      <c r="AB61" s="670">
        <v>8978.8250399999997</v>
      </c>
      <c r="AC61" s="670">
        <v>6043.9679999999998</v>
      </c>
      <c r="AD61" s="670">
        <v>638.66666666666674</v>
      </c>
      <c r="AE61" s="670">
        <v>464.39912121212126</v>
      </c>
      <c r="AF61" s="670">
        <v>565.51596884036371</v>
      </c>
      <c r="AG61" s="670">
        <v>4429.499488769884</v>
      </c>
      <c r="AH61" s="671">
        <f>SUBTOTAL(9,Cliente1916[[#This Row],[II         REMUNERAÇÃO]:[VIII             TRIBUTOS]])</f>
        <v>33130.13828548904</v>
      </c>
      <c r="AI61" s="671">
        <f>Cliente1916[[#This Row],[VALOR CONTRATUAL]]-Cliente1916[[#This Row],[TOTAL DESPESAS]]</f>
        <v>3296.8617145109602</v>
      </c>
      <c r="AJ61" s="651">
        <f>Cliente1916[[#This Row],[LUCRO LIQUIDO]]/Cliente1916[[#This Row],[VALOR CONTRATUAL]]</f>
        <v>9.0505990460673674E-2</v>
      </c>
      <c r="AK61" s="653"/>
      <c r="AL61" s="110"/>
      <c r="AM61" s="110">
        <v>3872.16</v>
      </c>
      <c r="AN61" s="110">
        <v>3991.73</v>
      </c>
      <c r="AO61" s="110">
        <v>3973.43</v>
      </c>
      <c r="AP61" s="110">
        <v>0</v>
      </c>
      <c r="AQ61" s="110">
        <v>0</v>
      </c>
      <c r="AR61" s="110">
        <v>0</v>
      </c>
      <c r="AS61" s="110">
        <v>0</v>
      </c>
      <c r="AT61" s="110">
        <v>0</v>
      </c>
      <c r="AU61" s="110">
        <v>0</v>
      </c>
      <c r="AV61" s="116">
        <f>SUBTOTAL(9,Cliente1916[[#This Row],[abr/25]:[dez/25]])</f>
        <v>11837.32</v>
      </c>
    </row>
    <row r="62" spans="2:48" ht="31.2" customHeight="1" thickTop="1" thickBot="1">
      <c r="B62" s="108" t="s">
        <v>397</v>
      </c>
      <c r="C62" s="108" t="s">
        <v>1995</v>
      </c>
      <c r="D62" s="118" t="s">
        <v>1196</v>
      </c>
      <c r="E62" s="118" t="s">
        <v>581</v>
      </c>
      <c r="F62" s="676" t="s">
        <v>1956</v>
      </c>
      <c r="G62" s="677" t="s">
        <v>1629</v>
      </c>
      <c r="H62" s="683" t="s">
        <v>1630</v>
      </c>
      <c r="I62" s="132" t="s">
        <v>1639</v>
      </c>
      <c r="J62" s="130" t="s">
        <v>1640</v>
      </c>
      <c r="K62" s="130" t="s">
        <v>1641</v>
      </c>
      <c r="L62" s="103" t="s">
        <v>1409</v>
      </c>
      <c r="M62" s="130" t="s">
        <v>1642</v>
      </c>
      <c r="N62" s="130" t="s">
        <v>1643</v>
      </c>
      <c r="O62" s="130" t="s">
        <v>1644</v>
      </c>
      <c r="P62" s="103" t="s">
        <v>1659</v>
      </c>
      <c r="Q62" s="1005" t="s">
        <v>2166</v>
      </c>
      <c r="R62" s="130" t="s">
        <v>1645</v>
      </c>
      <c r="S62" s="111">
        <v>45586</v>
      </c>
      <c r="T62" s="1277">
        <f>Cliente1916[[#This Row],[INICIO ]]+365*2</f>
        <v>46316</v>
      </c>
      <c r="U62" s="130" t="s">
        <v>1900</v>
      </c>
      <c r="V62" s="679">
        <v>2</v>
      </c>
      <c r="W62" s="135">
        <v>11996</v>
      </c>
      <c r="X62" s="145" t="s">
        <v>222</v>
      </c>
      <c r="Y62" s="1194" t="s">
        <v>2643</v>
      </c>
      <c r="Z62" s="135">
        <v>3203.1</v>
      </c>
      <c r="AA62" s="135">
        <v>3734.2909090909088</v>
      </c>
      <c r="AB62" s="135">
        <v>2707.0494245454538</v>
      </c>
      <c r="AC62" s="135">
        <v>1986.8140000000001</v>
      </c>
      <c r="AD62" s="135">
        <v>257.16666666666669</v>
      </c>
      <c r="AE62" s="135">
        <v>0</v>
      </c>
      <c r="AF62" s="135">
        <v>838.13347652924233</v>
      </c>
      <c r="AG62" s="135">
        <v>1864.1510197984489</v>
      </c>
      <c r="AH62" s="671">
        <f>SUBTOTAL(9,Cliente1916[[#This Row],[II         REMUNERAÇÃO]:[VIII             TRIBUTOS]])</f>
        <v>11387.60549663072</v>
      </c>
      <c r="AI62" s="671">
        <f>Cliente1916[[#This Row],[VALOR CONTRATUAL]]-Cliente1916[[#This Row],[TOTAL DESPESAS]]</f>
        <v>608.39450336927985</v>
      </c>
      <c r="AJ62" s="651">
        <f>Cliente1916[[#This Row],[LUCRO LIQUIDO]]/Cliente1916[[#This Row],[VALOR CONTRATUAL]]</f>
        <v>5.0716447429916628E-2</v>
      </c>
      <c r="AK62" s="653"/>
      <c r="AL62" s="110"/>
      <c r="AM62" s="110">
        <v>179.77</v>
      </c>
      <c r="AN62" s="110">
        <v>242.72</v>
      </c>
      <c r="AO62" s="110">
        <f>242.72-65</f>
        <v>177.72</v>
      </c>
      <c r="AP62" s="110">
        <v>0</v>
      </c>
      <c r="AQ62" s="110">
        <v>0</v>
      </c>
      <c r="AR62" s="110">
        <v>0</v>
      </c>
      <c r="AS62" s="110">
        <v>0</v>
      </c>
      <c r="AT62" s="110">
        <v>0</v>
      </c>
      <c r="AU62" s="110">
        <v>0</v>
      </c>
      <c r="AV62" s="110">
        <f>SUBTOTAL(9,Cliente1916[[#This Row],[abr/25]:[dez/25]])</f>
        <v>600.21</v>
      </c>
    </row>
    <row r="63" spans="2:48" ht="31.2" customHeight="1" thickTop="1" thickBot="1">
      <c r="B63" s="108" t="s">
        <v>399</v>
      </c>
      <c r="C63" s="108" t="s">
        <v>1995</v>
      </c>
      <c r="D63" s="118" t="s">
        <v>1196</v>
      </c>
      <c r="E63" s="118" t="s">
        <v>581</v>
      </c>
      <c r="F63" s="676" t="s">
        <v>1956</v>
      </c>
      <c r="G63" s="677" t="s">
        <v>27</v>
      </c>
      <c r="H63" s="102" t="s">
        <v>1137</v>
      </c>
      <c r="I63" s="104" t="s">
        <v>1407</v>
      </c>
      <c r="J63" s="103" t="s">
        <v>1408</v>
      </c>
      <c r="K63" s="103">
        <v>1132872</v>
      </c>
      <c r="L63" s="103" t="s">
        <v>1409</v>
      </c>
      <c r="M63" s="103" t="s">
        <v>1410</v>
      </c>
      <c r="N63" s="103" t="s">
        <v>1411</v>
      </c>
      <c r="O63" s="103" t="s">
        <v>1662</v>
      </c>
      <c r="P63" s="130" t="s">
        <v>1664</v>
      </c>
      <c r="Q63" s="439" t="s">
        <v>1663</v>
      </c>
      <c r="R63" s="130" t="s">
        <v>1656</v>
      </c>
      <c r="S63" s="136">
        <v>45566</v>
      </c>
      <c r="T63" s="1277">
        <f>Cliente1916[[#This Row],[INICIO ]]+365*2</f>
        <v>46296</v>
      </c>
      <c r="U63" s="103" t="s">
        <v>1918</v>
      </c>
      <c r="V63" s="681">
        <v>5</v>
      </c>
      <c r="W63" s="137">
        <v>37739</v>
      </c>
      <c r="X63" s="144" t="s">
        <v>235</v>
      </c>
      <c r="Y63" s="1293" t="s">
        <v>2641</v>
      </c>
      <c r="Z63" s="137">
        <f>2901.36+1601.55</f>
        <v>4502.91</v>
      </c>
      <c r="AA63" s="137">
        <v>10605.766363636363</v>
      </c>
      <c r="AB63" s="137">
        <v>7797.4459538181818</v>
      </c>
      <c r="AC63" s="137">
        <v>4889.0464000000002</v>
      </c>
      <c r="AD63" s="137">
        <v>441.66666666666669</v>
      </c>
      <c r="AE63" s="137">
        <v>5533.1083333333336</v>
      </c>
      <c r="AF63" s="137">
        <v>1158.5062626717206</v>
      </c>
      <c r="AG63" s="137">
        <v>5314.5516211027552</v>
      </c>
      <c r="AH63" s="671">
        <f>SUBTOTAL(9,Cliente1916[[#This Row],[II         REMUNERAÇÃO]:[VIII             TRIBUTOS]])</f>
        <v>35740.091601229018</v>
      </c>
      <c r="AI63" s="671">
        <f>Cliente1916[[#This Row],[VALOR CONTRATUAL]]-Cliente1916[[#This Row],[TOTAL DESPESAS]]</f>
        <v>1998.9083987709819</v>
      </c>
      <c r="AJ63" s="651">
        <f>Cliente1916[[#This Row],[LUCRO LIQUIDO]]/Cliente1916[[#This Row],[VALOR CONTRATUAL]]</f>
        <v>5.2966649852168361E-2</v>
      </c>
      <c r="AK63" s="653"/>
      <c r="AL63" s="110"/>
      <c r="AM63" s="619">
        <f>864.41-1796.55</f>
        <v>-932.14</v>
      </c>
      <c r="AN63" s="619">
        <f>890-1796.55</f>
        <v>-906.55</v>
      </c>
      <c r="AO63" s="619">
        <f>787.43-1796.55</f>
        <v>-1009.12</v>
      </c>
      <c r="AP63" s="110">
        <v>0</v>
      </c>
      <c r="AQ63" s="110">
        <v>0</v>
      </c>
      <c r="AR63" s="110">
        <v>0</v>
      </c>
      <c r="AS63" s="110">
        <v>0</v>
      </c>
      <c r="AT63" s="110">
        <v>0</v>
      </c>
      <c r="AU63" s="110">
        <v>0</v>
      </c>
      <c r="AV63" s="110">
        <f>SUBTOTAL(9,Cliente1916[[#This Row],[abr/25]:[dez/25]])</f>
        <v>-2847.81</v>
      </c>
    </row>
    <row r="64" spans="2:48" ht="31.2" customHeight="1" thickTop="1" thickBot="1">
      <c r="B64" s="108" t="s">
        <v>403</v>
      </c>
      <c r="C64" s="108" t="s">
        <v>1995</v>
      </c>
      <c r="D64" s="118" t="s">
        <v>1196</v>
      </c>
      <c r="E64" s="118" t="s">
        <v>581</v>
      </c>
      <c r="F64" s="676" t="s">
        <v>1956</v>
      </c>
      <c r="G64" s="677" t="s">
        <v>1470</v>
      </c>
      <c r="H64" s="672" t="s">
        <v>1508</v>
      </c>
      <c r="I64" s="104" t="s">
        <v>1493</v>
      </c>
      <c r="J64" s="103" t="s">
        <v>1494</v>
      </c>
      <c r="L64" s="103" t="s">
        <v>1409</v>
      </c>
      <c r="M64" s="103" t="s">
        <v>1495</v>
      </c>
      <c r="N64" s="103" t="s">
        <v>1411</v>
      </c>
      <c r="P64" s="103" t="s">
        <v>1659</v>
      </c>
      <c r="Q64" s="440" t="s">
        <v>1658</v>
      </c>
      <c r="R64" s="130" t="s">
        <v>1657</v>
      </c>
      <c r="S64" s="136">
        <v>45391</v>
      </c>
      <c r="T64" s="112">
        <f>Cliente1916[[#This Row],[INICIO ]]+365</f>
        <v>45756</v>
      </c>
      <c r="U64" s="103" t="s">
        <v>1406</v>
      </c>
      <c r="V64" s="681">
        <v>1</v>
      </c>
      <c r="W64" s="979">
        <v>1562</v>
      </c>
      <c r="X64" s="144" t="s">
        <v>230</v>
      </c>
      <c r="Y64" s="1194" t="s">
        <v>2643</v>
      </c>
      <c r="Z64" s="782">
        <v>1601.55</v>
      </c>
      <c r="AA64" s="783">
        <f>62.24*2</f>
        <v>124.48</v>
      </c>
      <c r="AB64" s="783">
        <f>45.12*2</f>
        <v>90.24</v>
      </c>
      <c r="AC64" s="783">
        <f>33.11*2</f>
        <v>66.22</v>
      </c>
      <c r="AD64" s="783">
        <f>4.29*2</f>
        <v>8.58</v>
      </c>
      <c r="AE64" s="783">
        <f>6.67*2</f>
        <v>13.34</v>
      </c>
      <c r="AF64" s="783">
        <f>15.38*2</f>
        <v>30.76</v>
      </c>
      <c r="AG64" s="783">
        <f>32.65*2</f>
        <v>65.3</v>
      </c>
      <c r="AH64" s="784">
        <f>SUBTOTAL(9,Cliente1916[[#This Row],[II         REMUNERAÇÃO]:[VIII             TRIBUTOS]])</f>
        <v>398.91999999999996</v>
      </c>
      <c r="AI64" s="784">
        <f>Cliente1916[[#This Row],[VALOR CONTRATUAL]]-Cliente1916[[#This Row],[TOTAL DESPESAS]]</f>
        <v>1163.08</v>
      </c>
      <c r="AJ64" s="785">
        <f>Cliente1916[[#This Row],[LUCRO LIQUIDO]]/Cliente1916[[#This Row],[VALOR CONTRATUAL]]</f>
        <v>0.74460947503201025</v>
      </c>
      <c r="AK64" s="653"/>
      <c r="AL64" s="110"/>
      <c r="AM64" s="110">
        <v>0</v>
      </c>
      <c r="AN64" s="110">
        <v>0</v>
      </c>
      <c r="AO64" s="110">
        <v>0</v>
      </c>
      <c r="AP64" s="110">
        <v>0</v>
      </c>
      <c r="AQ64" s="110">
        <v>0</v>
      </c>
      <c r="AR64" s="110">
        <v>0</v>
      </c>
      <c r="AS64" s="110">
        <v>0</v>
      </c>
      <c r="AT64" s="110">
        <v>0</v>
      </c>
      <c r="AU64" s="110">
        <v>0</v>
      </c>
      <c r="AV64" s="110">
        <f>SUBTOTAL(9,Cliente1916[[#This Row],[abr/25]:[dez/25]])</f>
        <v>0</v>
      </c>
    </row>
    <row r="65" spans="2:48" ht="31.2" customHeight="1" thickTop="1" thickBot="1">
      <c r="B65" s="108" t="s">
        <v>406</v>
      </c>
      <c r="C65" s="108" t="s">
        <v>1993</v>
      </c>
      <c r="D65" s="118" t="s">
        <v>1196</v>
      </c>
      <c r="E65" s="118" t="s">
        <v>581</v>
      </c>
      <c r="F65" s="676" t="s">
        <v>1956</v>
      </c>
      <c r="G65" s="677" t="s">
        <v>27</v>
      </c>
      <c r="H65" s="683" t="s">
        <v>1634</v>
      </c>
      <c r="I65" s="132" t="s">
        <v>1646</v>
      </c>
      <c r="J65" s="130" t="s">
        <v>1647</v>
      </c>
      <c r="K65" s="130" t="s">
        <v>1648</v>
      </c>
      <c r="L65" s="130" t="s">
        <v>1336</v>
      </c>
      <c r="M65" s="130" t="s">
        <v>1649</v>
      </c>
      <c r="N65" s="130" t="s">
        <v>1650</v>
      </c>
      <c r="O65" s="130" t="s">
        <v>1651</v>
      </c>
      <c r="P65" s="104" t="s">
        <v>1653</v>
      </c>
      <c r="Q65" s="143" t="s">
        <v>1655</v>
      </c>
      <c r="R65" s="130" t="s">
        <v>1864</v>
      </c>
      <c r="S65" s="111">
        <v>45624</v>
      </c>
      <c r="T65" s="1277">
        <f>Cliente1916[[#This Row],[INICIO ]]+365*2</f>
        <v>46354</v>
      </c>
      <c r="U65" s="103" t="s">
        <v>1238</v>
      </c>
      <c r="V65" s="681">
        <v>1</v>
      </c>
      <c r="W65" s="135">
        <v>6676</v>
      </c>
      <c r="X65" s="145" t="s">
        <v>225</v>
      </c>
      <c r="Y65" s="108" t="s">
        <v>2645</v>
      </c>
      <c r="Z65" s="135">
        <v>1900.2</v>
      </c>
      <c r="AA65" s="135">
        <v>1900.2</v>
      </c>
      <c r="AB65" s="135">
        <v>1468.0945200000001</v>
      </c>
      <c r="AC65" s="135">
        <v>1401.4280000000001</v>
      </c>
      <c r="AD65" s="135">
        <v>70.333333333333343</v>
      </c>
      <c r="AE65" s="135">
        <v>403.34000000000469</v>
      </c>
      <c r="AF65" s="135">
        <v>105.3922566520001</v>
      </c>
      <c r="AG65" s="135">
        <v>616.04061185616661</v>
      </c>
      <c r="AH65" s="671">
        <f>SUBTOTAL(9,Cliente1916[[#This Row],[II         REMUNERAÇÃO]:[VIII             TRIBUTOS]])</f>
        <v>5964.8287218415053</v>
      </c>
      <c r="AI65" s="671">
        <f>Cliente1916[[#This Row],[VALOR CONTRATUAL]]-Cliente1916[[#This Row],[TOTAL DESPESAS]]</f>
        <v>711.17127815849472</v>
      </c>
      <c r="AJ65" s="651">
        <f>Cliente1916[[#This Row],[LUCRO LIQUIDO]]/Cliente1916[[#This Row],[VALOR CONTRATUAL]]</f>
        <v>0.10652655454740784</v>
      </c>
      <c r="AK65" s="653"/>
      <c r="AL65" s="110"/>
      <c r="AM65" s="619">
        <f>148.24-195</f>
        <v>-46.759999999999991</v>
      </c>
      <c r="AN65" s="619">
        <f>148.24-195</f>
        <v>-46.759999999999991</v>
      </c>
      <c r="AO65" s="619">
        <f>148.24-195</f>
        <v>-46.759999999999991</v>
      </c>
      <c r="AP65" s="110">
        <v>0</v>
      </c>
      <c r="AQ65" s="110">
        <v>0</v>
      </c>
      <c r="AR65" s="110">
        <v>0</v>
      </c>
      <c r="AS65" s="110">
        <v>0</v>
      </c>
      <c r="AT65" s="110">
        <v>0</v>
      </c>
      <c r="AU65" s="110">
        <v>0</v>
      </c>
      <c r="AV65" s="110">
        <f>SUBTOTAL(9,Cliente1916[[#This Row],[abr/25]:[dez/25]])</f>
        <v>-140.27999999999997</v>
      </c>
    </row>
    <row r="66" spans="2:48" ht="31.2" customHeight="1" thickTop="1" thickBot="1">
      <c r="B66" s="108" t="s">
        <v>408</v>
      </c>
      <c r="C66" s="108" t="s">
        <v>1995</v>
      </c>
      <c r="D66" s="118" t="s">
        <v>1196</v>
      </c>
      <c r="E66" s="118" t="s">
        <v>581</v>
      </c>
      <c r="F66" s="676" t="s">
        <v>1956</v>
      </c>
      <c r="G66" s="677" t="s">
        <v>27</v>
      </c>
      <c r="H66" s="683" t="s">
        <v>1768</v>
      </c>
      <c r="I66" s="132" t="s">
        <v>1795</v>
      </c>
      <c r="J66" s="130" t="s">
        <v>1796</v>
      </c>
      <c r="K66" s="130"/>
      <c r="L66" s="103" t="s">
        <v>1409</v>
      </c>
      <c r="M66" s="130" t="s">
        <v>1801</v>
      </c>
      <c r="N66" s="130" t="s">
        <v>1797</v>
      </c>
      <c r="O66" s="130" t="s">
        <v>1798</v>
      </c>
      <c r="P66" s="130" t="s">
        <v>1664</v>
      </c>
      <c r="Q66" s="441" t="s">
        <v>1799</v>
      </c>
      <c r="R66" s="130" t="s">
        <v>1800</v>
      </c>
      <c r="S66" s="111">
        <v>45642</v>
      </c>
      <c r="T66" s="1277">
        <f>Cliente1916[[#This Row],[INICIO ]]+365*2</f>
        <v>46372</v>
      </c>
      <c r="U66" s="103" t="s">
        <v>2635</v>
      </c>
      <c r="V66" s="681">
        <v>2</v>
      </c>
      <c r="W66" s="135">
        <v>9745</v>
      </c>
      <c r="X66" s="145" t="s">
        <v>235</v>
      </c>
      <c r="Y66" s="1293" t="s">
        <v>2641</v>
      </c>
      <c r="Z66" s="135">
        <v>1601.55</v>
      </c>
      <c r="AA66" s="135">
        <f>1721.55*Cliente1916[[#This Row],[QTDE COLABORADOR]]</f>
        <v>3443.1</v>
      </c>
      <c r="AB66" s="135">
        <f>1312.757985*Cliente1916[[#This Row],[QTDE COLABORADOR]]</f>
        <v>2625.5159699999999</v>
      </c>
      <c r="AC66" s="135">
        <f>443.5*Cliente1916[[#This Row],[QTDE COLABORADOR]]</f>
        <v>887</v>
      </c>
      <c r="AD66" s="135">
        <f>88.3333333333333*Cliente1916[[#This Row],[QTDE COLABORADOR]]</f>
        <v>176.6666666666666</v>
      </c>
      <c r="AE66" s="135">
        <f>0*Cliente1916[[#This Row],[QTDE COLABORADOR]]</f>
        <v>0</v>
      </c>
      <c r="AF66" s="135">
        <f>180.446750707667*Cliente1916[[#This Row],[QTDE COLABORADOR]]</f>
        <v>360.89350141533401</v>
      </c>
      <c r="AG66" s="135">
        <f>733.368966760746*Cliente1916[[#This Row],[QTDE COLABORADOR]]</f>
        <v>1466.7379335214921</v>
      </c>
      <c r="AH66" s="671">
        <f>SUBTOTAL(9,Cliente1916[[#This Row],[II         REMUNERAÇÃO]:[VIII             TRIBUTOS]])</f>
        <v>8959.9140716034926</v>
      </c>
      <c r="AI66" s="671">
        <f>Cliente1916[[#This Row],[VALOR CONTRATUAL]]-Cliente1916[[#This Row],[TOTAL DESPESAS]]</f>
        <v>785.08592839650737</v>
      </c>
      <c r="AJ66" s="651">
        <f>Cliente1916[[#This Row],[LUCRO LIQUIDO]]/Cliente1916[[#This Row],[VALOR CONTRATUAL]]</f>
        <v>8.0562948014007943E-2</v>
      </c>
      <c r="AK66" s="653"/>
      <c r="AL66" s="110"/>
      <c r="AM66" s="110">
        <v>245.39</v>
      </c>
      <c r="AN66" s="110">
        <v>242.72</v>
      </c>
      <c r="AO66" s="110">
        <v>242.72</v>
      </c>
      <c r="AP66" s="110">
        <v>0</v>
      </c>
      <c r="AQ66" s="110">
        <v>0</v>
      </c>
      <c r="AR66" s="110">
        <v>0</v>
      </c>
      <c r="AS66" s="110">
        <v>0</v>
      </c>
      <c r="AT66" s="110">
        <v>0</v>
      </c>
      <c r="AU66" s="110">
        <v>0</v>
      </c>
      <c r="AV66" s="110">
        <f>SUBTOTAL(9,Cliente1916[[#This Row],[abr/25]:[dez/25]])</f>
        <v>730.83</v>
      </c>
    </row>
    <row r="67" spans="2:48" ht="31.2" customHeight="1" thickTop="1" thickBot="1">
      <c r="B67" s="108" t="s">
        <v>410</v>
      </c>
      <c r="C67" s="108" t="s">
        <v>1993</v>
      </c>
      <c r="D67" s="118" t="s">
        <v>1196</v>
      </c>
      <c r="E67" s="118" t="s">
        <v>581</v>
      </c>
      <c r="F67" s="676" t="s">
        <v>1825</v>
      </c>
      <c r="G67" s="677" t="s">
        <v>27</v>
      </c>
      <c r="H67" s="683" t="s">
        <v>1834</v>
      </c>
      <c r="I67" s="132" t="s">
        <v>1845</v>
      </c>
      <c r="J67" s="130" t="s">
        <v>1846</v>
      </c>
      <c r="K67" s="130" t="s">
        <v>1847</v>
      </c>
      <c r="L67" s="130" t="s">
        <v>1331</v>
      </c>
      <c r="M67" s="130" t="s">
        <v>1848</v>
      </c>
      <c r="N67" s="130" t="s">
        <v>1849</v>
      </c>
      <c r="O67" s="134" t="s">
        <v>1850</v>
      </c>
      <c r="P67" s="130" t="s">
        <v>1851</v>
      </c>
      <c r="Q67" s="441" t="s">
        <v>1852</v>
      </c>
      <c r="R67" s="130" t="s">
        <v>1853</v>
      </c>
      <c r="S67" s="111">
        <v>45689</v>
      </c>
      <c r="T67" s="112">
        <f>Cliente1916[[#This Row],[INICIO ]]+365*2</f>
        <v>46419</v>
      </c>
      <c r="U67" s="103" t="s">
        <v>2636</v>
      </c>
      <c r="V67" s="681">
        <v>1</v>
      </c>
      <c r="W67" s="135">
        <v>6699</v>
      </c>
      <c r="X67" s="145" t="s">
        <v>235</v>
      </c>
      <c r="Y67" s="108" t="s">
        <v>2645</v>
      </c>
      <c r="Z67" s="135">
        <v>1900.2</v>
      </c>
      <c r="AA67" s="135">
        <v>1900.2</v>
      </c>
      <c r="AB67" s="135">
        <v>1468.0945200000001</v>
      </c>
      <c r="AC67" s="135">
        <v>1400.598</v>
      </c>
      <c r="AD67" s="135">
        <v>68.333333333333343</v>
      </c>
      <c r="AE67" s="135">
        <v>495.51078787878794</v>
      </c>
      <c r="AF67" s="135">
        <v>182.26227292334787</v>
      </c>
      <c r="AG67" s="135">
        <v>589.03972906925594</v>
      </c>
      <c r="AH67" s="671">
        <f>SUBTOTAL(9,Cliente1916[[#This Row],[II         REMUNERAÇÃO]:[VIII             TRIBUTOS]])</f>
        <v>6104.0386432047253</v>
      </c>
      <c r="AI67" s="671">
        <f>Cliente1916[[#This Row],[VALOR CONTRATUAL]]-Cliente1916[[#This Row],[TOTAL DESPESAS]]</f>
        <v>594.9613567952747</v>
      </c>
      <c r="AJ67" s="651">
        <f>Cliente1916[[#This Row],[LUCRO LIQUIDO]]/Cliente1916[[#This Row],[VALOR CONTRATUAL]]</f>
        <v>8.881345824679425E-2</v>
      </c>
      <c r="AK67" s="653"/>
      <c r="AL67" s="110"/>
      <c r="AM67" s="110">
        <v>158.22999999999999</v>
      </c>
      <c r="AN67" s="110">
        <v>148.24</v>
      </c>
      <c r="AO67" s="110">
        <v>148.24</v>
      </c>
      <c r="AP67" s="110">
        <v>0</v>
      </c>
      <c r="AQ67" s="110">
        <v>0</v>
      </c>
      <c r="AR67" s="110">
        <v>0</v>
      </c>
      <c r="AS67" s="110">
        <v>0</v>
      </c>
      <c r="AT67" s="110">
        <v>0</v>
      </c>
      <c r="AU67" s="110">
        <v>0</v>
      </c>
      <c r="AV67" s="110">
        <f>SUBTOTAL(9,Cliente1916[[#This Row],[abr/25]:[dez/25]])</f>
        <v>454.71000000000004</v>
      </c>
    </row>
    <row r="68" spans="2:48" ht="31.2" customHeight="1" thickTop="1" thickBot="1">
      <c r="B68" s="108" t="s">
        <v>411</v>
      </c>
      <c r="C68" s="108" t="s">
        <v>1993</v>
      </c>
      <c r="D68" s="118" t="s">
        <v>1196</v>
      </c>
      <c r="E68" s="118" t="s">
        <v>582</v>
      </c>
      <c r="F68" s="676" t="s">
        <v>1825</v>
      </c>
      <c r="G68" s="677" t="s">
        <v>27</v>
      </c>
      <c r="H68" s="683" t="s">
        <v>1082</v>
      </c>
      <c r="I68" s="132" t="s">
        <v>1362</v>
      </c>
      <c r="J68" s="852" t="s">
        <v>1363</v>
      </c>
      <c r="K68" s="130" t="s">
        <v>1364</v>
      </c>
      <c r="L68" s="110" t="s">
        <v>1336</v>
      </c>
      <c r="M68" s="130" t="s">
        <v>1365</v>
      </c>
      <c r="N68" s="130" t="s">
        <v>1366</v>
      </c>
      <c r="O68" s="130"/>
      <c r="P68" s="130" t="s">
        <v>1836</v>
      </c>
      <c r="Q68" s="130"/>
      <c r="R68" s="108" t="s">
        <v>2638</v>
      </c>
      <c r="S68" s="111">
        <v>46139</v>
      </c>
      <c r="T68" s="1278">
        <f>Cliente1916[[#This Row],[INICIO ]]+365*3</f>
        <v>47234</v>
      </c>
      <c r="U68" s="108" t="s">
        <v>1238</v>
      </c>
      <c r="V68" s="678">
        <v>1</v>
      </c>
      <c r="W68" s="135">
        <v>6486</v>
      </c>
      <c r="X68" s="145" t="s">
        <v>235</v>
      </c>
      <c r="Y68" s="108" t="s">
        <v>2645</v>
      </c>
      <c r="Z68" s="135">
        <v>1900.2</v>
      </c>
      <c r="AA68" s="135">
        <v>1900.2</v>
      </c>
      <c r="AB68" s="135">
        <v>1468.0945200000001</v>
      </c>
      <c r="AC68" s="135">
        <v>1635.4280000000001</v>
      </c>
      <c r="AD68" s="135">
        <v>70.333333333333343</v>
      </c>
      <c r="AE68" s="135">
        <v>161.55500000000006</v>
      </c>
      <c r="AF68" s="135">
        <v>102.06299797488001</v>
      </c>
      <c r="AG68" s="135">
        <v>614.76053970243868</v>
      </c>
      <c r="AH68" s="671">
        <f>SUBTOTAL(9,Cliente1916[[#This Row],[II         REMUNERAÇÃO]:[VIII             TRIBUTOS]])</f>
        <v>5952.4343910106527</v>
      </c>
      <c r="AI68" s="671">
        <f>Cliente1916[[#This Row],[VALOR CONTRATUAL]]-Cliente1916[[#This Row],[TOTAL DESPESAS]]</f>
        <v>533.56560898934731</v>
      </c>
      <c r="AJ68" s="651">
        <f>Cliente1916[[#This Row],[LUCRO LIQUIDO]]/Cliente1916[[#This Row],[VALOR CONTRATUAL]]</f>
        <v>8.2264201200947781E-2</v>
      </c>
      <c r="AK68" s="653"/>
      <c r="AL68" s="110"/>
      <c r="AM68" s="110">
        <f>148.24-65</f>
        <v>83.240000000000009</v>
      </c>
      <c r="AN68" s="110">
        <f>148.24-65</f>
        <v>83.240000000000009</v>
      </c>
      <c r="AO68" s="110">
        <f>136.84-65</f>
        <v>71.84</v>
      </c>
      <c r="AP68" s="621"/>
      <c r="AQ68" s="110">
        <v>0</v>
      </c>
      <c r="AR68" s="110">
        <v>0</v>
      </c>
      <c r="AS68" s="110">
        <v>0</v>
      </c>
      <c r="AT68" s="110">
        <v>0</v>
      </c>
      <c r="AU68" s="110">
        <v>0</v>
      </c>
      <c r="AV68" s="110">
        <f>SUBTOTAL(9,Cliente1916[[#This Row],[abr/25]:[dez/25]])</f>
        <v>238.32000000000002</v>
      </c>
    </row>
    <row r="69" spans="2:48" s="131" customFormat="1" ht="31.2" customHeight="1" thickTop="1" thickBot="1">
      <c r="B69" s="108" t="s">
        <v>413</v>
      </c>
      <c r="C69" s="108" t="s">
        <v>1993</v>
      </c>
      <c r="D69" s="118" t="s">
        <v>1196</v>
      </c>
      <c r="E69" s="118" t="s">
        <v>581</v>
      </c>
      <c r="F69" s="676" t="s">
        <v>1825</v>
      </c>
      <c r="G69" s="677" t="s">
        <v>27</v>
      </c>
      <c r="H69" s="683" t="s">
        <v>1003</v>
      </c>
      <c r="I69" s="130" t="s">
        <v>1346</v>
      </c>
      <c r="J69" s="130" t="s">
        <v>1347</v>
      </c>
      <c r="K69" s="110" t="s">
        <v>1348</v>
      </c>
      <c r="L69" s="110" t="s">
        <v>1331</v>
      </c>
      <c r="M69" s="130" t="s">
        <v>1349</v>
      </c>
      <c r="N69" s="130" t="s">
        <v>1350</v>
      </c>
      <c r="O69" s="130"/>
      <c r="P69" s="130"/>
      <c r="Q69" s="130"/>
      <c r="R69" s="108" t="s">
        <v>1971</v>
      </c>
      <c r="S69" s="111">
        <v>45809</v>
      </c>
      <c r="T69" s="112">
        <f>Cliente1916[[#This Row],[INICIO ]]+365*2</f>
        <v>46539</v>
      </c>
      <c r="U69" s="110" t="s">
        <v>1972</v>
      </c>
      <c r="V69" s="679">
        <v>3</v>
      </c>
      <c r="W69" s="114">
        <v>19698</v>
      </c>
      <c r="X69" s="113" t="s">
        <v>235</v>
      </c>
      <c r="Y69" s="1293" t="s">
        <v>2641</v>
      </c>
      <c r="Z69" s="135">
        <v>5700.6</v>
      </c>
      <c r="AA69" s="135">
        <v>5700.6</v>
      </c>
      <c r="AB69" s="135">
        <v>4404.2835599999999</v>
      </c>
      <c r="AC69" s="135">
        <v>3078.2840000000001</v>
      </c>
      <c r="AD69" s="135">
        <v>211.00000000000003</v>
      </c>
      <c r="AE69" s="135">
        <v>2195.1474545454548</v>
      </c>
      <c r="AF69" s="135">
        <v>470.79731343927278</v>
      </c>
      <c r="AG69" s="135">
        <v>2266.9137235248609</v>
      </c>
      <c r="AH69" s="671">
        <f>SUBTOTAL(9,Cliente1916[[#This Row],[II         REMUNERAÇÃO]:[VIII             TRIBUTOS]])</f>
        <v>18327.026051509587</v>
      </c>
      <c r="AI69" s="671">
        <f>Cliente1916[[#This Row],[VALOR CONTRATUAL]]-Cliente1916[[#This Row],[TOTAL DESPESAS]]</f>
        <v>1370.973948490413</v>
      </c>
      <c r="AJ69" s="651">
        <f>Cliente1916[[#This Row],[LUCRO LIQUIDO]]/Cliente1916[[#This Row],[VALOR CONTRATUAL]]</f>
        <v>6.9599652172322723E-2</v>
      </c>
      <c r="AK69" s="653"/>
      <c r="AL69" s="110"/>
      <c r="AM69" s="110">
        <v>0</v>
      </c>
      <c r="AN69" s="110">
        <v>0</v>
      </c>
      <c r="AO69" s="110">
        <f>444.72-65</f>
        <v>379.72</v>
      </c>
      <c r="AP69" s="110">
        <v>0</v>
      </c>
      <c r="AQ69" s="110">
        <v>0</v>
      </c>
      <c r="AR69" s="110">
        <v>0</v>
      </c>
      <c r="AS69" s="110">
        <v>0</v>
      </c>
      <c r="AT69" s="110">
        <v>0</v>
      </c>
      <c r="AU69" s="110">
        <v>0</v>
      </c>
      <c r="AV69" s="110">
        <f>SUBTOTAL(9,Cliente1916[[#This Row],[abr/25]:[dez/25]])</f>
        <v>379.72</v>
      </c>
    </row>
    <row r="70" spans="2:48" s="131" customFormat="1" ht="30" customHeight="1" thickTop="1" thickBot="1">
      <c r="B70" s="108" t="s">
        <v>415</v>
      </c>
      <c r="C70" s="108" t="s">
        <v>1995</v>
      </c>
      <c r="D70" s="118" t="s">
        <v>1196</v>
      </c>
      <c r="E70" s="118" t="s">
        <v>581</v>
      </c>
      <c r="F70" s="676" t="s">
        <v>1825</v>
      </c>
      <c r="G70" s="677" t="s">
        <v>27</v>
      </c>
      <c r="H70" s="683" t="s">
        <v>1991</v>
      </c>
      <c r="I70" s="130" t="s">
        <v>1984</v>
      </c>
      <c r="J70" s="130" t="s">
        <v>1985</v>
      </c>
      <c r="K70" s="110"/>
      <c r="L70" s="110" t="s">
        <v>1409</v>
      </c>
      <c r="M70" s="130" t="s">
        <v>1986</v>
      </c>
      <c r="N70" s="130" t="s">
        <v>1987</v>
      </c>
      <c r="O70" s="130" t="s">
        <v>1651</v>
      </c>
      <c r="P70" s="130"/>
      <c r="Q70" s="650" t="s">
        <v>1988</v>
      </c>
      <c r="R70" s="108" t="s">
        <v>1989</v>
      </c>
      <c r="S70" s="111">
        <v>45856</v>
      </c>
      <c r="T70" s="112">
        <f>Cliente1916[[#This Row],[INICIO ]]+365*2</f>
        <v>46586</v>
      </c>
      <c r="U70" s="110" t="s">
        <v>1990</v>
      </c>
      <c r="V70" s="679">
        <v>1</v>
      </c>
      <c r="W70" s="114">
        <v>6086</v>
      </c>
      <c r="X70" s="113" t="s">
        <v>230</v>
      </c>
      <c r="Y70" s="1195" t="s">
        <v>2642</v>
      </c>
      <c r="Z70" s="135">
        <v>1601.55</v>
      </c>
      <c r="AA70" s="135">
        <v>1721.55</v>
      </c>
      <c r="AB70" s="135">
        <v>1312.7579849999997</v>
      </c>
      <c r="AC70" s="135">
        <v>1122</v>
      </c>
      <c r="AD70" s="135">
        <v>95.63333333333334</v>
      </c>
      <c r="AE70" s="135">
        <v>200.00000000000364</v>
      </c>
      <c r="AF70" s="135">
        <v>503.06936897166702</v>
      </c>
      <c r="AG70" s="135">
        <v>969.9094218723294</v>
      </c>
      <c r="AH70" s="671">
        <f>SUBTOTAL(9,Cliente1916[[#This Row],[II         REMUNERAÇÃO]:[VIII             TRIBUTOS]])</f>
        <v>5924.920109177333</v>
      </c>
      <c r="AI70" s="671">
        <f>Cliente1916[[#This Row],[VALOR CONTRATUAL]]-Cliente1916[[#This Row],[TOTAL DESPESAS]]</f>
        <v>161.07989082266704</v>
      </c>
      <c r="AJ70" s="651">
        <f>Cliente1916[[#This Row],[LUCRO LIQUIDO]]/Cliente1916[[#This Row],[VALOR CONTRATUAL]]</f>
        <v>2.6467284065505595E-2</v>
      </c>
      <c r="AK70" s="653"/>
      <c r="AL70" s="110"/>
      <c r="AM70" s="110">
        <v>0</v>
      </c>
      <c r="AN70" s="110">
        <v>0</v>
      </c>
      <c r="AO70" s="110">
        <v>0</v>
      </c>
      <c r="AP70" s="110">
        <v>0</v>
      </c>
      <c r="AQ70" s="110"/>
      <c r="AR70" s="110"/>
      <c r="AS70" s="110"/>
      <c r="AT70" s="110"/>
      <c r="AU70" s="110">
        <v>0</v>
      </c>
      <c r="AV70" s="110">
        <f>SUBTOTAL(9,Cliente1916[[#This Row],[abr/25]:[dez/25]])</f>
        <v>0</v>
      </c>
    </row>
    <row r="71" spans="2:48" s="131" customFormat="1" ht="30" customHeight="1" thickTop="1" thickBot="1">
      <c r="B71" s="108" t="s">
        <v>417</v>
      </c>
      <c r="C71" s="108" t="s">
        <v>1995</v>
      </c>
      <c r="D71" s="118" t="s">
        <v>1196</v>
      </c>
      <c r="E71" s="118" t="s">
        <v>581</v>
      </c>
      <c r="F71" s="676" t="s">
        <v>1825</v>
      </c>
      <c r="G71" s="677" t="s">
        <v>1629</v>
      </c>
      <c r="H71" s="683" t="s">
        <v>1659</v>
      </c>
      <c r="I71" s="130" t="s">
        <v>1659</v>
      </c>
      <c r="J71" s="130" t="s">
        <v>2025</v>
      </c>
      <c r="K71" s="110" t="s">
        <v>2057</v>
      </c>
      <c r="L71" s="110" t="s">
        <v>1409</v>
      </c>
      <c r="M71" s="130" t="s">
        <v>2026</v>
      </c>
      <c r="N71" s="781">
        <v>73870000</v>
      </c>
      <c r="O71" s="130"/>
      <c r="P71" s="130" t="s">
        <v>1659</v>
      </c>
      <c r="Q71" s="865" t="s">
        <v>2059</v>
      </c>
      <c r="R71" s="108" t="s">
        <v>2058</v>
      </c>
      <c r="S71" s="111">
        <v>45887</v>
      </c>
      <c r="T71" s="1277">
        <f>Cliente1916[[#This Row],[INICIO ]]+365*1</f>
        <v>46252</v>
      </c>
      <c r="U71" s="110" t="s">
        <v>1990</v>
      </c>
      <c r="V71" s="679">
        <v>1</v>
      </c>
      <c r="W71" s="114">
        <v>5998</v>
      </c>
      <c r="X71" s="113" t="s">
        <v>222</v>
      </c>
      <c r="Y71" s="1195" t="s">
        <v>2642</v>
      </c>
      <c r="Z71" s="135">
        <v>1601.55</v>
      </c>
      <c r="AA71" s="135">
        <v>1867.1454545454544</v>
      </c>
      <c r="AB71" s="135">
        <v>1353.5247122727269</v>
      </c>
      <c r="AC71" s="135">
        <v>993.40700000000004</v>
      </c>
      <c r="AD71" s="135">
        <v>138.58333333333334</v>
      </c>
      <c r="AE71" s="135">
        <v>0</v>
      </c>
      <c r="AF71" s="135">
        <v>420.03173826462114</v>
      </c>
      <c r="AG71" s="135">
        <v>934.22183358689608</v>
      </c>
      <c r="AH71" s="671">
        <f>SUBTOTAL(9,Cliente1916[[#This Row],[II         REMUNERAÇÃO]:[VIII             TRIBUTOS]])</f>
        <v>5706.9140720030318</v>
      </c>
      <c r="AI71" s="671">
        <f>Cliente1916[[#This Row],[VALOR CONTRATUAL]]-Cliente1916[[#This Row],[TOTAL DESPESAS]]</f>
        <v>291.08592799696817</v>
      </c>
      <c r="AJ71" s="651">
        <f>Cliente1916[[#This Row],[LUCRO LIQUIDO]]/Cliente1916[[#This Row],[VALOR CONTRATUAL]]</f>
        <v>4.8530498165549878E-2</v>
      </c>
      <c r="AK71" s="653"/>
      <c r="AL71" s="110"/>
      <c r="AM71" s="110">
        <v>0</v>
      </c>
      <c r="AN71" s="110">
        <v>0</v>
      </c>
      <c r="AO71" s="110">
        <v>0</v>
      </c>
      <c r="AP71" s="110">
        <v>0</v>
      </c>
      <c r="AQ71" s="110"/>
      <c r="AR71" s="110"/>
      <c r="AS71" s="110"/>
      <c r="AT71" s="110"/>
      <c r="AU71" s="110">
        <v>0</v>
      </c>
      <c r="AV71" s="110">
        <f>SUBTOTAL(9,Cliente1916[[#This Row],[abr/25]:[dez/25]])</f>
        <v>0</v>
      </c>
    </row>
    <row r="72" spans="2:48" s="131" customFormat="1" ht="31.2" hidden="1" customHeight="1" thickTop="1" thickBot="1">
      <c r="B72" s="108" t="s">
        <v>419</v>
      </c>
      <c r="C72" s="811" t="s">
        <v>1993</v>
      </c>
      <c r="D72" s="812" t="s">
        <v>2637</v>
      </c>
      <c r="E72" s="812" t="s">
        <v>41</v>
      </c>
      <c r="F72" s="813" t="s">
        <v>1825</v>
      </c>
      <c r="G72" s="814" t="s">
        <v>1470</v>
      </c>
      <c r="H72" s="815" t="s">
        <v>2029</v>
      </c>
      <c r="I72" s="816"/>
      <c r="J72" s="816"/>
      <c r="K72" s="817"/>
      <c r="L72" s="817"/>
      <c r="M72" s="816"/>
      <c r="N72" s="816"/>
      <c r="O72" s="816"/>
      <c r="P72" s="816"/>
      <c r="Q72" s="818" t="s">
        <v>2030</v>
      </c>
      <c r="R72" s="811" t="s">
        <v>2031</v>
      </c>
      <c r="S72" s="819">
        <v>45901</v>
      </c>
      <c r="T72" s="820">
        <f>Cliente1916[[#This Row],[INICIO ]]+270</f>
        <v>46171</v>
      </c>
      <c r="U72" s="821" t="s">
        <v>2032</v>
      </c>
      <c r="V72" s="822">
        <v>5</v>
      </c>
      <c r="W72" s="823">
        <v>0</v>
      </c>
      <c r="X72" s="824" t="s">
        <v>225</v>
      </c>
      <c r="Y72" s="825"/>
      <c r="Z72" s="826">
        <v>0</v>
      </c>
      <c r="AA72" s="826">
        <v>0</v>
      </c>
      <c r="AB72" s="826">
        <v>0</v>
      </c>
      <c r="AC72" s="826">
        <v>0</v>
      </c>
      <c r="AD72" s="826">
        <v>0</v>
      </c>
      <c r="AE72" s="826">
        <v>0</v>
      </c>
      <c r="AF72" s="826">
        <v>0</v>
      </c>
      <c r="AG72" s="826">
        <v>0</v>
      </c>
      <c r="AH72" s="827">
        <f>SUBTOTAL(9,Cliente1916[[#This Row],[II         REMUNERAÇÃO]:[VIII             TRIBUTOS]])</f>
        <v>0</v>
      </c>
      <c r="AI72" s="827">
        <f>Cliente1916[[#This Row],[VALOR CONTRATUAL]]-Cliente1916[[#This Row],[TOTAL DESPESAS]]</f>
        <v>0</v>
      </c>
      <c r="AJ72" s="828" t="e">
        <f>Cliente1916[[#This Row],[LUCRO LIQUIDO]]/Cliente1916[[#This Row],[VALOR CONTRATUAL]]</f>
        <v>#DIV/0!</v>
      </c>
      <c r="AK72" s="653"/>
      <c r="AL72" s="110"/>
      <c r="AM72" s="110">
        <v>0</v>
      </c>
      <c r="AN72" s="110">
        <v>0</v>
      </c>
      <c r="AO72" s="110">
        <f>444.72-65</f>
        <v>379.72</v>
      </c>
      <c r="AP72" s="110">
        <v>0</v>
      </c>
      <c r="AQ72" s="110">
        <v>0</v>
      </c>
      <c r="AR72" s="110">
        <v>0</v>
      </c>
      <c r="AS72" s="110">
        <v>0</v>
      </c>
      <c r="AT72" s="110">
        <v>0</v>
      </c>
      <c r="AU72" s="110">
        <v>0</v>
      </c>
      <c r="AV72" s="110">
        <f>SUBTOTAL(9,Cliente1916[[#This Row],[abr/25]:[dez/25]])</f>
        <v>0</v>
      </c>
    </row>
    <row r="73" spans="2:48" s="131" customFormat="1" ht="31.2" hidden="1" customHeight="1" thickTop="1" thickBot="1">
      <c r="B73" s="108" t="s">
        <v>419</v>
      </c>
      <c r="C73" s="811" t="s">
        <v>1993</v>
      </c>
      <c r="D73" s="812" t="s">
        <v>2637</v>
      </c>
      <c r="E73" s="812" t="s">
        <v>41</v>
      </c>
      <c r="F73" s="813" t="s">
        <v>1825</v>
      </c>
      <c r="G73" s="814" t="s">
        <v>27</v>
      </c>
      <c r="H73" s="815" t="s">
        <v>2064</v>
      </c>
      <c r="I73" s="815" t="s">
        <v>2037</v>
      </c>
      <c r="J73" s="816" t="s">
        <v>2038</v>
      </c>
      <c r="K73" s="817"/>
      <c r="L73" s="817" t="s">
        <v>1199</v>
      </c>
      <c r="M73" s="816" t="s">
        <v>2039</v>
      </c>
      <c r="N73" s="840">
        <v>72035503</v>
      </c>
      <c r="O73" s="816"/>
      <c r="P73" s="816" t="s">
        <v>2040</v>
      </c>
      <c r="Q73" s="818"/>
      <c r="R73" s="811" t="s">
        <v>2041</v>
      </c>
      <c r="S73" s="819">
        <v>45901</v>
      </c>
      <c r="T73" s="820">
        <v>46173</v>
      </c>
      <c r="U73" s="821" t="s">
        <v>2032</v>
      </c>
      <c r="V73" s="822">
        <v>5</v>
      </c>
      <c r="W73" s="823">
        <v>0</v>
      </c>
      <c r="X73" s="824" t="s">
        <v>235</v>
      </c>
      <c r="Y73" s="825"/>
      <c r="Z73" s="826">
        <v>0</v>
      </c>
      <c r="AA73" s="826">
        <v>0</v>
      </c>
      <c r="AB73" s="826">
        <v>0</v>
      </c>
      <c r="AC73" s="826">
        <v>0</v>
      </c>
      <c r="AD73" s="826">
        <v>0</v>
      </c>
      <c r="AE73" s="826">
        <v>0</v>
      </c>
      <c r="AF73" s="826">
        <v>0</v>
      </c>
      <c r="AG73" s="826">
        <v>0</v>
      </c>
      <c r="AH73" s="827">
        <f>SUBTOTAL(9,Cliente1916[[#This Row],[II         REMUNERAÇÃO]:[VIII             TRIBUTOS]])</f>
        <v>0</v>
      </c>
      <c r="AI73" s="827">
        <f>Cliente1916[[#This Row],[VALOR CONTRATUAL]]-Cliente1916[[#This Row],[TOTAL DESPESAS]]</f>
        <v>0</v>
      </c>
      <c r="AJ73" s="828" t="e">
        <f>Cliente1916[[#This Row],[LUCRO LIQUIDO]]/Cliente1916[[#This Row],[VALOR CONTRATUAL]]</f>
        <v>#DIV/0!</v>
      </c>
      <c r="AK73" s="653"/>
      <c r="AL73" s="110"/>
      <c r="AM73" s="110">
        <v>0</v>
      </c>
      <c r="AN73" s="110">
        <v>0</v>
      </c>
      <c r="AO73" s="110">
        <f>444.72-65</f>
        <v>379.72</v>
      </c>
      <c r="AP73" s="110">
        <v>0</v>
      </c>
      <c r="AQ73" s="110">
        <v>0</v>
      </c>
      <c r="AR73" s="110">
        <v>0</v>
      </c>
      <c r="AS73" s="110">
        <v>0</v>
      </c>
      <c r="AT73" s="110">
        <v>0</v>
      </c>
      <c r="AU73" s="110">
        <v>0</v>
      </c>
      <c r="AV73" s="110">
        <f>SUBTOTAL(9,Cliente1916[[#This Row],[abr/25]:[dez/25]])</f>
        <v>0</v>
      </c>
    </row>
    <row r="74" spans="2:48" ht="30" customHeight="1" thickTop="1" thickBot="1">
      <c r="B74" s="666" t="s">
        <v>197</v>
      </c>
      <c r="C74" s="666">
        <f>SUBTOTAL(103,Cliente1916[UF])</f>
        <v>22</v>
      </c>
      <c r="D74" s="666">
        <f>SUBTOTAL(103,Cliente1916[STATUS])</f>
        <v>22</v>
      </c>
      <c r="E74" s="666">
        <f>SUBTOTAL(103,Cliente1916[EMPRESA])</f>
        <v>22</v>
      </c>
      <c r="F74" s="666">
        <f>SUBTOTAL(103,Cliente1916[ANO])</f>
        <v>22</v>
      </c>
      <c r="G74" s="666">
        <f>SUBTOTAL(103,Cliente1916[SEGMENTO])</f>
        <v>22</v>
      </c>
      <c r="H74" s="666">
        <f>SUBTOTAL(103,Cliente1916[CLIENTE])</f>
        <v>22</v>
      </c>
      <c r="I74" s="618">
        <f>SUBTOTAL(103,Cliente1916[RAZÃO SOCIAL])</f>
        <v>22</v>
      </c>
      <c r="J74" s="618">
        <f>SUBTOTAL(103,Cliente1916[CNPJ])</f>
        <v>22</v>
      </c>
      <c r="K74" s="618">
        <f>SUBTOTAL(103,Cliente1916[INSCRIÇÃO])</f>
        <v>18</v>
      </c>
      <c r="L74" s="618">
        <f>SUBTOTAL(103,Cliente1916[CIDADE])</f>
        <v>22</v>
      </c>
      <c r="M74" s="618">
        <f>SUBTOTAL(103,Cliente1916[ENDEREÇO])</f>
        <v>22</v>
      </c>
      <c r="N74" s="618">
        <f>SUBTOTAL(103,Cliente1916[CEP])</f>
        <v>22</v>
      </c>
      <c r="O74" s="618">
        <f>SUBTOTAL(103,Cliente1916[TEL])</f>
        <v>13</v>
      </c>
      <c r="P74" s="618">
        <f>SUBTOTAL(103,Cliente1916[RESPONSÁVEL])</f>
        <v>13</v>
      </c>
      <c r="Q74" s="618">
        <f>SUBTOTAL(103,Cliente1916[E-MAIL])</f>
        <v>8</v>
      </c>
      <c r="R74" s="618">
        <f>SUBTOTAL(103,Cliente1916[CT Nº])</f>
        <v>22</v>
      </c>
      <c r="S74" s="618">
        <f>SUBTOTAL(103,Cliente1916[[INICIO ]])</f>
        <v>22</v>
      </c>
      <c r="T74" s="618">
        <f>SUBTOTAL(103,Cliente1916[TÉRMINO])</f>
        <v>19</v>
      </c>
      <c r="U74" s="618">
        <f>SUBTOTAL(103,Cliente1916[OBJETO])</f>
        <v>20</v>
      </c>
      <c r="V74" s="682">
        <f>SUBTOTAL(109,Cliente1916[QTDE COLABORADOR])</f>
        <v>48</v>
      </c>
      <c r="W74" s="1193">
        <f>SUBTOTAL(109,Cliente1916[VALOR CONTRATUAL])</f>
        <v>249279</v>
      </c>
      <c r="X74" s="618">
        <f>SUBTOTAL(103,Cliente1916[DATA PAGAMENTO])</f>
        <v>22</v>
      </c>
      <c r="Y74" s="618">
        <f>SUBTOTAL(103,Cliente1916[FORMA DE PAGAMENTO])</f>
        <v>22</v>
      </c>
      <c r="Z74" s="617">
        <f>SUBTOTAL(109,Cliente1916[SALÁRIO BASE])</f>
        <v>85069.51</v>
      </c>
      <c r="AA74" s="617">
        <f>SUBTOTAL(109,Cliente1916[II         REMUNERAÇÃO])</f>
        <v>94303.601090909069</v>
      </c>
      <c r="AB74" s="669">
        <f>SUBTOTAL(109,Cliente1916[III                ENCARGOS 77,26%])</f>
        <v>71364.023967454545</v>
      </c>
      <c r="AC74" s="617">
        <f>SUBTOTAL(109,Cliente1916[IV                 BENEFICIOS])</f>
        <v>51641.678599999992</v>
      </c>
      <c r="AD74" s="617">
        <f>SUBTOTAL(109,Cliente1916[V             INSUMOS M.O.D.])</f>
        <v>3876.2966666666666</v>
      </c>
      <c r="AE74" s="617">
        <f>SUBTOTAL(109,Cliente1916[VI          INSUMOS        M.O.I.])</f>
        <v>14755.932090909098</v>
      </c>
      <c r="AF74" s="669">
        <f>SUBTOTAL(109,Cliente1916[VII              DEMAIS COMPONENTES])</f>
        <v>6547.7010739390689</v>
      </c>
      <c r="AG74" s="669">
        <f>SUBTOTAL(109,Cliente1916[VIII             TRIBUTOS])</f>
        <v>30268.180127645534</v>
      </c>
      <c r="AH74" s="668">
        <f>SUM(AH9:AH70)</f>
        <v>267050.49954552099</v>
      </c>
      <c r="AI74" s="617">
        <f>SUBTOTAL(109,Cliente1916[LUCRO LIQUIDO])</f>
        <v>-23478.413617524006</v>
      </c>
      <c r="AJ74" s="617" t="e">
        <f>SUBTOTAL(109,Cliente1916[LUCRO %])</f>
        <v>#DIV/0!</v>
      </c>
      <c r="AK74" s="665"/>
      <c r="AL74" s="664"/>
      <c r="AM74" s="617">
        <f>SUBTOTAL(109,Cliente1916[abr/25])</f>
        <v>11159.23</v>
      </c>
      <c r="AN74" s="617">
        <f>SUBTOTAL(109,Cliente1916[mai/25])</f>
        <v>11450.149999999998</v>
      </c>
      <c r="AO74" s="617">
        <f>SUBTOTAL(109,Cliente1916[jun/25])</f>
        <v>11292.069999999996</v>
      </c>
      <c r="AP74" s="617">
        <f>SUBTOTAL(109,Cliente1916[jul/25])</f>
        <v>0</v>
      </c>
      <c r="AQ74" s="617">
        <f>SUBTOTAL(109,Cliente1916[ago/25])</f>
        <v>0</v>
      </c>
      <c r="AR74" s="617">
        <f>SUBTOTAL(109,Cliente1916[set/25])</f>
        <v>0</v>
      </c>
      <c r="AS74" s="617">
        <f>SUBTOTAL(109,Cliente1916[out/25])</f>
        <v>0</v>
      </c>
      <c r="AT74" s="617">
        <f>SUBTOTAL(109,Cliente1916[nov/25])</f>
        <v>0</v>
      </c>
      <c r="AU74" s="617">
        <f>SUBTOTAL(109,Cliente1916[dez/25])</f>
        <v>0</v>
      </c>
      <c r="AV74" s="656">
        <f>SUM(Cliente1916[[#Totals],[abr/25]:[dez/25]])</f>
        <v>33901.449999999997</v>
      </c>
    </row>
    <row r="75" spans="2:48" ht="15" thickTop="1">
      <c r="W75" s="138"/>
    </row>
    <row r="76" spans="2:48">
      <c r="V76" s="1274"/>
      <c r="W76" s="137"/>
      <c r="X76" s="138"/>
    </row>
    <row r="77" spans="2:48">
      <c r="J77" s="901"/>
      <c r="W77" s="1275"/>
    </row>
    <row r="78" spans="2:48" ht="15.6">
      <c r="W78" s="138"/>
      <c r="X78" s="103"/>
      <c r="Y78" s="467"/>
    </row>
    <row r="79" spans="2:48" ht="15.6">
      <c r="W79" s="138"/>
      <c r="X79" s="103"/>
      <c r="Y79" s="467"/>
    </row>
    <row r="80" spans="2:48" ht="15.6">
      <c r="V80" s="1276"/>
      <c r="W80" s="138"/>
      <c r="X80" s="103"/>
      <c r="Y80" s="467"/>
    </row>
    <row r="81" spans="19:25" ht="15.6">
      <c r="V81" s="1276"/>
      <c r="W81" s="138"/>
      <c r="X81" s="103"/>
      <c r="Y81" s="467"/>
    </row>
    <row r="82" spans="19:25" ht="15.6">
      <c r="W82" s="137"/>
      <c r="X82" s="103"/>
      <c r="Y82" s="467"/>
    </row>
    <row r="83" spans="19:25" ht="15.6">
      <c r="W83" s="137"/>
      <c r="X83" s="103"/>
      <c r="Y83" s="467"/>
    </row>
    <row r="84" spans="19:25" ht="15.6">
      <c r="W84" s="137"/>
      <c r="X84" s="103"/>
      <c r="Y84" s="467"/>
    </row>
    <row r="85" spans="19:25" ht="15.6">
      <c r="S85" s="1279"/>
      <c r="W85" s="137"/>
      <c r="X85" s="103"/>
      <c r="Y85" s="467"/>
    </row>
    <row r="86" spans="19:25" ht="15.6">
      <c r="S86" s="1279"/>
      <c r="W86" s="667"/>
      <c r="X86" s="103"/>
      <c r="Y86" s="467"/>
    </row>
    <row r="87" spans="19:25" ht="15.6">
      <c r="S87" s="1279"/>
      <c r="W87" s="138"/>
      <c r="X87" s="103"/>
      <c r="Y87" s="467"/>
    </row>
    <row r="88" spans="19:25" ht="15.6">
      <c r="X88" s="103"/>
      <c r="Y88" s="467"/>
    </row>
    <row r="89" spans="19:25" ht="15.6">
      <c r="Y89" s="467"/>
    </row>
  </sheetData>
  <phoneticPr fontId="26" type="noConversion"/>
  <hyperlinks>
    <hyperlink ref="Q64" r:id="rId1" xr:uid="{93AB1989-75CD-4A31-9A7A-206ADF73322D}"/>
    <hyperlink ref="Q63" r:id="rId2" xr:uid="{8BCFC939-C2D8-40E6-962C-189704B096E1}"/>
    <hyperlink ref="Q66" r:id="rId3" xr:uid="{F42635C4-4616-421A-8B4D-0BBCF14F362B}"/>
    <hyperlink ref="Q67" r:id="rId4" xr:uid="{0429DD01-E00F-40C3-9987-A09B6B626637}"/>
    <hyperlink ref="Q70" r:id="rId5" xr:uid="{78C3CEC7-B408-43CB-B482-D67BB1B4C8A2}"/>
    <hyperlink ref="Q72" r:id="rId6" xr:uid="{CC4A520F-3043-4D51-925F-F68DD07EC818}"/>
    <hyperlink ref="Q71" r:id="rId7" display="sementesampessan@uol.com.br" xr:uid="{D780D45A-A691-4C01-B25E-B9F72866C1DD}"/>
  </hyperlinks>
  <printOptions horizontalCentered="1"/>
  <pageMargins left="0.47244094488188981" right="0.47244094488188981" top="0.70866141732283472" bottom="0.27559055118110237" header="0.23622047244094491" footer="0.39370078740157483"/>
  <pageSetup paperSize="9" scale="35" orientation="landscape" r:id="rId8"/>
  <headerFooter>
    <oddHeader>&amp;L&amp;"Aptos,Regular"&amp;14BRASANTOS SERVIÇOS ESPECIALIZADOS
CONTRATOS DE PRESTAÇÃO DE SERVIÇOS
CLIENTES
DATA: 10/11/2024&amp;RVERSÃO: 2024.11.10</oddHeader>
    <oddFooter>&amp;L&amp;10&amp;Z&amp;F</oddFooter>
  </headerFooter>
  <legacyDrawing r:id="rId9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7:Q541"/>
  <sheetViews>
    <sheetView showGridLines="0" topLeftCell="B7" zoomScale="120" zoomScaleNormal="120" workbookViewId="0">
      <selection activeCell="D63" sqref="D63"/>
    </sheetView>
  </sheetViews>
  <sheetFormatPr defaultColWidth="8.88671875" defaultRowHeight="15.6"/>
  <cols>
    <col min="1" max="1" width="4.5546875" style="3" customWidth="1"/>
    <col min="2" max="2" width="9.88671875" style="3" bestFit="1" customWidth="1"/>
    <col min="3" max="3" width="12.109375" style="16" customWidth="1"/>
    <col min="4" max="4" width="45.44140625" style="3" bestFit="1" customWidth="1"/>
    <col min="5" max="5" width="32.5546875" style="22" customWidth="1"/>
    <col min="6" max="6" width="21.6640625" style="16" customWidth="1"/>
    <col min="7" max="7" width="17.44140625" style="16" customWidth="1"/>
    <col min="8" max="8" width="35.5546875" style="5" customWidth="1"/>
    <col min="9" max="9" width="11" style="16" bestFit="1" customWidth="1"/>
    <col min="10" max="10" width="17.33203125" style="3" customWidth="1"/>
    <col min="11" max="12" width="10.109375" style="16" customWidth="1"/>
    <col min="13" max="13" width="14" style="16" bestFit="1" customWidth="1"/>
    <col min="14" max="14" width="14" style="16" customWidth="1"/>
    <col min="15" max="15" width="10.109375" style="16" customWidth="1"/>
    <col min="16" max="16" width="14.88671875" style="16" bestFit="1" customWidth="1"/>
    <col min="17" max="17" width="10.109375" style="16" customWidth="1"/>
    <col min="18" max="16384" width="8.88671875" style="3"/>
  </cols>
  <sheetData>
    <row r="7" spans="2:17" s="17" customFormat="1">
      <c r="B7" s="17" t="s">
        <v>220</v>
      </c>
      <c r="C7" s="17" t="s">
        <v>40</v>
      </c>
      <c r="D7" s="17" t="s">
        <v>245</v>
      </c>
      <c r="E7" s="17" t="s">
        <v>242</v>
      </c>
      <c r="F7" s="17" t="s">
        <v>236</v>
      </c>
      <c r="G7" s="17" t="s">
        <v>240</v>
      </c>
      <c r="H7" s="17" t="s">
        <v>237</v>
      </c>
      <c r="I7" s="17" t="s">
        <v>238</v>
      </c>
      <c r="J7" s="17" t="s">
        <v>219</v>
      </c>
      <c r="K7" s="17" t="s">
        <v>241</v>
      </c>
      <c r="L7" s="17" t="s">
        <v>243</v>
      </c>
      <c r="M7" s="17" t="s">
        <v>244</v>
      </c>
      <c r="N7" s="17" t="s">
        <v>212</v>
      </c>
      <c r="O7" s="17" t="s">
        <v>15</v>
      </c>
      <c r="P7" s="17" t="s">
        <v>246</v>
      </c>
      <c r="Q7" s="17" t="s">
        <v>247</v>
      </c>
    </row>
    <row r="8" spans="2:17" s="17" customFormat="1" hidden="1">
      <c r="B8" s="21" t="s">
        <v>221</v>
      </c>
      <c r="C8" s="16" t="s">
        <v>41</v>
      </c>
      <c r="D8" s="3" t="s">
        <v>609</v>
      </c>
      <c r="E8" s="22"/>
      <c r="F8" s="5"/>
      <c r="G8" s="16"/>
      <c r="H8" s="5"/>
      <c r="I8" s="16"/>
      <c r="J8" s="16"/>
      <c r="K8" s="16"/>
      <c r="L8" s="20"/>
      <c r="M8" s="20"/>
      <c r="N8" s="20"/>
      <c r="O8" s="39"/>
      <c r="P8" s="35"/>
      <c r="Q8" s="16"/>
    </row>
    <row r="9" spans="2:17" s="17" customFormat="1" hidden="1">
      <c r="B9" s="21" t="s">
        <v>222</v>
      </c>
      <c r="C9" s="5" t="s">
        <v>581</v>
      </c>
      <c r="D9" s="3" t="s">
        <v>610</v>
      </c>
      <c r="E9" s="22"/>
      <c r="F9" s="5"/>
      <c r="G9" s="16"/>
      <c r="H9" s="5"/>
      <c r="I9" s="16"/>
      <c r="J9" s="16"/>
      <c r="K9" s="16"/>
      <c r="L9" s="20"/>
      <c r="M9" s="20"/>
      <c r="N9" s="20"/>
      <c r="O9" s="39"/>
      <c r="P9" s="35"/>
      <c r="Q9" s="16"/>
    </row>
    <row r="10" spans="2:17" s="17" customFormat="1" hidden="1">
      <c r="B10" s="21" t="s">
        <v>223</v>
      </c>
      <c r="C10" s="5" t="s">
        <v>582</v>
      </c>
      <c r="D10" s="3" t="s">
        <v>611</v>
      </c>
      <c r="E10" s="22"/>
      <c r="F10" s="5"/>
      <c r="G10" s="16"/>
      <c r="H10" s="5"/>
      <c r="I10" s="16"/>
      <c r="J10" s="16"/>
      <c r="K10" s="16"/>
      <c r="L10" s="20"/>
      <c r="M10" s="20"/>
      <c r="N10" s="20"/>
      <c r="O10" s="39"/>
      <c r="P10" s="35"/>
      <c r="Q10" s="16"/>
    </row>
    <row r="11" spans="2:17" hidden="1">
      <c r="B11" s="21" t="s">
        <v>224</v>
      </c>
      <c r="C11" s="5" t="s">
        <v>603</v>
      </c>
      <c r="D11" s="3" t="s">
        <v>608</v>
      </c>
      <c r="F11" s="5"/>
      <c r="J11" s="16"/>
      <c r="L11" s="20"/>
      <c r="M11" s="20"/>
      <c r="N11" s="20"/>
      <c r="O11" s="39"/>
      <c r="P11" s="35"/>
    </row>
    <row r="12" spans="2:17" hidden="1">
      <c r="B12" s="21" t="s">
        <v>225</v>
      </c>
      <c r="C12" s="5" t="s">
        <v>603</v>
      </c>
      <c r="D12" s="3" t="s">
        <v>607</v>
      </c>
      <c r="F12" s="5"/>
      <c r="J12" s="16"/>
      <c r="L12" s="20"/>
      <c r="M12" s="20"/>
      <c r="N12" s="20"/>
      <c r="O12" s="39"/>
      <c r="P12" s="35"/>
    </row>
    <row r="13" spans="2:17" hidden="1">
      <c r="B13" s="21" t="s">
        <v>226</v>
      </c>
      <c r="C13" s="5" t="s">
        <v>614</v>
      </c>
      <c r="D13" s="3" t="s">
        <v>615</v>
      </c>
      <c r="F13" s="5"/>
      <c r="J13" s="16"/>
      <c r="L13" s="20"/>
      <c r="M13" s="20"/>
      <c r="N13" s="20"/>
      <c r="O13" s="39"/>
      <c r="P13" s="35"/>
    </row>
    <row r="14" spans="2:17" hidden="1">
      <c r="B14" s="21" t="s">
        <v>227</v>
      </c>
      <c r="C14" s="5" t="s">
        <v>603</v>
      </c>
      <c r="D14" s="3" t="s">
        <v>606</v>
      </c>
      <c r="F14" s="5"/>
      <c r="J14" s="16"/>
      <c r="L14" s="20"/>
      <c r="M14" s="20"/>
      <c r="N14" s="20"/>
      <c r="O14" s="39"/>
      <c r="P14" s="35"/>
    </row>
    <row r="15" spans="2:17" hidden="1">
      <c r="B15" s="21" t="s">
        <v>228</v>
      </c>
      <c r="D15" s="5" t="s">
        <v>832</v>
      </c>
      <c r="E15" s="17"/>
      <c r="F15" s="5"/>
      <c r="J15" s="16"/>
      <c r="L15" s="20"/>
      <c r="M15" s="20"/>
      <c r="N15" s="20"/>
      <c r="O15" s="39"/>
      <c r="P15" s="35"/>
    </row>
    <row r="16" spans="2:17" hidden="1">
      <c r="B16" s="21" t="s">
        <v>229</v>
      </c>
      <c r="C16" s="21"/>
      <c r="D16" s="3" t="s">
        <v>926</v>
      </c>
      <c r="F16" s="5"/>
      <c r="J16" s="16"/>
      <c r="K16" s="21"/>
      <c r="L16" s="29"/>
      <c r="M16" s="29"/>
      <c r="N16" s="29"/>
      <c r="O16" s="56"/>
      <c r="P16" s="30"/>
      <c r="Q16" s="31"/>
    </row>
    <row r="17" spans="2:17" hidden="1">
      <c r="B17" s="21" t="s">
        <v>230</v>
      </c>
      <c r="C17" s="21"/>
      <c r="D17" s="3" t="s">
        <v>562</v>
      </c>
      <c r="F17" s="5"/>
      <c r="J17" s="16"/>
      <c r="K17" s="21"/>
      <c r="L17" s="29"/>
      <c r="M17" s="29"/>
      <c r="N17" s="29"/>
      <c r="O17" s="56"/>
      <c r="P17" s="30"/>
      <c r="Q17" s="31"/>
    </row>
    <row r="18" spans="2:17" hidden="1">
      <c r="B18" s="21" t="s">
        <v>231</v>
      </c>
      <c r="D18" s="5" t="s">
        <v>490</v>
      </c>
      <c r="E18" s="17"/>
      <c r="F18" s="5"/>
      <c r="J18" s="16"/>
      <c r="L18" s="20"/>
      <c r="M18" s="20"/>
      <c r="N18" s="20"/>
      <c r="O18" s="39"/>
      <c r="P18" s="35"/>
    </row>
    <row r="19" spans="2:17" hidden="1">
      <c r="B19" s="21" t="s">
        <v>232</v>
      </c>
      <c r="C19" s="21"/>
      <c r="D19" s="3" t="s">
        <v>1049</v>
      </c>
      <c r="F19" s="789"/>
      <c r="G19" s="92"/>
      <c r="H19" s="93"/>
      <c r="I19" s="92"/>
      <c r="J19" s="16"/>
      <c r="K19" s="33"/>
      <c r="L19" s="96"/>
      <c r="M19" s="29"/>
      <c r="N19" s="96"/>
      <c r="O19" s="54"/>
      <c r="P19" s="30"/>
      <c r="Q19" s="40"/>
    </row>
    <row r="20" spans="2:17" hidden="1">
      <c r="B20" s="21" t="s">
        <v>233</v>
      </c>
      <c r="D20" s="5" t="s">
        <v>922</v>
      </c>
      <c r="E20" s="17"/>
      <c r="F20" s="5"/>
      <c r="J20" s="16"/>
      <c r="L20" s="20"/>
      <c r="M20" s="20"/>
      <c r="N20" s="20"/>
      <c r="O20" s="39"/>
      <c r="P20" s="35"/>
    </row>
    <row r="21" spans="2:17" hidden="1">
      <c r="B21" s="21" t="s">
        <v>234</v>
      </c>
      <c r="D21" s="5" t="s">
        <v>370</v>
      </c>
      <c r="E21" s="17"/>
      <c r="F21" s="5"/>
      <c r="J21" s="16"/>
      <c r="L21" s="20"/>
      <c r="M21" s="20"/>
      <c r="N21" s="20"/>
      <c r="O21" s="39"/>
      <c r="P21" s="35"/>
    </row>
    <row r="22" spans="2:17" hidden="1">
      <c r="B22" s="21" t="s">
        <v>235</v>
      </c>
      <c r="C22" s="915"/>
      <c r="D22" s="3" t="s">
        <v>2090</v>
      </c>
      <c r="F22" s="924"/>
      <c r="G22" s="916"/>
      <c r="H22" s="917"/>
      <c r="I22" s="916"/>
      <c r="J22" s="915"/>
      <c r="K22" s="918"/>
      <c r="L22" s="919"/>
      <c r="M22" s="920"/>
      <c r="N22" s="919"/>
      <c r="O22" s="919"/>
      <c r="P22" s="921"/>
      <c r="Q22" s="916"/>
    </row>
    <row r="23" spans="2:17" hidden="1">
      <c r="B23" s="21" t="s">
        <v>249</v>
      </c>
      <c r="D23" s="5" t="s">
        <v>901</v>
      </c>
      <c r="E23" s="17"/>
      <c r="F23" s="5"/>
      <c r="J23" s="16"/>
      <c r="L23" s="20"/>
      <c r="M23" s="20"/>
      <c r="N23" s="20"/>
      <c r="O23" s="39"/>
      <c r="P23" s="35"/>
    </row>
    <row r="24" spans="2:17" hidden="1">
      <c r="B24" s="21" t="s">
        <v>281</v>
      </c>
      <c r="D24" s="5" t="s">
        <v>999</v>
      </c>
      <c r="E24" s="17" t="s">
        <v>1001</v>
      </c>
      <c r="F24" s="5" t="s">
        <v>1000</v>
      </c>
      <c r="J24" s="16"/>
      <c r="L24" s="20"/>
      <c r="M24" s="20"/>
      <c r="N24" s="20"/>
      <c r="O24" s="39"/>
      <c r="P24" s="35"/>
    </row>
    <row r="25" spans="2:17" hidden="1">
      <c r="B25" s="21" t="s">
        <v>248</v>
      </c>
      <c r="D25" s="86" t="s">
        <v>1126</v>
      </c>
      <c r="F25" s="789"/>
      <c r="G25" s="92"/>
      <c r="H25" s="93"/>
      <c r="I25" s="92"/>
      <c r="J25" s="16"/>
      <c r="K25" s="36"/>
      <c r="L25" s="94"/>
      <c r="M25" s="20"/>
      <c r="N25" s="94"/>
      <c r="O25" s="94"/>
      <c r="P25" s="35"/>
      <c r="Q25" s="92"/>
    </row>
    <row r="26" spans="2:17" hidden="1">
      <c r="B26" s="21" t="s">
        <v>315</v>
      </c>
      <c r="C26" s="21"/>
      <c r="D26" s="3" t="s">
        <v>1607</v>
      </c>
      <c r="F26" s="789"/>
      <c r="G26" s="92"/>
      <c r="H26" s="93"/>
      <c r="I26" s="92"/>
      <c r="J26" s="16"/>
      <c r="K26" s="33"/>
      <c r="L26" s="96"/>
      <c r="M26" s="29"/>
      <c r="N26" s="96"/>
      <c r="O26" s="54"/>
      <c r="P26" s="30"/>
      <c r="Q26" s="40"/>
    </row>
    <row r="27" spans="2:17" hidden="1">
      <c r="B27" s="21" t="s">
        <v>316</v>
      </c>
      <c r="C27" s="21"/>
      <c r="D27" s="3" t="s">
        <v>796</v>
      </c>
      <c r="F27" s="5"/>
      <c r="J27" s="16"/>
      <c r="K27" s="21"/>
      <c r="L27" s="29"/>
      <c r="M27" s="29"/>
      <c r="N27" s="29"/>
      <c r="O27" s="56"/>
      <c r="P27" s="30"/>
      <c r="Q27" s="31"/>
    </row>
    <row r="28" spans="2:17" hidden="1">
      <c r="B28" s="21" t="s">
        <v>351</v>
      </c>
      <c r="D28" s="5" t="s">
        <v>809</v>
      </c>
      <c r="E28" s="17"/>
      <c r="F28" s="5"/>
      <c r="J28" s="16"/>
      <c r="L28" s="20"/>
      <c r="M28" s="20"/>
      <c r="N28" s="20"/>
      <c r="O28" s="39"/>
      <c r="P28" s="35"/>
    </row>
    <row r="29" spans="2:17" hidden="1">
      <c r="B29" s="21" t="s">
        <v>352</v>
      </c>
      <c r="C29" s="504"/>
      <c r="D29" s="3" t="s">
        <v>1905</v>
      </c>
      <c r="E29" s="505"/>
      <c r="F29" s="790"/>
      <c r="G29" s="506"/>
      <c r="H29" s="507"/>
      <c r="I29" s="506"/>
      <c r="J29" s="508"/>
      <c r="K29" s="509"/>
      <c r="L29" s="510"/>
      <c r="M29" s="511"/>
      <c r="N29" s="510"/>
      <c r="O29" s="512"/>
      <c r="P29" s="513"/>
      <c r="Q29" s="514"/>
    </row>
    <row r="30" spans="2:17" hidden="1">
      <c r="B30" s="21" t="s">
        <v>353</v>
      </c>
      <c r="C30" s="601"/>
      <c r="D30" s="5" t="s">
        <v>1939</v>
      </c>
      <c r="E30" s="598"/>
      <c r="F30" s="791"/>
      <c r="G30" s="599"/>
      <c r="H30" s="600"/>
      <c r="I30" s="599"/>
      <c r="J30" s="601"/>
      <c r="K30" s="608"/>
      <c r="L30" s="609"/>
      <c r="M30" s="610"/>
      <c r="N30" s="609"/>
      <c r="O30" s="609"/>
      <c r="P30" s="611"/>
      <c r="Q30" s="599"/>
    </row>
    <row r="31" spans="2:17" hidden="1">
      <c r="B31" s="21" t="s">
        <v>354</v>
      </c>
      <c r="D31" s="5" t="s">
        <v>667</v>
      </c>
      <c r="E31" s="17"/>
      <c r="F31" s="5"/>
      <c r="J31" s="16"/>
      <c r="L31" s="20"/>
      <c r="M31" s="20"/>
      <c r="N31" s="20"/>
      <c r="O31" s="39"/>
      <c r="P31" s="35"/>
    </row>
    <row r="32" spans="2:17" hidden="1">
      <c r="B32" s="21" t="s">
        <v>355</v>
      </c>
      <c r="C32" s="21"/>
      <c r="D32" s="85" t="s">
        <v>1148</v>
      </c>
      <c r="F32" s="789"/>
      <c r="G32" s="92"/>
      <c r="H32" s="93"/>
      <c r="I32" s="92"/>
      <c r="J32" s="16"/>
      <c r="K32" s="33"/>
      <c r="L32" s="96"/>
      <c r="M32" s="29"/>
      <c r="N32" s="96"/>
      <c r="O32" s="54"/>
      <c r="P32" s="30"/>
      <c r="Q32" s="40"/>
    </row>
    <row r="33" spans="2:17" hidden="1">
      <c r="B33" s="21" t="s">
        <v>356</v>
      </c>
      <c r="D33" s="5" t="s">
        <v>982</v>
      </c>
      <c r="E33" s="17"/>
      <c r="F33" s="5"/>
      <c r="J33" s="16"/>
      <c r="L33" s="20"/>
      <c r="M33" s="20"/>
      <c r="N33" s="20"/>
      <c r="O33" s="39"/>
      <c r="P33" s="35"/>
    </row>
    <row r="34" spans="2:17" hidden="1">
      <c r="B34" s="21" t="s">
        <v>357</v>
      </c>
      <c r="D34" s="5" t="s">
        <v>497</v>
      </c>
      <c r="E34" s="17"/>
      <c r="F34" s="5"/>
      <c r="J34" s="16"/>
      <c r="L34" s="20"/>
      <c r="M34" s="20"/>
      <c r="N34" s="20"/>
      <c r="O34" s="39"/>
      <c r="P34" s="35"/>
    </row>
    <row r="35" spans="2:17" hidden="1">
      <c r="B35" s="21" t="s">
        <v>358</v>
      </c>
      <c r="C35" s="597"/>
      <c r="D35" s="3" t="s">
        <v>1945</v>
      </c>
      <c r="E35" s="598"/>
      <c r="F35" s="789" t="s">
        <v>1946</v>
      </c>
      <c r="G35" s="599"/>
      <c r="H35" s="600"/>
      <c r="I35" s="599"/>
      <c r="J35" s="601"/>
      <c r="K35" s="602"/>
      <c r="L35" s="603"/>
      <c r="M35" s="604"/>
      <c r="N35" s="603"/>
      <c r="O35" s="605"/>
      <c r="P35" s="606"/>
      <c r="Q35" s="607"/>
    </row>
    <row r="36" spans="2:17" hidden="1">
      <c r="B36" s="21" t="s">
        <v>320</v>
      </c>
      <c r="D36" s="5" t="s">
        <v>761</v>
      </c>
      <c r="E36" s="17"/>
      <c r="F36" s="5"/>
      <c r="J36" s="16"/>
      <c r="L36" s="20"/>
      <c r="M36" s="20"/>
      <c r="N36" s="20"/>
      <c r="O36" s="39"/>
      <c r="P36" s="35"/>
    </row>
    <row r="37" spans="2:17" hidden="1">
      <c r="B37" s="21" t="s">
        <v>321</v>
      </c>
      <c r="C37" s="21"/>
      <c r="D37" s="3" t="s">
        <v>663</v>
      </c>
      <c r="F37" s="5"/>
      <c r="J37" s="16"/>
      <c r="K37" s="21"/>
      <c r="L37" s="29"/>
      <c r="M37" s="29"/>
      <c r="N37" s="29"/>
      <c r="O37" s="56"/>
      <c r="P37" s="30"/>
      <c r="Q37" s="31"/>
    </row>
    <row r="38" spans="2:17" hidden="1">
      <c r="B38" s="21" t="s">
        <v>322</v>
      </c>
      <c r="C38" s="21"/>
      <c r="D38" s="3" t="s">
        <v>1138</v>
      </c>
      <c r="F38" s="789"/>
      <c r="G38" s="92"/>
      <c r="H38" s="93"/>
      <c r="I38" s="92"/>
      <c r="J38" s="16"/>
      <c r="K38" s="33"/>
      <c r="L38" s="96"/>
      <c r="M38" s="29"/>
      <c r="N38" s="96"/>
      <c r="O38" s="54"/>
      <c r="P38" s="30"/>
      <c r="Q38" s="40"/>
    </row>
    <row r="39" spans="2:17" hidden="1">
      <c r="B39" s="21" t="s">
        <v>323</v>
      </c>
      <c r="D39" s="3" t="s">
        <v>1043</v>
      </c>
      <c r="F39" s="789"/>
      <c r="G39" s="92"/>
      <c r="H39" s="93"/>
      <c r="I39" s="92"/>
      <c r="J39" s="16"/>
      <c r="K39" s="36"/>
      <c r="L39" s="94"/>
      <c r="M39" s="20"/>
      <c r="N39" s="94"/>
      <c r="O39" s="94"/>
      <c r="P39" s="35"/>
      <c r="Q39" s="92"/>
    </row>
    <row r="40" spans="2:17" hidden="1">
      <c r="B40" s="21" t="s">
        <v>334</v>
      </c>
      <c r="C40" s="21"/>
      <c r="D40" s="3" t="s">
        <v>987</v>
      </c>
      <c r="F40" s="5"/>
      <c r="J40" s="16"/>
      <c r="K40" s="21"/>
      <c r="L40" s="29"/>
      <c r="M40" s="29"/>
      <c r="N40" s="29"/>
      <c r="O40" s="56"/>
      <c r="P40" s="30"/>
      <c r="Q40" s="31"/>
    </row>
    <row r="41" spans="2:17" hidden="1">
      <c r="B41" s="21" t="s">
        <v>335</v>
      </c>
      <c r="C41" s="21"/>
      <c r="D41" s="3" t="s">
        <v>734</v>
      </c>
      <c r="F41" s="5"/>
      <c r="J41" s="16"/>
      <c r="K41" s="21"/>
      <c r="L41" s="29"/>
      <c r="M41" s="29"/>
      <c r="N41" s="29"/>
      <c r="O41" s="56"/>
      <c r="P41" s="30"/>
      <c r="Q41" s="31"/>
    </row>
    <row r="42" spans="2:17" hidden="1">
      <c r="B42" s="21" t="s">
        <v>336</v>
      </c>
      <c r="D42" s="3" t="s">
        <v>1611</v>
      </c>
      <c r="F42" s="789"/>
      <c r="G42" s="92"/>
      <c r="H42" s="93"/>
      <c r="I42" s="92"/>
      <c r="J42" s="16"/>
      <c r="K42" s="36"/>
      <c r="L42" s="94"/>
      <c r="M42" s="20"/>
      <c r="N42" s="94"/>
      <c r="O42" s="94"/>
      <c r="P42" s="35"/>
      <c r="Q42" s="92"/>
    </row>
    <row r="43" spans="2:17" hidden="1">
      <c r="B43" s="21" t="s">
        <v>337</v>
      </c>
      <c r="C43" s="21"/>
      <c r="D43" s="3" t="s">
        <v>262</v>
      </c>
      <c r="F43" s="5"/>
      <c r="J43" s="16"/>
      <c r="K43" s="21"/>
      <c r="L43" s="29"/>
      <c r="M43" s="29"/>
      <c r="N43" s="29"/>
      <c r="O43" s="56"/>
      <c r="P43" s="30"/>
      <c r="Q43" s="31"/>
    </row>
    <row r="44" spans="2:17" hidden="1">
      <c r="B44" s="21" t="s">
        <v>338</v>
      </c>
      <c r="C44" s="719"/>
      <c r="D44" s="3" t="s">
        <v>2013</v>
      </c>
      <c r="E44" s="721"/>
      <c r="F44" s="792"/>
      <c r="G44" s="722"/>
      <c r="H44" s="723"/>
      <c r="I44" s="722"/>
      <c r="J44" s="720"/>
      <c r="K44" s="746"/>
      <c r="L44" s="747"/>
      <c r="M44" s="748"/>
      <c r="N44" s="747"/>
      <c r="O44" s="749"/>
      <c r="P44" s="750"/>
      <c r="Q44" s="751"/>
    </row>
    <row r="45" spans="2:17" hidden="1">
      <c r="B45" s="21" t="s">
        <v>339</v>
      </c>
      <c r="D45" s="3" t="s">
        <v>1044</v>
      </c>
      <c r="F45" s="789"/>
      <c r="G45" s="92"/>
      <c r="H45" s="93"/>
      <c r="I45" s="92"/>
      <c r="J45" s="16"/>
      <c r="K45" s="36"/>
      <c r="L45" s="94"/>
      <c r="M45" s="20"/>
      <c r="N45" s="94"/>
      <c r="O45" s="94"/>
      <c r="P45" s="35"/>
      <c r="Q45" s="92"/>
    </row>
    <row r="46" spans="2:17" hidden="1">
      <c r="B46" s="21" t="s">
        <v>340</v>
      </c>
      <c r="C46" s="21"/>
      <c r="D46" s="3" t="s">
        <v>407</v>
      </c>
      <c r="F46" s="5"/>
      <c r="J46" s="16"/>
      <c r="K46" s="21"/>
      <c r="L46" s="29"/>
      <c r="M46" s="29"/>
      <c r="N46" s="29"/>
      <c r="O46" s="56"/>
      <c r="P46" s="30"/>
      <c r="Q46" s="31"/>
    </row>
    <row r="47" spans="2:17" hidden="1">
      <c r="B47" s="21" t="s">
        <v>341</v>
      </c>
      <c r="C47" s="21"/>
      <c r="D47" s="3" t="s">
        <v>864</v>
      </c>
      <c r="F47" s="5"/>
      <c r="J47" s="16"/>
      <c r="K47" s="21"/>
      <c r="L47" s="29"/>
      <c r="M47" s="29"/>
      <c r="N47" s="29"/>
      <c r="O47" s="56"/>
      <c r="P47" s="30"/>
      <c r="Q47" s="31"/>
    </row>
    <row r="48" spans="2:17" hidden="1">
      <c r="B48" s="21" t="s">
        <v>359</v>
      </c>
      <c r="C48" s="21"/>
      <c r="D48" s="3" t="s">
        <v>880</v>
      </c>
      <c r="F48" s="5"/>
      <c r="J48" s="16"/>
      <c r="K48" s="21"/>
      <c r="L48" s="29"/>
      <c r="M48" s="29"/>
      <c r="N48" s="29"/>
      <c r="O48" s="56"/>
      <c r="P48" s="30"/>
      <c r="Q48" s="31"/>
    </row>
    <row r="49" spans="2:17" hidden="1">
      <c r="B49" s="21" t="s">
        <v>360</v>
      </c>
      <c r="C49" s="21"/>
      <c r="D49" s="3" t="s">
        <v>717</v>
      </c>
      <c r="F49" s="5"/>
      <c r="J49" s="16"/>
      <c r="K49" s="21"/>
      <c r="L49" s="29"/>
      <c r="M49" s="29"/>
      <c r="N49" s="29"/>
      <c r="O49" s="56"/>
      <c r="P49" s="30"/>
      <c r="Q49" s="31"/>
    </row>
    <row r="50" spans="2:17" hidden="1">
      <c r="B50" s="21" t="s">
        <v>361</v>
      </c>
      <c r="D50" s="3" t="s">
        <v>1116</v>
      </c>
      <c r="F50" s="789"/>
      <c r="G50" s="92"/>
      <c r="H50" s="93"/>
      <c r="I50" s="92"/>
      <c r="J50" s="16"/>
      <c r="K50" s="36"/>
      <c r="L50" s="94"/>
      <c r="M50" s="20"/>
      <c r="N50" s="94"/>
      <c r="O50" s="94"/>
      <c r="P50" s="35"/>
      <c r="Q50" s="92"/>
    </row>
    <row r="51" spans="2:17" hidden="1">
      <c r="B51" s="21" t="s">
        <v>362</v>
      </c>
      <c r="D51" s="5" t="s">
        <v>981</v>
      </c>
      <c r="E51" s="17"/>
      <c r="F51" s="5"/>
      <c r="J51" s="16"/>
      <c r="L51" s="20"/>
      <c r="M51" s="20"/>
      <c r="N51" s="20"/>
      <c r="O51" s="39"/>
      <c r="P51" s="35"/>
    </row>
    <row r="52" spans="2:17" hidden="1">
      <c r="B52" s="21" t="s">
        <v>363</v>
      </c>
      <c r="C52" s="21"/>
      <c r="D52" s="85" t="s">
        <v>1071</v>
      </c>
      <c r="F52" s="789"/>
      <c r="G52" s="92"/>
      <c r="H52" s="93"/>
      <c r="I52" s="92"/>
      <c r="J52" s="16"/>
      <c r="K52" s="33"/>
      <c r="L52" s="96"/>
      <c r="M52" s="29"/>
      <c r="N52" s="96"/>
      <c r="O52" s="54"/>
      <c r="P52" s="30"/>
      <c r="Q52" s="40"/>
    </row>
    <row r="53" spans="2:17" hidden="1">
      <c r="B53" s="21" t="s">
        <v>364</v>
      </c>
      <c r="C53" s="21"/>
      <c r="D53" s="3" t="s">
        <v>319</v>
      </c>
      <c r="F53" s="5"/>
      <c r="J53" s="16"/>
      <c r="K53" s="21"/>
      <c r="L53" s="29"/>
      <c r="M53" s="29"/>
      <c r="N53" s="29"/>
      <c r="O53" s="30"/>
      <c r="P53" s="27"/>
      <c r="Q53" s="31"/>
    </row>
    <row r="54" spans="2:17" hidden="1">
      <c r="B54" s="21" t="s">
        <v>365</v>
      </c>
      <c r="C54" s="21"/>
      <c r="D54" s="3" t="s">
        <v>986</v>
      </c>
      <c r="F54" s="5"/>
      <c r="J54" s="16"/>
      <c r="K54" s="21"/>
      <c r="L54" s="29"/>
      <c r="M54" s="29"/>
      <c r="N54" s="29"/>
      <c r="O54" s="56"/>
      <c r="P54" s="30"/>
      <c r="Q54" s="31"/>
    </row>
    <row r="55" spans="2:17" hidden="1">
      <c r="B55" s="21" t="s">
        <v>366</v>
      </c>
      <c r="C55" s="21"/>
      <c r="D55" s="3" t="s">
        <v>992</v>
      </c>
      <c r="F55" s="5"/>
      <c r="J55" s="16"/>
      <c r="K55" s="21"/>
      <c r="L55" s="29"/>
      <c r="M55" s="29"/>
      <c r="N55" s="29"/>
      <c r="O55" s="56"/>
      <c r="P55" s="30"/>
      <c r="Q55" s="31"/>
    </row>
    <row r="56" spans="2:17" hidden="1">
      <c r="B56" s="21" t="s">
        <v>367</v>
      </c>
      <c r="C56" s="21"/>
      <c r="D56" s="3" t="s">
        <v>703</v>
      </c>
      <c r="F56" s="5"/>
      <c r="J56" s="16"/>
      <c r="K56" s="21"/>
      <c r="L56" s="29"/>
      <c r="M56" s="29"/>
      <c r="N56" s="29"/>
      <c r="O56" s="56"/>
      <c r="P56" s="30"/>
      <c r="Q56" s="31"/>
    </row>
    <row r="57" spans="2:17" hidden="1">
      <c r="B57" s="21" t="s">
        <v>371</v>
      </c>
      <c r="C57" s="21"/>
      <c r="D57" s="3" t="s">
        <v>1129</v>
      </c>
      <c r="F57" s="789"/>
      <c r="G57" s="92"/>
      <c r="H57" s="93"/>
      <c r="I57" s="92"/>
      <c r="J57" s="16"/>
      <c r="K57" s="33"/>
      <c r="L57" s="96"/>
      <c r="M57" s="29"/>
      <c r="N57" s="96"/>
      <c r="O57" s="54"/>
      <c r="P57" s="30"/>
      <c r="Q57" s="40"/>
    </row>
    <row r="58" spans="2:17" hidden="1">
      <c r="B58" s="21" t="s">
        <v>373</v>
      </c>
      <c r="C58" s="535"/>
      <c r="D58" s="3" t="s">
        <v>1927</v>
      </c>
      <c r="E58" s="537"/>
      <c r="F58" s="793"/>
      <c r="G58" s="538"/>
      <c r="H58" s="539"/>
      <c r="I58" s="538"/>
      <c r="J58" s="535"/>
      <c r="K58" s="540"/>
      <c r="L58" s="541"/>
      <c r="M58" s="542"/>
      <c r="N58" s="541"/>
      <c r="O58" s="541"/>
      <c r="P58" s="543"/>
      <c r="Q58" s="538"/>
    </row>
    <row r="59" spans="2:17" hidden="1">
      <c r="B59" s="21" t="s">
        <v>383</v>
      </c>
      <c r="C59" s="315"/>
      <c r="D59" s="3" t="s">
        <v>1828</v>
      </c>
      <c r="E59" s="316"/>
      <c r="F59" s="794"/>
      <c r="G59" s="317"/>
      <c r="H59" s="318"/>
      <c r="I59" s="317"/>
      <c r="J59" s="315"/>
      <c r="K59" s="319"/>
      <c r="L59" s="320"/>
      <c r="M59" s="321"/>
      <c r="N59" s="320"/>
      <c r="O59" s="320"/>
      <c r="P59" s="322"/>
      <c r="Q59" s="317"/>
    </row>
    <row r="60" spans="2:17" hidden="1">
      <c r="B60" s="21" t="s">
        <v>385</v>
      </c>
      <c r="D60" s="3" t="s">
        <v>988</v>
      </c>
      <c r="F60" s="5"/>
      <c r="J60" s="16"/>
      <c r="L60" s="20"/>
      <c r="M60" s="20"/>
      <c r="N60" s="20"/>
      <c r="O60" s="39"/>
      <c r="P60" s="35"/>
    </row>
    <row r="61" spans="2:17" hidden="1">
      <c r="B61" s="21" t="s">
        <v>387</v>
      </c>
      <c r="C61" s="597"/>
      <c r="D61" s="3" t="s">
        <v>1941</v>
      </c>
      <c r="E61" s="598"/>
      <c r="F61" s="791"/>
      <c r="G61" s="599"/>
      <c r="H61" s="600"/>
      <c r="I61" s="599"/>
      <c r="J61" s="601"/>
      <c r="K61" s="602"/>
      <c r="L61" s="603"/>
      <c r="M61" s="604"/>
      <c r="N61" s="603"/>
      <c r="O61" s="605"/>
      <c r="P61" s="606"/>
      <c r="Q61" s="607"/>
    </row>
    <row r="62" spans="2:17" hidden="1">
      <c r="B62" s="21" t="s">
        <v>389</v>
      </c>
      <c r="C62" s="842"/>
      <c r="D62" s="3" t="s">
        <v>2045</v>
      </c>
      <c r="E62" s="844"/>
      <c r="F62" s="845"/>
      <c r="G62" s="846"/>
      <c r="H62" s="847"/>
      <c r="I62" s="846"/>
      <c r="J62" s="842"/>
      <c r="K62" s="848"/>
      <c r="L62" s="849"/>
      <c r="M62" s="850"/>
      <c r="N62" s="849"/>
      <c r="O62" s="849"/>
      <c r="P62" s="851"/>
      <c r="Q62" s="846"/>
    </row>
    <row r="63" spans="2:17">
      <c r="B63" s="21" t="s">
        <v>391</v>
      </c>
      <c r="C63" s="381"/>
      <c r="D63" s="3" t="s">
        <v>1857</v>
      </c>
      <c r="E63" s="383"/>
      <c r="F63" s="795"/>
      <c r="G63" s="384"/>
      <c r="H63" s="385"/>
      <c r="I63" s="384"/>
      <c r="J63" s="381"/>
      <c r="K63" s="386"/>
      <c r="L63" s="387"/>
      <c r="M63" s="388"/>
      <c r="N63" s="387"/>
      <c r="O63" s="387"/>
      <c r="P63" s="389"/>
      <c r="Q63" s="384"/>
    </row>
    <row r="64" spans="2:17" hidden="1">
      <c r="B64" s="21" t="s">
        <v>394</v>
      </c>
      <c r="C64" s="597"/>
      <c r="D64" s="3" t="s">
        <v>1938</v>
      </c>
      <c r="E64" s="598"/>
      <c r="F64" s="789" t="s">
        <v>2235</v>
      </c>
      <c r="G64" s="599"/>
      <c r="H64" s="600"/>
      <c r="I64" s="599"/>
      <c r="J64" s="601"/>
      <c r="K64" s="602"/>
      <c r="L64" s="603"/>
      <c r="M64" s="604"/>
      <c r="N64" s="603"/>
      <c r="O64" s="605"/>
      <c r="P64" s="606"/>
      <c r="Q64" s="607"/>
    </row>
    <row r="65" spans="2:17" hidden="1">
      <c r="B65" s="21" t="s">
        <v>395</v>
      </c>
      <c r="D65" s="3" t="s">
        <v>481</v>
      </c>
      <c r="F65" s="5"/>
      <c r="J65" s="16"/>
      <c r="L65" s="20"/>
      <c r="M65" s="20"/>
      <c r="N65" s="20"/>
      <c r="O65" s="39"/>
      <c r="P65" s="35"/>
    </row>
    <row r="66" spans="2:17">
      <c r="B66" s="21" t="s">
        <v>397</v>
      </c>
      <c r="C66" s="1014"/>
      <c r="D66" s="3" t="s">
        <v>2223</v>
      </c>
      <c r="E66" s="1023"/>
      <c r="F66" s="1016"/>
      <c r="G66" s="1017"/>
      <c r="H66" s="1018"/>
      <c r="I66" s="1017"/>
      <c r="J66" s="1015"/>
      <c r="K66" s="1024"/>
      <c r="L66" s="1025"/>
      <c r="M66" s="1026"/>
      <c r="N66" s="1025"/>
      <c r="O66" s="1027"/>
      <c r="P66" s="1028"/>
      <c r="Q66" s="1029"/>
    </row>
    <row r="67" spans="2:17" hidden="1">
      <c r="B67" s="21" t="s">
        <v>399</v>
      </c>
      <c r="D67" s="3" t="s">
        <v>1619</v>
      </c>
      <c r="F67" s="789"/>
      <c r="G67" s="92"/>
      <c r="H67" s="93"/>
      <c r="I67" s="92"/>
      <c r="J67" s="16"/>
      <c r="K67" s="36"/>
      <c r="L67" s="94"/>
      <c r="M67" s="20"/>
      <c r="N67" s="94"/>
      <c r="O67" s="94"/>
      <c r="P67" s="35"/>
      <c r="Q67" s="92"/>
    </row>
    <row r="68" spans="2:17" hidden="1">
      <c r="B68" s="21" t="s">
        <v>403</v>
      </c>
      <c r="D68" s="3" t="s">
        <v>344</v>
      </c>
      <c r="F68" s="5"/>
      <c r="J68" s="16"/>
      <c r="L68" s="20"/>
      <c r="M68" s="20"/>
      <c r="N68" s="20"/>
      <c r="O68" s="39"/>
      <c r="P68" s="35"/>
    </row>
    <row r="69" spans="2:17" hidden="1">
      <c r="B69" s="21" t="s">
        <v>406</v>
      </c>
      <c r="C69" s="21"/>
      <c r="D69" s="3" t="s">
        <v>1141</v>
      </c>
      <c r="F69" s="789"/>
      <c r="G69" s="92"/>
      <c r="H69" s="93"/>
      <c r="I69" s="92"/>
      <c r="J69" s="16"/>
      <c r="K69" s="33"/>
      <c r="L69" s="96"/>
      <c r="M69" s="29"/>
      <c r="N69" s="96"/>
      <c r="O69" s="54"/>
      <c r="P69" s="30"/>
      <c r="Q69" s="40"/>
    </row>
    <row r="70" spans="2:17" hidden="1">
      <c r="B70" s="21" t="s">
        <v>408</v>
      </c>
      <c r="D70" s="3" t="s">
        <v>754</v>
      </c>
      <c r="F70" s="5"/>
      <c r="J70" s="16"/>
      <c r="L70" s="20"/>
      <c r="M70" s="20"/>
      <c r="N70" s="20"/>
      <c r="O70" s="39"/>
      <c r="P70" s="35"/>
    </row>
    <row r="71" spans="2:17" hidden="1">
      <c r="B71" s="21" t="s">
        <v>410</v>
      </c>
      <c r="D71" s="3" t="s">
        <v>878</v>
      </c>
      <c r="F71" s="5"/>
      <c r="J71" s="16"/>
      <c r="L71" s="20"/>
      <c r="M71" s="20"/>
      <c r="N71" s="20"/>
      <c r="O71" s="39"/>
      <c r="P71" s="35"/>
    </row>
    <row r="72" spans="2:17" hidden="1">
      <c r="B72" s="21" t="s">
        <v>411</v>
      </c>
      <c r="D72" s="3" t="s">
        <v>698</v>
      </c>
      <c r="F72" s="5"/>
      <c r="J72" s="16"/>
      <c r="L72" s="20"/>
      <c r="M72" s="20"/>
      <c r="N72" s="20"/>
      <c r="O72" s="39"/>
      <c r="P72" s="35"/>
    </row>
    <row r="73" spans="2:17" hidden="1">
      <c r="B73" s="21" t="s">
        <v>413</v>
      </c>
      <c r="D73" s="85" t="s">
        <v>1083</v>
      </c>
      <c r="F73" s="789"/>
      <c r="G73" s="92"/>
      <c r="H73" s="93"/>
      <c r="I73" s="92"/>
      <c r="J73" s="16"/>
      <c r="K73" s="36"/>
      <c r="L73" s="94"/>
      <c r="M73" s="20"/>
      <c r="N73" s="94"/>
      <c r="O73" s="94"/>
      <c r="P73" s="35"/>
      <c r="Q73" s="92"/>
    </row>
    <row r="74" spans="2:17" hidden="1">
      <c r="B74" s="21" t="s">
        <v>415</v>
      </c>
      <c r="D74" s="3" t="s">
        <v>719</v>
      </c>
      <c r="F74" s="5"/>
      <c r="J74" s="16"/>
      <c r="L74" s="20"/>
      <c r="M74" s="20"/>
      <c r="N74" s="20"/>
      <c r="O74" s="39"/>
      <c r="P74" s="35"/>
    </row>
    <row r="75" spans="2:17" hidden="1">
      <c r="B75" s="21" t="s">
        <v>417</v>
      </c>
      <c r="C75" s="1034"/>
      <c r="D75" s="3" t="s">
        <v>2238</v>
      </c>
      <c r="E75" s="22" t="s">
        <v>2240</v>
      </c>
      <c r="F75" s="22" t="s">
        <v>2239</v>
      </c>
      <c r="G75" s="1037"/>
      <c r="H75" s="1038"/>
      <c r="I75" s="1037"/>
      <c r="J75" s="1039"/>
      <c r="K75" s="1040"/>
      <c r="L75" s="1041"/>
      <c r="M75" s="1042"/>
      <c r="N75" s="1041"/>
      <c r="O75" s="1043"/>
      <c r="P75" s="1044"/>
      <c r="Q75" s="1045"/>
    </row>
    <row r="76" spans="2:17" hidden="1">
      <c r="B76" s="21" t="s">
        <v>419</v>
      </c>
      <c r="D76" s="3" t="s">
        <v>540</v>
      </c>
      <c r="F76" s="5"/>
      <c r="J76" s="16"/>
      <c r="L76" s="20"/>
      <c r="M76" s="20"/>
      <c r="N76" s="20"/>
      <c r="O76" s="39"/>
      <c r="P76" s="35"/>
    </row>
    <row r="77" spans="2:17" hidden="1">
      <c r="B77" s="21" t="s">
        <v>421</v>
      </c>
      <c r="D77" s="3" t="s">
        <v>721</v>
      </c>
      <c r="F77" s="5"/>
      <c r="J77" s="16"/>
      <c r="L77" s="20"/>
      <c r="M77" s="20"/>
      <c r="N77" s="20"/>
      <c r="O77" s="39"/>
      <c r="P77" s="35"/>
    </row>
    <row r="78" spans="2:17" hidden="1">
      <c r="B78" s="21" t="s">
        <v>431</v>
      </c>
      <c r="D78" s="3" t="s">
        <v>1523</v>
      </c>
      <c r="F78" s="789"/>
      <c r="G78" s="92"/>
      <c r="H78" s="93"/>
      <c r="I78" s="92"/>
      <c r="J78" s="16"/>
      <c r="K78" s="36"/>
      <c r="L78" s="94"/>
      <c r="M78" s="20"/>
      <c r="N78" s="94"/>
      <c r="O78" s="94"/>
      <c r="P78" s="35"/>
      <c r="Q78" s="92"/>
    </row>
    <row r="79" spans="2:17" hidden="1">
      <c r="B79" s="21" t="s">
        <v>432</v>
      </c>
      <c r="D79" s="3" t="s">
        <v>624</v>
      </c>
      <c r="F79" s="5"/>
      <c r="J79" s="16"/>
      <c r="L79" s="20"/>
      <c r="M79" s="20"/>
      <c r="N79" s="20"/>
      <c r="O79" s="39"/>
      <c r="P79" s="35"/>
    </row>
    <row r="80" spans="2:17" hidden="1">
      <c r="B80" s="21" t="s">
        <v>433</v>
      </c>
      <c r="D80" s="3" t="s">
        <v>983</v>
      </c>
      <c r="F80" s="5"/>
      <c r="J80" s="16"/>
      <c r="L80" s="20"/>
      <c r="M80" s="20"/>
      <c r="N80" s="20"/>
      <c r="O80" s="39"/>
      <c r="P80" s="35"/>
    </row>
    <row r="81" spans="2:17" hidden="1">
      <c r="B81" s="21" t="s">
        <v>434</v>
      </c>
      <c r="D81" s="3" t="s">
        <v>412</v>
      </c>
      <c r="F81" s="5"/>
      <c r="J81" s="16"/>
      <c r="L81" s="20"/>
      <c r="M81" s="20"/>
      <c r="N81" s="20"/>
      <c r="O81" s="39"/>
      <c r="P81" s="35"/>
    </row>
    <row r="82" spans="2:17" hidden="1">
      <c r="B82" s="21" t="s">
        <v>448</v>
      </c>
      <c r="C82" s="21"/>
      <c r="D82" s="3" t="s">
        <v>1877</v>
      </c>
      <c r="F82" s="32" t="s">
        <v>1878</v>
      </c>
      <c r="G82" s="52"/>
      <c r="H82" s="53"/>
      <c r="I82" s="52"/>
      <c r="J82" s="16"/>
      <c r="K82" s="33"/>
      <c r="L82" s="54"/>
      <c r="M82" s="29"/>
      <c r="N82" s="54"/>
      <c r="O82" s="54"/>
      <c r="P82" s="30"/>
      <c r="Q82" s="40"/>
    </row>
    <row r="83" spans="2:17" hidden="1">
      <c r="B83" s="21" t="s">
        <v>449</v>
      </c>
      <c r="D83" s="3" t="s">
        <v>511</v>
      </c>
      <c r="F83" s="5"/>
      <c r="J83" s="16"/>
      <c r="L83" s="20"/>
      <c r="M83" s="20"/>
      <c r="N83" s="20"/>
      <c r="O83" s="39"/>
      <c r="P83" s="35"/>
    </row>
    <row r="84" spans="2:17" hidden="1">
      <c r="B84" s="21" t="s">
        <v>452</v>
      </c>
      <c r="D84" s="3" t="s">
        <v>1172</v>
      </c>
      <c r="F84" s="789"/>
      <c r="G84" s="92"/>
      <c r="H84" s="93"/>
      <c r="I84" s="92"/>
      <c r="J84" s="16"/>
      <c r="K84" s="36"/>
      <c r="L84" s="94"/>
      <c r="M84" s="20"/>
      <c r="N84" s="94"/>
      <c r="O84" s="94"/>
      <c r="P84" s="35"/>
      <c r="Q84" s="92"/>
    </row>
    <row r="85" spans="2:17" hidden="1">
      <c r="B85" s="21" t="s">
        <v>453</v>
      </c>
      <c r="D85" s="3" t="s">
        <v>1094</v>
      </c>
      <c r="F85" s="789"/>
      <c r="G85" s="92"/>
      <c r="H85" s="551"/>
      <c r="I85" s="92"/>
      <c r="J85" s="16"/>
      <c r="K85" s="36"/>
      <c r="L85" s="94"/>
      <c r="M85" s="20"/>
      <c r="N85" s="94"/>
      <c r="O85" s="94"/>
      <c r="P85" s="35"/>
      <c r="Q85" s="92"/>
    </row>
    <row r="86" spans="2:17" hidden="1">
      <c r="B86" s="21" t="s">
        <v>454</v>
      </c>
      <c r="D86" s="3" t="s">
        <v>1042</v>
      </c>
      <c r="F86" s="789"/>
      <c r="G86" s="92"/>
      <c r="H86" s="93"/>
      <c r="I86" s="92"/>
      <c r="J86" s="16"/>
      <c r="K86" s="36"/>
      <c r="L86" s="94"/>
      <c r="M86" s="20"/>
      <c r="N86" s="94"/>
      <c r="O86" s="94"/>
      <c r="P86" s="35"/>
      <c r="Q86" s="92"/>
    </row>
    <row r="87" spans="2:17" hidden="1">
      <c r="B87" s="21" t="s">
        <v>455</v>
      </c>
      <c r="D87" s="3" t="s">
        <v>704</v>
      </c>
      <c r="F87" s="5"/>
      <c r="J87" s="16"/>
      <c r="L87" s="20"/>
      <c r="M87" s="20"/>
      <c r="N87" s="20"/>
      <c r="O87" s="39"/>
      <c r="P87" s="35"/>
    </row>
    <row r="88" spans="2:17" hidden="1">
      <c r="B88" s="21" t="s">
        <v>456</v>
      </c>
      <c r="D88" s="3" t="s">
        <v>41</v>
      </c>
      <c r="F88" s="5"/>
      <c r="J88" s="16"/>
      <c r="L88" s="20"/>
      <c r="M88" s="20"/>
      <c r="N88" s="20"/>
      <c r="O88" s="39"/>
      <c r="P88" s="35"/>
    </row>
    <row r="89" spans="2:17" hidden="1">
      <c r="B89" s="21" t="s">
        <v>460</v>
      </c>
      <c r="C89" s="21"/>
      <c r="D89" s="3" t="s">
        <v>1875</v>
      </c>
      <c r="F89" s="32" t="s">
        <v>1876</v>
      </c>
      <c r="G89" s="52"/>
      <c r="H89" s="53"/>
      <c r="I89" s="52"/>
      <c r="J89" s="16"/>
      <c r="K89" s="33"/>
      <c r="L89" s="54"/>
      <c r="M89" s="29"/>
      <c r="N89" s="54"/>
      <c r="O89" s="54"/>
      <c r="P89" s="30"/>
      <c r="Q89" s="40"/>
    </row>
    <row r="90" spans="2:17" hidden="1">
      <c r="B90" s="21" t="s">
        <v>465</v>
      </c>
      <c r="D90" s="3" t="s">
        <v>834</v>
      </c>
      <c r="F90" s="5"/>
      <c r="J90" s="16"/>
      <c r="L90" s="20"/>
      <c r="M90" s="20"/>
      <c r="N90" s="20"/>
      <c r="O90" s="39"/>
      <c r="P90" s="35"/>
    </row>
    <row r="91" spans="2:17" hidden="1">
      <c r="B91" s="21" t="s">
        <v>466</v>
      </c>
      <c r="D91" s="3" t="s">
        <v>807</v>
      </c>
      <c r="F91" s="5"/>
      <c r="J91" s="16"/>
      <c r="L91" s="20"/>
      <c r="M91" s="20"/>
      <c r="N91" s="20"/>
      <c r="O91" s="39"/>
      <c r="P91" s="35"/>
    </row>
    <row r="92" spans="2:17" hidden="1">
      <c r="B92" s="21" t="s">
        <v>467</v>
      </c>
      <c r="D92" s="3" t="s">
        <v>989</v>
      </c>
      <c r="F92" s="5"/>
      <c r="J92" s="16"/>
      <c r="L92" s="20"/>
      <c r="M92" s="20"/>
      <c r="N92" s="20"/>
      <c r="O92" s="39"/>
      <c r="P92" s="35"/>
    </row>
    <row r="93" spans="2:17" hidden="1">
      <c r="B93" s="21" t="s">
        <v>468</v>
      </c>
      <c r="C93" s="833"/>
      <c r="D93" s="3" t="s">
        <v>2034</v>
      </c>
      <c r="E93" s="22" t="s">
        <v>2034</v>
      </c>
      <c r="F93" s="789" t="s">
        <v>2035</v>
      </c>
      <c r="G93" s="834"/>
      <c r="H93" s="835"/>
      <c r="I93" s="834"/>
      <c r="J93" s="833"/>
      <c r="K93" s="836"/>
      <c r="L93" s="837"/>
      <c r="M93" s="838"/>
      <c r="N93" s="837"/>
      <c r="O93" s="837"/>
      <c r="P93" s="839"/>
      <c r="Q93" s="834"/>
    </row>
    <row r="94" spans="2:17" hidden="1">
      <c r="B94" s="21" t="s">
        <v>469</v>
      </c>
      <c r="C94" s="21"/>
      <c r="D94" s="3" t="s">
        <v>558</v>
      </c>
      <c r="F94" s="5"/>
      <c r="J94" s="16"/>
      <c r="K94" s="33"/>
      <c r="L94" s="29"/>
      <c r="M94" s="29"/>
      <c r="N94" s="20"/>
      <c r="O94" s="56"/>
      <c r="P94" s="30"/>
      <c r="Q94" s="31"/>
    </row>
    <row r="95" spans="2:17" hidden="1">
      <c r="B95" s="21" t="s">
        <v>470</v>
      </c>
      <c r="C95" s="21"/>
      <c r="D95" s="3" t="s">
        <v>876</v>
      </c>
      <c r="F95" s="5"/>
      <c r="J95" s="16"/>
      <c r="K95" s="33"/>
      <c r="L95" s="29"/>
      <c r="M95" s="29"/>
      <c r="N95" s="20"/>
      <c r="O95" s="56"/>
      <c r="P95" s="30"/>
      <c r="Q95" s="31"/>
    </row>
    <row r="96" spans="2:17" hidden="1">
      <c r="B96" s="21" t="s">
        <v>473</v>
      </c>
      <c r="C96" s="21"/>
      <c r="D96" s="3" t="s">
        <v>916</v>
      </c>
      <c r="F96" s="5"/>
      <c r="J96" s="16"/>
      <c r="K96" s="33"/>
      <c r="L96" s="29"/>
      <c r="M96" s="29"/>
      <c r="N96" s="20"/>
      <c r="O96" s="56"/>
      <c r="P96" s="30"/>
      <c r="Q96" s="31"/>
    </row>
    <row r="97" spans="2:17" hidden="1">
      <c r="B97" s="21" t="s">
        <v>475</v>
      </c>
      <c r="C97" s="21"/>
      <c r="D97" s="3" t="s">
        <v>747</v>
      </c>
      <c r="F97" s="5"/>
      <c r="J97" s="16"/>
      <c r="K97" s="33"/>
      <c r="L97" s="29"/>
      <c r="M97" s="29"/>
      <c r="N97" s="20"/>
      <c r="O97" s="56"/>
      <c r="P97" s="30"/>
      <c r="Q97" s="31"/>
    </row>
    <row r="98" spans="2:17" hidden="1">
      <c r="B98" s="1148"/>
      <c r="C98" s="1148"/>
      <c r="D98" s="3" t="s">
        <v>2505</v>
      </c>
      <c r="E98" s="1117"/>
      <c r="F98" s="1149"/>
      <c r="G98" s="92" t="s">
        <v>2507</v>
      </c>
      <c r="H98" s="93" t="s">
        <v>2506</v>
      </c>
      <c r="I98" s="1118"/>
      <c r="J98" s="1116"/>
      <c r="K98" s="1150"/>
      <c r="L98" s="1151"/>
      <c r="M98" s="1152"/>
      <c r="N98" s="1120"/>
      <c r="O98" s="1153"/>
      <c r="P98" s="1154"/>
      <c r="Q98" s="1155"/>
    </row>
    <row r="99" spans="2:17" hidden="1">
      <c r="B99" s="21" t="s">
        <v>477</v>
      </c>
      <c r="C99" s="21"/>
      <c r="D99" s="3" t="s">
        <v>811</v>
      </c>
      <c r="F99" s="5"/>
      <c r="J99" s="16"/>
      <c r="K99" s="33"/>
      <c r="L99" s="29"/>
      <c r="M99" s="29"/>
      <c r="N99" s="20"/>
      <c r="O99" s="56"/>
      <c r="P99" s="30"/>
      <c r="Q99" s="31"/>
    </row>
    <row r="100" spans="2:17" hidden="1">
      <c r="B100" s="21" t="s">
        <v>479</v>
      </c>
      <c r="C100" s="21"/>
      <c r="D100" s="3" t="s">
        <v>1101</v>
      </c>
      <c r="F100" s="789"/>
      <c r="G100" s="92"/>
      <c r="H100" s="93"/>
      <c r="I100" s="92"/>
      <c r="J100" s="16"/>
      <c r="K100" s="33"/>
      <c r="L100" s="96"/>
      <c r="M100" s="29"/>
      <c r="N100" s="94"/>
      <c r="O100" s="54"/>
      <c r="P100" s="30"/>
      <c r="Q100" s="40"/>
    </row>
    <row r="101" spans="2:17" hidden="1">
      <c r="B101" s="21" t="s">
        <v>482</v>
      </c>
      <c r="C101" s="21"/>
      <c r="D101" s="3" t="s">
        <v>1039</v>
      </c>
      <c r="F101" s="789"/>
      <c r="G101" s="92"/>
      <c r="H101" s="93"/>
      <c r="I101" s="92"/>
      <c r="J101" s="16"/>
      <c r="K101" s="33"/>
      <c r="L101" s="96"/>
      <c r="M101" s="29"/>
      <c r="N101" s="94"/>
      <c r="O101" s="54"/>
      <c r="P101" s="30"/>
      <c r="Q101" s="40"/>
    </row>
    <row r="102" spans="2:17" hidden="1">
      <c r="B102" s="21" t="s">
        <v>485</v>
      </c>
      <c r="C102" s="21"/>
      <c r="D102" s="3" t="s">
        <v>936</v>
      </c>
      <c r="F102" s="5"/>
      <c r="J102" s="16"/>
      <c r="K102" s="33"/>
      <c r="L102" s="29"/>
      <c r="M102" s="29"/>
      <c r="N102" s="20"/>
      <c r="O102" s="56"/>
      <c r="P102" s="30"/>
      <c r="Q102" s="31"/>
    </row>
    <row r="103" spans="2:17" hidden="1">
      <c r="B103" s="21" t="s">
        <v>486</v>
      </c>
      <c r="C103" s="21"/>
      <c r="D103" s="3" t="s">
        <v>251</v>
      </c>
      <c r="F103" s="5"/>
      <c r="J103" s="16"/>
      <c r="L103" s="20"/>
      <c r="M103" s="20"/>
      <c r="N103" s="20"/>
      <c r="O103" s="35"/>
      <c r="P103" s="37"/>
      <c r="Q103" s="38"/>
    </row>
    <row r="104" spans="2:17" hidden="1">
      <c r="B104" s="21" t="s">
        <v>487</v>
      </c>
      <c r="C104" s="21"/>
      <c r="D104" s="3" t="s">
        <v>656</v>
      </c>
      <c r="F104" s="5"/>
      <c r="I104" s="36"/>
      <c r="J104" s="16"/>
      <c r="K104" s="33"/>
      <c r="L104" s="20"/>
      <c r="M104" s="29"/>
      <c r="N104" s="20"/>
      <c r="O104" s="30"/>
      <c r="P104" s="27"/>
      <c r="Q104" s="31"/>
    </row>
    <row r="105" spans="2:17" hidden="1">
      <c r="B105" s="21" t="s">
        <v>491</v>
      </c>
      <c r="C105" s="21"/>
      <c r="D105" s="3" t="s">
        <v>655</v>
      </c>
      <c r="F105" s="5"/>
      <c r="I105" s="36"/>
      <c r="J105" s="16"/>
      <c r="K105" s="33"/>
      <c r="L105" s="20"/>
      <c r="M105" s="29"/>
      <c r="N105" s="20"/>
      <c r="O105" s="56"/>
      <c r="P105" s="30"/>
      <c r="Q105" s="31"/>
    </row>
    <row r="106" spans="2:17" hidden="1">
      <c r="B106" s="21" t="s">
        <v>492</v>
      </c>
      <c r="C106" s="21"/>
      <c r="D106" s="3" t="s">
        <v>758</v>
      </c>
      <c r="F106" s="5"/>
      <c r="J106" s="16"/>
      <c r="K106" s="33"/>
      <c r="L106" s="29"/>
      <c r="M106" s="29"/>
      <c r="N106" s="20"/>
      <c r="O106" s="56"/>
      <c r="P106" s="30"/>
      <c r="Q106" s="31"/>
    </row>
    <row r="107" spans="2:17" hidden="1">
      <c r="B107" s="21" t="s">
        <v>498</v>
      </c>
      <c r="C107" s="21"/>
      <c r="D107" s="3" t="s">
        <v>252</v>
      </c>
      <c r="F107" s="5"/>
      <c r="J107" s="16"/>
      <c r="K107" s="33"/>
      <c r="L107" s="29"/>
      <c r="M107" s="29"/>
      <c r="N107" s="20"/>
      <c r="O107" s="30"/>
      <c r="P107" s="27"/>
      <c r="Q107" s="31"/>
    </row>
    <row r="108" spans="2:17" hidden="1">
      <c r="B108" s="21" t="s">
        <v>499</v>
      </c>
      <c r="C108" s="21"/>
      <c r="D108" s="3" t="s">
        <v>525</v>
      </c>
      <c r="F108" s="5"/>
      <c r="J108" s="16"/>
      <c r="K108" s="33"/>
      <c r="L108" s="29"/>
      <c r="M108" s="29"/>
      <c r="N108" s="20"/>
      <c r="O108" s="56"/>
      <c r="P108" s="30"/>
      <c r="Q108" s="31"/>
    </row>
    <row r="109" spans="2:17" hidden="1">
      <c r="B109" s="21" t="s">
        <v>500</v>
      </c>
      <c r="C109" s="21"/>
      <c r="D109" s="3" t="s">
        <v>755</v>
      </c>
      <c r="F109" s="5"/>
      <c r="J109" s="16"/>
      <c r="K109" s="33"/>
      <c r="L109" s="29"/>
      <c r="M109" s="29"/>
      <c r="N109" s="20"/>
      <c r="O109" s="56"/>
      <c r="P109" s="30"/>
      <c r="Q109" s="31"/>
    </row>
    <row r="110" spans="2:17" hidden="1">
      <c r="B110" s="21" t="s">
        <v>501</v>
      </c>
      <c r="C110" s="21"/>
      <c r="D110" s="3" t="s">
        <v>1871</v>
      </c>
      <c r="F110" s="789" t="s">
        <v>1872</v>
      </c>
      <c r="G110" s="92"/>
      <c r="H110" s="93"/>
      <c r="I110" s="92"/>
      <c r="J110" s="16"/>
      <c r="K110" s="33"/>
      <c r="L110" s="96"/>
      <c r="M110" s="29"/>
      <c r="N110" s="94"/>
      <c r="O110" s="54"/>
      <c r="P110" s="30"/>
      <c r="Q110" s="40"/>
    </row>
    <row r="111" spans="2:17" hidden="1">
      <c r="B111" s="21" t="s">
        <v>504</v>
      </c>
      <c r="C111" s="525"/>
      <c r="D111" s="3" t="s">
        <v>1924</v>
      </c>
      <c r="E111" s="526"/>
      <c r="F111" s="796"/>
      <c r="G111" s="527"/>
      <c r="H111" s="528"/>
      <c r="I111" s="527"/>
      <c r="J111" s="524"/>
      <c r="K111" s="529"/>
      <c r="L111" s="530"/>
      <c r="M111" s="531"/>
      <c r="N111" s="530"/>
      <c r="O111" s="532"/>
      <c r="P111" s="533"/>
      <c r="Q111" s="534"/>
    </row>
    <row r="112" spans="2:17" hidden="1">
      <c r="B112" s="21" t="s">
        <v>505</v>
      </c>
      <c r="C112" s="21"/>
      <c r="D112" s="3" t="s">
        <v>593</v>
      </c>
      <c r="F112" s="5"/>
      <c r="J112" s="16"/>
      <c r="K112" s="33"/>
      <c r="L112" s="29"/>
      <c r="M112" s="29"/>
      <c r="N112" s="20"/>
      <c r="O112" s="56"/>
      <c r="P112" s="30"/>
      <c r="Q112" s="31"/>
    </row>
    <row r="113" spans="2:17" hidden="1">
      <c r="B113" s="21" t="s">
        <v>509</v>
      </c>
      <c r="C113" s="287"/>
      <c r="D113" s="85" t="s">
        <v>1821</v>
      </c>
      <c r="E113" s="289"/>
      <c r="F113" s="797"/>
      <c r="G113" s="290"/>
      <c r="H113" s="291"/>
      <c r="I113" s="290"/>
      <c r="J113" s="287"/>
      <c r="K113" s="292"/>
      <c r="L113" s="293"/>
      <c r="M113" s="294"/>
      <c r="N113" s="293"/>
      <c r="O113" s="293"/>
      <c r="P113" s="295"/>
      <c r="Q113" s="290"/>
    </row>
    <row r="114" spans="2:17" hidden="1">
      <c r="B114" s="21" t="s">
        <v>512</v>
      </c>
      <c r="C114" s="21"/>
      <c r="D114" s="3" t="s">
        <v>1072</v>
      </c>
      <c r="F114" s="789"/>
      <c r="G114" s="92"/>
      <c r="H114" s="93"/>
      <c r="I114" s="92"/>
      <c r="J114" s="16"/>
      <c r="K114" s="33"/>
      <c r="L114" s="96"/>
      <c r="M114" s="29"/>
      <c r="N114" s="94"/>
      <c r="O114" s="54"/>
      <c r="P114" s="30"/>
      <c r="Q114" s="40"/>
    </row>
    <row r="115" spans="2:17" hidden="1">
      <c r="B115" s="21" t="s">
        <v>514</v>
      </c>
      <c r="C115" s="146"/>
      <c r="D115" s="85" t="s">
        <v>1756</v>
      </c>
      <c r="E115" s="273" t="s">
        <v>1755</v>
      </c>
      <c r="F115" s="798" t="s">
        <v>1757</v>
      </c>
      <c r="G115" s="52" t="s">
        <v>1758</v>
      </c>
      <c r="H115" s="272" t="s">
        <v>1760</v>
      </c>
      <c r="I115" s="52" t="s">
        <v>1759</v>
      </c>
      <c r="J115" s="16" t="s">
        <v>1761</v>
      </c>
      <c r="K115" s="264"/>
      <c r="L115" s="265"/>
      <c r="M115" s="266"/>
      <c r="N115" s="265"/>
      <c r="O115" s="265"/>
      <c r="P115" s="267"/>
      <c r="Q115" s="268"/>
    </row>
    <row r="116" spans="2:17" hidden="1">
      <c r="B116" s="21" t="s">
        <v>515</v>
      </c>
      <c r="C116" s="21"/>
      <c r="D116" s="3" t="s">
        <v>930</v>
      </c>
      <c r="F116" s="5"/>
      <c r="J116" s="16"/>
      <c r="K116" s="33"/>
      <c r="L116" s="29"/>
      <c r="M116" s="29"/>
      <c r="N116" s="20"/>
      <c r="O116" s="56"/>
      <c r="P116" s="30"/>
      <c r="Q116" s="31"/>
    </row>
    <row r="117" spans="2:17" hidden="1">
      <c r="B117" s="21" t="s">
        <v>516</v>
      </c>
      <c r="C117" s="21"/>
      <c r="D117" s="3" t="s">
        <v>1161</v>
      </c>
      <c r="F117" s="789"/>
      <c r="G117" s="92"/>
      <c r="H117" s="93"/>
      <c r="I117" s="92"/>
      <c r="J117" s="16"/>
      <c r="K117" s="33"/>
      <c r="L117" s="96"/>
      <c r="M117" s="29"/>
      <c r="N117" s="94"/>
      <c r="O117" s="54"/>
      <c r="P117" s="30"/>
      <c r="Q117" s="40"/>
    </row>
    <row r="118" spans="2:17" hidden="1">
      <c r="B118" s="21" t="s">
        <v>519</v>
      </c>
      <c r="C118" s="21"/>
      <c r="D118" s="3" t="s">
        <v>1163</v>
      </c>
      <c r="F118" s="789"/>
      <c r="G118" s="92"/>
      <c r="H118" s="93"/>
      <c r="I118" s="92"/>
      <c r="J118" s="16"/>
      <c r="K118" s="33"/>
      <c r="L118" s="96"/>
      <c r="M118" s="29"/>
      <c r="N118" s="94"/>
      <c r="O118" s="54"/>
      <c r="P118" s="30"/>
      <c r="Q118" s="40"/>
    </row>
    <row r="119" spans="2:17" hidden="1">
      <c r="B119" s="21" t="s">
        <v>521</v>
      </c>
      <c r="C119" s="21"/>
      <c r="D119" s="85" t="s">
        <v>2380</v>
      </c>
      <c r="F119" s="798" t="s">
        <v>2381</v>
      </c>
      <c r="G119" s="52" t="s">
        <v>1190</v>
      </c>
      <c r="H119" s="53"/>
      <c r="I119" s="52"/>
      <c r="J119" s="16"/>
      <c r="K119" s="33"/>
      <c r="L119" s="54"/>
      <c r="M119" s="29"/>
      <c r="N119" s="54"/>
      <c r="O119" s="54"/>
      <c r="P119" s="30"/>
      <c r="Q119" s="40"/>
    </row>
    <row r="120" spans="2:17" hidden="1">
      <c r="B120" s="21" t="s">
        <v>523</v>
      </c>
      <c r="C120" s="21"/>
      <c r="D120" s="3" t="s">
        <v>443</v>
      </c>
      <c r="F120" s="5"/>
      <c r="J120" s="16"/>
      <c r="K120" s="33"/>
      <c r="L120" s="29"/>
      <c r="M120" s="29"/>
      <c r="N120" s="20"/>
      <c r="O120" s="56"/>
      <c r="P120" s="30"/>
      <c r="Q120" s="31"/>
    </row>
    <row r="121" spans="2:17" hidden="1">
      <c r="B121" s="21" t="s">
        <v>527</v>
      </c>
      <c r="C121" s="21"/>
      <c r="D121" s="3" t="s">
        <v>3</v>
      </c>
      <c r="F121" s="5"/>
      <c r="J121" s="16"/>
      <c r="K121" s="33"/>
      <c r="L121" s="29"/>
      <c r="M121" s="29"/>
      <c r="N121" s="20"/>
      <c r="O121" s="56"/>
      <c r="P121" s="30"/>
      <c r="Q121" s="31"/>
    </row>
    <row r="122" spans="2:17" hidden="1">
      <c r="B122" s="21" t="s">
        <v>528</v>
      </c>
      <c r="C122" s="21"/>
      <c r="D122" s="3" t="s">
        <v>375</v>
      </c>
      <c r="F122" s="5"/>
      <c r="J122" s="16"/>
      <c r="K122" s="33"/>
      <c r="L122" s="29"/>
      <c r="M122" s="29"/>
      <c r="N122" s="20"/>
      <c r="O122" s="56"/>
      <c r="P122" s="30"/>
      <c r="Q122" s="31"/>
    </row>
    <row r="123" spans="2:17" hidden="1">
      <c r="B123" s="21" t="s">
        <v>529</v>
      </c>
      <c r="C123" s="21"/>
      <c r="D123" s="3" t="s">
        <v>556</v>
      </c>
      <c r="F123" s="5"/>
      <c r="J123" s="16"/>
      <c r="K123" s="33"/>
      <c r="L123" s="29"/>
      <c r="M123" s="29"/>
      <c r="N123" s="20"/>
      <c r="O123" s="56"/>
      <c r="P123" s="30"/>
      <c r="Q123" s="31"/>
    </row>
    <row r="124" spans="2:17" hidden="1">
      <c r="B124" s="21" t="s">
        <v>534</v>
      </c>
      <c r="C124" s="21"/>
      <c r="D124" s="3" t="s">
        <v>833</v>
      </c>
      <c r="F124" s="5"/>
      <c r="J124" s="16"/>
      <c r="K124" s="21"/>
      <c r="L124" s="29"/>
      <c r="M124" s="29"/>
      <c r="N124" s="29"/>
      <c r="O124" s="56"/>
      <c r="P124" s="30"/>
      <c r="Q124" s="31"/>
    </row>
    <row r="125" spans="2:17" hidden="1">
      <c r="B125" s="21" t="s">
        <v>535</v>
      </c>
      <c r="C125" s="21"/>
      <c r="D125" s="3" t="s">
        <v>526</v>
      </c>
      <c r="F125" s="5"/>
      <c r="J125" s="16"/>
      <c r="K125" s="33"/>
      <c r="L125" s="29"/>
      <c r="M125" s="29"/>
      <c r="N125" s="20"/>
      <c r="O125" s="56"/>
      <c r="P125" s="30"/>
      <c r="Q125" s="31"/>
    </row>
    <row r="126" spans="2:17" hidden="1">
      <c r="B126" s="21" t="s">
        <v>541</v>
      </c>
      <c r="C126" s="955"/>
      <c r="D126" s="976" t="s">
        <v>2121</v>
      </c>
      <c r="E126" s="22" t="s">
        <v>2122</v>
      </c>
      <c r="F126" s="963"/>
      <c r="G126" s="964"/>
      <c r="H126" s="965"/>
      <c r="I126" s="964"/>
      <c r="J126" s="955"/>
      <c r="K126" s="972"/>
      <c r="L126" s="973"/>
      <c r="M126" s="974"/>
      <c r="N126" s="973"/>
      <c r="O126" s="973"/>
      <c r="P126" s="975"/>
      <c r="Q126" s="964"/>
    </row>
    <row r="127" spans="2:17" hidden="1">
      <c r="B127" s="21" t="s">
        <v>542</v>
      </c>
      <c r="D127" s="3" t="s">
        <v>837</v>
      </c>
      <c r="F127" s="5"/>
      <c r="J127" s="16"/>
      <c r="L127" s="20"/>
      <c r="M127" s="20"/>
      <c r="N127" s="20"/>
      <c r="O127" s="39"/>
      <c r="P127" s="35"/>
    </row>
    <row r="128" spans="2:17" hidden="1">
      <c r="B128" s="21" t="s">
        <v>543</v>
      </c>
      <c r="D128" s="3" t="s">
        <v>678</v>
      </c>
      <c r="F128" s="5"/>
      <c r="J128" s="16"/>
      <c r="L128" s="20"/>
      <c r="M128" s="20"/>
      <c r="N128" s="20"/>
      <c r="O128" s="39"/>
      <c r="P128" s="35"/>
    </row>
    <row r="129" spans="2:17" hidden="1">
      <c r="B129" s="21" t="s">
        <v>544</v>
      </c>
      <c r="C129" s="21"/>
      <c r="D129" s="3" t="s">
        <v>1022</v>
      </c>
      <c r="F129" s="32"/>
      <c r="G129" s="52"/>
      <c r="H129" s="53"/>
      <c r="I129" s="52"/>
      <c r="J129" s="16"/>
      <c r="K129" s="33"/>
      <c r="L129" s="54"/>
      <c r="M129" s="29"/>
      <c r="N129" s="54"/>
      <c r="O129" s="54"/>
      <c r="P129" s="30"/>
      <c r="Q129" s="40"/>
    </row>
    <row r="130" spans="2:17" hidden="1">
      <c r="B130" s="21" t="s">
        <v>545</v>
      </c>
      <c r="C130" s="21"/>
      <c r="D130" s="3" t="s">
        <v>302</v>
      </c>
      <c r="F130" s="5"/>
      <c r="J130" s="16"/>
      <c r="K130" s="21"/>
      <c r="L130" s="29"/>
      <c r="M130" s="29"/>
      <c r="N130" s="29"/>
      <c r="O130" s="30"/>
      <c r="P130" s="27"/>
      <c r="Q130" s="31"/>
    </row>
    <row r="131" spans="2:17" hidden="1">
      <c r="B131" s="21" t="s">
        <v>546</v>
      </c>
      <c r="C131" s="21"/>
      <c r="D131" s="3" t="s">
        <v>651</v>
      </c>
      <c r="F131" s="5"/>
      <c r="J131" s="16"/>
      <c r="K131" s="21"/>
      <c r="L131" s="29"/>
      <c r="M131" s="29"/>
      <c r="N131" s="29"/>
      <c r="O131" s="56"/>
      <c r="P131" s="30"/>
      <c r="Q131" s="31"/>
    </row>
    <row r="132" spans="2:17" hidden="1">
      <c r="B132" s="21" t="s">
        <v>549</v>
      </c>
      <c r="C132" s="21"/>
      <c r="D132" s="3" t="s">
        <v>1040</v>
      </c>
      <c r="F132" s="789"/>
      <c r="G132" s="92"/>
      <c r="H132" s="93"/>
      <c r="I132" s="92"/>
      <c r="J132" s="16"/>
      <c r="K132" s="33"/>
      <c r="L132" s="96"/>
      <c r="M132" s="29"/>
      <c r="N132" s="94"/>
      <c r="O132" s="54"/>
      <c r="P132" s="30"/>
      <c r="Q132" s="40"/>
    </row>
    <row r="133" spans="2:17" hidden="1">
      <c r="B133" s="21" t="s">
        <v>550</v>
      </c>
      <c r="C133" s="21"/>
      <c r="D133" s="3" t="s">
        <v>440</v>
      </c>
      <c r="F133" s="5"/>
      <c r="J133" s="16"/>
      <c r="K133" s="21"/>
      <c r="L133" s="29"/>
      <c r="M133" s="29"/>
      <c r="N133" s="29"/>
      <c r="O133" s="56"/>
      <c r="P133" s="30"/>
      <c r="Q133" s="31"/>
    </row>
    <row r="134" spans="2:17" hidden="1">
      <c r="B134" s="21" t="s">
        <v>553</v>
      </c>
      <c r="C134" s="21"/>
      <c r="D134" s="3" t="s">
        <v>789</v>
      </c>
      <c r="F134" s="5"/>
      <c r="J134" s="16"/>
      <c r="K134" s="33"/>
      <c r="L134" s="29"/>
      <c r="M134" s="29"/>
      <c r="N134" s="20"/>
      <c r="O134" s="56"/>
      <c r="P134" s="30"/>
      <c r="Q134" s="31"/>
    </row>
    <row r="135" spans="2:17" hidden="1">
      <c r="B135" s="21" t="s">
        <v>565</v>
      </c>
      <c r="C135" s="21"/>
      <c r="D135" s="3" t="s">
        <v>1038</v>
      </c>
      <c r="F135" s="32"/>
      <c r="G135" s="52"/>
      <c r="H135" s="53"/>
      <c r="I135" s="52"/>
      <c r="J135" s="16"/>
      <c r="K135" s="33"/>
      <c r="L135" s="54"/>
      <c r="M135" s="29"/>
      <c r="N135" s="54"/>
      <c r="O135" s="54"/>
      <c r="P135" s="30"/>
      <c r="Q135" s="40"/>
    </row>
    <row r="136" spans="2:17" hidden="1">
      <c r="B136" s="21" t="s">
        <v>566</v>
      </c>
      <c r="C136" s="21"/>
      <c r="D136" s="3" t="s">
        <v>1615</v>
      </c>
      <c r="E136" s="3" t="s">
        <v>1127</v>
      </c>
      <c r="F136" s="32"/>
      <c r="G136" s="52"/>
      <c r="H136" s="53"/>
      <c r="I136" s="52"/>
      <c r="J136" s="16"/>
      <c r="K136" s="33"/>
      <c r="L136" s="54"/>
      <c r="M136" s="29"/>
      <c r="N136" s="54"/>
      <c r="O136" s="54"/>
      <c r="P136" s="30"/>
      <c r="Q136" s="40"/>
    </row>
    <row r="137" spans="2:17" hidden="1">
      <c r="B137" s="21" t="s">
        <v>567</v>
      </c>
      <c r="C137" s="21"/>
      <c r="D137" s="3" t="s">
        <v>1144</v>
      </c>
      <c r="E137" s="22" t="s">
        <v>1145</v>
      </c>
      <c r="F137" s="789"/>
      <c r="G137" s="92"/>
      <c r="H137" s="93"/>
      <c r="I137" s="92"/>
      <c r="J137" s="16"/>
      <c r="K137" s="33"/>
      <c r="L137" s="96"/>
      <c r="M137" s="29"/>
      <c r="N137" s="94"/>
      <c r="O137" s="54"/>
      <c r="P137" s="30"/>
      <c r="Q137" s="40"/>
    </row>
    <row r="138" spans="2:17" hidden="1">
      <c r="B138" s="21" t="s">
        <v>568</v>
      </c>
      <c r="C138" s="841"/>
      <c r="D138" s="3" t="s">
        <v>2054</v>
      </c>
      <c r="E138" s="844"/>
      <c r="F138" s="845"/>
      <c r="G138" s="846"/>
      <c r="H138" s="847"/>
      <c r="I138" s="846"/>
      <c r="J138" s="842"/>
      <c r="K138" s="854"/>
      <c r="L138" s="855"/>
      <c r="M138" s="856"/>
      <c r="N138" s="855"/>
      <c r="O138" s="857"/>
      <c r="P138" s="858"/>
      <c r="Q138" s="859"/>
    </row>
    <row r="139" spans="2:17" hidden="1">
      <c r="B139" s="21" t="s">
        <v>569</v>
      </c>
      <c r="C139" s="21"/>
      <c r="D139" s="3" t="s">
        <v>831</v>
      </c>
      <c r="F139" s="32"/>
      <c r="G139" s="52"/>
      <c r="H139" s="53"/>
      <c r="I139" s="52"/>
      <c r="J139" s="16"/>
      <c r="K139" s="33"/>
      <c r="L139" s="54"/>
      <c r="M139" s="29"/>
      <c r="N139" s="54"/>
      <c r="O139" s="54"/>
      <c r="P139" s="30"/>
      <c r="Q139" s="40"/>
    </row>
    <row r="140" spans="2:17" hidden="1">
      <c r="B140" s="21" t="s">
        <v>570</v>
      </c>
      <c r="C140" s="146"/>
      <c r="D140" s="3" t="s">
        <v>1752</v>
      </c>
      <c r="E140" s="261"/>
      <c r="F140" s="799"/>
      <c r="G140" s="262"/>
      <c r="H140" s="263"/>
      <c r="I140" s="262"/>
      <c r="J140" s="101"/>
      <c r="K140" s="264"/>
      <c r="L140" s="265"/>
      <c r="M140" s="266"/>
      <c r="N140" s="265"/>
      <c r="O140" s="265"/>
      <c r="P140" s="267"/>
      <c r="Q140" s="268"/>
    </row>
    <row r="141" spans="2:17" hidden="1">
      <c r="B141" s="21" t="s">
        <v>571</v>
      </c>
      <c r="C141" s="21"/>
      <c r="D141" s="3" t="s">
        <v>900</v>
      </c>
      <c r="F141" s="32"/>
      <c r="G141" s="52"/>
      <c r="H141" s="53"/>
      <c r="I141" s="52"/>
      <c r="J141" s="16"/>
      <c r="K141" s="33"/>
      <c r="L141" s="54"/>
      <c r="M141" s="29"/>
      <c r="N141" s="54"/>
      <c r="O141" s="54"/>
      <c r="P141" s="30"/>
      <c r="Q141" s="40"/>
    </row>
    <row r="142" spans="2:17" hidden="1">
      <c r="B142" s="21" t="s">
        <v>572</v>
      </c>
      <c r="C142" s="21"/>
      <c r="D142" s="3" t="s">
        <v>792</v>
      </c>
      <c r="F142" s="5"/>
      <c r="J142" s="16"/>
      <c r="K142" s="33"/>
      <c r="L142" s="29"/>
      <c r="M142" s="29"/>
      <c r="N142" s="20"/>
      <c r="O142" s="56"/>
      <c r="P142" s="30"/>
      <c r="Q142" s="31"/>
    </row>
    <row r="143" spans="2:17" hidden="1">
      <c r="B143" s="21" t="s">
        <v>573</v>
      </c>
      <c r="C143" s="21"/>
      <c r="D143" s="3" t="s">
        <v>1104</v>
      </c>
      <c r="F143" s="32"/>
      <c r="G143" s="52"/>
      <c r="H143" s="53"/>
      <c r="I143" s="52"/>
      <c r="J143" s="16"/>
      <c r="K143" s="33"/>
      <c r="L143" s="54"/>
      <c r="M143" s="29"/>
      <c r="N143" s="54"/>
      <c r="O143" s="54"/>
      <c r="P143" s="30"/>
      <c r="Q143" s="40"/>
    </row>
    <row r="144" spans="2:17" hidden="1">
      <c r="B144" s="21" t="s">
        <v>574</v>
      </c>
      <c r="C144" s="21"/>
      <c r="D144" s="3" t="s">
        <v>510</v>
      </c>
      <c r="F144" s="32"/>
      <c r="G144" s="52"/>
      <c r="H144" s="53"/>
      <c r="I144" s="52"/>
      <c r="J144" s="16"/>
      <c r="K144" s="33"/>
      <c r="L144" s="54"/>
      <c r="M144" s="29"/>
      <c r="N144" s="54"/>
      <c r="O144" s="54"/>
      <c r="P144" s="30"/>
      <c r="Q144" s="40"/>
    </row>
    <row r="145" spans="2:17" hidden="1">
      <c r="B145" s="21" t="s">
        <v>577</v>
      </c>
      <c r="D145" s="3" t="s">
        <v>619</v>
      </c>
      <c r="F145" s="5"/>
      <c r="J145" s="16"/>
      <c r="L145" s="20"/>
      <c r="M145" s="20"/>
      <c r="N145" s="20"/>
      <c r="O145" s="39"/>
      <c r="P145" s="35"/>
    </row>
    <row r="146" spans="2:17" hidden="1">
      <c r="B146" s="21" t="s">
        <v>585</v>
      </c>
      <c r="D146" s="3" t="s">
        <v>623</v>
      </c>
      <c r="F146" s="5"/>
      <c r="J146" s="16"/>
      <c r="L146" s="20"/>
      <c r="M146" s="20"/>
      <c r="N146" s="20"/>
      <c r="O146" s="39"/>
      <c r="P146" s="35"/>
    </row>
    <row r="147" spans="2:17" hidden="1">
      <c r="B147" s="21" t="s">
        <v>592</v>
      </c>
      <c r="D147" s="3" t="s">
        <v>662</v>
      </c>
      <c r="F147" s="5"/>
      <c r="J147" s="16"/>
      <c r="L147" s="20"/>
      <c r="M147" s="20"/>
      <c r="N147" s="20"/>
      <c r="O147" s="39"/>
      <c r="P147" s="35"/>
    </row>
    <row r="148" spans="2:17" hidden="1">
      <c r="B148" s="21" t="s">
        <v>597</v>
      </c>
      <c r="D148" s="3" t="s">
        <v>1903</v>
      </c>
      <c r="F148" s="789"/>
      <c r="G148" s="92"/>
      <c r="H148" s="93"/>
      <c r="I148" s="92"/>
      <c r="J148" s="16"/>
      <c r="K148" s="36"/>
      <c r="L148" s="94"/>
      <c r="M148" s="20"/>
      <c r="N148" s="94"/>
      <c r="O148" s="94"/>
      <c r="P148" s="35"/>
      <c r="Q148" s="92"/>
    </row>
    <row r="149" spans="2:17" hidden="1">
      <c r="B149" s="21" t="s">
        <v>598</v>
      </c>
      <c r="D149" s="3" t="s">
        <v>1109</v>
      </c>
      <c r="F149" s="789"/>
      <c r="G149" s="92"/>
      <c r="H149" s="93"/>
      <c r="I149" s="92"/>
      <c r="J149" s="16"/>
      <c r="K149" s="36"/>
      <c r="L149" s="94"/>
      <c r="M149" s="20"/>
      <c r="N149" s="94"/>
      <c r="O149" s="94"/>
      <c r="P149" s="35"/>
      <c r="Q149" s="92"/>
    </row>
    <row r="150" spans="2:17" hidden="1">
      <c r="B150" s="21" t="s">
        <v>599</v>
      </c>
      <c r="C150" s="695"/>
      <c r="D150" s="3" t="s">
        <v>2002</v>
      </c>
      <c r="E150" s="697"/>
      <c r="F150" s="800"/>
      <c r="G150" s="698"/>
      <c r="H150" s="699"/>
      <c r="I150" s="698"/>
      <c r="J150" s="696"/>
      <c r="K150" s="704"/>
      <c r="L150" s="705"/>
      <c r="M150" s="706"/>
      <c r="N150" s="705"/>
      <c r="O150" s="707"/>
      <c r="P150" s="708"/>
      <c r="Q150" s="709"/>
    </row>
    <row r="151" spans="2:17" hidden="1">
      <c r="B151" s="21" t="s">
        <v>600</v>
      </c>
      <c r="D151" s="3" t="s">
        <v>699</v>
      </c>
      <c r="F151" s="5"/>
      <c r="J151" s="16"/>
      <c r="L151" s="20"/>
      <c r="M151" s="20"/>
      <c r="N151" s="20"/>
      <c r="O151" s="39"/>
      <c r="P151" s="35"/>
    </row>
    <row r="152" spans="2:17" hidden="1">
      <c r="B152" s="21" t="s">
        <v>601</v>
      </c>
      <c r="C152" s="146"/>
      <c r="D152" s="86" t="s">
        <v>1769</v>
      </c>
      <c r="E152" s="261"/>
      <c r="F152" s="801"/>
      <c r="G152" s="276"/>
      <c r="H152" s="277"/>
      <c r="I152" s="276"/>
      <c r="J152" s="101"/>
      <c r="K152" s="264"/>
      <c r="L152" s="278"/>
      <c r="M152" s="266"/>
      <c r="N152" s="279"/>
      <c r="O152" s="265"/>
      <c r="P152" s="267"/>
      <c r="Q152" s="268"/>
    </row>
    <row r="153" spans="2:17" hidden="1">
      <c r="B153" s="21" t="s">
        <v>602</v>
      </c>
      <c r="C153" s="315"/>
      <c r="D153" s="3" t="s">
        <v>1824</v>
      </c>
      <c r="E153" s="316"/>
      <c r="F153" s="794"/>
      <c r="G153" s="317"/>
      <c r="H153" s="318"/>
      <c r="I153" s="317"/>
      <c r="J153" s="315"/>
      <c r="K153" s="319"/>
      <c r="L153" s="320"/>
      <c r="M153" s="321"/>
      <c r="N153" s="320"/>
      <c r="O153" s="320"/>
      <c r="P153" s="322"/>
      <c r="Q153" s="317"/>
    </row>
    <row r="154" spans="2:17" hidden="1">
      <c r="B154" s="21" t="s">
        <v>612</v>
      </c>
      <c r="D154" s="3" t="s">
        <v>503</v>
      </c>
      <c r="F154" s="5"/>
      <c r="J154" s="16"/>
      <c r="L154" s="20"/>
      <c r="M154" s="20"/>
      <c r="N154" s="20"/>
      <c r="O154" s="39"/>
      <c r="P154" s="35"/>
    </row>
    <row r="155" spans="2:17" hidden="1">
      <c r="B155" s="21" t="s">
        <v>613</v>
      </c>
      <c r="D155" s="3" t="s">
        <v>484</v>
      </c>
      <c r="F155" s="5"/>
      <c r="J155" s="16"/>
      <c r="L155" s="20"/>
      <c r="M155" s="20"/>
      <c r="N155" s="20"/>
      <c r="O155" s="39"/>
      <c r="P155" s="35"/>
    </row>
    <row r="156" spans="2:17" hidden="1">
      <c r="B156" s="21" t="s">
        <v>616</v>
      </c>
      <c r="C156" s="21"/>
      <c r="D156" s="3" t="s">
        <v>914</v>
      </c>
      <c r="F156" s="5"/>
      <c r="J156" s="16"/>
      <c r="K156" s="21"/>
      <c r="L156" s="29"/>
      <c r="M156" s="29"/>
      <c r="N156" s="29"/>
      <c r="O156" s="56"/>
      <c r="P156" s="30"/>
      <c r="Q156" s="31"/>
    </row>
    <row r="157" spans="2:17" hidden="1">
      <c r="B157" s="21" t="s">
        <v>620</v>
      </c>
      <c r="D157" s="3" t="s">
        <v>714</v>
      </c>
      <c r="F157" s="5"/>
      <c r="J157" s="16"/>
      <c r="L157" s="20"/>
      <c r="M157" s="20"/>
      <c r="N157" s="20"/>
      <c r="O157" s="39"/>
      <c r="P157" s="35"/>
    </row>
    <row r="158" spans="2:17" hidden="1">
      <c r="B158" s="21" t="s">
        <v>642</v>
      </c>
      <c r="D158" s="3" t="s">
        <v>891</v>
      </c>
      <c r="F158" s="5"/>
      <c r="J158" s="16"/>
      <c r="L158" s="20"/>
      <c r="M158" s="20"/>
      <c r="N158" s="20"/>
      <c r="O158" s="39"/>
      <c r="P158" s="35"/>
    </row>
    <row r="159" spans="2:17" hidden="1">
      <c r="B159" s="21" t="s">
        <v>643</v>
      </c>
      <c r="D159" s="3" t="s">
        <v>518</v>
      </c>
      <c r="F159" s="5"/>
      <c r="J159" s="16"/>
      <c r="L159" s="20"/>
      <c r="M159" s="20"/>
      <c r="N159" s="20"/>
      <c r="O159" s="39"/>
      <c r="P159" s="35"/>
    </row>
    <row r="160" spans="2:17" hidden="1">
      <c r="B160" s="21" t="s">
        <v>644</v>
      </c>
      <c r="D160" s="3" t="s">
        <v>753</v>
      </c>
      <c r="F160" s="5"/>
      <c r="J160" s="16"/>
      <c r="L160" s="20"/>
      <c r="M160" s="20"/>
      <c r="N160" s="20"/>
      <c r="O160" s="39"/>
      <c r="P160" s="35"/>
    </row>
    <row r="161" spans="2:17" hidden="1">
      <c r="B161" s="21" t="s">
        <v>645</v>
      </c>
      <c r="C161" s="21"/>
      <c r="D161" s="3" t="s">
        <v>695</v>
      </c>
      <c r="F161" s="5"/>
      <c r="J161" s="16"/>
      <c r="K161" s="21"/>
      <c r="L161" s="29"/>
      <c r="M161" s="29"/>
      <c r="N161" s="29"/>
      <c r="O161" s="56"/>
      <c r="P161" s="30"/>
      <c r="Q161" s="31"/>
    </row>
    <row r="162" spans="2:17" hidden="1">
      <c r="B162" s="21" t="s">
        <v>646</v>
      </c>
      <c r="D162" s="3" t="s">
        <v>1097</v>
      </c>
      <c r="F162" s="789"/>
      <c r="G162" s="92"/>
      <c r="H162" s="93"/>
      <c r="I162" s="92"/>
      <c r="J162" s="16"/>
      <c r="K162" s="36"/>
      <c r="L162" s="94"/>
      <c r="M162" s="20"/>
      <c r="N162" s="94"/>
      <c r="O162" s="94"/>
      <c r="P162" s="35"/>
      <c r="Q162" s="92"/>
    </row>
    <row r="163" spans="2:17" hidden="1">
      <c r="B163" s="21" t="s">
        <v>647</v>
      </c>
      <c r="D163" s="3" t="s">
        <v>840</v>
      </c>
      <c r="F163" s="5"/>
      <c r="J163" s="16"/>
      <c r="L163" s="20"/>
      <c r="M163" s="20"/>
      <c r="N163" s="20"/>
      <c r="O163" s="39"/>
      <c r="P163" s="35"/>
    </row>
    <row r="164" spans="2:17" hidden="1">
      <c r="B164" s="21" t="s">
        <v>648</v>
      </c>
      <c r="D164" s="3" t="s">
        <v>927</v>
      </c>
      <c r="F164" s="5"/>
      <c r="J164" s="16"/>
      <c r="L164" s="20"/>
      <c r="M164" s="20"/>
      <c r="N164" s="20"/>
      <c r="O164" s="39"/>
      <c r="P164" s="35"/>
    </row>
    <row r="165" spans="2:17" hidden="1">
      <c r="B165" s="21" t="s">
        <v>649</v>
      </c>
      <c r="D165" s="3" t="s">
        <v>985</v>
      </c>
      <c r="F165" s="5"/>
      <c r="J165" s="16"/>
      <c r="L165" s="20"/>
      <c r="M165" s="20"/>
      <c r="N165" s="20"/>
      <c r="O165" s="39"/>
      <c r="P165" s="35"/>
    </row>
    <row r="166" spans="2:17" hidden="1">
      <c r="B166" s="21" t="s">
        <v>650</v>
      </c>
      <c r="C166" s="21"/>
      <c r="D166" s="3" t="s">
        <v>388</v>
      </c>
      <c r="F166" s="5"/>
      <c r="J166" s="16"/>
      <c r="K166" s="21"/>
      <c r="L166" s="29"/>
      <c r="M166" s="29"/>
      <c r="N166" s="29"/>
      <c r="O166" s="56"/>
      <c r="P166" s="30"/>
      <c r="Q166" s="31"/>
    </row>
    <row r="167" spans="2:17" hidden="1">
      <c r="B167" s="21" t="s">
        <v>668</v>
      </c>
      <c r="C167" s="597"/>
      <c r="D167" s="3" t="s">
        <v>1940</v>
      </c>
      <c r="E167" s="598"/>
      <c r="F167" s="791"/>
      <c r="G167" s="599"/>
      <c r="H167" s="600"/>
      <c r="I167" s="599"/>
      <c r="J167" s="601"/>
      <c r="K167" s="602"/>
      <c r="L167" s="603"/>
      <c r="M167" s="604"/>
      <c r="N167" s="603"/>
      <c r="O167" s="605"/>
      <c r="P167" s="606"/>
      <c r="Q167" s="607"/>
    </row>
    <row r="168" spans="2:17" hidden="1">
      <c r="B168" s="21" t="s">
        <v>669</v>
      </c>
      <c r="D168" s="3" t="s">
        <v>867</v>
      </c>
      <c r="F168" s="5"/>
      <c r="J168" s="16"/>
      <c r="L168" s="20"/>
      <c r="M168" s="20"/>
      <c r="N168" s="20"/>
      <c r="O168" s="39"/>
      <c r="P168" s="35"/>
    </row>
    <row r="169" spans="2:17" hidden="1">
      <c r="B169" s="21" t="s">
        <v>670</v>
      </c>
      <c r="D169" s="85" t="s">
        <v>1520</v>
      </c>
      <c r="E169" s="85" t="s">
        <v>1520</v>
      </c>
      <c r="F169" s="789"/>
      <c r="G169" s="92"/>
      <c r="H169" s="93"/>
      <c r="I169" s="92"/>
      <c r="J169" s="16"/>
      <c r="K169" s="36"/>
      <c r="L169" s="94"/>
      <c r="M169" s="20"/>
      <c r="N169" s="94"/>
      <c r="O169" s="94"/>
      <c r="P169" s="35"/>
      <c r="Q169" s="92"/>
    </row>
    <row r="170" spans="2:17" hidden="1">
      <c r="B170" s="21" t="s">
        <v>671</v>
      </c>
      <c r="D170" s="85" t="s">
        <v>1059</v>
      </c>
      <c r="F170" s="789"/>
      <c r="G170" s="92"/>
      <c r="H170" s="93"/>
      <c r="I170" s="92"/>
      <c r="J170" s="16"/>
      <c r="K170" s="36"/>
      <c r="L170" s="94"/>
      <c r="M170" s="20"/>
      <c r="N170" s="94"/>
      <c r="O170" s="94"/>
      <c r="P170" s="35"/>
      <c r="Q170" s="92"/>
    </row>
    <row r="171" spans="2:17" hidden="1">
      <c r="B171" s="21" t="s">
        <v>672</v>
      </c>
      <c r="C171" s="21"/>
      <c r="D171" s="3" t="s">
        <v>697</v>
      </c>
      <c r="F171" s="5"/>
      <c r="J171" s="16"/>
      <c r="K171" s="21"/>
      <c r="L171" s="29"/>
      <c r="M171" s="29"/>
      <c r="N171" s="29"/>
      <c r="O171" s="56"/>
      <c r="P171" s="30"/>
      <c r="Q171" s="31"/>
    </row>
    <row r="172" spans="2:17" hidden="1">
      <c r="B172" s="21" t="s">
        <v>673</v>
      </c>
      <c r="C172" s="21"/>
      <c r="D172" s="19" t="s">
        <v>318</v>
      </c>
      <c r="F172" s="32"/>
      <c r="G172" s="52"/>
      <c r="H172" s="53"/>
      <c r="I172" s="52"/>
      <c r="J172" s="16"/>
      <c r="K172" s="33"/>
      <c r="L172" s="54"/>
      <c r="M172" s="29"/>
      <c r="N172" s="54"/>
      <c r="O172" s="54"/>
      <c r="P172" s="30"/>
      <c r="Q172" s="40"/>
    </row>
    <row r="173" spans="2:17" hidden="1">
      <c r="B173" s="21" t="s">
        <v>674</v>
      </c>
      <c r="D173" s="51" t="s">
        <v>254</v>
      </c>
      <c r="F173" s="5"/>
      <c r="J173" s="16"/>
      <c r="L173" s="20"/>
      <c r="M173" s="20"/>
      <c r="N173" s="20"/>
      <c r="O173" s="39"/>
      <c r="P173" s="35"/>
    </row>
    <row r="174" spans="2:17" hidden="1">
      <c r="B174" s="21" t="s">
        <v>684</v>
      </c>
      <c r="D174" s="51" t="s">
        <v>409</v>
      </c>
      <c r="F174" s="5"/>
      <c r="J174" s="16"/>
      <c r="L174" s="20"/>
      <c r="M174" s="20"/>
      <c r="N174" s="20"/>
      <c r="O174" s="39"/>
      <c r="P174" s="35"/>
    </row>
    <row r="175" spans="2:17" hidden="1">
      <c r="B175" s="21" t="s">
        <v>685</v>
      </c>
      <c r="D175" s="51" t="s">
        <v>444</v>
      </c>
      <c r="F175" s="5"/>
      <c r="J175" s="16"/>
      <c r="L175" s="20"/>
      <c r="M175" s="20"/>
      <c r="N175" s="20"/>
      <c r="O175" s="39"/>
      <c r="P175" s="35"/>
    </row>
    <row r="176" spans="2:17" hidden="1">
      <c r="B176" s="21" t="s">
        <v>686</v>
      </c>
      <c r="D176" s="51" t="s">
        <v>640</v>
      </c>
      <c r="F176" s="5"/>
      <c r="J176" s="16"/>
      <c r="L176" s="20"/>
      <c r="M176" s="20"/>
      <c r="N176" s="20"/>
      <c r="O176" s="39"/>
      <c r="P176" s="35"/>
    </row>
    <row r="177" spans="2:17" hidden="1">
      <c r="B177" s="21" t="s">
        <v>687</v>
      </c>
      <c r="D177" s="51" t="s">
        <v>418</v>
      </c>
      <c r="F177" s="5"/>
      <c r="J177" s="16"/>
      <c r="L177" s="20"/>
      <c r="M177" s="20"/>
      <c r="N177" s="20"/>
      <c r="O177" s="39"/>
      <c r="P177" s="35"/>
    </row>
    <row r="178" spans="2:17" hidden="1">
      <c r="B178" s="21" t="s">
        <v>688</v>
      </c>
      <c r="C178" s="402"/>
      <c r="D178" s="85" t="s">
        <v>1867</v>
      </c>
      <c r="E178" s="404"/>
      <c r="F178" s="802"/>
      <c r="G178" s="405"/>
      <c r="H178" s="406"/>
      <c r="I178" s="405"/>
      <c r="J178" s="402"/>
      <c r="K178" s="407"/>
      <c r="L178" s="408"/>
      <c r="M178" s="409"/>
      <c r="N178" s="408"/>
      <c r="O178" s="408"/>
      <c r="P178" s="410"/>
      <c r="Q178" s="405"/>
    </row>
    <row r="179" spans="2:17" hidden="1">
      <c r="B179" s="21" t="s">
        <v>690</v>
      </c>
      <c r="D179" s="87" t="s">
        <v>1096</v>
      </c>
      <c r="F179" s="789"/>
      <c r="G179" s="92"/>
      <c r="H179" s="93"/>
      <c r="I179" s="92"/>
      <c r="J179" s="16"/>
      <c r="K179" s="36"/>
      <c r="L179" s="94"/>
      <c r="M179" s="20"/>
      <c r="N179" s="94"/>
      <c r="O179" s="94"/>
      <c r="P179" s="35"/>
      <c r="Q179" s="92"/>
    </row>
    <row r="180" spans="2:17" hidden="1">
      <c r="B180" s="21" t="s">
        <v>692</v>
      </c>
      <c r="D180" s="51" t="s">
        <v>863</v>
      </c>
      <c r="F180" s="5"/>
      <c r="J180" s="16"/>
      <c r="L180" s="20"/>
      <c r="M180" s="20"/>
      <c r="N180" s="20"/>
      <c r="O180" s="39"/>
      <c r="P180" s="35"/>
    </row>
    <row r="181" spans="2:17" hidden="1">
      <c r="B181" s="21" t="s">
        <v>694</v>
      </c>
      <c r="D181" s="51" t="s">
        <v>661</v>
      </c>
      <c r="F181" s="5"/>
      <c r="J181" s="16"/>
      <c r="L181" s="20"/>
      <c r="M181" s="20"/>
      <c r="N181" s="20"/>
      <c r="O181" s="39"/>
      <c r="P181" s="35"/>
    </row>
    <row r="182" spans="2:17" hidden="1">
      <c r="B182" s="21" t="s">
        <v>696</v>
      </c>
      <c r="C182" s="21"/>
      <c r="D182" s="85" t="s">
        <v>756</v>
      </c>
      <c r="F182" s="32"/>
      <c r="G182" s="52"/>
      <c r="H182" s="53"/>
      <c r="I182" s="52"/>
      <c r="J182" s="16"/>
      <c r="K182" s="33"/>
      <c r="L182" s="54"/>
      <c r="M182" s="29"/>
      <c r="N182" s="54"/>
      <c r="O182" s="54"/>
      <c r="P182" s="30"/>
      <c r="Q182" s="40"/>
    </row>
    <row r="183" spans="2:17" hidden="1">
      <c r="B183" s="21" t="s">
        <v>700</v>
      </c>
      <c r="D183" s="51" t="s">
        <v>560</v>
      </c>
      <c r="F183" s="5"/>
      <c r="J183" s="16"/>
      <c r="L183" s="20"/>
      <c r="M183" s="20"/>
      <c r="N183" s="20"/>
      <c r="O183" s="39"/>
      <c r="P183" s="35"/>
    </row>
    <row r="184" spans="2:17" hidden="1">
      <c r="B184" s="21" t="s">
        <v>701</v>
      </c>
      <c r="C184" s="544"/>
      <c r="D184" s="85" t="s">
        <v>1928</v>
      </c>
      <c r="E184" s="545"/>
      <c r="F184" s="803"/>
      <c r="G184" s="552" t="s">
        <v>1929</v>
      </c>
      <c r="H184" s="93" t="s">
        <v>1930</v>
      </c>
      <c r="I184" s="92" t="s">
        <v>1931</v>
      </c>
      <c r="J184" s="544"/>
      <c r="K184" s="547"/>
      <c r="L184" s="548"/>
      <c r="M184" s="549"/>
      <c r="N184" s="548"/>
      <c r="O184" s="548"/>
      <c r="P184" s="550"/>
      <c r="Q184" s="546"/>
    </row>
    <row r="185" spans="2:17" hidden="1">
      <c r="B185" s="21" t="s">
        <v>702</v>
      </c>
      <c r="C185" s="868"/>
      <c r="D185" s="3" t="s">
        <v>2073</v>
      </c>
      <c r="E185" s="892"/>
      <c r="F185" s="893"/>
      <c r="G185" s="870"/>
      <c r="H185" s="871"/>
      <c r="I185" s="870"/>
      <c r="J185" s="869"/>
      <c r="K185" s="894"/>
      <c r="L185" s="895"/>
      <c r="M185" s="896"/>
      <c r="N185" s="895"/>
      <c r="O185" s="897"/>
      <c r="P185" s="898"/>
      <c r="Q185" s="899"/>
    </row>
    <row r="186" spans="2:17" hidden="1">
      <c r="B186" s="21" t="s">
        <v>707</v>
      </c>
      <c r="D186" s="87" t="s">
        <v>1606</v>
      </c>
      <c r="F186" s="789"/>
      <c r="G186" s="92"/>
      <c r="H186" s="93"/>
      <c r="I186" s="92"/>
      <c r="J186" s="16"/>
      <c r="K186" s="36"/>
      <c r="L186" s="94"/>
      <c r="M186" s="20"/>
      <c r="N186" s="94"/>
      <c r="O186" s="94"/>
      <c r="P186" s="35"/>
      <c r="Q186" s="92"/>
    </row>
    <row r="187" spans="2:17" hidden="1">
      <c r="B187" s="21" t="s">
        <v>708</v>
      </c>
      <c r="D187" s="51" t="s">
        <v>414</v>
      </c>
      <c r="F187" s="5"/>
      <c r="J187" s="16"/>
      <c r="L187" s="20"/>
      <c r="M187" s="20"/>
      <c r="N187" s="20"/>
      <c r="O187" s="39"/>
      <c r="P187" s="35"/>
    </row>
    <row r="188" spans="2:17" hidden="1">
      <c r="B188" s="21" t="s">
        <v>709</v>
      </c>
      <c r="D188" s="51" t="s">
        <v>731</v>
      </c>
      <c r="F188" s="5"/>
      <c r="J188" s="16"/>
      <c r="L188" s="20"/>
      <c r="M188" s="20"/>
      <c r="N188" s="20"/>
      <c r="O188" s="39"/>
      <c r="P188" s="35"/>
    </row>
    <row r="189" spans="2:17" hidden="1">
      <c r="B189" s="21" t="s">
        <v>710</v>
      </c>
      <c r="C189" s="288"/>
      <c r="D189" s="3" t="s">
        <v>1813</v>
      </c>
      <c r="E189" s="289"/>
      <c r="F189" s="804"/>
      <c r="G189" s="296"/>
      <c r="H189" s="297"/>
      <c r="I189" s="296"/>
      <c r="J189" s="287"/>
      <c r="K189" s="298"/>
      <c r="L189" s="299"/>
      <c r="M189" s="300"/>
      <c r="N189" s="299"/>
      <c r="O189" s="299"/>
      <c r="P189" s="301"/>
      <c r="Q189" s="302"/>
    </row>
    <row r="190" spans="2:17" hidden="1">
      <c r="B190" s="21" t="s">
        <v>715</v>
      </c>
      <c r="C190" s="21"/>
      <c r="D190" s="3" t="s">
        <v>1035</v>
      </c>
      <c r="F190" s="32"/>
      <c r="G190" s="52"/>
      <c r="H190" s="53"/>
      <c r="I190" s="52"/>
      <c r="J190" s="16"/>
      <c r="K190" s="33"/>
      <c r="L190" s="54"/>
      <c r="M190" s="29"/>
      <c r="N190" s="54"/>
      <c r="O190" s="54"/>
      <c r="P190" s="30"/>
      <c r="Q190" s="40"/>
    </row>
    <row r="191" spans="2:17" hidden="1">
      <c r="B191" s="21" t="s">
        <v>716</v>
      </c>
      <c r="C191" s="21"/>
      <c r="D191" s="3" t="s">
        <v>799</v>
      </c>
      <c r="F191" s="32"/>
      <c r="G191" s="52"/>
      <c r="H191" s="53"/>
      <c r="I191" s="52"/>
      <c r="J191" s="16"/>
      <c r="K191" s="33"/>
      <c r="L191" s="54"/>
      <c r="M191" s="29"/>
      <c r="N191" s="54"/>
      <c r="O191" s="54"/>
      <c r="P191" s="30"/>
      <c r="Q191" s="40"/>
    </row>
    <row r="192" spans="2:17" hidden="1">
      <c r="B192" s="21" t="s">
        <v>718</v>
      </c>
      <c r="D192" s="86" t="s">
        <v>1178</v>
      </c>
      <c r="F192" s="789"/>
      <c r="G192" s="92"/>
      <c r="H192" s="93"/>
      <c r="I192" s="92"/>
      <c r="J192" s="16"/>
      <c r="K192" s="36"/>
      <c r="L192" s="94"/>
      <c r="M192" s="20"/>
      <c r="N192" s="94"/>
      <c r="O192" s="94"/>
      <c r="P192" s="35"/>
      <c r="Q192" s="92"/>
    </row>
    <row r="193" spans="2:17" hidden="1">
      <c r="B193" s="21" t="s">
        <v>724</v>
      </c>
      <c r="C193" s="21"/>
      <c r="D193" s="3" t="s">
        <v>261</v>
      </c>
      <c r="F193" s="32"/>
      <c r="G193" s="52"/>
      <c r="H193" s="53"/>
      <c r="I193" s="52"/>
      <c r="J193" s="16"/>
      <c r="K193" s="33"/>
      <c r="L193" s="54"/>
      <c r="M193" s="29"/>
      <c r="N193" s="54"/>
      <c r="O193" s="54"/>
      <c r="P193" s="30"/>
      <c r="Q193" s="40"/>
    </row>
    <row r="194" spans="2:17" hidden="1">
      <c r="B194" s="21" t="s">
        <v>725</v>
      </c>
      <c r="D194" s="51" t="s">
        <v>736</v>
      </c>
      <c r="F194" s="5"/>
      <c r="J194" s="16"/>
      <c r="L194" s="20"/>
      <c r="M194" s="20"/>
      <c r="N194" s="20"/>
      <c r="O194" s="39"/>
      <c r="P194" s="35"/>
    </row>
    <row r="195" spans="2:17" hidden="1">
      <c r="B195" s="21" t="s">
        <v>726</v>
      </c>
      <c r="D195" s="3" t="s">
        <v>346</v>
      </c>
      <c r="F195" s="5"/>
      <c r="J195" s="16"/>
      <c r="L195" s="20"/>
      <c r="M195" s="20"/>
      <c r="N195" s="20"/>
      <c r="O195" s="39"/>
      <c r="P195" s="35"/>
    </row>
    <row r="196" spans="2:17" hidden="1">
      <c r="B196" s="21" t="s">
        <v>727</v>
      </c>
      <c r="D196" s="3" t="s">
        <v>1935</v>
      </c>
      <c r="F196" s="789"/>
      <c r="G196" s="92"/>
      <c r="H196" s="93"/>
      <c r="I196" s="92"/>
      <c r="J196" s="16"/>
      <c r="K196" s="36"/>
      <c r="L196" s="94"/>
      <c r="M196" s="20"/>
      <c r="N196" s="94"/>
      <c r="O196" s="94"/>
      <c r="P196" s="35"/>
      <c r="Q196" s="92"/>
    </row>
    <row r="197" spans="2:17" hidden="1">
      <c r="B197" s="21" t="s">
        <v>728</v>
      </c>
      <c r="D197" s="51" t="s">
        <v>939</v>
      </c>
      <c r="F197" s="5"/>
      <c r="J197" s="16"/>
      <c r="L197" s="20"/>
      <c r="M197" s="20"/>
      <c r="N197" s="20"/>
      <c r="O197" s="39"/>
      <c r="P197" s="35"/>
    </row>
    <row r="198" spans="2:17" hidden="1">
      <c r="B198" s="21" t="s">
        <v>729</v>
      </c>
      <c r="D198" s="87" t="s">
        <v>1496</v>
      </c>
      <c r="F198" s="789"/>
      <c r="G198" s="92"/>
      <c r="H198" s="93"/>
      <c r="I198" s="92"/>
      <c r="J198" s="16"/>
      <c r="K198" s="36"/>
      <c r="L198" s="94"/>
      <c r="M198" s="20"/>
      <c r="N198" s="94"/>
      <c r="O198" s="94"/>
      <c r="P198" s="35"/>
      <c r="Q198" s="92"/>
    </row>
    <row r="199" spans="2:17" hidden="1">
      <c r="B199" s="21" t="s">
        <v>733</v>
      </c>
      <c r="C199" s="770"/>
      <c r="D199" s="3" t="s">
        <v>2027</v>
      </c>
      <c r="F199" s="788">
        <v>81179162153</v>
      </c>
      <c r="G199" s="786"/>
      <c r="H199" s="787"/>
      <c r="I199" s="786"/>
      <c r="J199" s="774"/>
      <c r="K199" s="775"/>
      <c r="L199" s="778"/>
      <c r="M199" s="777"/>
      <c r="N199" s="778"/>
      <c r="O199" s="778"/>
      <c r="P199" s="779"/>
      <c r="Q199" s="780"/>
    </row>
    <row r="200" spans="2:17" hidden="1">
      <c r="B200" s="21" t="s">
        <v>762</v>
      </c>
      <c r="C200" s="1116"/>
      <c r="D200" s="1123" t="s">
        <v>2359</v>
      </c>
      <c r="E200" s="1117"/>
      <c r="F200" s="789" t="s">
        <v>2360</v>
      </c>
      <c r="G200" s="92" t="s">
        <v>1929</v>
      </c>
      <c r="H200" s="93" t="s">
        <v>2361</v>
      </c>
      <c r="I200" s="1118"/>
      <c r="J200" s="1116"/>
      <c r="K200" s="1119"/>
      <c r="L200" s="1120"/>
      <c r="M200" s="1121"/>
      <c r="N200" s="1120"/>
      <c r="O200" s="1120"/>
      <c r="P200" s="1122"/>
      <c r="Q200" s="1118"/>
    </row>
    <row r="201" spans="2:17" hidden="1">
      <c r="B201" s="21" t="s">
        <v>763</v>
      </c>
      <c r="C201" s="933"/>
      <c r="D201" s="3" t="s">
        <v>2102</v>
      </c>
      <c r="E201" s="935"/>
      <c r="F201" s="936"/>
      <c r="G201" s="937"/>
      <c r="H201" s="938"/>
      <c r="I201" s="937"/>
      <c r="J201" s="933"/>
      <c r="K201" s="939"/>
      <c r="L201" s="940"/>
      <c r="M201" s="941"/>
      <c r="N201" s="940"/>
      <c r="O201" s="940"/>
      <c r="P201" s="942"/>
      <c r="Q201" s="937"/>
    </row>
    <row r="202" spans="2:17" hidden="1">
      <c r="B202" s="21" t="s">
        <v>764</v>
      </c>
      <c r="D202" s="3" t="s">
        <v>393</v>
      </c>
      <c r="F202" s="5"/>
      <c r="J202" s="16"/>
      <c r="L202" s="20"/>
      <c r="M202" s="20"/>
      <c r="N202" s="20"/>
      <c r="O202" s="39"/>
      <c r="P202" s="35"/>
    </row>
    <row r="203" spans="2:17" hidden="1">
      <c r="B203" s="21" t="s">
        <v>765</v>
      </c>
      <c r="D203" s="3" t="s">
        <v>705</v>
      </c>
      <c r="F203" s="5"/>
      <c r="J203" s="16"/>
      <c r="L203" s="20"/>
      <c r="M203" s="20"/>
      <c r="N203" s="20"/>
      <c r="O203" s="39"/>
      <c r="P203" s="35"/>
    </row>
    <row r="204" spans="2:17" hidden="1">
      <c r="B204" s="21" t="s">
        <v>766</v>
      </c>
      <c r="D204" s="3" t="s">
        <v>463</v>
      </c>
      <c r="F204" s="5"/>
      <c r="J204" s="16"/>
      <c r="L204" s="20"/>
      <c r="M204" s="20"/>
      <c r="N204" s="20"/>
      <c r="O204" s="39"/>
      <c r="P204" s="35"/>
    </row>
    <row r="205" spans="2:17" hidden="1">
      <c r="B205" s="21" t="s">
        <v>767</v>
      </c>
      <c r="D205" s="3" t="s">
        <v>587</v>
      </c>
      <c r="F205" s="5"/>
      <c r="J205" s="16"/>
      <c r="L205" s="20"/>
      <c r="M205" s="20"/>
      <c r="N205" s="20"/>
      <c r="O205" s="39"/>
      <c r="P205" s="35"/>
    </row>
    <row r="206" spans="2:17" hidden="1">
      <c r="B206" s="21" t="s">
        <v>768</v>
      </c>
      <c r="D206" s="3" t="s">
        <v>1106</v>
      </c>
      <c r="F206" s="789"/>
      <c r="G206" s="92"/>
      <c r="H206" s="93"/>
      <c r="I206" s="92"/>
      <c r="J206" s="16"/>
      <c r="K206" s="36"/>
      <c r="L206" s="94"/>
      <c r="M206" s="20"/>
      <c r="N206" s="94"/>
      <c r="O206" s="94"/>
      <c r="P206" s="35"/>
      <c r="Q206" s="92"/>
    </row>
    <row r="207" spans="2:17" hidden="1">
      <c r="B207" s="21" t="s">
        <v>769</v>
      </c>
      <c r="C207" s="21"/>
      <c r="D207" s="51" t="s">
        <v>909</v>
      </c>
      <c r="F207" s="32"/>
      <c r="G207" s="52"/>
      <c r="H207" s="53"/>
      <c r="I207" s="52"/>
      <c r="J207" s="16"/>
      <c r="K207" s="33"/>
      <c r="L207" s="54"/>
      <c r="M207" s="29"/>
      <c r="N207" s="54"/>
      <c r="O207" s="54"/>
      <c r="P207" s="30"/>
      <c r="Q207" s="40"/>
    </row>
    <row r="208" spans="2:17" hidden="1">
      <c r="B208" s="21" t="s">
        <v>770</v>
      </c>
      <c r="C208" s="21"/>
      <c r="D208" s="51" t="s">
        <v>547</v>
      </c>
      <c r="F208" s="32"/>
      <c r="G208" s="52"/>
      <c r="H208" s="53"/>
      <c r="I208" s="52"/>
      <c r="J208" s="16"/>
      <c r="K208" s="33"/>
      <c r="L208" s="54"/>
      <c r="M208" s="29"/>
      <c r="N208" s="54"/>
      <c r="O208" s="54"/>
      <c r="P208" s="30"/>
      <c r="Q208" s="40"/>
    </row>
    <row r="209" spans="2:17" hidden="1">
      <c r="B209" s="21" t="s">
        <v>771</v>
      </c>
      <c r="D209" s="3" t="s">
        <v>760</v>
      </c>
      <c r="F209" s="5"/>
      <c r="J209" s="16"/>
      <c r="L209" s="20"/>
      <c r="M209" s="20"/>
      <c r="N209" s="20"/>
      <c r="O209" s="39"/>
      <c r="P209" s="35"/>
    </row>
    <row r="210" spans="2:17" hidden="1">
      <c r="B210" s="21" t="s">
        <v>772</v>
      </c>
      <c r="D210" s="3" t="s">
        <v>1518</v>
      </c>
      <c r="F210" s="789"/>
      <c r="G210" s="92"/>
      <c r="H210" s="93"/>
      <c r="I210" s="92"/>
      <c r="J210" s="16"/>
      <c r="K210" s="36"/>
      <c r="L210" s="94"/>
      <c r="M210" s="20"/>
      <c r="N210" s="94"/>
      <c r="O210" s="94"/>
      <c r="P210" s="35"/>
      <c r="Q210" s="92"/>
    </row>
    <row r="211" spans="2:17" hidden="1">
      <c r="B211" s="21" t="s">
        <v>773</v>
      </c>
      <c r="D211" s="3" t="s">
        <v>368</v>
      </c>
      <c r="F211" s="5"/>
      <c r="J211" s="16"/>
      <c r="L211" s="20"/>
      <c r="M211" s="20"/>
      <c r="N211" s="20"/>
      <c r="O211" s="39"/>
      <c r="P211" s="35"/>
    </row>
    <row r="212" spans="2:17" hidden="1">
      <c r="B212" s="21" t="s">
        <v>774</v>
      </c>
      <c r="D212" s="3" t="s">
        <v>897</v>
      </c>
      <c r="F212" s="5"/>
      <c r="J212" s="16"/>
      <c r="L212" s="20"/>
      <c r="M212" s="20"/>
      <c r="N212" s="20"/>
      <c r="O212" s="39"/>
      <c r="P212" s="35"/>
    </row>
    <row r="213" spans="2:17" hidden="1">
      <c r="B213" s="21" t="s">
        <v>775</v>
      </c>
      <c r="D213" s="3" t="s">
        <v>1026</v>
      </c>
      <c r="F213" s="5"/>
      <c r="J213" s="16"/>
      <c r="L213" s="20"/>
      <c r="M213" s="20"/>
      <c r="N213" s="20"/>
      <c r="O213" s="39"/>
      <c r="P213" s="35"/>
    </row>
    <row r="214" spans="2:17" hidden="1">
      <c r="B214" s="21" t="s">
        <v>776</v>
      </c>
      <c r="D214" s="3" t="s">
        <v>559</v>
      </c>
      <c r="F214" s="5"/>
      <c r="J214" s="16"/>
      <c r="L214" s="20"/>
      <c r="M214" s="20"/>
      <c r="N214" s="20"/>
      <c r="O214" s="39"/>
      <c r="P214" s="35"/>
    </row>
    <row r="215" spans="2:17" hidden="1">
      <c r="B215" s="21" t="s">
        <v>777</v>
      </c>
      <c r="C215" s="21"/>
      <c r="D215" s="3" t="s">
        <v>384</v>
      </c>
      <c r="F215" s="5"/>
      <c r="J215" s="16"/>
      <c r="K215" s="33"/>
      <c r="L215" s="29"/>
      <c r="M215" s="29"/>
      <c r="N215" s="20"/>
      <c r="O215" s="39"/>
      <c r="P215" s="30"/>
      <c r="Q215" s="40"/>
    </row>
    <row r="216" spans="2:17" hidden="1">
      <c r="B216" s="21" t="s">
        <v>778</v>
      </c>
      <c r="D216" s="3" t="s">
        <v>1476</v>
      </c>
      <c r="F216" s="789"/>
      <c r="G216" s="92"/>
      <c r="H216" s="93"/>
      <c r="I216" s="92"/>
      <c r="J216" s="16"/>
      <c r="K216" s="36"/>
      <c r="L216" s="94"/>
      <c r="M216" s="20"/>
      <c r="N216" s="94"/>
      <c r="O216" s="94"/>
      <c r="P216" s="35"/>
      <c r="Q216" s="92"/>
    </row>
    <row r="217" spans="2:17" hidden="1">
      <c r="B217" s="21" t="s">
        <v>779</v>
      </c>
      <c r="D217" s="3" t="s">
        <v>398</v>
      </c>
      <c r="F217" s="5"/>
      <c r="J217" s="16"/>
      <c r="L217" s="20"/>
      <c r="M217" s="20"/>
      <c r="N217" s="20"/>
      <c r="O217" s="39"/>
      <c r="P217" s="35"/>
    </row>
    <row r="218" spans="2:17" hidden="1">
      <c r="B218" s="21" t="s">
        <v>780</v>
      </c>
      <c r="C218" s="21"/>
      <c r="D218" s="3" t="s">
        <v>1764</v>
      </c>
      <c r="F218" s="32"/>
      <c r="G218" s="52"/>
      <c r="H218" s="53"/>
      <c r="I218" s="52"/>
      <c r="J218" s="16"/>
      <c r="K218" s="33"/>
      <c r="L218" s="54"/>
      <c r="M218" s="29"/>
      <c r="N218" s="54"/>
      <c r="O218" s="54"/>
      <c r="P218" s="30"/>
      <c r="Q218" s="40"/>
    </row>
    <row r="219" spans="2:17" hidden="1">
      <c r="B219" s="21" t="s">
        <v>781</v>
      </c>
      <c r="D219" s="3" t="s">
        <v>1507</v>
      </c>
      <c r="F219" s="789"/>
      <c r="G219" s="92"/>
      <c r="H219" s="93"/>
      <c r="I219" s="92"/>
      <c r="J219" s="16"/>
      <c r="K219" s="36"/>
      <c r="L219" s="94"/>
      <c r="M219" s="20"/>
      <c r="N219" s="94"/>
      <c r="O219" s="94"/>
      <c r="P219" s="35"/>
      <c r="Q219" s="92"/>
    </row>
    <row r="220" spans="2:17" hidden="1">
      <c r="B220" s="21" t="s">
        <v>782</v>
      </c>
      <c r="C220" s="287"/>
      <c r="D220" s="3" t="s">
        <v>1811</v>
      </c>
      <c r="E220" s="289"/>
      <c r="F220" s="797"/>
      <c r="G220" s="290"/>
      <c r="H220" s="291"/>
      <c r="I220" s="290"/>
      <c r="J220" s="287"/>
      <c r="K220" s="292"/>
      <c r="L220" s="293"/>
      <c r="M220" s="294"/>
      <c r="N220" s="293"/>
      <c r="O220" s="293"/>
      <c r="P220" s="295"/>
      <c r="Q220" s="290"/>
    </row>
    <row r="221" spans="2:17" hidden="1">
      <c r="B221" s="21" t="s">
        <v>783</v>
      </c>
      <c r="C221" s="21"/>
      <c r="D221" s="3" t="s">
        <v>304</v>
      </c>
      <c r="F221" s="5"/>
      <c r="J221" s="16"/>
      <c r="K221" s="33"/>
      <c r="L221" s="29"/>
      <c r="M221" s="29"/>
      <c r="N221" s="20"/>
      <c r="O221" s="35"/>
      <c r="P221" s="27"/>
      <c r="Q221" s="28"/>
    </row>
    <row r="222" spans="2:17" hidden="1">
      <c r="B222" s="21" t="s">
        <v>784</v>
      </c>
      <c r="C222" s="842"/>
      <c r="D222" s="3" t="s">
        <v>2053</v>
      </c>
      <c r="E222" s="844"/>
      <c r="F222" s="845"/>
      <c r="G222" s="846"/>
      <c r="H222" s="847"/>
      <c r="I222" s="846"/>
      <c r="J222" s="842"/>
      <c r="K222" s="848"/>
      <c r="L222" s="849"/>
      <c r="M222" s="850"/>
      <c r="N222" s="849"/>
      <c r="O222" s="849"/>
      <c r="P222" s="851"/>
      <c r="Q222" s="846"/>
    </row>
    <row r="223" spans="2:17" hidden="1">
      <c r="B223" s="21" t="s">
        <v>785</v>
      </c>
      <c r="C223" s="21"/>
      <c r="D223" s="51" t="s">
        <v>842</v>
      </c>
      <c r="F223" s="32"/>
      <c r="G223" s="52"/>
      <c r="H223" s="53"/>
      <c r="I223" s="52"/>
      <c r="J223" s="16"/>
      <c r="K223" s="33"/>
      <c r="L223" s="54"/>
      <c r="M223" s="29"/>
      <c r="N223" s="54"/>
      <c r="O223" s="54"/>
      <c r="P223" s="30"/>
      <c r="Q223" s="40"/>
    </row>
    <row r="224" spans="2:17" hidden="1">
      <c r="B224" s="21" t="s">
        <v>786</v>
      </c>
      <c r="C224" s="21"/>
      <c r="D224" s="87" t="s">
        <v>1030</v>
      </c>
      <c r="F224" s="32"/>
      <c r="G224" s="52"/>
      <c r="H224" s="53"/>
      <c r="I224" s="52"/>
      <c r="J224" s="16"/>
      <c r="K224" s="33"/>
      <c r="L224" s="54"/>
      <c r="M224" s="29"/>
      <c r="N224" s="54"/>
      <c r="O224" s="54"/>
      <c r="P224" s="30"/>
      <c r="Q224" s="40"/>
    </row>
    <row r="225" spans="2:17" hidden="1">
      <c r="B225" s="21" t="s">
        <v>787</v>
      </c>
      <c r="D225" s="3" t="s">
        <v>740</v>
      </c>
      <c r="F225" s="5"/>
      <c r="J225" s="16"/>
      <c r="L225" s="20"/>
      <c r="M225" s="20"/>
      <c r="N225" s="20"/>
      <c r="O225" s="39"/>
      <c r="P225" s="35"/>
    </row>
    <row r="226" spans="2:17" hidden="1">
      <c r="B226" s="21" t="s">
        <v>788</v>
      </c>
      <c r="D226" s="3" t="s">
        <v>923</v>
      </c>
      <c r="F226" s="5"/>
      <c r="J226" s="16"/>
      <c r="L226" s="20"/>
      <c r="M226" s="20"/>
      <c r="N226" s="20"/>
      <c r="O226" s="39"/>
      <c r="P226" s="35"/>
    </row>
    <row r="227" spans="2:17" hidden="1">
      <c r="B227" s="21" t="s">
        <v>800</v>
      </c>
      <c r="C227" s="101"/>
      <c r="D227" s="85" t="s">
        <v>1787</v>
      </c>
      <c r="E227" s="261"/>
      <c r="F227" s="801"/>
      <c r="G227" s="276"/>
      <c r="H227" s="277"/>
      <c r="I227" s="276"/>
      <c r="J227" s="101"/>
      <c r="K227" s="280"/>
      <c r="L227" s="279"/>
      <c r="M227" s="281"/>
      <c r="N227" s="279"/>
      <c r="O227" s="279"/>
      <c r="P227" s="282"/>
      <c r="Q227" s="276"/>
    </row>
    <row r="228" spans="2:17" hidden="1">
      <c r="B228" s="21" t="s">
        <v>801</v>
      </c>
      <c r="C228" s="638"/>
      <c r="D228" s="3" t="s">
        <v>1979</v>
      </c>
      <c r="E228" s="639"/>
      <c r="F228" s="805"/>
      <c r="G228" s="640"/>
      <c r="H228" s="641"/>
      <c r="I228" s="640"/>
      <c r="J228" s="638"/>
      <c r="K228" s="642"/>
      <c r="L228" s="643"/>
      <c r="M228" s="644"/>
      <c r="N228" s="643"/>
      <c r="O228" s="643"/>
      <c r="P228" s="645"/>
      <c r="Q228" s="640"/>
    </row>
    <row r="229" spans="2:17" hidden="1">
      <c r="B229" s="21" t="s">
        <v>802</v>
      </c>
      <c r="C229" s="1039"/>
      <c r="D229" s="3" t="s">
        <v>2243</v>
      </c>
      <c r="E229" s="1035"/>
      <c r="F229" s="1036"/>
      <c r="G229" s="92" t="s">
        <v>1480</v>
      </c>
      <c r="H229" s="1038"/>
      <c r="I229" s="1037"/>
      <c r="J229" s="1039"/>
      <c r="K229" s="1046"/>
      <c r="L229" s="1047"/>
      <c r="M229" s="1048"/>
      <c r="N229" s="1047"/>
      <c r="O229" s="1047"/>
      <c r="P229" s="1049"/>
      <c r="Q229" s="1037"/>
    </row>
    <row r="230" spans="2:17" hidden="1">
      <c r="B230" s="21" t="s">
        <v>803</v>
      </c>
      <c r="C230" s="21"/>
      <c r="D230" s="3" t="s">
        <v>625</v>
      </c>
      <c r="F230" s="5"/>
      <c r="J230" s="16"/>
      <c r="K230" s="33"/>
      <c r="L230" s="29"/>
      <c r="M230" s="29"/>
      <c r="N230" s="20"/>
      <c r="O230" s="39"/>
      <c r="P230" s="30"/>
      <c r="Q230" s="40"/>
    </row>
    <row r="231" spans="2:17" hidden="1">
      <c r="B231" s="21" t="s">
        <v>804</v>
      </c>
      <c r="C231" s="21"/>
      <c r="D231" s="3" t="s">
        <v>813</v>
      </c>
      <c r="F231" s="5"/>
      <c r="J231" s="16"/>
      <c r="K231" s="33"/>
      <c r="L231" s="29"/>
      <c r="M231" s="29"/>
      <c r="N231" s="20"/>
      <c r="O231" s="39"/>
      <c r="P231" s="30"/>
      <c r="Q231" s="40"/>
    </row>
    <row r="232" spans="2:17" hidden="1">
      <c r="B232" s="21" t="s">
        <v>805</v>
      </c>
      <c r="D232" s="3" t="s">
        <v>2001</v>
      </c>
      <c r="F232" s="789"/>
      <c r="G232" s="92"/>
      <c r="H232" s="93"/>
      <c r="I232" s="92"/>
      <c r="J232" s="16"/>
      <c r="K232" s="36"/>
      <c r="L232" s="94"/>
      <c r="M232" s="20"/>
      <c r="N232" s="94"/>
      <c r="O232" s="94"/>
      <c r="P232" s="35"/>
      <c r="Q232" s="92"/>
    </row>
    <row r="233" spans="2:17" hidden="1">
      <c r="B233" s="21" t="s">
        <v>806</v>
      </c>
      <c r="C233" s="21"/>
      <c r="D233" s="3" t="s">
        <v>1128</v>
      </c>
      <c r="F233" s="789"/>
      <c r="G233" s="92"/>
      <c r="H233" s="93"/>
      <c r="I233" s="92"/>
      <c r="J233" s="16"/>
      <c r="K233" s="33"/>
      <c r="L233" s="96"/>
      <c r="M233" s="29"/>
      <c r="N233" s="94"/>
      <c r="O233" s="94"/>
      <c r="P233" s="30"/>
      <c r="Q233" s="40"/>
    </row>
    <row r="234" spans="2:17" hidden="1">
      <c r="B234" s="21" t="s">
        <v>818</v>
      </c>
      <c r="D234" s="85" t="s">
        <v>1119</v>
      </c>
      <c r="F234" s="789"/>
      <c r="G234" s="92"/>
      <c r="H234" s="93"/>
      <c r="I234" s="92"/>
      <c r="J234" s="16"/>
      <c r="K234" s="36"/>
      <c r="L234" s="94"/>
      <c r="M234" s="20"/>
      <c r="N234" s="94"/>
      <c r="O234" s="94"/>
      <c r="P234" s="35"/>
      <c r="Q234" s="92"/>
    </row>
    <row r="235" spans="2:17" hidden="1">
      <c r="B235" s="21" t="s">
        <v>819</v>
      </c>
      <c r="C235" s="21"/>
      <c r="D235" s="3" t="s">
        <v>722</v>
      </c>
      <c r="F235" s="5"/>
      <c r="J235" s="16"/>
      <c r="K235" s="33"/>
      <c r="L235" s="29"/>
      <c r="M235" s="29"/>
      <c r="N235" s="20"/>
      <c r="O235" s="39"/>
      <c r="P235" s="30"/>
      <c r="Q235" s="40"/>
    </row>
    <row r="236" spans="2:17" hidden="1">
      <c r="B236" s="21" t="s">
        <v>820</v>
      </c>
      <c r="C236" s="21"/>
      <c r="D236" s="3" t="s">
        <v>1763</v>
      </c>
      <c r="F236" s="32"/>
      <c r="G236" s="52"/>
      <c r="H236" s="53"/>
      <c r="I236" s="52"/>
      <c r="J236" s="16"/>
      <c r="K236" s="33"/>
      <c r="L236" s="54"/>
      <c r="M236" s="29"/>
      <c r="N236" s="54"/>
      <c r="O236" s="54"/>
      <c r="P236" s="30"/>
      <c r="Q236" s="40"/>
    </row>
    <row r="237" spans="2:17" hidden="1">
      <c r="B237" s="21" t="s">
        <v>821</v>
      </c>
      <c r="C237" s="841"/>
      <c r="D237" s="3" t="s">
        <v>2048</v>
      </c>
      <c r="E237" s="844"/>
      <c r="F237" s="845"/>
      <c r="G237" s="846"/>
      <c r="H237" s="847"/>
      <c r="I237" s="846"/>
      <c r="J237" s="842"/>
      <c r="K237" s="854"/>
      <c r="L237" s="855"/>
      <c r="M237" s="856"/>
      <c r="N237" s="855"/>
      <c r="O237" s="857"/>
      <c r="P237" s="858"/>
      <c r="Q237" s="859"/>
    </row>
    <row r="238" spans="2:17" hidden="1">
      <c r="B238" s="21" t="s">
        <v>822</v>
      </c>
      <c r="C238" s="21"/>
      <c r="D238" s="3" t="s">
        <v>416</v>
      </c>
      <c r="F238" s="5"/>
      <c r="J238" s="16"/>
      <c r="K238" s="33"/>
      <c r="L238" s="29"/>
      <c r="M238" s="29"/>
      <c r="N238" s="20"/>
      <c r="O238" s="39"/>
      <c r="P238" s="30"/>
      <c r="Q238" s="40"/>
    </row>
    <row r="239" spans="2:17" hidden="1">
      <c r="B239" s="21" t="s">
        <v>823</v>
      </c>
      <c r="C239" s="21"/>
      <c r="D239" s="3" t="s">
        <v>347</v>
      </c>
      <c r="F239" s="32"/>
      <c r="G239" s="52"/>
      <c r="H239" s="53"/>
      <c r="I239" s="52"/>
      <c r="J239" s="16"/>
      <c r="K239" s="33"/>
      <c r="L239" s="54"/>
      <c r="M239" s="29"/>
      <c r="N239" s="54"/>
      <c r="O239" s="54"/>
      <c r="P239" s="30"/>
      <c r="Q239" s="40"/>
    </row>
    <row r="240" spans="2:17" hidden="1">
      <c r="B240" s="21" t="s">
        <v>824</v>
      </c>
      <c r="C240" s="508"/>
      <c r="D240" s="3" t="s">
        <v>1908</v>
      </c>
      <c r="E240" s="505"/>
      <c r="F240" s="790"/>
      <c r="G240" s="506"/>
      <c r="H240" s="507"/>
      <c r="I240" s="506"/>
      <c r="J240" s="508"/>
      <c r="K240" s="515"/>
      <c r="L240" s="516"/>
      <c r="M240" s="517"/>
      <c r="N240" s="516"/>
      <c r="O240" s="516"/>
      <c r="P240" s="518"/>
      <c r="Q240" s="506"/>
    </row>
    <row r="241" spans="2:17" hidden="1">
      <c r="B241" s="21" t="s">
        <v>825</v>
      </c>
      <c r="C241" s="21"/>
      <c r="D241" s="3" t="s">
        <v>476</v>
      </c>
      <c r="F241" s="32"/>
      <c r="G241" s="52"/>
      <c r="H241" s="53"/>
      <c r="I241" s="52"/>
      <c r="J241" s="16"/>
      <c r="K241" s="33"/>
      <c r="L241" s="54"/>
      <c r="M241" s="29"/>
      <c r="N241" s="54"/>
      <c r="O241" s="54"/>
      <c r="P241" s="30"/>
      <c r="Q241" s="40"/>
    </row>
    <row r="242" spans="2:17" hidden="1">
      <c r="B242" s="21" t="s">
        <v>826</v>
      </c>
      <c r="C242" s="314"/>
      <c r="D242" s="3" t="s">
        <v>1835</v>
      </c>
      <c r="E242" s="316"/>
      <c r="F242" s="794"/>
      <c r="G242" s="317"/>
      <c r="H242" s="318"/>
      <c r="I242" s="317"/>
      <c r="J242" s="315"/>
      <c r="K242" s="326"/>
      <c r="L242" s="327"/>
      <c r="M242" s="328"/>
      <c r="N242" s="327"/>
      <c r="O242" s="329"/>
      <c r="P242" s="330"/>
      <c r="Q242" s="331"/>
    </row>
    <row r="243" spans="2:17" hidden="1">
      <c r="B243" s="21" t="s">
        <v>827</v>
      </c>
      <c r="C243" s="841"/>
      <c r="D243" s="3" t="s">
        <v>2047</v>
      </c>
      <c r="E243" s="844"/>
      <c r="F243" s="845"/>
      <c r="G243" s="846"/>
      <c r="H243" s="847"/>
      <c r="I243" s="846"/>
      <c r="J243" s="842"/>
      <c r="K243" s="854"/>
      <c r="L243" s="855"/>
      <c r="M243" s="856"/>
      <c r="N243" s="855"/>
      <c r="O243" s="857"/>
      <c r="P243" s="858"/>
      <c r="Q243" s="859"/>
    </row>
    <row r="244" spans="2:17" hidden="1">
      <c r="B244" s="21" t="s">
        <v>828</v>
      </c>
      <c r="C244" s="21"/>
      <c r="D244" s="3" t="s">
        <v>1125</v>
      </c>
      <c r="F244" s="32"/>
      <c r="G244" s="52"/>
      <c r="H244" s="53"/>
      <c r="I244" s="52"/>
      <c r="J244" s="16"/>
      <c r="K244" s="33"/>
      <c r="L244" s="54"/>
      <c r="M244" s="29"/>
      <c r="N244" s="54"/>
      <c r="O244" s="54"/>
      <c r="P244" s="30"/>
      <c r="Q244" s="40"/>
    </row>
    <row r="245" spans="2:17" hidden="1">
      <c r="B245" s="21" t="s">
        <v>849</v>
      </c>
      <c r="C245" s="21"/>
      <c r="D245" s="85" t="s">
        <v>348</v>
      </c>
      <c r="F245" s="32"/>
      <c r="G245" s="52"/>
      <c r="H245" s="53"/>
      <c r="I245" s="52"/>
      <c r="J245" s="16"/>
      <c r="K245" s="33"/>
      <c r="L245" s="54"/>
      <c r="M245" s="29"/>
      <c r="N245" s="54"/>
      <c r="O245" s="54"/>
      <c r="P245" s="30"/>
      <c r="Q245" s="40"/>
    </row>
    <row r="246" spans="2:17" hidden="1">
      <c r="B246" s="21" t="s">
        <v>850</v>
      </c>
      <c r="C246" s="21"/>
      <c r="D246" s="85" t="s">
        <v>58</v>
      </c>
      <c r="F246" s="32"/>
      <c r="G246" s="52"/>
      <c r="H246" s="53"/>
      <c r="I246" s="52"/>
      <c r="J246" s="16"/>
      <c r="K246" s="33"/>
      <c r="L246" s="54"/>
      <c r="M246" s="29"/>
      <c r="N246" s="54"/>
      <c r="O246" s="54"/>
      <c r="P246" s="30"/>
      <c r="Q246" s="40"/>
    </row>
    <row r="247" spans="2:17" hidden="1">
      <c r="B247" s="21" t="s">
        <v>851</v>
      </c>
      <c r="C247" s="21"/>
      <c r="D247" s="3" t="s">
        <v>934</v>
      </c>
      <c r="F247" s="5"/>
      <c r="J247" s="16"/>
      <c r="K247" s="33"/>
      <c r="L247" s="29"/>
      <c r="M247" s="29"/>
      <c r="N247" s="20"/>
      <c r="O247" s="39"/>
      <c r="P247" s="30"/>
      <c r="Q247" s="40"/>
    </row>
    <row r="248" spans="2:17" hidden="1">
      <c r="B248" s="21" t="s">
        <v>852</v>
      </c>
      <c r="D248" s="3" t="s">
        <v>1177</v>
      </c>
      <c r="F248" s="789"/>
      <c r="G248" s="92"/>
      <c r="H248" s="93"/>
      <c r="I248" s="92"/>
      <c r="J248" s="16"/>
      <c r="K248" s="36"/>
      <c r="L248" s="94"/>
      <c r="M248" s="20"/>
      <c r="N248" s="94"/>
      <c r="O248" s="94"/>
      <c r="P248" s="35"/>
      <c r="Q248" s="92"/>
    </row>
    <row r="249" spans="2:17" hidden="1">
      <c r="B249" s="21" t="s">
        <v>853</v>
      </c>
      <c r="C249" s="720"/>
      <c r="D249" s="85" t="s">
        <v>2010</v>
      </c>
      <c r="E249" s="721"/>
      <c r="F249" s="789" t="s">
        <v>2011</v>
      </c>
      <c r="G249" s="722"/>
      <c r="H249" s="723"/>
      <c r="I249" s="722"/>
      <c r="J249" s="720"/>
      <c r="K249" s="724"/>
      <c r="L249" s="725"/>
      <c r="M249" s="726"/>
      <c r="N249" s="725"/>
      <c r="O249" s="725"/>
      <c r="P249" s="727"/>
      <c r="Q249" s="722"/>
    </row>
    <row r="250" spans="2:17" hidden="1">
      <c r="B250" s="21" t="s">
        <v>854</v>
      </c>
      <c r="D250" s="85" t="s">
        <v>2078</v>
      </c>
      <c r="E250" s="273" t="s">
        <v>2079</v>
      </c>
      <c r="F250" s="789"/>
      <c r="G250" s="92"/>
      <c r="H250" s="93"/>
      <c r="I250" s="92"/>
      <c r="J250" s="16"/>
      <c r="K250" s="36"/>
      <c r="L250" s="94"/>
      <c r="M250" s="20"/>
      <c r="N250" s="94"/>
      <c r="O250" s="94"/>
      <c r="P250" s="35"/>
      <c r="Q250" s="92"/>
    </row>
    <row r="251" spans="2:17" hidden="1">
      <c r="B251" s="21" t="s">
        <v>855</v>
      </c>
      <c r="C251" s="21"/>
      <c r="D251" s="87" t="s">
        <v>1103</v>
      </c>
      <c r="F251" s="32"/>
      <c r="G251" s="52"/>
      <c r="H251" s="53"/>
      <c r="I251" s="52"/>
      <c r="J251" s="16"/>
      <c r="K251" s="33"/>
      <c r="L251" s="54"/>
      <c r="M251" s="29"/>
      <c r="N251" s="54"/>
      <c r="O251" s="54"/>
      <c r="P251" s="30"/>
      <c r="Q251" s="40"/>
    </row>
    <row r="252" spans="2:17" hidden="1">
      <c r="B252" s="21" t="s">
        <v>856</v>
      </c>
      <c r="C252" s="21"/>
      <c r="D252" s="3" t="s">
        <v>994</v>
      </c>
      <c r="F252" s="5"/>
      <c r="J252" s="16"/>
      <c r="K252" s="21"/>
      <c r="L252" s="29"/>
      <c r="M252" s="29"/>
      <c r="N252" s="29"/>
      <c r="O252" s="56"/>
      <c r="P252" s="30"/>
      <c r="Q252" s="31"/>
    </row>
    <row r="253" spans="2:17" hidden="1">
      <c r="B253" s="21" t="s">
        <v>857</v>
      </c>
      <c r="C253" s="21"/>
      <c r="D253" s="51" t="s">
        <v>639</v>
      </c>
      <c r="F253" s="32"/>
      <c r="G253" s="52"/>
      <c r="H253" s="53"/>
      <c r="I253" s="52"/>
      <c r="J253" s="16"/>
      <c r="K253" s="33"/>
      <c r="L253" s="54"/>
      <c r="M253" s="29"/>
      <c r="N253" s="54"/>
      <c r="O253" s="54"/>
      <c r="P253" s="30"/>
      <c r="Q253" s="40"/>
    </row>
    <row r="254" spans="2:17" hidden="1">
      <c r="B254" s="21" t="s">
        <v>858</v>
      </c>
      <c r="C254" s="869"/>
      <c r="D254" s="3" t="s">
        <v>2060</v>
      </c>
      <c r="E254" s="22" t="s">
        <v>2061</v>
      </c>
      <c r="F254" s="789" t="s">
        <v>2062</v>
      </c>
      <c r="G254" s="870"/>
      <c r="H254" s="871"/>
      <c r="I254" s="870"/>
      <c r="J254" s="869"/>
      <c r="K254" s="872"/>
      <c r="L254" s="873"/>
      <c r="M254" s="874"/>
      <c r="N254" s="873"/>
      <c r="O254" s="873"/>
      <c r="P254" s="875"/>
      <c r="Q254" s="870"/>
    </row>
    <row r="255" spans="2:17" hidden="1">
      <c r="B255" s="21" t="s">
        <v>859</v>
      </c>
      <c r="C255" s="21"/>
      <c r="D255" s="15" t="s">
        <v>324</v>
      </c>
      <c r="F255" s="32"/>
      <c r="G255" s="52"/>
      <c r="H255" s="53"/>
      <c r="I255" s="52"/>
      <c r="J255" s="16"/>
      <c r="K255" s="33"/>
      <c r="L255" s="54"/>
      <c r="M255" s="29"/>
      <c r="N255" s="54"/>
      <c r="O255" s="54"/>
      <c r="P255" s="30"/>
      <c r="Q255" s="40"/>
    </row>
    <row r="256" spans="2:17" hidden="1">
      <c r="B256" s="21" t="s">
        <v>868</v>
      </c>
      <c r="C256" s="21"/>
      <c r="D256" s="87" t="s">
        <v>1150</v>
      </c>
      <c r="E256" s="87" t="s">
        <v>1149</v>
      </c>
      <c r="F256" s="32"/>
      <c r="G256" s="52"/>
      <c r="H256" s="53"/>
      <c r="I256" s="52"/>
      <c r="J256" s="16"/>
      <c r="K256" s="33"/>
      <c r="L256" s="54"/>
      <c r="M256" s="29"/>
      <c r="N256" s="54"/>
      <c r="O256" s="54"/>
      <c r="P256" s="30"/>
      <c r="Q256" s="40"/>
    </row>
    <row r="257" spans="2:17" hidden="1">
      <c r="B257" s="21" t="s">
        <v>869</v>
      </c>
      <c r="C257" s="21"/>
      <c r="D257" s="87" t="s">
        <v>1153</v>
      </c>
      <c r="F257" s="32"/>
      <c r="G257" s="52"/>
      <c r="H257" s="53"/>
      <c r="I257" s="52"/>
      <c r="J257" s="16"/>
      <c r="K257" s="33"/>
      <c r="L257" s="54"/>
      <c r="M257" s="29"/>
      <c r="N257" s="54"/>
      <c r="O257" s="54"/>
      <c r="P257" s="30"/>
      <c r="Q257" s="40"/>
    </row>
    <row r="258" spans="2:17" hidden="1">
      <c r="B258" s="21" t="s">
        <v>870</v>
      </c>
      <c r="C258" s="21"/>
      <c r="D258" s="51" t="s">
        <v>928</v>
      </c>
      <c r="F258" s="32"/>
      <c r="G258" s="52"/>
      <c r="H258" s="53"/>
      <c r="I258" s="52"/>
      <c r="J258" s="16"/>
      <c r="K258" s="33"/>
      <c r="L258" s="54"/>
      <c r="M258" s="29"/>
      <c r="N258" s="54"/>
      <c r="O258" s="54"/>
      <c r="P258" s="30"/>
      <c r="Q258" s="40"/>
    </row>
    <row r="259" spans="2:17" hidden="1">
      <c r="B259" s="21" t="s">
        <v>871</v>
      </c>
      <c r="C259" s="21"/>
      <c r="D259" s="51" t="s">
        <v>539</v>
      </c>
      <c r="F259" s="32"/>
      <c r="G259" s="52"/>
      <c r="H259" s="53"/>
      <c r="I259" s="52"/>
      <c r="J259" s="16"/>
      <c r="K259" s="33"/>
      <c r="L259" s="54"/>
      <c r="M259" s="29"/>
      <c r="N259" s="54"/>
      <c r="O259" s="54"/>
      <c r="P259" s="30"/>
      <c r="Q259" s="40"/>
    </row>
    <row r="260" spans="2:17" hidden="1">
      <c r="B260" s="21" t="s">
        <v>872</v>
      </c>
      <c r="C260" s="314"/>
      <c r="D260" s="3" t="s">
        <v>1829</v>
      </c>
      <c r="E260" s="316"/>
      <c r="F260" s="794"/>
      <c r="G260" s="317"/>
      <c r="H260" s="318"/>
      <c r="I260" s="317"/>
      <c r="J260" s="315"/>
      <c r="K260" s="326"/>
      <c r="L260" s="327"/>
      <c r="M260" s="328"/>
      <c r="N260" s="327"/>
      <c r="O260" s="329"/>
      <c r="P260" s="330"/>
      <c r="Q260" s="331"/>
    </row>
    <row r="261" spans="2:17" hidden="1">
      <c r="B261" s="21" t="s">
        <v>873</v>
      </c>
      <c r="C261" s="21"/>
      <c r="D261" s="51" t="s">
        <v>920</v>
      </c>
      <c r="F261" s="32"/>
      <c r="G261" s="52"/>
      <c r="H261" s="53"/>
      <c r="I261" s="52"/>
      <c r="J261" s="16"/>
      <c r="K261" s="33"/>
      <c r="L261" s="54"/>
      <c r="M261" s="29"/>
      <c r="N261" s="54"/>
      <c r="O261" s="54"/>
      <c r="P261" s="30"/>
      <c r="Q261" s="40"/>
    </row>
    <row r="262" spans="2:17" hidden="1">
      <c r="B262" s="21" t="s">
        <v>874</v>
      </c>
      <c r="C262" s="21"/>
      <c r="D262" s="3" t="s">
        <v>536</v>
      </c>
      <c r="F262" s="5"/>
      <c r="J262" s="16"/>
      <c r="K262" s="21"/>
      <c r="L262" s="29"/>
      <c r="M262" s="29"/>
      <c r="N262" s="29"/>
      <c r="O262" s="56"/>
      <c r="P262" s="30"/>
      <c r="Q262" s="31"/>
    </row>
    <row r="263" spans="2:17" hidden="1">
      <c r="B263" s="21" t="s">
        <v>875</v>
      </c>
      <c r="C263" s="21"/>
      <c r="D263" s="87" t="s">
        <v>1609</v>
      </c>
      <c r="F263" s="32"/>
      <c r="G263" s="52"/>
      <c r="H263" s="53"/>
      <c r="I263" s="52"/>
      <c r="J263" s="16"/>
      <c r="K263" s="33"/>
      <c r="L263" s="54"/>
      <c r="M263" s="29"/>
      <c r="N263" s="54"/>
      <c r="O263" s="54"/>
      <c r="P263" s="30"/>
      <c r="Q263" s="40"/>
    </row>
    <row r="264" spans="2:17" hidden="1">
      <c r="B264" s="21" t="s">
        <v>884</v>
      </c>
      <c r="C264" s="21"/>
      <c r="D264" s="87" t="s">
        <v>1154</v>
      </c>
      <c r="E264" s="3" t="s">
        <v>1155</v>
      </c>
      <c r="F264" s="32"/>
      <c r="G264" s="52"/>
      <c r="H264" s="53"/>
      <c r="I264" s="52"/>
      <c r="J264" s="16"/>
      <c r="K264" s="33"/>
      <c r="L264" s="54"/>
      <c r="M264" s="29"/>
      <c r="N264" s="54"/>
      <c r="O264" s="54"/>
      <c r="P264" s="30"/>
      <c r="Q264" s="40"/>
    </row>
    <row r="265" spans="2:17" hidden="1">
      <c r="B265" s="21" t="s">
        <v>885</v>
      </c>
      <c r="C265" s="21"/>
      <c r="D265" t="s">
        <v>1087</v>
      </c>
      <c r="F265" s="32"/>
      <c r="G265" s="52"/>
      <c r="H265" s="53"/>
      <c r="I265" s="52"/>
      <c r="J265" s="16"/>
      <c r="K265" s="33"/>
      <c r="L265" s="54"/>
      <c r="M265" s="29"/>
      <c r="N265" s="54"/>
      <c r="O265" s="54"/>
      <c r="P265" s="30"/>
      <c r="Q265" s="40"/>
    </row>
    <row r="266" spans="2:17" hidden="1">
      <c r="B266" s="21" t="s">
        <v>886</v>
      </c>
      <c r="C266" s="21"/>
      <c r="D266" s="87" t="s">
        <v>1087</v>
      </c>
      <c r="F266" s="32"/>
      <c r="G266" s="52"/>
      <c r="H266" s="53"/>
      <c r="I266" s="52"/>
      <c r="J266" s="16"/>
      <c r="K266" s="33"/>
      <c r="L266" s="54"/>
      <c r="M266" s="29"/>
      <c r="N266" s="54"/>
      <c r="O266" s="54"/>
      <c r="P266" s="30"/>
      <c r="Q266" s="40"/>
    </row>
    <row r="267" spans="2:17" hidden="1">
      <c r="B267" s="21" t="s">
        <v>887</v>
      </c>
      <c r="C267" s="21"/>
      <c r="D267" s="51" t="s">
        <v>264</v>
      </c>
      <c r="F267" s="32"/>
      <c r="G267" s="52"/>
      <c r="H267" s="53"/>
      <c r="I267" s="52"/>
      <c r="J267" s="16"/>
      <c r="K267" s="33"/>
      <c r="L267" s="54"/>
      <c r="M267" s="29"/>
      <c r="N267" s="54"/>
      <c r="O267" s="54"/>
      <c r="P267" s="30"/>
      <c r="Q267" s="40"/>
    </row>
    <row r="268" spans="2:17" hidden="1">
      <c r="B268" s="21" t="s">
        <v>888</v>
      </c>
      <c r="C268" s="597"/>
      <c r="D268" s="3" t="s">
        <v>1974</v>
      </c>
      <c r="E268" s="598"/>
      <c r="F268" s="791"/>
      <c r="G268" s="599"/>
      <c r="H268" s="600"/>
      <c r="I268" s="599"/>
      <c r="J268" s="601"/>
      <c r="K268" s="602"/>
      <c r="L268" s="603"/>
      <c r="M268" s="604"/>
      <c r="N268" s="603"/>
      <c r="O268" s="605"/>
      <c r="P268" s="606"/>
      <c r="Q268" s="607"/>
    </row>
    <row r="269" spans="2:17" hidden="1">
      <c r="B269" s="21" t="s">
        <v>889</v>
      </c>
      <c r="C269" s="21"/>
      <c r="D269" s="51" t="s">
        <v>586</v>
      </c>
      <c r="F269" s="32"/>
      <c r="G269" s="52"/>
      <c r="H269" s="53"/>
      <c r="I269" s="52"/>
      <c r="J269" s="16"/>
      <c r="K269" s="33"/>
      <c r="L269" s="54"/>
      <c r="M269" s="29"/>
      <c r="N269" s="54"/>
      <c r="O269" s="54"/>
      <c r="P269" s="30"/>
      <c r="Q269" s="40"/>
    </row>
    <row r="270" spans="2:17" hidden="1">
      <c r="B270" s="21" t="s">
        <v>911</v>
      </c>
      <c r="C270" s="21"/>
      <c r="D270" s="87" t="s">
        <v>1613</v>
      </c>
      <c r="F270" s="32"/>
      <c r="G270" s="52"/>
      <c r="H270" s="53"/>
      <c r="I270" s="52"/>
      <c r="J270" s="16"/>
      <c r="K270" s="33"/>
      <c r="L270" s="54"/>
      <c r="M270" s="29"/>
      <c r="N270" s="54"/>
      <c r="O270" s="54"/>
      <c r="P270" s="30"/>
      <c r="Q270" s="40"/>
    </row>
    <row r="271" spans="2:17" hidden="1">
      <c r="B271" s="21" t="s">
        <v>912</v>
      </c>
      <c r="C271" s="21"/>
      <c r="D271" s="87" t="s">
        <v>1120</v>
      </c>
      <c r="F271" s="32"/>
      <c r="G271" s="52"/>
      <c r="H271" s="53"/>
      <c r="I271" s="52"/>
      <c r="J271" s="16"/>
      <c r="K271" s="33"/>
      <c r="L271" s="54"/>
      <c r="M271" s="29"/>
      <c r="N271" s="54"/>
      <c r="O271" s="54"/>
      <c r="P271" s="30"/>
      <c r="Q271" s="40"/>
    </row>
    <row r="272" spans="2:17" hidden="1">
      <c r="B272" s="21" t="s">
        <v>943</v>
      </c>
      <c r="C272" s="21"/>
      <c r="D272" s="51" t="s">
        <v>532</v>
      </c>
      <c r="F272" s="32"/>
      <c r="G272" s="52"/>
      <c r="H272" s="53"/>
      <c r="I272" s="52"/>
      <c r="J272" s="16"/>
      <c r="K272" s="33"/>
      <c r="L272" s="54"/>
      <c r="M272" s="29"/>
      <c r="N272" s="54"/>
      <c r="O272" s="54"/>
      <c r="P272" s="30"/>
      <c r="Q272" s="40"/>
    </row>
    <row r="273" spans="2:17" hidden="1">
      <c r="B273" s="21" t="s">
        <v>944</v>
      </c>
      <c r="C273" s="1034"/>
      <c r="D273" s="3" t="s">
        <v>2269</v>
      </c>
      <c r="E273" s="1035" t="s">
        <v>2270</v>
      </c>
      <c r="F273" s="1036" t="s">
        <v>2271</v>
      </c>
      <c r="G273" s="92" t="s">
        <v>2273</v>
      </c>
      <c r="H273" s="93" t="s">
        <v>2272</v>
      </c>
      <c r="I273" s="1037"/>
      <c r="J273" s="1039"/>
      <c r="K273" s="1040"/>
      <c r="L273" s="1041"/>
      <c r="M273" s="1042"/>
      <c r="N273" s="1041"/>
      <c r="O273" s="1043"/>
      <c r="P273" s="1044"/>
      <c r="Q273" s="1045"/>
    </row>
    <row r="274" spans="2:17" hidden="1">
      <c r="B274" s="21" t="s">
        <v>945</v>
      </c>
      <c r="C274" s="306"/>
      <c r="D274" s="3" t="s">
        <v>1822</v>
      </c>
      <c r="E274" s="307"/>
      <c r="F274" s="806"/>
      <c r="G274" s="308"/>
      <c r="H274" s="309"/>
      <c r="I274" s="308"/>
      <c r="J274" s="306"/>
      <c r="K274" s="310"/>
      <c r="L274" s="311"/>
      <c r="M274" s="312"/>
      <c r="N274" s="311"/>
      <c r="O274" s="311"/>
      <c r="P274" s="313"/>
      <c r="Q274" s="308"/>
    </row>
    <row r="275" spans="2:17" hidden="1">
      <c r="B275" s="21" t="s">
        <v>946</v>
      </c>
      <c r="C275" s="955"/>
      <c r="D275" s="3" t="s">
        <v>2125</v>
      </c>
      <c r="E275" s="22" t="s">
        <v>2124</v>
      </c>
      <c r="F275" s="963"/>
      <c r="G275" s="964"/>
      <c r="H275" s="965"/>
      <c r="I275" s="964"/>
      <c r="J275" s="955"/>
      <c r="K275" s="972"/>
      <c r="L275" s="973"/>
      <c r="M275" s="974"/>
      <c r="N275" s="973"/>
      <c r="O275" s="973"/>
      <c r="P275" s="975"/>
      <c r="Q275" s="964"/>
    </row>
    <row r="276" spans="2:17" hidden="1">
      <c r="B276" s="21" t="s">
        <v>947</v>
      </c>
      <c r="C276" s="21"/>
      <c r="D276" s="3" t="s">
        <v>1879</v>
      </c>
      <c r="F276" s="32" t="s">
        <v>1880</v>
      </c>
      <c r="G276" s="52"/>
      <c r="H276" s="53"/>
      <c r="I276" s="52"/>
      <c r="J276" s="16"/>
      <c r="K276" s="33"/>
      <c r="L276" s="54"/>
      <c r="M276" s="29"/>
      <c r="N276" s="54"/>
      <c r="O276" s="54"/>
      <c r="P276" s="30"/>
      <c r="Q276" s="40"/>
    </row>
    <row r="277" spans="2:17" hidden="1">
      <c r="B277" s="21" t="s">
        <v>948</v>
      </c>
      <c r="D277" s="3" t="s">
        <v>582</v>
      </c>
      <c r="F277" s="5"/>
      <c r="J277" s="16"/>
      <c r="L277" s="20"/>
      <c r="M277" s="20"/>
      <c r="N277" s="20"/>
      <c r="O277" s="39"/>
      <c r="P277" s="35"/>
    </row>
    <row r="278" spans="2:17" hidden="1">
      <c r="B278" s="21" t="s">
        <v>949</v>
      </c>
      <c r="D278" s="3" t="s">
        <v>581</v>
      </c>
      <c r="F278" s="5"/>
      <c r="J278" s="16"/>
      <c r="L278" s="20"/>
      <c r="M278" s="20"/>
      <c r="N278" s="20"/>
      <c r="O278" s="39"/>
      <c r="P278" s="35"/>
    </row>
    <row r="279" spans="2:17" hidden="1">
      <c r="B279" s="21" t="s">
        <v>950</v>
      </c>
      <c r="C279" s="842"/>
      <c r="D279" s="843" t="s">
        <v>2042</v>
      </c>
      <c r="E279" s="844"/>
      <c r="F279" s="845" t="s">
        <v>2043</v>
      </c>
      <c r="G279" s="846"/>
      <c r="H279" s="847"/>
      <c r="I279" s="846"/>
      <c r="J279" s="842"/>
      <c r="K279" s="848"/>
      <c r="L279" s="849"/>
      <c r="M279" s="850"/>
      <c r="N279" s="849"/>
      <c r="O279" s="849"/>
      <c r="P279" s="851"/>
      <c r="Q279" s="846"/>
    </row>
    <row r="280" spans="2:17" hidden="1">
      <c r="B280" s="21" t="s">
        <v>951</v>
      </c>
      <c r="D280" s="3" t="s">
        <v>657</v>
      </c>
      <c r="F280" s="5"/>
      <c r="J280" s="16"/>
      <c r="L280" s="20"/>
      <c r="M280" s="20"/>
      <c r="N280" s="20"/>
      <c r="O280" s="39"/>
      <c r="P280" s="35"/>
    </row>
    <row r="281" spans="2:17" hidden="1">
      <c r="B281" s="21" t="s">
        <v>952</v>
      </c>
      <c r="D281" s="3" t="s">
        <v>1162</v>
      </c>
      <c r="F281" s="789"/>
      <c r="G281" s="92"/>
      <c r="H281" s="93"/>
      <c r="I281" s="92"/>
      <c r="J281" s="16"/>
      <c r="K281" s="36"/>
      <c r="L281" s="94"/>
      <c r="M281" s="20"/>
      <c r="N281" s="94"/>
      <c r="O281" s="94"/>
      <c r="P281" s="35"/>
      <c r="Q281" s="92"/>
    </row>
    <row r="282" spans="2:17" hidden="1">
      <c r="B282" s="21" t="s">
        <v>953</v>
      </c>
      <c r="D282" s="3" t="s">
        <v>905</v>
      </c>
      <c r="F282" s="5"/>
      <c r="J282" s="16"/>
      <c r="L282" s="20"/>
      <c r="M282" s="20"/>
      <c r="N282" s="20"/>
      <c r="O282" s="39"/>
      <c r="P282" s="35"/>
    </row>
    <row r="283" spans="2:17" hidden="1">
      <c r="B283" s="21" t="s">
        <v>954</v>
      </c>
      <c r="D283" s="3" t="s">
        <v>1147</v>
      </c>
      <c r="F283" s="789"/>
      <c r="G283" s="92"/>
      <c r="H283" s="93"/>
      <c r="I283" s="92"/>
      <c r="J283" s="16"/>
      <c r="K283" s="36"/>
      <c r="L283" s="94"/>
      <c r="M283" s="20"/>
      <c r="N283" s="94"/>
      <c r="O283" s="94"/>
      <c r="P283" s="35"/>
      <c r="Q283" s="92"/>
    </row>
    <row r="284" spans="2:17" hidden="1">
      <c r="B284" s="21" t="s">
        <v>955</v>
      </c>
      <c r="C284" s="21"/>
      <c r="D284" s="3" t="s">
        <v>1519</v>
      </c>
      <c r="F284" s="32"/>
      <c r="G284" s="52"/>
      <c r="H284" s="53"/>
      <c r="I284" s="52"/>
      <c r="J284" s="16"/>
      <c r="K284" s="33"/>
      <c r="L284" s="54"/>
      <c r="M284" s="29"/>
      <c r="N284" s="54"/>
      <c r="O284" s="54"/>
      <c r="P284" s="30"/>
      <c r="Q284" s="40"/>
    </row>
    <row r="285" spans="2:17" hidden="1">
      <c r="B285" s="21" t="s">
        <v>956</v>
      </c>
      <c r="C285" s="21"/>
      <c r="D285" s="3" t="s">
        <v>1612</v>
      </c>
      <c r="F285" s="32"/>
      <c r="G285" s="52"/>
      <c r="H285" s="53"/>
      <c r="I285" s="52"/>
      <c r="J285" s="16"/>
      <c r="K285" s="33"/>
      <c r="L285" s="54"/>
      <c r="M285" s="29"/>
      <c r="N285" s="54"/>
      <c r="O285" s="54"/>
      <c r="P285" s="30"/>
      <c r="Q285" s="40"/>
    </row>
    <row r="286" spans="2:17" hidden="1">
      <c r="B286" s="21" t="s">
        <v>957</v>
      </c>
      <c r="D286" s="3" t="s">
        <v>675</v>
      </c>
      <c r="F286" s="5"/>
      <c r="J286" s="16"/>
      <c r="L286" s="20"/>
      <c r="M286" s="20"/>
      <c r="N286" s="20"/>
      <c r="O286" s="39"/>
      <c r="P286" s="35"/>
    </row>
    <row r="287" spans="2:17" ht="15" hidden="1" customHeight="1">
      <c r="B287" s="21" t="s">
        <v>958</v>
      </c>
      <c r="D287" s="3" t="s">
        <v>921</v>
      </c>
      <c r="F287" s="5"/>
      <c r="J287" s="16"/>
      <c r="L287" s="20"/>
      <c r="M287" s="20"/>
      <c r="N287" s="20"/>
      <c r="O287" s="39"/>
      <c r="P287" s="35"/>
    </row>
    <row r="288" spans="2:17" ht="15" hidden="1" customHeight="1">
      <c r="B288" s="21" t="s">
        <v>959</v>
      </c>
      <c r="D288" s="3" t="s">
        <v>524</v>
      </c>
      <c r="F288" s="5"/>
      <c r="J288" s="16"/>
      <c r="L288" s="20"/>
      <c r="M288" s="20"/>
      <c r="N288" s="20"/>
      <c r="O288" s="39"/>
      <c r="P288" s="35"/>
    </row>
    <row r="289" spans="2:17" hidden="1">
      <c r="B289" s="21" t="s">
        <v>960</v>
      </c>
      <c r="D289" s="3" t="s">
        <v>1110</v>
      </c>
      <c r="F289" s="789"/>
      <c r="G289" s="92"/>
      <c r="H289" s="93"/>
      <c r="I289" s="92"/>
      <c r="J289" s="16"/>
      <c r="K289" s="36"/>
      <c r="L289" s="94"/>
      <c r="M289" s="20"/>
      <c r="N289" s="94"/>
      <c r="O289" s="94"/>
      <c r="P289" s="35"/>
      <c r="Q289" s="92"/>
    </row>
    <row r="290" spans="2:17" hidden="1">
      <c r="B290" s="21" t="s">
        <v>961</v>
      </c>
      <c r="D290" s="99" t="s">
        <v>1628</v>
      </c>
      <c r="F290" s="789" t="s">
        <v>1863</v>
      </c>
      <c r="G290" s="92"/>
      <c r="H290" s="93"/>
      <c r="I290" s="92"/>
      <c r="J290" s="16"/>
      <c r="K290" s="36"/>
      <c r="L290" s="94"/>
      <c r="M290" s="20"/>
      <c r="N290" s="94"/>
      <c r="O290" s="94"/>
      <c r="P290" s="35"/>
      <c r="Q290" s="92"/>
    </row>
    <row r="291" spans="2:17" hidden="1">
      <c r="B291" s="21" t="s">
        <v>962</v>
      </c>
      <c r="D291" s="3" t="s">
        <v>1046</v>
      </c>
      <c r="F291" s="789"/>
      <c r="G291" s="92"/>
      <c r="H291" s="93"/>
      <c r="I291" s="92"/>
      <c r="J291" s="16"/>
      <c r="K291" s="36"/>
      <c r="L291" s="94"/>
      <c r="M291" s="20"/>
      <c r="N291" s="94"/>
      <c r="O291" s="94"/>
      <c r="P291" s="35"/>
      <c r="Q291" s="92"/>
    </row>
    <row r="292" spans="2:17" hidden="1">
      <c r="B292" s="21" t="s">
        <v>963</v>
      </c>
      <c r="C292" s="288"/>
      <c r="D292" s="3" t="s">
        <v>1812</v>
      </c>
      <c r="E292" s="289"/>
      <c r="F292" s="804"/>
      <c r="G292" s="296"/>
      <c r="H292" s="297"/>
      <c r="I292" s="296"/>
      <c r="J292" s="287"/>
      <c r="K292" s="298"/>
      <c r="L292" s="299"/>
      <c r="M292" s="300"/>
      <c r="N292" s="299"/>
      <c r="O292" s="299"/>
      <c r="P292" s="301"/>
      <c r="Q292" s="302"/>
    </row>
    <row r="293" spans="2:17" hidden="1">
      <c r="B293" s="21" t="s">
        <v>964</v>
      </c>
      <c r="D293" s="3" t="s">
        <v>1092</v>
      </c>
      <c r="F293" s="789"/>
      <c r="G293" s="92"/>
      <c r="H293" s="93"/>
      <c r="I293" s="92"/>
      <c r="J293" s="16"/>
      <c r="K293" s="36"/>
      <c r="L293" s="94"/>
      <c r="M293" s="20"/>
      <c r="N293" s="94"/>
      <c r="O293" s="94"/>
      <c r="P293" s="35"/>
      <c r="Q293" s="92"/>
    </row>
    <row r="294" spans="2:17" hidden="1">
      <c r="B294" s="21" t="s">
        <v>965</v>
      </c>
      <c r="D294" s="3" t="s">
        <v>995</v>
      </c>
      <c r="F294" s="5"/>
      <c r="J294" s="16"/>
      <c r="L294" s="20"/>
      <c r="M294" s="20"/>
      <c r="N294" s="20"/>
      <c r="O294" s="39"/>
      <c r="P294" s="35"/>
    </row>
    <row r="295" spans="2:17" hidden="1">
      <c r="B295" s="21" t="s">
        <v>966</v>
      </c>
      <c r="D295" s="3" t="s">
        <v>918</v>
      </c>
      <c r="F295" s="5"/>
      <c r="J295" s="16"/>
      <c r="L295" s="20"/>
      <c r="M295" s="20"/>
      <c r="N295" s="20"/>
      <c r="O295" s="39"/>
      <c r="P295" s="35"/>
    </row>
    <row r="296" spans="2:17" hidden="1">
      <c r="B296" s="21" t="s">
        <v>967</v>
      </c>
      <c r="D296" s="3" t="s">
        <v>682</v>
      </c>
      <c r="F296" s="5"/>
      <c r="J296" s="16"/>
      <c r="L296" s="20"/>
      <c r="M296" s="20"/>
      <c r="N296" s="20"/>
      <c r="O296" s="39"/>
      <c r="P296" s="35"/>
    </row>
    <row r="297" spans="2:17" hidden="1">
      <c r="B297" s="21" t="s">
        <v>968</v>
      </c>
      <c r="D297" s="3" t="s">
        <v>508</v>
      </c>
      <c r="F297" s="5"/>
      <c r="J297" s="16"/>
      <c r="L297" s="20"/>
      <c r="M297" s="20"/>
      <c r="N297" s="20"/>
      <c r="O297" s="39"/>
      <c r="P297" s="35"/>
    </row>
    <row r="298" spans="2:17" hidden="1">
      <c r="B298" s="21" t="s">
        <v>969</v>
      </c>
      <c r="D298" s="86" t="s">
        <v>2033</v>
      </c>
      <c r="F298" s="789"/>
      <c r="G298" s="92"/>
      <c r="H298" s="93"/>
      <c r="I298" s="92"/>
      <c r="J298" s="16"/>
      <c r="K298" s="36"/>
      <c r="L298" s="94"/>
      <c r="M298" s="20"/>
      <c r="N298" s="94"/>
      <c r="O298" s="94"/>
      <c r="P298" s="35"/>
      <c r="Q298" s="92"/>
    </row>
    <row r="299" spans="2:17" hidden="1">
      <c r="B299" s="21" t="s">
        <v>970</v>
      </c>
      <c r="C299" s="21"/>
      <c r="D299" s="3" t="s">
        <v>474</v>
      </c>
      <c r="F299" s="5"/>
      <c r="I299" s="36"/>
      <c r="J299" s="16"/>
      <c r="K299" s="21"/>
      <c r="L299" s="20"/>
      <c r="M299" s="29"/>
      <c r="N299" s="20"/>
      <c r="O299" s="56"/>
      <c r="P299" s="30"/>
      <c r="Q299" s="31"/>
    </row>
    <row r="300" spans="2:17" hidden="1">
      <c r="B300" s="21" t="s">
        <v>971</v>
      </c>
      <c r="C300" s="21"/>
      <c r="D300" s="3" t="s">
        <v>372</v>
      </c>
      <c r="F300" s="5"/>
      <c r="I300" s="36"/>
      <c r="J300" s="16"/>
      <c r="K300" s="21"/>
      <c r="L300" s="20"/>
      <c r="M300" s="29"/>
      <c r="N300" s="20"/>
      <c r="O300" s="56"/>
      <c r="P300" s="30"/>
      <c r="Q300" s="31"/>
    </row>
    <row r="301" spans="2:17" hidden="1">
      <c r="B301" s="21" t="s">
        <v>972</v>
      </c>
      <c r="C301" s="914"/>
      <c r="D301" s="3" t="s">
        <v>2093</v>
      </c>
      <c r="E301" s="3" t="s">
        <v>2093</v>
      </c>
      <c r="F301" s="789" t="s">
        <v>2094</v>
      </c>
      <c r="G301" s="916"/>
      <c r="H301" s="917"/>
      <c r="I301" s="916"/>
      <c r="J301" s="915"/>
      <c r="K301" s="926"/>
      <c r="L301" s="927"/>
      <c r="M301" s="928"/>
      <c r="N301" s="927"/>
      <c r="O301" s="929"/>
      <c r="P301" s="930"/>
      <c r="Q301" s="931"/>
    </row>
    <row r="302" spans="2:17" hidden="1">
      <c r="B302" s="21" t="s">
        <v>973</v>
      </c>
      <c r="C302" s="21"/>
      <c r="D302" s="3" t="s">
        <v>713</v>
      </c>
      <c r="F302" s="5"/>
      <c r="I302" s="36"/>
      <c r="J302" s="16"/>
      <c r="K302" s="21"/>
      <c r="L302" s="20"/>
      <c r="M302" s="29"/>
      <c r="N302" s="20"/>
      <c r="O302" s="56"/>
      <c r="P302" s="30"/>
      <c r="Q302" s="31"/>
    </row>
    <row r="303" spans="2:17" hidden="1">
      <c r="B303" s="21" t="s">
        <v>974</v>
      </c>
      <c r="C303" s="21"/>
      <c r="D303" s="3" t="s">
        <v>919</v>
      </c>
      <c r="F303" s="5"/>
      <c r="I303" s="36"/>
      <c r="J303" s="16"/>
      <c r="K303" s="21"/>
      <c r="L303" s="20"/>
      <c r="M303" s="29"/>
      <c r="N303" s="20"/>
      <c r="O303" s="56"/>
      <c r="P303" s="30"/>
      <c r="Q303" s="31"/>
    </row>
    <row r="304" spans="2:17" hidden="1">
      <c r="B304" s="21" t="s">
        <v>975</v>
      </c>
      <c r="C304" s="21"/>
      <c r="D304" s="3" t="s">
        <v>1105</v>
      </c>
      <c r="F304" s="789"/>
      <c r="G304" s="92"/>
      <c r="H304" s="93"/>
      <c r="I304" s="92"/>
      <c r="J304" s="16"/>
      <c r="K304" s="33"/>
      <c r="L304" s="94"/>
      <c r="M304" s="29"/>
      <c r="N304" s="94"/>
      <c r="O304" s="54"/>
      <c r="P304" s="30"/>
      <c r="Q304" s="40"/>
    </row>
    <row r="305" spans="2:17" hidden="1">
      <c r="B305" s="21" t="s">
        <v>976</v>
      </c>
      <c r="C305" s="21"/>
      <c r="D305" s="3" t="s">
        <v>317</v>
      </c>
      <c r="F305" s="5"/>
      <c r="I305" s="36"/>
      <c r="J305" s="16"/>
      <c r="K305" s="21"/>
      <c r="L305" s="20"/>
      <c r="M305" s="29"/>
      <c r="N305" s="20"/>
      <c r="O305" s="30"/>
      <c r="P305" s="27"/>
      <c r="Q305" s="31"/>
    </row>
    <row r="306" spans="2:17" hidden="1">
      <c r="B306" s="21" t="s">
        <v>977</v>
      </c>
      <c r="C306" s="21"/>
      <c r="D306" s="3" t="s">
        <v>1045</v>
      </c>
      <c r="F306" s="789"/>
      <c r="G306" s="92"/>
      <c r="H306" s="93"/>
      <c r="I306" s="92"/>
      <c r="J306" s="16"/>
      <c r="K306" s="33"/>
      <c r="L306" s="94"/>
      <c r="M306" s="29"/>
      <c r="N306" s="94"/>
      <c r="O306" s="54"/>
      <c r="P306" s="30"/>
      <c r="Q306" s="40"/>
    </row>
    <row r="307" spans="2:17" hidden="1">
      <c r="B307" s="21" t="s">
        <v>978</v>
      </c>
      <c r="C307" s="429"/>
      <c r="D307" s="57" t="s">
        <v>1898</v>
      </c>
      <c r="E307" s="430"/>
      <c r="F307" s="807"/>
      <c r="G307" s="431"/>
      <c r="H307" s="432"/>
      <c r="I307" s="431"/>
      <c r="J307" s="433"/>
      <c r="K307" s="434"/>
      <c r="L307" s="435"/>
      <c r="M307" s="436"/>
      <c r="N307" s="435"/>
      <c r="O307" s="435"/>
      <c r="P307" s="437"/>
      <c r="Q307" s="438"/>
    </row>
    <row r="308" spans="2:17" hidden="1">
      <c r="B308" s="21" t="s">
        <v>979</v>
      </c>
      <c r="C308" s="21"/>
      <c r="D308" s="3" t="s">
        <v>723</v>
      </c>
      <c r="F308" s="5"/>
      <c r="I308" s="36"/>
      <c r="J308" s="16"/>
      <c r="K308" s="21"/>
      <c r="L308" s="20"/>
      <c r="M308" s="29"/>
      <c r="N308" s="20"/>
      <c r="O308" s="56"/>
      <c r="P308" s="30"/>
      <c r="Q308" s="31"/>
    </row>
    <row r="309" spans="2:17" hidden="1">
      <c r="B309" s="21" t="s">
        <v>980</v>
      </c>
      <c r="C309" s="21"/>
      <c r="D309" s="3" t="s">
        <v>488</v>
      </c>
      <c r="F309" s="5"/>
      <c r="I309" s="36"/>
      <c r="J309" s="16"/>
      <c r="K309" s="21"/>
      <c r="L309" s="20"/>
      <c r="M309" s="29"/>
      <c r="N309" s="20"/>
      <c r="O309" s="56"/>
      <c r="P309" s="30"/>
      <c r="Q309" s="31"/>
    </row>
    <row r="310" spans="2:17" hidden="1">
      <c r="B310" s="21" t="s">
        <v>1004</v>
      </c>
      <c r="C310" s="344"/>
      <c r="D310" s="86" t="s">
        <v>1838</v>
      </c>
      <c r="E310" s="22" t="s">
        <v>1933</v>
      </c>
      <c r="F310" s="789" t="s">
        <v>1934</v>
      </c>
      <c r="G310" s="346"/>
      <c r="H310" s="347"/>
      <c r="I310" s="346"/>
      <c r="J310" s="343"/>
      <c r="K310" s="348"/>
      <c r="L310" s="349"/>
      <c r="M310" s="350"/>
      <c r="N310" s="351"/>
      <c r="O310" s="351"/>
      <c r="P310" s="352"/>
      <c r="Q310" s="353"/>
    </row>
    <row r="311" spans="2:17" hidden="1">
      <c r="B311" s="21" t="s">
        <v>1005</v>
      </c>
      <c r="C311" s="21"/>
      <c r="D311" s="3" t="s">
        <v>256</v>
      </c>
      <c r="F311" s="32"/>
      <c r="G311" s="23"/>
      <c r="H311" s="32"/>
      <c r="I311" s="23"/>
      <c r="J311" s="16"/>
      <c r="K311" s="33"/>
      <c r="L311" s="34"/>
      <c r="M311" s="29"/>
      <c r="N311" s="34"/>
      <c r="O311" s="23"/>
      <c r="P311" s="27"/>
      <c r="Q311" s="28"/>
    </row>
    <row r="312" spans="2:17" hidden="1">
      <c r="B312" s="21" t="s">
        <v>1006</v>
      </c>
      <c r="C312" s="841"/>
      <c r="D312" s="3" t="s">
        <v>2055</v>
      </c>
      <c r="E312" s="844"/>
      <c r="F312" s="845"/>
      <c r="G312" s="846"/>
      <c r="H312" s="847"/>
      <c r="I312" s="846"/>
      <c r="J312" s="842"/>
      <c r="K312" s="854"/>
      <c r="L312" s="855"/>
      <c r="M312" s="856"/>
      <c r="N312" s="855"/>
      <c r="O312" s="857"/>
      <c r="P312" s="858"/>
      <c r="Q312" s="859"/>
    </row>
    <row r="313" spans="2:17" hidden="1">
      <c r="B313" s="21" t="s">
        <v>1007</v>
      </c>
      <c r="C313" s="21"/>
      <c r="D313" s="3" t="s">
        <v>480</v>
      </c>
      <c r="F313" s="32"/>
      <c r="G313" s="52"/>
      <c r="H313" s="53"/>
      <c r="I313" s="52"/>
      <c r="J313" s="16"/>
      <c r="K313" s="33"/>
      <c r="L313" s="54"/>
      <c r="M313" s="29"/>
      <c r="N313" s="54"/>
      <c r="O313" s="54"/>
      <c r="P313" s="30"/>
      <c r="Q313" s="40"/>
    </row>
    <row r="314" spans="2:17" hidden="1">
      <c r="B314" s="21" t="s">
        <v>1008</v>
      </c>
      <c r="C314" s="21"/>
      <c r="D314" s="3" t="s">
        <v>751</v>
      </c>
      <c r="F314" s="32"/>
      <c r="G314" s="52"/>
      <c r="H314" s="53"/>
      <c r="I314" s="52"/>
      <c r="J314" s="16"/>
      <c r="K314" s="33"/>
      <c r="L314" s="54"/>
      <c r="M314" s="29"/>
      <c r="N314" s="54"/>
      <c r="O314" s="54"/>
      <c r="P314" s="30"/>
      <c r="Q314" s="40"/>
    </row>
    <row r="315" spans="2:17" hidden="1">
      <c r="B315" s="21" t="s">
        <v>1009</v>
      </c>
      <c r="C315" s="21"/>
      <c r="D315" s="3" t="s">
        <v>883</v>
      </c>
      <c r="F315" s="5"/>
      <c r="I315" s="36"/>
      <c r="J315" s="16"/>
      <c r="K315" s="21"/>
      <c r="L315" s="20"/>
      <c r="M315" s="29"/>
      <c r="N315" s="20"/>
      <c r="O315" s="56"/>
      <c r="P315" s="30"/>
      <c r="Q315" s="31"/>
    </row>
    <row r="316" spans="2:17" hidden="1">
      <c r="B316" s="21" t="s">
        <v>1010</v>
      </c>
      <c r="C316" s="21"/>
      <c r="D316" s="3" t="s">
        <v>735</v>
      </c>
      <c r="F316" s="32"/>
      <c r="G316" s="52"/>
      <c r="H316" s="53"/>
      <c r="I316" s="52"/>
      <c r="J316" s="16"/>
      <c r="K316" s="33"/>
      <c r="L316" s="54"/>
      <c r="M316" s="29"/>
      <c r="N316" s="54"/>
      <c r="O316" s="54"/>
      <c r="P316" s="30"/>
      <c r="Q316" s="40"/>
    </row>
    <row r="317" spans="2:17" hidden="1">
      <c r="B317" s="21" t="s">
        <v>1011</v>
      </c>
      <c r="C317" s="21"/>
      <c r="D317" s="3" t="s">
        <v>517</v>
      </c>
      <c r="F317" s="5"/>
      <c r="I317" s="36"/>
      <c r="J317" s="16"/>
      <c r="K317" s="21"/>
      <c r="L317" s="20"/>
      <c r="M317" s="29"/>
      <c r="N317" s="20"/>
      <c r="O317" s="56"/>
      <c r="P317" s="30"/>
      <c r="Q317" s="31"/>
    </row>
    <row r="318" spans="2:17" hidden="1">
      <c r="B318" s="21" t="s">
        <v>1012</v>
      </c>
      <c r="C318" s="770"/>
      <c r="D318" s="85" t="s">
        <v>2021</v>
      </c>
      <c r="E318" s="771"/>
      <c r="F318" s="789" t="s">
        <v>2022</v>
      </c>
      <c r="G318" s="772"/>
      <c r="H318" s="773"/>
      <c r="I318" s="772"/>
      <c r="J318" s="774"/>
      <c r="K318" s="775"/>
      <c r="L318" s="776"/>
      <c r="M318" s="777"/>
      <c r="N318" s="776"/>
      <c r="O318" s="778"/>
      <c r="P318" s="779"/>
      <c r="Q318" s="780"/>
    </row>
    <row r="319" spans="2:17" hidden="1">
      <c r="B319" s="21" t="s">
        <v>1013</v>
      </c>
      <c r="C319" s="315"/>
      <c r="D319" s="3" t="s">
        <v>1823</v>
      </c>
      <c r="E319" s="316"/>
      <c r="F319" s="794"/>
      <c r="G319" s="317"/>
      <c r="H319" s="318"/>
      <c r="I319" s="317"/>
      <c r="J319" s="315"/>
      <c r="K319" s="319"/>
      <c r="L319" s="320"/>
      <c r="M319" s="321"/>
      <c r="N319" s="320"/>
      <c r="O319" s="320"/>
      <c r="P319" s="322"/>
      <c r="Q319" s="317"/>
    </row>
    <row r="320" spans="2:17" hidden="1">
      <c r="B320" s="21" t="s">
        <v>1014</v>
      </c>
      <c r="C320" s="903"/>
      <c r="D320" s="3" t="s">
        <v>2076</v>
      </c>
      <c r="E320" s="904"/>
      <c r="F320" s="905"/>
      <c r="G320" s="906"/>
      <c r="H320" s="907"/>
      <c r="I320" s="906"/>
      <c r="J320" s="903"/>
      <c r="K320" s="908"/>
      <c r="L320" s="909"/>
      <c r="M320" s="910"/>
      <c r="N320" s="909"/>
      <c r="O320" s="909"/>
      <c r="P320" s="911"/>
      <c r="Q320" s="906"/>
    </row>
    <row r="321" spans="2:17" hidden="1">
      <c r="B321" s="21" t="s">
        <v>1015</v>
      </c>
      <c r="C321" s="21"/>
      <c r="D321" s="3" t="s">
        <v>493</v>
      </c>
      <c r="F321" s="32"/>
      <c r="G321" s="52"/>
      <c r="H321" s="53"/>
      <c r="I321" s="52"/>
      <c r="J321" s="16"/>
      <c r="K321" s="33"/>
      <c r="L321" s="54"/>
      <c r="M321" s="29"/>
      <c r="N321" s="54"/>
      <c r="O321" s="54"/>
      <c r="P321" s="30"/>
      <c r="Q321" s="40"/>
    </row>
    <row r="322" spans="2:17" hidden="1">
      <c r="B322" s="21" t="s">
        <v>1016</v>
      </c>
      <c r="C322" s="21"/>
      <c r="D322" s="95" t="s">
        <v>1099</v>
      </c>
      <c r="F322" s="32"/>
      <c r="G322" s="52"/>
      <c r="H322" s="53"/>
      <c r="I322" s="52"/>
      <c r="J322" s="16"/>
      <c r="K322" s="33"/>
      <c r="L322" s="54"/>
      <c r="M322" s="29"/>
      <c r="N322" s="54"/>
      <c r="O322" s="54"/>
      <c r="P322" s="30"/>
      <c r="Q322" s="40"/>
    </row>
    <row r="323" spans="2:17" hidden="1">
      <c r="B323" s="21" t="s">
        <v>1017</v>
      </c>
      <c r="C323" s="21"/>
      <c r="D323" s="3" t="s">
        <v>584</v>
      </c>
      <c r="F323" s="32"/>
      <c r="G323" s="52"/>
      <c r="H323" s="53"/>
      <c r="I323" s="52"/>
      <c r="J323" s="16"/>
      <c r="K323" s="33"/>
      <c r="L323" s="54"/>
      <c r="M323" s="29"/>
      <c r="N323" s="54"/>
      <c r="O323" s="54"/>
      <c r="P323" s="30"/>
      <c r="Q323" s="40"/>
    </row>
    <row r="324" spans="2:17" hidden="1">
      <c r="B324" s="21" t="s">
        <v>1018</v>
      </c>
      <c r="C324" s="21"/>
      <c r="D324" s="3" t="s">
        <v>693</v>
      </c>
      <c r="F324" s="32"/>
      <c r="G324" s="52"/>
      <c r="H324" s="53"/>
      <c r="I324" s="52"/>
      <c r="J324" s="16"/>
      <c r="K324" s="33"/>
      <c r="L324" s="54"/>
      <c r="M324" s="29"/>
      <c r="N324" s="54"/>
      <c r="O324" s="54"/>
      <c r="P324" s="30"/>
      <c r="Q324" s="40"/>
    </row>
    <row r="325" spans="2:17" hidden="1">
      <c r="B325" s="21" t="s">
        <v>1019</v>
      </c>
      <c r="C325" s="21"/>
      <c r="D325" s="3" t="s">
        <v>929</v>
      </c>
      <c r="F325" s="32"/>
      <c r="G325" s="52"/>
      <c r="H325" s="53"/>
      <c r="I325" s="52"/>
      <c r="J325" s="16"/>
      <c r="K325" s="33"/>
      <c r="L325" s="54"/>
      <c r="M325" s="29"/>
      <c r="N325" s="54"/>
      <c r="O325" s="54"/>
      <c r="P325" s="30"/>
      <c r="Q325" s="40"/>
    </row>
    <row r="326" spans="2:17" hidden="1">
      <c r="B326" s="21" t="s">
        <v>1020</v>
      </c>
      <c r="C326" s="21"/>
      <c r="D326" s="3" t="s">
        <v>325</v>
      </c>
      <c r="F326" s="32"/>
      <c r="G326" s="52"/>
      <c r="H326" s="53"/>
      <c r="I326" s="52"/>
      <c r="J326" s="16"/>
      <c r="K326" s="33"/>
      <c r="L326" s="54"/>
      <c r="M326" s="29"/>
      <c r="N326" s="54"/>
      <c r="O326" s="54"/>
      <c r="P326" s="30"/>
      <c r="Q326" s="40"/>
    </row>
    <row r="327" spans="2:17" hidden="1">
      <c r="B327" s="21" t="s">
        <v>1021</v>
      </c>
      <c r="C327" s="21"/>
      <c r="D327" s="3" t="s">
        <v>551</v>
      </c>
      <c r="F327" s="32"/>
      <c r="G327" s="52"/>
      <c r="H327" s="53"/>
      <c r="I327" s="52"/>
      <c r="J327" s="16"/>
      <c r="K327" s="33"/>
      <c r="L327" s="54"/>
      <c r="M327" s="29"/>
      <c r="N327" s="54"/>
      <c r="O327" s="54"/>
      <c r="P327" s="30"/>
      <c r="Q327" s="40"/>
    </row>
    <row r="328" spans="2:17" hidden="1">
      <c r="B328" s="21" t="s">
        <v>1025</v>
      </c>
      <c r="C328" s="21"/>
      <c r="D328" s="3" t="s">
        <v>255</v>
      </c>
      <c r="F328" s="32"/>
      <c r="G328" s="52"/>
      <c r="H328" s="53"/>
      <c r="I328" s="52"/>
      <c r="J328" s="16"/>
      <c r="K328" s="33"/>
      <c r="L328" s="54"/>
      <c r="M328" s="29"/>
      <c r="N328" s="54"/>
      <c r="O328" s="54"/>
      <c r="P328" s="30"/>
      <c r="Q328" s="40"/>
    </row>
    <row r="329" spans="2:17" hidden="1">
      <c r="B329" s="21" t="s">
        <v>1028</v>
      </c>
      <c r="C329" s="21"/>
      <c r="D329" s="3" t="s">
        <v>396</v>
      </c>
      <c r="F329" s="32"/>
      <c r="G329" s="52"/>
      <c r="H329" s="53"/>
      <c r="I329" s="52"/>
      <c r="J329" s="16"/>
      <c r="K329" s="33"/>
      <c r="L329" s="54"/>
      <c r="M329" s="29"/>
      <c r="N329" s="54"/>
      <c r="O329" s="54"/>
      <c r="P329" s="30"/>
      <c r="Q329" s="40"/>
    </row>
    <row r="330" spans="2:17" hidden="1">
      <c r="B330" s="21" t="s">
        <v>1029</v>
      </c>
      <c r="C330" s="21"/>
      <c r="D330" s="3" t="s">
        <v>1156</v>
      </c>
      <c r="E330" s="22" t="s">
        <v>1157</v>
      </c>
      <c r="F330" s="32"/>
      <c r="G330" s="52"/>
      <c r="H330" s="53"/>
      <c r="I330" s="52"/>
      <c r="J330" s="16"/>
      <c r="K330" s="33"/>
      <c r="L330" s="54"/>
      <c r="M330" s="29"/>
      <c r="N330" s="54"/>
      <c r="O330" s="54"/>
      <c r="P330" s="30"/>
      <c r="Q330" s="40"/>
    </row>
    <row r="331" spans="2:17" hidden="1">
      <c r="B331" s="21" t="s">
        <v>1060</v>
      </c>
      <c r="C331" s="21"/>
      <c r="D331" s="3" t="s">
        <v>522</v>
      </c>
      <c r="F331" s="32"/>
      <c r="G331" s="52"/>
      <c r="H331" s="53"/>
      <c r="I331" s="52"/>
      <c r="J331" s="16"/>
      <c r="K331" s="33"/>
      <c r="L331" s="54"/>
      <c r="M331" s="29"/>
      <c r="N331" s="54"/>
      <c r="O331" s="54"/>
      <c r="P331" s="30"/>
      <c r="Q331" s="40"/>
    </row>
    <row r="332" spans="2:17" hidden="1">
      <c r="B332" s="21" t="s">
        <v>1061</v>
      </c>
      <c r="C332" s="21"/>
      <c r="D332" s="3" t="s">
        <v>808</v>
      </c>
      <c r="F332" s="83" t="s">
        <v>1753</v>
      </c>
      <c r="G332" s="16" t="s">
        <v>1190</v>
      </c>
      <c r="H332" s="269" t="s">
        <v>1754</v>
      </c>
      <c r="I332" s="36">
        <v>71953000</v>
      </c>
      <c r="J332" s="16"/>
      <c r="K332" s="21"/>
      <c r="L332" s="20">
        <v>45630</v>
      </c>
      <c r="M332" s="29">
        <v>45995</v>
      </c>
      <c r="N332" s="20"/>
      <c r="O332" s="56"/>
      <c r="P332" s="30"/>
      <c r="Q332" s="31"/>
    </row>
    <row r="333" spans="2:17" hidden="1">
      <c r="B333" s="21" t="s">
        <v>1062</v>
      </c>
      <c r="C333" s="21"/>
      <c r="D333" s="3" t="s">
        <v>1076</v>
      </c>
      <c r="F333" s="789"/>
      <c r="G333" s="92"/>
      <c r="H333" s="93"/>
      <c r="I333" s="92"/>
      <c r="J333" s="16"/>
      <c r="K333" s="33"/>
      <c r="L333" s="94"/>
      <c r="M333" s="29"/>
      <c r="N333" s="94"/>
      <c r="O333" s="54"/>
      <c r="P333" s="30"/>
      <c r="Q333" s="40"/>
    </row>
    <row r="334" spans="2:17" hidden="1">
      <c r="B334" s="21" t="s">
        <v>1063</v>
      </c>
      <c r="C334" s="21"/>
      <c r="D334" s="3" t="s">
        <v>1093</v>
      </c>
      <c r="F334" s="32"/>
      <c r="G334" s="52"/>
      <c r="H334" s="53"/>
      <c r="I334" s="52"/>
      <c r="J334" s="16"/>
      <c r="K334" s="33"/>
      <c r="L334" s="54"/>
      <c r="M334" s="29"/>
      <c r="N334" s="54"/>
      <c r="O334" s="54"/>
      <c r="P334" s="30"/>
      <c r="Q334" s="40"/>
    </row>
    <row r="335" spans="2:17" hidden="1">
      <c r="B335" s="21" t="s">
        <v>1064</v>
      </c>
      <c r="C335" s="21"/>
      <c r="D335" s="3" t="s">
        <v>282</v>
      </c>
      <c r="F335" s="32"/>
      <c r="G335" s="52"/>
      <c r="H335" s="53"/>
      <c r="I335" s="52"/>
      <c r="J335" s="16"/>
      <c r="K335" s="33"/>
      <c r="L335" s="54"/>
      <c r="M335" s="29"/>
      <c r="N335" s="54"/>
      <c r="O335" s="54"/>
      <c r="P335" s="30"/>
      <c r="Q335" s="40"/>
    </row>
    <row r="336" spans="2:17" hidden="1">
      <c r="B336" s="21" t="s">
        <v>1065</v>
      </c>
      <c r="C336" s="21"/>
      <c r="D336" s="3" t="s">
        <v>329</v>
      </c>
      <c r="F336" s="32"/>
      <c r="G336" s="23"/>
      <c r="H336" s="24"/>
      <c r="I336" s="23"/>
      <c r="J336" s="16"/>
      <c r="K336" s="25"/>
      <c r="L336" s="26"/>
      <c r="M336" s="26"/>
      <c r="N336" s="26"/>
      <c r="O336" s="23"/>
      <c r="P336" s="27"/>
      <c r="Q336" s="28"/>
    </row>
    <row r="337" spans="2:17" hidden="1">
      <c r="B337" s="21" t="s">
        <v>1066</v>
      </c>
      <c r="C337" s="21"/>
      <c r="D337" s="3" t="s">
        <v>1048</v>
      </c>
      <c r="F337" s="32"/>
      <c r="G337" s="52"/>
      <c r="H337" s="53"/>
      <c r="I337" s="52"/>
      <c r="J337" s="16"/>
      <c r="K337" s="89"/>
      <c r="L337" s="67"/>
      <c r="M337" s="67"/>
      <c r="N337" s="67"/>
      <c r="O337" s="54"/>
      <c r="P337" s="30"/>
      <c r="Q337" s="40"/>
    </row>
    <row r="338" spans="2:17" hidden="1">
      <c r="B338" s="21" t="s">
        <v>1067</v>
      </c>
      <c r="C338" s="21"/>
      <c r="D338" s="3" t="s">
        <v>739</v>
      </c>
      <c r="F338" s="32"/>
      <c r="G338" s="52"/>
      <c r="H338" s="53"/>
      <c r="I338" s="52"/>
      <c r="J338" s="16"/>
      <c r="K338" s="66"/>
      <c r="L338" s="67"/>
      <c r="M338" s="67"/>
      <c r="N338" s="67"/>
      <c r="O338" s="54"/>
      <c r="P338" s="30"/>
      <c r="Q338" s="40"/>
    </row>
    <row r="339" spans="2:17" hidden="1">
      <c r="B339" s="21" t="s">
        <v>1068</v>
      </c>
      <c r="C339" s="21"/>
      <c r="D339" s="3" t="s">
        <v>451</v>
      </c>
      <c r="F339" s="32"/>
      <c r="G339" s="52"/>
      <c r="H339" s="53"/>
      <c r="I339" s="52"/>
      <c r="J339" s="16"/>
      <c r="K339" s="66"/>
      <c r="L339" s="67"/>
      <c r="M339" s="67"/>
      <c r="N339" s="67"/>
      <c r="O339" s="54"/>
      <c r="P339" s="30"/>
      <c r="Q339" s="40"/>
    </row>
    <row r="340" spans="2:17" hidden="1">
      <c r="B340" s="21" t="s">
        <v>1069</v>
      </c>
      <c r="C340" s="21"/>
      <c r="D340" s="3" t="s">
        <v>1047</v>
      </c>
      <c r="F340" s="32"/>
      <c r="G340" s="52"/>
      <c r="H340" s="53"/>
      <c r="I340" s="52"/>
      <c r="J340" s="16"/>
      <c r="K340" s="89"/>
      <c r="L340" s="67"/>
      <c r="M340" s="67"/>
      <c r="N340" s="67"/>
      <c r="O340" s="54"/>
      <c r="P340" s="30"/>
      <c r="Q340" s="40"/>
    </row>
    <row r="341" spans="2:17" hidden="1">
      <c r="B341" s="21" t="s">
        <v>1524</v>
      </c>
      <c r="C341" s="21"/>
      <c r="D341" s="3" t="s">
        <v>795</v>
      </c>
      <c r="F341" s="32"/>
      <c r="G341" s="52"/>
      <c r="H341" s="53"/>
      <c r="I341" s="52"/>
      <c r="J341" s="16"/>
      <c r="K341" s="66"/>
      <c r="L341" s="67"/>
      <c r="M341" s="67"/>
      <c r="N341" s="67"/>
      <c r="O341" s="54"/>
      <c r="P341" s="30"/>
      <c r="Q341" s="40"/>
    </row>
    <row r="342" spans="2:17" hidden="1">
      <c r="B342" s="21" t="s">
        <v>1525</v>
      </c>
      <c r="C342" s="21"/>
      <c r="D342" s="3" t="s">
        <v>1107</v>
      </c>
      <c r="F342" s="32"/>
      <c r="G342" s="52"/>
      <c r="H342" s="53"/>
      <c r="I342" s="52"/>
      <c r="J342" s="16"/>
      <c r="K342" s="33"/>
      <c r="L342" s="54"/>
      <c r="M342" s="29"/>
      <c r="N342" s="54"/>
      <c r="O342" s="54"/>
      <c r="P342" s="30"/>
      <c r="Q342" s="40"/>
    </row>
    <row r="343" spans="2:17" hidden="1">
      <c r="B343" s="21" t="s">
        <v>1526</v>
      </c>
      <c r="C343" s="21"/>
      <c r="D343" s="3" t="s">
        <v>591</v>
      </c>
      <c r="F343" s="32"/>
      <c r="G343" s="52"/>
      <c r="H343" s="53"/>
      <c r="I343" s="52"/>
      <c r="J343" s="16"/>
      <c r="K343" s="33"/>
      <c r="L343" s="54"/>
      <c r="M343" s="29"/>
      <c r="N343" s="54"/>
      <c r="O343" s="54"/>
      <c r="P343" s="30"/>
      <c r="Q343" s="40"/>
    </row>
    <row r="344" spans="2:17" hidden="1">
      <c r="B344" s="21" t="s">
        <v>1527</v>
      </c>
      <c r="C344" s="21"/>
      <c r="D344" s="3" t="s">
        <v>877</v>
      </c>
      <c r="F344" s="32"/>
      <c r="G344" s="52"/>
      <c r="H344" s="53"/>
      <c r="I344" s="52"/>
      <c r="J344" s="16"/>
      <c r="K344" s="33"/>
      <c r="L344" s="54"/>
      <c r="M344" s="29"/>
      <c r="N344" s="54"/>
      <c r="O344" s="54"/>
      <c r="P344" s="30"/>
      <c r="Q344" s="40"/>
    </row>
    <row r="345" spans="2:17" hidden="1">
      <c r="B345" s="21" t="s">
        <v>1528</v>
      </c>
      <c r="C345" s="597"/>
      <c r="D345" s="3" t="s">
        <v>1960</v>
      </c>
      <c r="E345" s="3" t="s">
        <v>1960</v>
      </c>
      <c r="F345" s="808" t="s">
        <v>1959</v>
      </c>
      <c r="G345" s="599"/>
      <c r="H345" s="600"/>
      <c r="I345" s="599"/>
      <c r="J345" s="601"/>
      <c r="K345" s="602"/>
      <c r="L345" s="603"/>
      <c r="M345" s="604"/>
      <c r="N345" s="603"/>
      <c r="O345" s="605"/>
      <c r="P345" s="606"/>
      <c r="Q345" s="607"/>
    </row>
    <row r="346" spans="2:17" hidden="1">
      <c r="B346" s="21" t="s">
        <v>1529</v>
      </c>
      <c r="C346" s="21"/>
      <c r="D346" s="3" t="s">
        <v>376</v>
      </c>
      <c r="F346" s="32"/>
      <c r="G346" s="52"/>
      <c r="H346" s="53"/>
      <c r="I346" s="52"/>
      <c r="J346" s="16"/>
      <c r="K346" s="33"/>
      <c r="L346" s="54"/>
      <c r="M346" s="29"/>
      <c r="N346" s="54"/>
      <c r="O346" s="54"/>
      <c r="P346" s="30"/>
      <c r="Q346" s="40"/>
    </row>
    <row r="347" spans="2:17" hidden="1">
      <c r="B347" s="21" t="s">
        <v>1530</v>
      </c>
      <c r="C347" s="21"/>
      <c r="D347" s="3" t="s">
        <v>720</v>
      </c>
      <c r="F347" s="32"/>
      <c r="G347" s="52"/>
      <c r="H347" s="53"/>
      <c r="I347" s="52"/>
      <c r="J347" s="16"/>
      <c r="K347" s="33"/>
      <c r="L347" s="54"/>
      <c r="M347" s="29"/>
      <c r="N347" s="54"/>
      <c r="O347" s="54"/>
      <c r="P347" s="30"/>
      <c r="Q347" s="40"/>
    </row>
    <row r="348" spans="2:17" hidden="1">
      <c r="B348" s="21" t="s">
        <v>1531</v>
      </c>
      <c r="C348" s="21"/>
      <c r="D348" s="3" t="s">
        <v>350</v>
      </c>
      <c r="F348" s="32"/>
      <c r="G348" s="52"/>
      <c r="H348" s="53"/>
      <c r="I348" s="52"/>
      <c r="J348" s="16"/>
      <c r="K348" s="33"/>
      <c r="L348" s="54"/>
      <c r="M348" s="29"/>
      <c r="N348" s="54"/>
      <c r="O348" s="54"/>
      <c r="P348" s="30"/>
      <c r="Q348" s="40"/>
    </row>
    <row r="349" spans="2:17" hidden="1">
      <c r="B349" s="21" t="s">
        <v>1532</v>
      </c>
      <c r="C349" s="21"/>
      <c r="D349" s="3" t="s">
        <v>810</v>
      </c>
      <c r="F349" s="32"/>
      <c r="G349" s="52"/>
      <c r="H349" s="53"/>
      <c r="I349" s="52"/>
      <c r="J349" s="16"/>
      <c r="K349" s="33"/>
      <c r="L349" s="54"/>
      <c r="M349" s="29"/>
      <c r="N349" s="54"/>
      <c r="O349" s="54"/>
      <c r="P349" s="30"/>
      <c r="Q349" s="40"/>
    </row>
    <row r="350" spans="2:17" hidden="1">
      <c r="B350" s="21" t="s">
        <v>1533</v>
      </c>
      <c r="C350" s="21"/>
      <c r="D350" s="3" t="s">
        <v>890</v>
      </c>
      <c r="F350" s="32"/>
      <c r="G350" s="52"/>
      <c r="H350" s="53"/>
      <c r="I350" s="52"/>
      <c r="J350" s="16"/>
      <c r="K350" s="33"/>
      <c r="L350" s="54"/>
      <c r="M350" s="29"/>
      <c r="N350" s="54"/>
      <c r="O350" s="54"/>
      <c r="P350" s="30"/>
      <c r="Q350" s="40"/>
    </row>
    <row r="351" spans="2:17" hidden="1">
      <c r="B351" s="21" t="s">
        <v>1534</v>
      </c>
      <c r="C351" s="914"/>
      <c r="D351" s="3" t="s">
        <v>2091</v>
      </c>
      <c r="E351" s="925"/>
      <c r="F351" s="924"/>
      <c r="G351" s="916"/>
      <c r="H351" s="917"/>
      <c r="I351" s="916"/>
      <c r="J351" s="915"/>
      <c r="K351" s="926"/>
      <c r="L351" s="927"/>
      <c r="M351" s="928"/>
      <c r="N351" s="927"/>
      <c r="O351" s="929"/>
      <c r="P351" s="930"/>
      <c r="Q351" s="931"/>
    </row>
    <row r="352" spans="2:17" hidden="1">
      <c r="B352" s="21" t="s">
        <v>1535</v>
      </c>
      <c r="C352" s="597"/>
      <c r="D352" s="3" t="s">
        <v>1978</v>
      </c>
      <c r="E352" s="22" t="s">
        <v>1976</v>
      </c>
      <c r="F352" s="789" t="s">
        <v>1977</v>
      </c>
      <c r="G352" s="599"/>
      <c r="H352" s="600"/>
      <c r="I352" s="599"/>
      <c r="J352" s="601"/>
      <c r="K352" s="602"/>
      <c r="L352" s="603"/>
      <c r="M352" s="604"/>
      <c r="N352" s="603"/>
      <c r="O352" s="605"/>
      <c r="P352" s="606"/>
      <c r="Q352" s="607"/>
    </row>
    <row r="353" spans="2:17" hidden="1">
      <c r="B353" s="21" t="s">
        <v>1536</v>
      </c>
      <c r="C353" s="21"/>
      <c r="D353" s="3" t="s">
        <v>561</v>
      </c>
      <c r="F353" s="32"/>
      <c r="G353" s="52"/>
      <c r="H353" s="53"/>
      <c r="I353" s="52"/>
      <c r="J353" s="16"/>
      <c r="K353" s="33"/>
      <c r="L353" s="54"/>
      <c r="M353" s="29"/>
      <c r="N353" s="54"/>
      <c r="O353" s="54"/>
      <c r="P353" s="30"/>
      <c r="Q353" s="40"/>
    </row>
    <row r="354" spans="2:17" hidden="1">
      <c r="B354" s="21" t="s">
        <v>1537</v>
      </c>
      <c r="C354" s="21"/>
      <c r="D354" s="3" t="s">
        <v>1118</v>
      </c>
      <c r="F354" s="32"/>
      <c r="G354" s="52"/>
      <c r="H354" s="53"/>
      <c r="I354" s="52"/>
      <c r="J354" s="16"/>
      <c r="K354" s="33"/>
      <c r="L354" s="54"/>
      <c r="M354" s="29"/>
      <c r="N354" s="54"/>
      <c r="O354" s="54"/>
      <c r="P354" s="30"/>
      <c r="Q354" s="40"/>
    </row>
    <row r="355" spans="2:17" ht="15" hidden="1" customHeight="1">
      <c r="B355" s="21" t="s">
        <v>1538</v>
      </c>
      <c r="C355" s="21"/>
      <c r="D355" s="3" t="s">
        <v>257</v>
      </c>
      <c r="F355" s="32"/>
      <c r="G355" s="52"/>
      <c r="H355" s="53"/>
      <c r="I355" s="52"/>
      <c r="J355" s="16"/>
      <c r="K355" s="33"/>
      <c r="L355" s="54"/>
      <c r="M355" s="29"/>
      <c r="N355" s="54"/>
      <c r="O355" s="54"/>
      <c r="P355" s="30"/>
      <c r="Q355" s="40"/>
    </row>
    <row r="356" spans="2:17" ht="15" hidden="1" customHeight="1">
      <c r="B356" s="21" t="s">
        <v>1539</v>
      </c>
      <c r="C356" s="21"/>
      <c r="D356" s="3" t="s">
        <v>1135</v>
      </c>
      <c r="F356" s="32"/>
      <c r="G356" s="52"/>
      <c r="H356" s="53"/>
      <c r="I356" s="52"/>
      <c r="J356" s="16"/>
      <c r="K356" s="33"/>
      <c r="L356" s="54"/>
      <c r="M356" s="29"/>
      <c r="N356" s="54"/>
      <c r="O356" s="54"/>
      <c r="P356" s="30"/>
      <c r="Q356" s="40"/>
    </row>
    <row r="357" spans="2:17" hidden="1">
      <c r="B357" s="21" t="s">
        <v>1540</v>
      </c>
      <c r="C357" s="1086"/>
      <c r="D357" s="3" t="s">
        <v>2285</v>
      </c>
      <c r="E357" s="1087"/>
      <c r="F357" s="1088"/>
      <c r="G357" s="1089"/>
      <c r="H357" s="1090"/>
      <c r="I357" s="1089"/>
      <c r="J357" s="1086"/>
      <c r="K357" s="1091"/>
      <c r="L357" s="1092"/>
      <c r="M357" s="1093"/>
      <c r="N357" s="1092"/>
      <c r="O357" s="1092"/>
      <c r="P357" s="1094"/>
      <c r="Q357" s="1089"/>
    </row>
    <row r="358" spans="2:17" hidden="1">
      <c r="B358" s="21" t="s">
        <v>1541</v>
      </c>
      <c r="C358" s="403"/>
      <c r="D358" s="3" t="s">
        <v>1869</v>
      </c>
      <c r="E358" s="404"/>
      <c r="F358" s="789" t="s">
        <v>1870</v>
      </c>
      <c r="G358" s="405"/>
      <c r="H358" s="406"/>
      <c r="I358" s="405"/>
      <c r="J358" s="402"/>
      <c r="K358" s="411"/>
      <c r="L358" s="408"/>
      <c r="M358" s="412"/>
      <c r="N358" s="408"/>
      <c r="O358" s="413"/>
      <c r="P358" s="414"/>
      <c r="Q358" s="415"/>
    </row>
    <row r="359" spans="2:17" hidden="1">
      <c r="B359" s="21" t="s">
        <v>1542</v>
      </c>
      <c r="C359" s="21"/>
      <c r="D359" s="3" t="s">
        <v>1160</v>
      </c>
      <c r="F359" s="32"/>
      <c r="G359" s="52"/>
      <c r="H359" s="53"/>
      <c r="I359" s="52"/>
      <c r="J359" s="16"/>
      <c r="K359" s="33"/>
      <c r="L359" s="54"/>
      <c r="M359" s="29"/>
      <c r="N359" s="54"/>
      <c r="O359" s="54"/>
      <c r="P359" s="30"/>
      <c r="Q359" s="40"/>
    </row>
    <row r="360" spans="2:17" hidden="1">
      <c r="B360" s="21" t="s">
        <v>1543</v>
      </c>
      <c r="C360" s="21"/>
      <c r="D360" s="3" t="s">
        <v>472</v>
      </c>
      <c r="F360" s="32"/>
      <c r="G360" s="52"/>
      <c r="H360" s="53"/>
      <c r="I360" s="52"/>
      <c r="J360" s="16"/>
      <c r="K360" s="33"/>
      <c r="L360" s="54"/>
      <c r="M360" s="29"/>
      <c r="N360" s="54"/>
      <c r="O360" s="54"/>
      <c r="P360" s="30"/>
      <c r="Q360" s="40"/>
    </row>
    <row r="361" spans="2:17" hidden="1">
      <c r="B361" s="21" t="s">
        <v>1544</v>
      </c>
      <c r="C361" s="21"/>
      <c r="D361" s="3" t="s">
        <v>812</v>
      </c>
      <c r="F361" s="32"/>
      <c r="G361" s="52"/>
      <c r="H361" s="53"/>
      <c r="I361" s="52"/>
      <c r="J361" s="16"/>
      <c r="K361" s="33"/>
      <c r="L361" s="54"/>
      <c r="M361" s="29"/>
      <c r="N361" s="54"/>
      <c r="O361" s="54"/>
      <c r="P361" s="30"/>
      <c r="Q361" s="40"/>
    </row>
    <row r="362" spans="2:17" hidden="1">
      <c r="B362" s="21" t="s">
        <v>1545</v>
      </c>
      <c r="C362" s="21"/>
      <c r="D362" s="3" t="s">
        <v>253</v>
      </c>
      <c r="F362" s="5"/>
      <c r="I362" s="36"/>
      <c r="J362" s="16"/>
      <c r="K362" s="21"/>
      <c r="L362" s="20"/>
      <c r="M362" s="29"/>
      <c r="N362" s="20"/>
      <c r="O362" s="35"/>
      <c r="P362" s="27"/>
      <c r="Q362" s="38"/>
    </row>
    <row r="363" spans="2:17" hidden="1">
      <c r="B363" s="21" t="s">
        <v>1546</v>
      </c>
      <c r="C363" s="868"/>
      <c r="D363" s="3" t="s">
        <v>2074</v>
      </c>
      <c r="E363" s="892"/>
      <c r="F363" s="893"/>
      <c r="G363" s="870"/>
      <c r="H363" s="871"/>
      <c r="I363" s="870"/>
      <c r="J363" s="869"/>
      <c r="K363" s="894"/>
      <c r="L363" s="895"/>
      <c r="M363" s="896"/>
      <c r="N363" s="895"/>
      <c r="O363" s="897"/>
      <c r="P363" s="898"/>
      <c r="Q363" s="899"/>
    </row>
    <row r="364" spans="2:17" hidden="1">
      <c r="B364" s="21" t="s">
        <v>1547</v>
      </c>
      <c r="C364" s="21"/>
      <c r="D364" s="3" t="s">
        <v>1080</v>
      </c>
      <c r="F364" s="32"/>
      <c r="G364" s="52"/>
      <c r="H364" s="53"/>
      <c r="I364" s="52"/>
      <c r="J364" s="16"/>
      <c r="K364" s="33"/>
      <c r="L364" s="54"/>
      <c r="M364" s="29"/>
      <c r="N364" s="54"/>
      <c r="O364" s="54"/>
      <c r="P364" s="30"/>
      <c r="Q364" s="40"/>
    </row>
    <row r="365" spans="2:17" hidden="1">
      <c r="B365" s="21" t="s">
        <v>1548</v>
      </c>
      <c r="C365" s="21"/>
      <c r="D365" s="3" t="s">
        <v>1023</v>
      </c>
      <c r="F365" s="32"/>
      <c r="G365" s="52"/>
      <c r="H365" s="53"/>
      <c r="I365" s="52"/>
      <c r="J365" s="16"/>
      <c r="K365" s="33"/>
      <c r="L365" s="54"/>
      <c r="M365" s="29"/>
      <c r="N365" s="54"/>
      <c r="O365" s="54"/>
      <c r="P365" s="30"/>
      <c r="Q365" s="40"/>
    </row>
    <row r="366" spans="2:17" hidden="1">
      <c r="B366" s="21" t="s">
        <v>1549</v>
      </c>
      <c r="C366" s="21"/>
      <c r="D366" s="3" t="s">
        <v>732</v>
      </c>
      <c r="F366" s="32"/>
      <c r="G366" s="52"/>
      <c r="H366" s="53"/>
      <c r="I366" s="52"/>
      <c r="J366" s="16"/>
      <c r="K366" s="33"/>
      <c r="L366" s="54"/>
      <c r="M366" s="29"/>
      <c r="N366" s="54"/>
      <c r="O366" s="54"/>
      <c r="P366" s="30"/>
      <c r="Q366" s="40"/>
    </row>
    <row r="367" spans="2:17" hidden="1">
      <c r="B367" s="21" t="s">
        <v>1550</v>
      </c>
      <c r="D367" s="3" t="s">
        <v>815</v>
      </c>
      <c r="F367" s="5"/>
      <c r="J367" s="16"/>
      <c r="L367" s="20"/>
      <c r="M367" s="20"/>
      <c r="N367" s="20"/>
      <c r="O367" s="39"/>
      <c r="P367" s="35"/>
    </row>
    <row r="368" spans="2:17" hidden="1">
      <c r="B368" s="21" t="s">
        <v>1551</v>
      </c>
      <c r="C368" s="21"/>
      <c r="D368" s="3" t="s">
        <v>652</v>
      </c>
      <c r="F368" s="32"/>
      <c r="G368" s="52"/>
      <c r="H368" s="53"/>
      <c r="I368" s="52"/>
      <c r="J368" s="16"/>
      <c r="K368" s="33"/>
      <c r="L368" s="54"/>
      <c r="M368" s="29"/>
      <c r="N368" s="54"/>
      <c r="O368" s="54"/>
      <c r="P368" s="30"/>
      <c r="Q368" s="40"/>
    </row>
    <row r="369" spans="2:17" hidden="1">
      <c r="B369" s="21" t="s">
        <v>1552</v>
      </c>
      <c r="C369" s="21"/>
      <c r="D369" s="3" t="s">
        <v>405</v>
      </c>
      <c r="F369" s="5"/>
      <c r="I369" s="36"/>
      <c r="J369" s="16"/>
      <c r="K369" s="21"/>
      <c r="L369" s="20"/>
      <c r="M369" s="29"/>
      <c r="N369" s="20"/>
      <c r="O369" s="39"/>
      <c r="P369" s="30"/>
      <c r="Q369" s="38"/>
    </row>
    <row r="370" spans="2:17" hidden="1">
      <c r="B370" s="21" t="s">
        <v>1553</v>
      </c>
      <c r="C370" s="21"/>
      <c r="D370" s="3" t="s">
        <v>390</v>
      </c>
      <c r="F370" s="5"/>
      <c r="I370" s="36"/>
      <c r="J370" s="16"/>
      <c r="K370" s="21"/>
      <c r="L370" s="20"/>
      <c r="M370" s="29"/>
      <c r="N370" s="20"/>
      <c r="O370" s="39"/>
      <c r="P370" s="30"/>
      <c r="Q370" s="38"/>
    </row>
    <row r="371" spans="2:17" hidden="1">
      <c r="B371" s="21" t="s">
        <v>1554</v>
      </c>
      <c r="C371" s="21"/>
      <c r="D371" s="3" t="s">
        <v>260</v>
      </c>
      <c r="F371" s="32"/>
      <c r="G371" s="52"/>
      <c r="H371" s="53"/>
      <c r="I371" s="52"/>
      <c r="J371" s="16"/>
      <c r="K371" s="33"/>
      <c r="L371" s="54"/>
      <c r="M371" s="29"/>
      <c r="N371" s="54"/>
      <c r="O371" s="54"/>
      <c r="P371" s="30"/>
      <c r="Q371" s="40"/>
    </row>
    <row r="372" spans="2:17" hidden="1">
      <c r="B372" s="21" t="s">
        <v>1555</v>
      </c>
      <c r="C372" s="21"/>
      <c r="D372" s="3" t="s">
        <v>860</v>
      </c>
      <c r="F372" s="5"/>
      <c r="I372" s="36"/>
      <c r="J372" s="16"/>
      <c r="K372" s="21"/>
      <c r="L372" s="20"/>
      <c r="M372" s="29"/>
      <c r="N372" s="20"/>
      <c r="O372" s="39"/>
      <c r="P372" s="30"/>
      <c r="Q372" s="38"/>
    </row>
    <row r="373" spans="2:17" hidden="1">
      <c r="B373" s="21" t="s">
        <v>1556</v>
      </c>
      <c r="C373" s="21"/>
      <c r="D373" s="3" t="s">
        <v>925</v>
      </c>
      <c r="F373" s="5"/>
      <c r="I373" s="36"/>
      <c r="J373" s="16"/>
      <c r="K373" s="21"/>
      <c r="L373" s="20"/>
      <c r="M373" s="29"/>
      <c r="N373" s="20"/>
      <c r="O373" s="39"/>
      <c r="P373" s="30"/>
      <c r="Q373" s="38"/>
    </row>
    <row r="374" spans="2:17" hidden="1">
      <c r="B374" s="21" t="s">
        <v>1557</v>
      </c>
      <c r="C374" s="288"/>
      <c r="D374" s="305" t="s">
        <v>1814</v>
      </c>
      <c r="E374" s="289"/>
      <c r="F374" s="797"/>
      <c r="G374" s="290"/>
      <c r="H374" s="291"/>
      <c r="I374" s="290"/>
      <c r="J374" s="287"/>
      <c r="K374" s="298"/>
      <c r="L374" s="304"/>
      <c r="M374" s="300"/>
      <c r="N374" s="304"/>
      <c r="O374" s="299"/>
      <c r="P374" s="301"/>
      <c r="Q374" s="302"/>
    </row>
    <row r="375" spans="2:17" hidden="1">
      <c r="B375" s="21" t="s">
        <v>1558</v>
      </c>
      <c r="C375" s="21"/>
      <c r="D375" s="3" t="s">
        <v>991</v>
      </c>
      <c r="F375" s="5"/>
      <c r="I375" s="36"/>
      <c r="J375" s="16"/>
      <c r="K375" s="21"/>
      <c r="L375" s="20"/>
      <c r="M375" s="29"/>
      <c r="N375" s="20"/>
      <c r="O375" s="39"/>
      <c r="P375" s="30"/>
      <c r="Q375" s="38"/>
    </row>
    <row r="376" spans="2:17" hidden="1">
      <c r="B376" s="21" t="s">
        <v>1559</v>
      </c>
      <c r="C376" s="21"/>
      <c r="D376" s="3" t="s">
        <v>496</v>
      </c>
      <c r="F376" s="32"/>
      <c r="G376" s="52"/>
      <c r="H376" s="53"/>
      <c r="I376" s="52"/>
      <c r="J376" s="16"/>
      <c r="K376" s="33"/>
      <c r="L376" s="54"/>
      <c r="M376" s="29"/>
      <c r="N376" s="54"/>
      <c r="O376" s="54"/>
      <c r="P376" s="30"/>
      <c r="Q376" s="40"/>
    </row>
    <row r="377" spans="2:17" hidden="1">
      <c r="B377" s="21" t="s">
        <v>1560</v>
      </c>
      <c r="C377" s="955"/>
      <c r="D377" s="3" t="s">
        <v>2123</v>
      </c>
      <c r="E377" s="962"/>
      <c r="F377" s="963"/>
      <c r="G377" s="964"/>
      <c r="H377" s="965"/>
      <c r="I377" s="964"/>
      <c r="J377" s="955"/>
      <c r="K377" s="972"/>
      <c r="L377" s="973"/>
      <c r="M377" s="974"/>
      <c r="N377" s="973"/>
      <c r="O377" s="973"/>
      <c r="P377" s="975"/>
      <c r="Q377" s="964"/>
    </row>
    <row r="378" spans="2:17" hidden="1">
      <c r="B378" s="21" t="s">
        <v>1561</v>
      </c>
      <c r="C378" s="21"/>
      <c r="D378" s="3" t="s">
        <v>937</v>
      </c>
      <c r="F378" s="32"/>
      <c r="G378" s="52"/>
      <c r="H378" s="53"/>
      <c r="I378" s="52"/>
      <c r="J378" s="16"/>
      <c r="K378" s="33"/>
      <c r="L378" s="54"/>
      <c r="M378" s="29"/>
      <c r="N378" s="54"/>
      <c r="O378" s="54"/>
      <c r="P378" s="30"/>
      <c r="Q378" s="40"/>
    </row>
    <row r="379" spans="2:17" hidden="1">
      <c r="B379" s="21" t="s">
        <v>1562</v>
      </c>
      <c r="C379" s="21"/>
      <c r="D379" s="3" t="s">
        <v>420</v>
      </c>
      <c r="F379" s="32"/>
      <c r="G379" s="52"/>
      <c r="H379" s="53"/>
      <c r="I379" s="52"/>
      <c r="J379" s="16"/>
      <c r="K379" s="33"/>
      <c r="L379" s="54"/>
      <c r="M379" s="29"/>
      <c r="N379" s="54"/>
      <c r="O379" s="54"/>
      <c r="P379" s="30"/>
      <c r="Q379" s="40"/>
    </row>
    <row r="380" spans="2:17" hidden="1">
      <c r="B380" s="21" t="s">
        <v>1563</v>
      </c>
      <c r="C380" s="21"/>
      <c r="D380" s="3" t="s">
        <v>1521</v>
      </c>
      <c r="F380" s="32"/>
      <c r="G380" s="52"/>
      <c r="H380" s="53"/>
      <c r="I380" s="52"/>
      <c r="J380" s="16"/>
      <c r="K380" s="33"/>
      <c r="L380" s="54"/>
      <c r="M380" s="29"/>
      <c r="N380" s="54"/>
      <c r="O380" s="54"/>
      <c r="P380" s="30"/>
      <c r="Q380" s="40"/>
    </row>
    <row r="381" spans="2:17" hidden="1">
      <c r="B381" s="21" t="s">
        <v>1564</v>
      </c>
      <c r="C381" s="21"/>
      <c r="D381" s="85" t="s">
        <v>1873</v>
      </c>
      <c r="F381" s="789" t="s">
        <v>1874</v>
      </c>
      <c r="G381" s="92"/>
      <c r="H381" s="93"/>
      <c r="I381" s="92"/>
      <c r="J381" s="16"/>
      <c r="K381" s="33"/>
      <c r="L381" s="96"/>
      <c r="M381" s="29"/>
      <c r="N381" s="94"/>
      <c r="O381" s="54"/>
      <c r="P381" s="30"/>
      <c r="Q381" s="40"/>
    </row>
    <row r="382" spans="2:17" hidden="1">
      <c r="B382" s="21" t="s">
        <v>1565</v>
      </c>
      <c r="C382" s="21"/>
      <c r="D382" s="3" t="s">
        <v>1522</v>
      </c>
      <c r="F382" s="32"/>
      <c r="G382" s="52"/>
      <c r="H382" s="53"/>
      <c r="I382" s="52"/>
      <c r="J382" s="16"/>
      <c r="K382" s="33"/>
      <c r="L382" s="54"/>
      <c r="M382" s="29"/>
      <c r="N382" s="54"/>
      <c r="O382" s="54"/>
      <c r="P382" s="30"/>
      <c r="Q382" s="40"/>
    </row>
    <row r="383" spans="2:17" hidden="1">
      <c r="B383" s="21" t="s">
        <v>1566</v>
      </c>
      <c r="C383" s="416"/>
      <c r="D383" s="3" t="s">
        <v>1883</v>
      </c>
      <c r="E383" s="417"/>
      <c r="F383" s="809"/>
      <c r="G383" s="418"/>
      <c r="H383" s="419"/>
      <c r="I383" s="418"/>
      <c r="J383" s="420"/>
      <c r="K383" s="421"/>
      <c r="L383" s="422"/>
      <c r="M383" s="423"/>
      <c r="N383" s="422"/>
      <c r="O383" s="422"/>
      <c r="P383" s="424"/>
      <c r="Q383" s="425"/>
    </row>
    <row r="384" spans="2:17" hidden="1">
      <c r="B384" s="21" t="s">
        <v>1567</v>
      </c>
      <c r="C384" s="21"/>
      <c r="D384" s="3" t="s">
        <v>879</v>
      </c>
      <c r="F384" s="5"/>
      <c r="J384" s="16"/>
      <c r="K384" s="33"/>
      <c r="L384" s="29"/>
      <c r="M384" s="29"/>
      <c r="N384" s="20"/>
      <c r="O384" s="56"/>
      <c r="P384" s="30"/>
      <c r="Q384" s="31"/>
    </row>
    <row r="385" spans="2:17" hidden="1">
      <c r="B385" s="21" t="s">
        <v>1568</v>
      </c>
      <c r="C385" s="21"/>
      <c r="D385" s="3" t="s">
        <v>737</v>
      </c>
      <c r="F385" s="32"/>
      <c r="G385" s="52"/>
      <c r="H385" s="53"/>
      <c r="I385" s="52"/>
      <c r="J385" s="16"/>
      <c r="K385" s="33"/>
      <c r="L385" s="54"/>
      <c r="M385" s="29"/>
      <c r="N385" s="54"/>
      <c r="O385" s="54"/>
      <c r="P385" s="30"/>
      <c r="Q385" s="40"/>
    </row>
    <row r="386" spans="2:17" hidden="1">
      <c r="B386" s="21" t="s">
        <v>1569</v>
      </c>
      <c r="C386" s="21"/>
      <c r="D386" s="3" t="s">
        <v>907</v>
      </c>
      <c r="F386" s="32"/>
      <c r="G386" s="52"/>
      <c r="H386" s="53"/>
      <c r="I386" s="52"/>
      <c r="J386" s="16"/>
      <c r="K386" s="33"/>
      <c r="L386" s="54"/>
      <c r="M386" s="29"/>
      <c r="N386" s="54"/>
      <c r="O386" s="54"/>
      <c r="P386" s="30"/>
      <c r="Q386" s="40"/>
    </row>
    <row r="387" spans="2:17" hidden="1">
      <c r="B387" s="21" t="s">
        <v>1570</v>
      </c>
      <c r="C387" s="719"/>
      <c r="D387" s="3" t="s">
        <v>2014</v>
      </c>
      <c r="E387" s="721"/>
      <c r="F387" s="808" t="s">
        <v>2015</v>
      </c>
      <c r="G387" s="722"/>
      <c r="H387" s="723"/>
      <c r="I387" s="722"/>
      <c r="J387" s="720"/>
      <c r="K387" s="746"/>
      <c r="L387" s="747"/>
      <c r="M387" s="748"/>
      <c r="N387" s="747"/>
      <c r="O387" s="749"/>
      <c r="P387" s="750"/>
      <c r="Q387" s="751"/>
    </row>
    <row r="388" spans="2:17" hidden="1">
      <c r="B388" s="21" t="s">
        <v>1571</v>
      </c>
      <c r="C388" s="21"/>
      <c r="D388" s="3" t="s">
        <v>996</v>
      </c>
      <c r="F388" s="5"/>
      <c r="I388" s="36"/>
      <c r="J388" s="16"/>
      <c r="K388" s="21"/>
      <c r="L388" s="20"/>
      <c r="M388" s="29"/>
      <c r="N388" s="20"/>
      <c r="O388" s="39"/>
      <c r="P388" s="30"/>
      <c r="Q388" s="38"/>
    </row>
    <row r="389" spans="2:17" hidden="1">
      <c r="B389" s="21" t="s">
        <v>1572</v>
      </c>
      <c r="C389" s="21"/>
      <c r="D389" s="3" t="s">
        <v>326</v>
      </c>
      <c r="F389" s="5"/>
      <c r="J389" s="16"/>
      <c r="K389" s="21"/>
      <c r="L389" s="20"/>
      <c r="M389" s="29"/>
      <c r="N389" s="20"/>
      <c r="O389" s="35"/>
      <c r="P389" s="27"/>
      <c r="Q389" s="38"/>
    </row>
    <row r="390" spans="2:17" hidden="1">
      <c r="B390" s="21" t="s">
        <v>1573</v>
      </c>
      <c r="C390" s="21"/>
      <c r="D390" s="3" t="s">
        <v>1485</v>
      </c>
      <c r="F390" s="32"/>
      <c r="G390" s="52"/>
      <c r="H390" s="53"/>
      <c r="I390" s="52"/>
      <c r="J390" s="16"/>
      <c r="K390" s="33"/>
      <c r="L390" s="54"/>
      <c r="M390" s="29"/>
      <c r="N390" s="54"/>
      <c r="O390" s="54"/>
      <c r="P390" s="30"/>
      <c r="Q390" s="40"/>
    </row>
    <row r="391" spans="2:17" hidden="1">
      <c r="B391" s="21" t="s">
        <v>1574</v>
      </c>
      <c r="C391" s="21"/>
      <c r="D391" s="3" t="s">
        <v>513</v>
      </c>
      <c r="F391" s="32"/>
      <c r="G391" s="52"/>
      <c r="H391" s="53"/>
      <c r="I391" s="52"/>
      <c r="J391" s="16"/>
      <c r="K391" s="33"/>
      <c r="L391" s="54"/>
      <c r="M391" s="29"/>
      <c r="N391" s="54"/>
      <c r="O391" s="54"/>
      <c r="P391" s="30"/>
      <c r="Q391" s="40"/>
    </row>
    <row r="392" spans="2:17" hidden="1">
      <c r="B392" s="21" t="s">
        <v>1575</v>
      </c>
      <c r="C392" s="21"/>
      <c r="D392" s="3" t="s">
        <v>471</v>
      </c>
      <c r="F392" s="32"/>
      <c r="G392" s="52"/>
      <c r="H392" s="53"/>
      <c r="I392" s="52"/>
      <c r="J392" s="16"/>
      <c r="K392" s="33"/>
      <c r="L392" s="54"/>
      <c r="M392" s="29"/>
      <c r="N392" s="54"/>
      <c r="O392" s="54"/>
      <c r="P392" s="30"/>
      <c r="Q392" s="40"/>
    </row>
    <row r="393" spans="2:17" hidden="1">
      <c r="B393" s="21" t="s">
        <v>1576</v>
      </c>
      <c r="C393" s="21"/>
      <c r="D393" s="3" t="s">
        <v>741</v>
      </c>
      <c r="F393" s="32"/>
      <c r="G393" s="52"/>
      <c r="H393" s="53"/>
      <c r="I393" s="52"/>
      <c r="J393" s="16"/>
      <c r="K393" s="33"/>
      <c r="L393" s="54"/>
      <c r="M393" s="29"/>
      <c r="N393" s="54"/>
      <c r="O393" s="54"/>
      <c r="P393" s="30"/>
      <c r="Q393" s="40"/>
    </row>
    <row r="394" spans="2:17" hidden="1">
      <c r="B394" s="21" t="s">
        <v>1577</v>
      </c>
      <c r="C394" s="21"/>
      <c r="D394" s="3" t="s">
        <v>984</v>
      </c>
      <c r="F394" s="32"/>
      <c r="G394" s="52"/>
      <c r="H394" s="53"/>
      <c r="I394" s="52"/>
      <c r="J394" s="16"/>
      <c r="K394" s="33"/>
      <c r="L394" s="54"/>
      <c r="M394" s="29"/>
      <c r="N394" s="54"/>
      <c r="O394" s="54"/>
      <c r="P394" s="30"/>
      <c r="Q394" s="40"/>
    </row>
    <row r="395" spans="2:17" hidden="1">
      <c r="B395" s="21" t="s">
        <v>1578</v>
      </c>
      <c r="D395" s="3" t="s">
        <v>1936</v>
      </c>
      <c r="F395" s="789"/>
      <c r="G395" s="92"/>
      <c r="H395" s="93"/>
      <c r="I395" s="92"/>
      <c r="J395" s="16"/>
      <c r="K395" s="36"/>
      <c r="L395" s="94"/>
      <c r="M395" s="20"/>
      <c r="N395" s="94"/>
      <c r="O395" s="94"/>
      <c r="P395" s="35"/>
      <c r="Q395" s="92"/>
    </row>
    <row r="396" spans="2:17" hidden="1">
      <c r="B396" s="21" t="s">
        <v>1579</v>
      </c>
      <c r="C396" s="21"/>
      <c r="D396" s="19" t="s">
        <v>314</v>
      </c>
      <c r="F396" s="32"/>
      <c r="G396" s="52"/>
      <c r="H396" s="53"/>
      <c r="I396" s="52"/>
      <c r="J396" s="16"/>
      <c r="K396" s="33"/>
      <c r="L396" s="54"/>
      <c r="M396" s="29"/>
      <c r="N396" s="54"/>
      <c r="O396" s="54"/>
      <c r="P396" s="30"/>
      <c r="Q396" s="40"/>
    </row>
    <row r="397" spans="2:17" hidden="1">
      <c r="B397" s="21" t="s">
        <v>1580</v>
      </c>
      <c r="C397" s="21"/>
      <c r="D397" s="3" t="s">
        <v>910</v>
      </c>
      <c r="F397" s="32"/>
      <c r="G397" s="52"/>
      <c r="H397" s="53"/>
      <c r="I397" s="52"/>
      <c r="J397" s="16"/>
      <c r="K397" s="33"/>
      <c r="L397" s="54"/>
      <c r="M397" s="29"/>
      <c r="N397" s="54"/>
      <c r="O397" s="54"/>
      <c r="P397" s="30"/>
      <c r="Q397" s="40"/>
    </row>
    <row r="398" spans="2:17" hidden="1">
      <c r="B398" s="21" t="s">
        <v>1581</v>
      </c>
      <c r="C398" s="381"/>
      <c r="D398" s="3" t="s">
        <v>1860</v>
      </c>
      <c r="E398" s="383"/>
      <c r="F398" s="795"/>
      <c r="G398" s="384"/>
      <c r="H398" s="385"/>
      <c r="I398" s="384"/>
      <c r="J398" s="381"/>
      <c r="K398" s="386"/>
      <c r="L398" s="387"/>
      <c r="M398" s="388"/>
      <c r="N398" s="387"/>
      <c r="O398" s="387"/>
      <c r="P398" s="389"/>
      <c r="Q398" s="384"/>
    </row>
    <row r="399" spans="2:17" hidden="1">
      <c r="B399" s="21" t="s">
        <v>1582</v>
      </c>
      <c r="C399" s="21"/>
      <c r="D399" s="3" t="s">
        <v>797</v>
      </c>
      <c r="F399" s="32"/>
      <c r="G399" s="52"/>
      <c r="H399" s="53"/>
      <c r="I399" s="52"/>
      <c r="J399" s="16"/>
      <c r="K399" s="33"/>
      <c r="L399" s="54"/>
      <c r="M399" s="29"/>
      <c r="N399" s="54"/>
      <c r="O399" s="54"/>
      <c r="P399" s="30"/>
      <c r="Q399" s="40"/>
    </row>
    <row r="400" spans="2:17" hidden="1">
      <c r="B400" s="21" t="s">
        <v>1583</v>
      </c>
      <c r="C400" s="21"/>
      <c r="D400" s="3" t="s">
        <v>798</v>
      </c>
      <c r="F400" s="32"/>
      <c r="G400" s="52"/>
      <c r="H400" s="53"/>
      <c r="I400" s="52"/>
      <c r="J400" s="16"/>
      <c r="K400" s="33"/>
      <c r="L400" s="54"/>
      <c r="M400" s="29"/>
      <c r="N400" s="54"/>
      <c r="O400" s="54"/>
      <c r="P400" s="30"/>
      <c r="Q400" s="40"/>
    </row>
    <row r="401" spans="2:17" hidden="1">
      <c r="B401" s="21" t="s">
        <v>1584</v>
      </c>
      <c r="C401" s="21"/>
      <c r="D401" s="3" t="s">
        <v>862</v>
      </c>
      <c r="F401" s="32"/>
      <c r="G401" s="52"/>
      <c r="H401" s="53"/>
      <c r="I401" s="52"/>
      <c r="J401" s="16"/>
      <c r="K401" s="33"/>
      <c r="L401" s="54"/>
      <c r="M401" s="29"/>
      <c r="N401" s="54"/>
      <c r="O401" s="54"/>
      <c r="P401" s="30"/>
      <c r="Q401" s="40"/>
    </row>
    <row r="402" spans="2:17" hidden="1">
      <c r="B402" s="21" t="s">
        <v>1585</v>
      </c>
      <c r="C402" s="21"/>
      <c r="D402" s="99" t="s">
        <v>1925</v>
      </c>
      <c r="F402" s="789"/>
      <c r="G402" s="92"/>
      <c r="H402" s="93"/>
      <c r="I402" s="92"/>
      <c r="J402" s="16"/>
      <c r="K402" s="33"/>
      <c r="L402" s="96"/>
      <c r="M402" s="29"/>
      <c r="N402" s="96"/>
      <c r="O402" s="54"/>
      <c r="P402" s="30"/>
      <c r="Q402" s="40"/>
    </row>
    <row r="403" spans="2:17" hidden="1">
      <c r="B403" s="21" t="s">
        <v>1586</v>
      </c>
      <c r="C403" s="21"/>
      <c r="D403" s="3" t="s">
        <v>259</v>
      </c>
      <c r="F403" s="32"/>
      <c r="G403" s="52"/>
      <c r="H403" s="53"/>
      <c r="I403" s="52"/>
      <c r="J403" s="16"/>
      <c r="K403" s="33"/>
      <c r="L403" s="54"/>
      <c r="M403" s="29"/>
      <c r="N403" s="54"/>
      <c r="O403" s="54"/>
      <c r="P403" s="30"/>
      <c r="Q403" s="40"/>
    </row>
    <row r="404" spans="2:17" hidden="1">
      <c r="B404" s="21" t="s">
        <v>1587</v>
      </c>
      <c r="C404" s="508"/>
      <c r="D404" s="3" t="s">
        <v>1909</v>
      </c>
      <c r="E404" s="505"/>
      <c r="F404" s="790"/>
      <c r="G404" s="506"/>
      <c r="H404" s="507"/>
      <c r="I404" s="506"/>
      <c r="J404" s="508"/>
      <c r="K404" s="515"/>
      <c r="L404" s="516"/>
      <c r="M404" s="517"/>
      <c r="N404" s="516"/>
      <c r="O404" s="516"/>
      <c r="P404" s="518"/>
      <c r="Q404" s="506"/>
    </row>
    <row r="405" spans="2:17" hidden="1">
      <c r="B405" s="21" t="s">
        <v>1588</v>
      </c>
      <c r="C405" s="21"/>
      <c r="D405" s="3" t="s">
        <v>861</v>
      </c>
      <c r="F405" s="32"/>
      <c r="G405" s="52"/>
      <c r="H405" s="53"/>
      <c r="I405" s="52"/>
      <c r="J405" s="16"/>
      <c r="K405" s="33"/>
      <c r="L405" s="54"/>
      <c r="M405" s="29"/>
      <c r="N405" s="54"/>
      <c r="O405" s="54"/>
      <c r="P405" s="30"/>
      <c r="Q405" s="40"/>
    </row>
    <row r="406" spans="2:17" hidden="1">
      <c r="B406" s="21" t="s">
        <v>1589</v>
      </c>
      <c r="C406" s="21"/>
      <c r="D406" s="3" t="s">
        <v>935</v>
      </c>
      <c r="F406" s="32"/>
      <c r="G406" s="52"/>
      <c r="H406" s="53"/>
      <c r="I406" s="52"/>
      <c r="J406" s="16"/>
      <c r="K406" s="33"/>
      <c r="L406" s="54"/>
      <c r="M406" s="29"/>
      <c r="N406" s="54"/>
      <c r="O406" s="54"/>
      <c r="P406" s="30"/>
      <c r="Q406" s="40"/>
    </row>
    <row r="407" spans="2:17" hidden="1">
      <c r="B407" s="21" t="s">
        <v>1590</v>
      </c>
      <c r="C407" s="915"/>
      <c r="D407" s="3" t="s">
        <v>2081</v>
      </c>
      <c r="E407" s="3" t="s">
        <v>2082</v>
      </c>
      <c r="F407" s="789" t="s">
        <v>2083</v>
      </c>
      <c r="G407" s="916"/>
      <c r="H407" s="917"/>
      <c r="I407" s="916"/>
      <c r="J407" s="915"/>
      <c r="K407" s="918"/>
      <c r="L407" s="919"/>
      <c r="M407" s="920"/>
      <c r="N407" s="919"/>
      <c r="O407" s="919"/>
      <c r="P407" s="921"/>
      <c r="Q407" s="916"/>
    </row>
    <row r="408" spans="2:17" hidden="1">
      <c r="B408" s="21" t="s">
        <v>1591</v>
      </c>
      <c r="D408" s="3" t="s">
        <v>1136</v>
      </c>
      <c r="F408" s="789"/>
      <c r="G408" s="92"/>
      <c r="H408" s="93"/>
      <c r="I408" s="92"/>
      <c r="J408" s="16"/>
      <c r="K408" s="36"/>
      <c r="L408" s="94"/>
      <c r="M408" s="20"/>
      <c r="N408" s="94"/>
      <c r="O408" s="94"/>
      <c r="P408" s="35"/>
      <c r="Q408" s="92"/>
    </row>
    <row r="409" spans="2:17" hidden="1">
      <c r="B409" s="21" t="s">
        <v>1592</v>
      </c>
      <c r="C409" s="21"/>
      <c r="D409" s="3" t="s">
        <v>621</v>
      </c>
      <c r="F409" s="32"/>
      <c r="G409" s="52"/>
      <c r="H409" s="53"/>
      <c r="I409" s="52"/>
      <c r="J409" s="16"/>
      <c r="K409" s="33"/>
      <c r="L409" s="54"/>
      <c r="M409" s="29"/>
      <c r="N409" s="54"/>
      <c r="O409" s="54"/>
      <c r="P409" s="30"/>
      <c r="Q409" s="40"/>
    </row>
    <row r="410" spans="2:17" hidden="1">
      <c r="B410" s="21" t="s">
        <v>1593</v>
      </c>
      <c r="C410" s="21"/>
      <c r="D410" s="3" t="s">
        <v>917</v>
      </c>
      <c r="F410" s="5"/>
      <c r="J410" s="16"/>
      <c r="K410" s="21"/>
      <c r="L410" s="20"/>
      <c r="M410" s="29"/>
      <c r="N410" s="20"/>
      <c r="O410" s="39"/>
      <c r="P410" s="30"/>
      <c r="Q410" s="40"/>
    </row>
    <row r="411" spans="2:17" hidden="1">
      <c r="B411" s="21" t="s">
        <v>1594</v>
      </c>
      <c r="C411" s="21"/>
      <c r="D411" s="3" t="s">
        <v>327</v>
      </c>
      <c r="F411" s="5"/>
      <c r="J411" s="16"/>
      <c r="K411" s="21"/>
      <c r="L411" s="20"/>
      <c r="M411" s="29"/>
      <c r="N411" s="20"/>
      <c r="O411" s="35"/>
      <c r="P411" s="27"/>
      <c r="Q411" s="28"/>
    </row>
    <row r="412" spans="2:17" hidden="1">
      <c r="B412" s="21" t="s">
        <v>1595</v>
      </c>
      <c r="C412" s="21"/>
      <c r="D412" s="3" t="s">
        <v>548</v>
      </c>
      <c r="F412" s="32"/>
      <c r="G412" s="52"/>
      <c r="H412" s="53"/>
      <c r="I412" s="52"/>
      <c r="J412" s="16"/>
      <c r="K412" s="33"/>
      <c r="L412" s="54"/>
      <c r="M412" s="29"/>
      <c r="N412" s="54"/>
      <c r="O412" s="54"/>
      <c r="P412" s="30"/>
      <c r="Q412" s="40"/>
    </row>
    <row r="413" spans="2:17" hidden="1">
      <c r="B413" s="21" t="s">
        <v>1596</v>
      </c>
      <c r="C413" s="21"/>
      <c r="D413" s="3" t="s">
        <v>738</v>
      </c>
      <c r="F413" s="32"/>
      <c r="G413" s="52"/>
      <c r="H413" s="53"/>
      <c r="I413" s="52"/>
      <c r="J413" s="16"/>
      <c r="K413" s="33"/>
      <c r="L413" s="54"/>
      <c r="M413" s="29"/>
      <c r="N413" s="54"/>
      <c r="O413" s="54"/>
      <c r="P413" s="30"/>
      <c r="Q413" s="40"/>
    </row>
    <row r="414" spans="2:17" hidden="1">
      <c r="B414" s="21" t="s">
        <v>1597</v>
      </c>
      <c r="C414" s="21"/>
      <c r="D414" s="3" t="s">
        <v>531</v>
      </c>
      <c r="F414" s="5"/>
      <c r="J414" s="16"/>
      <c r="K414" s="21"/>
      <c r="L414" s="20"/>
      <c r="M414" s="29"/>
      <c r="N414" s="20"/>
      <c r="O414" s="39"/>
      <c r="P414" s="30"/>
      <c r="Q414" s="40"/>
    </row>
    <row r="415" spans="2:17" hidden="1">
      <c r="B415" s="21" t="s">
        <v>1598</v>
      </c>
      <c r="C415" s="1015"/>
      <c r="D415" s="3" t="s">
        <v>2209</v>
      </c>
      <c r="E415" s="22" t="s">
        <v>2208</v>
      </c>
      <c r="F415" s="1016"/>
      <c r="G415" s="1017"/>
      <c r="H415" s="1018"/>
      <c r="I415" s="1017"/>
      <c r="J415" s="1015"/>
      <c r="K415" s="1019"/>
      <c r="L415" s="1020"/>
      <c r="M415" s="1021"/>
      <c r="N415" s="1020"/>
      <c r="O415" s="1020"/>
      <c r="P415" s="1022"/>
      <c r="Q415" s="1017"/>
    </row>
    <row r="416" spans="2:17" hidden="1">
      <c r="B416" s="21" t="s">
        <v>1599</v>
      </c>
      <c r="C416" s="21"/>
      <c r="D416" s="3" t="s">
        <v>1146</v>
      </c>
      <c r="F416" s="789"/>
      <c r="G416" s="92"/>
      <c r="H416" s="93"/>
      <c r="I416" s="92"/>
      <c r="J416" s="16"/>
      <c r="K416" s="33"/>
      <c r="L416" s="94"/>
      <c r="M416" s="29"/>
      <c r="N416" s="94"/>
      <c r="O416" s="94"/>
      <c r="P416" s="30"/>
      <c r="Q416" s="40"/>
    </row>
    <row r="417" spans="2:17" hidden="1">
      <c r="B417" s="21" t="s">
        <v>1600</v>
      </c>
      <c r="C417" s="597"/>
      <c r="D417" s="3" t="s">
        <v>1943</v>
      </c>
      <c r="E417" s="3" t="s">
        <v>1942</v>
      </c>
      <c r="F417" s="791"/>
      <c r="G417" s="599"/>
      <c r="H417" s="600"/>
      <c r="I417" s="599"/>
      <c r="J417" s="601"/>
      <c r="K417" s="602"/>
      <c r="L417" s="603"/>
      <c r="M417" s="604"/>
      <c r="N417" s="603"/>
      <c r="O417" s="605"/>
      <c r="P417" s="606"/>
      <c r="Q417" s="607"/>
    </row>
    <row r="418" spans="2:17" hidden="1">
      <c r="B418" s="21" t="s">
        <v>1601</v>
      </c>
      <c r="C418" s="429"/>
      <c r="D418" s="3" t="s">
        <v>1897</v>
      </c>
      <c r="E418" s="430"/>
      <c r="F418" s="807"/>
      <c r="G418" s="431"/>
      <c r="H418" s="432"/>
      <c r="I418" s="431"/>
      <c r="J418" s="433"/>
      <c r="K418" s="434"/>
      <c r="L418" s="435"/>
      <c r="M418" s="436"/>
      <c r="N418" s="435"/>
      <c r="O418" s="435"/>
      <c r="P418" s="437"/>
      <c r="Q418" s="438"/>
    </row>
    <row r="419" spans="2:17" hidden="1">
      <c r="B419" s="21" t="s">
        <v>1602</v>
      </c>
      <c r="C419" s="21"/>
      <c r="D419" s="3" t="s">
        <v>1102</v>
      </c>
      <c r="F419" s="789"/>
      <c r="G419" s="92"/>
      <c r="H419" s="93"/>
      <c r="I419" s="92"/>
      <c r="J419" s="16"/>
      <c r="K419" s="33"/>
      <c r="L419" s="94"/>
      <c r="M419" s="29"/>
      <c r="N419" s="94"/>
      <c r="O419" s="94"/>
      <c r="P419" s="30"/>
      <c r="Q419" s="40"/>
    </row>
    <row r="420" spans="2:17" hidden="1">
      <c r="B420" s="21" t="s">
        <v>1603</v>
      </c>
      <c r="D420" s="3" t="s">
        <v>1902</v>
      </c>
      <c r="F420" s="789"/>
      <c r="G420" s="92"/>
      <c r="H420" s="93"/>
      <c r="I420" s="92"/>
      <c r="J420" s="16"/>
      <c r="K420" s="36"/>
      <c r="L420" s="94"/>
      <c r="M420" s="20"/>
      <c r="N420" s="94"/>
      <c r="O420" s="94"/>
      <c r="P420" s="35"/>
      <c r="Q420" s="92"/>
    </row>
    <row r="421" spans="2:17" hidden="1">
      <c r="B421" s="21" t="s">
        <v>1604</v>
      </c>
      <c r="C421" s="21"/>
      <c r="D421" s="86" t="s">
        <v>1024</v>
      </c>
      <c r="F421" s="32"/>
      <c r="G421" s="52"/>
      <c r="H421" s="53"/>
      <c r="I421" s="52"/>
      <c r="J421" s="16"/>
      <c r="K421" s="33"/>
      <c r="L421" s="54"/>
      <c r="M421" s="29"/>
      <c r="N421" s="54"/>
      <c r="O421" s="54"/>
      <c r="P421" s="30"/>
      <c r="Q421" s="40"/>
    </row>
    <row r="422" spans="2:17" hidden="1">
      <c r="B422" s="21" t="s">
        <v>1770</v>
      </c>
      <c r="C422" s="21"/>
      <c r="D422" s="3" t="s">
        <v>913</v>
      </c>
      <c r="F422" s="5"/>
      <c r="J422" s="16"/>
      <c r="K422" s="21"/>
      <c r="L422" s="20"/>
      <c r="M422" s="29"/>
      <c r="N422" s="20"/>
      <c r="O422" s="39"/>
      <c r="P422" s="30"/>
      <c r="Q422" s="40"/>
    </row>
    <row r="423" spans="2:17" hidden="1">
      <c r="B423" s="21" t="s">
        <v>1771</v>
      </c>
      <c r="C423" s="21"/>
      <c r="D423" s="95" t="s">
        <v>1117</v>
      </c>
      <c r="F423" s="789"/>
      <c r="G423" s="92"/>
      <c r="H423" s="93"/>
      <c r="I423" s="92"/>
      <c r="J423" s="16"/>
      <c r="K423" s="33"/>
      <c r="L423" s="94"/>
      <c r="M423" s="29"/>
      <c r="N423" s="94"/>
      <c r="O423" s="94"/>
      <c r="P423" s="30"/>
      <c r="Q423" s="40"/>
    </row>
    <row r="424" spans="2:17" hidden="1">
      <c r="B424" s="21" t="s">
        <v>1772</v>
      </c>
      <c r="C424" s="21"/>
      <c r="D424" s="3" t="s">
        <v>757</v>
      </c>
      <c r="F424" s="5"/>
      <c r="J424" s="16"/>
      <c r="K424" s="21"/>
      <c r="L424" s="20"/>
      <c r="M424" s="29"/>
      <c r="N424" s="20"/>
      <c r="O424" s="39"/>
      <c r="P424" s="30"/>
      <c r="Q424" s="40"/>
    </row>
    <row r="425" spans="2:17" hidden="1">
      <c r="B425" s="21" t="s">
        <v>1773</v>
      </c>
      <c r="C425" s="21"/>
      <c r="D425" s="3" t="s">
        <v>1139</v>
      </c>
      <c r="F425" s="789"/>
      <c r="G425" s="92"/>
      <c r="H425" s="93"/>
      <c r="I425" s="92"/>
      <c r="J425" s="16"/>
      <c r="K425" s="33"/>
      <c r="L425" s="94"/>
      <c r="M425" s="29"/>
      <c r="N425" s="94"/>
      <c r="O425" s="94"/>
      <c r="P425" s="30"/>
      <c r="Q425" s="40"/>
    </row>
    <row r="426" spans="2:17" hidden="1">
      <c r="B426" s="21" t="s">
        <v>1774</v>
      </c>
      <c r="C426" s="21"/>
      <c r="D426" s="3" t="s">
        <v>333</v>
      </c>
      <c r="F426" s="5"/>
      <c r="J426" s="16"/>
      <c r="K426" s="21"/>
      <c r="L426" s="20"/>
      <c r="M426" s="29"/>
      <c r="N426" s="20"/>
      <c r="O426" s="39"/>
      <c r="P426" s="30"/>
      <c r="Q426" s="40"/>
    </row>
    <row r="427" spans="2:17" hidden="1">
      <c r="B427" s="21" t="s">
        <v>1775</v>
      </c>
      <c r="C427" s="21"/>
      <c r="D427" s="3" t="s">
        <v>933</v>
      </c>
      <c r="F427" s="5"/>
      <c r="J427" s="16"/>
      <c r="K427" s="21"/>
      <c r="L427" s="20"/>
      <c r="M427" s="29"/>
      <c r="N427" s="20"/>
      <c r="O427" s="39"/>
      <c r="P427" s="30"/>
      <c r="Q427" s="40"/>
    </row>
    <row r="428" spans="2:17" hidden="1">
      <c r="B428" s="21" t="s">
        <v>1776</v>
      </c>
      <c r="C428" s="21"/>
      <c r="D428" s="3" t="s">
        <v>563</v>
      </c>
      <c r="F428" s="5"/>
      <c r="J428" s="16"/>
      <c r="K428" s="21"/>
      <c r="L428" s="20"/>
      <c r="M428" s="29"/>
      <c r="N428" s="20"/>
      <c r="O428" s="39"/>
      <c r="P428" s="30"/>
      <c r="Q428" s="40"/>
    </row>
    <row r="429" spans="2:17" hidden="1">
      <c r="B429" s="21" t="s">
        <v>1777</v>
      </c>
      <c r="C429" s="961"/>
      <c r="D429" s="3" t="s">
        <v>2115</v>
      </c>
      <c r="E429" s="962"/>
      <c r="F429" s="963" t="s">
        <v>2116</v>
      </c>
      <c r="G429" s="964"/>
      <c r="H429" s="965"/>
      <c r="I429" s="964"/>
      <c r="J429" s="955"/>
      <c r="K429" s="966"/>
      <c r="L429" s="967"/>
      <c r="M429" s="968"/>
      <c r="N429" s="967"/>
      <c r="O429" s="969"/>
      <c r="P429" s="970"/>
      <c r="Q429" s="971"/>
    </row>
    <row r="430" spans="2:17" hidden="1">
      <c r="B430" s="21" t="s">
        <v>1778</v>
      </c>
      <c r="C430" s="961"/>
      <c r="D430" s="3" t="s">
        <v>2128</v>
      </c>
      <c r="E430" s="962"/>
      <c r="F430" s="789" t="s">
        <v>2129</v>
      </c>
      <c r="G430" s="964"/>
      <c r="H430" s="965"/>
      <c r="I430" s="964"/>
      <c r="J430" s="955"/>
      <c r="K430" s="966"/>
      <c r="L430" s="967"/>
      <c r="M430" s="968"/>
      <c r="N430" s="967"/>
      <c r="O430" s="969"/>
      <c r="P430" s="970"/>
      <c r="Q430" s="971"/>
    </row>
    <row r="431" spans="2:17" hidden="1">
      <c r="B431" s="21" t="s">
        <v>1779</v>
      </c>
      <c r="C431" s="21"/>
      <c r="D431" s="3" t="s">
        <v>442</v>
      </c>
      <c r="F431" s="5"/>
      <c r="J431" s="16"/>
      <c r="K431" s="21"/>
      <c r="L431" s="20"/>
      <c r="M431" s="29"/>
      <c r="N431" s="20"/>
      <c r="O431" s="39"/>
      <c r="P431" s="30"/>
      <c r="Q431" s="40"/>
    </row>
    <row r="432" spans="2:17" hidden="1">
      <c r="B432" s="21" t="s">
        <v>1780</v>
      </c>
      <c r="C432" s="21"/>
      <c r="D432" s="3" t="s">
        <v>691</v>
      </c>
      <c r="F432" s="5"/>
      <c r="J432" s="16"/>
      <c r="K432" s="21"/>
      <c r="L432" s="20"/>
      <c r="M432" s="29"/>
      <c r="N432" s="20"/>
      <c r="O432" s="39"/>
      <c r="P432" s="30"/>
      <c r="Q432" s="40"/>
    </row>
    <row r="433" spans="2:17" hidden="1">
      <c r="B433" s="21" t="s">
        <v>1781</v>
      </c>
      <c r="C433" s="21"/>
      <c r="D433" s="3" t="s">
        <v>594</v>
      </c>
      <c r="F433" s="5"/>
      <c r="J433" s="16"/>
      <c r="K433" s="21"/>
      <c r="L433" s="20"/>
      <c r="M433" s="29"/>
      <c r="N433" s="20"/>
      <c r="O433" s="39"/>
      <c r="P433" s="30"/>
      <c r="Q433" s="40"/>
    </row>
    <row r="434" spans="2:17" hidden="1">
      <c r="B434" s="21" t="s">
        <v>1782</v>
      </c>
      <c r="C434" s="21"/>
      <c r="D434" s="3" t="s">
        <v>1506</v>
      </c>
      <c r="F434" s="789"/>
      <c r="G434" s="92"/>
      <c r="H434" s="93"/>
      <c r="I434" s="92"/>
      <c r="J434" s="16"/>
      <c r="K434" s="33"/>
      <c r="L434" s="94"/>
      <c r="M434" s="29"/>
      <c r="N434" s="94"/>
      <c r="O434" s="94"/>
      <c r="P434" s="30"/>
      <c r="Q434" s="40"/>
    </row>
    <row r="435" spans="2:17" hidden="1">
      <c r="B435" s="21" t="s">
        <v>1783</v>
      </c>
      <c r="C435" s="21"/>
      <c r="D435" s="3" t="s">
        <v>896</v>
      </c>
      <c r="F435" s="5"/>
      <c r="J435" s="16"/>
      <c r="K435" s="21"/>
      <c r="L435" s="20"/>
      <c r="M435" s="29"/>
      <c r="N435" s="20"/>
      <c r="O435" s="39"/>
      <c r="P435" s="30"/>
      <c r="Q435" s="40"/>
    </row>
    <row r="436" spans="2:17" hidden="1">
      <c r="B436" s="21" t="s">
        <v>1784</v>
      </c>
      <c r="C436" s="21"/>
      <c r="D436" s="3" t="s">
        <v>494</v>
      </c>
      <c r="F436" s="5"/>
      <c r="J436" s="16"/>
      <c r="K436" s="21"/>
      <c r="L436" s="20"/>
      <c r="M436" s="29"/>
      <c r="N436" s="20"/>
      <c r="O436" s="39"/>
      <c r="P436" s="30"/>
      <c r="Q436" s="40"/>
    </row>
    <row r="437" spans="2:17" hidden="1">
      <c r="B437" s="21" t="s">
        <v>1785</v>
      </c>
      <c r="C437" s="696"/>
      <c r="D437" s="3" t="s">
        <v>1999</v>
      </c>
      <c r="E437" s="697"/>
      <c r="F437" s="789" t="s">
        <v>2000</v>
      </c>
      <c r="G437" s="698"/>
      <c r="H437" s="699"/>
      <c r="I437" s="698"/>
      <c r="J437" s="696"/>
      <c r="K437" s="700"/>
      <c r="L437" s="701"/>
      <c r="M437" s="702"/>
      <c r="N437" s="701"/>
      <c r="O437" s="701"/>
      <c r="P437" s="703"/>
      <c r="Q437" s="698"/>
    </row>
    <row r="438" spans="2:17" hidden="1">
      <c r="B438" s="21" t="s">
        <v>1786</v>
      </c>
      <c r="C438" s="21"/>
      <c r="D438" s="3" t="s">
        <v>689</v>
      </c>
      <c r="F438" s="5"/>
      <c r="J438" s="16"/>
      <c r="K438" s="21"/>
      <c r="L438" s="20"/>
      <c r="M438" s="29"/>
      <c r="N438" s="20"/>
      <c r="O438" s="39"/>
      <c r="P438" s="30"/>
      <c r="Q438" s="40"/>
    </row>
    <row r="439" spans="2:17" hidden="1">
      <c r="B439" s="21" t="s">
        <v>2390</v>
      </c>
      <c r="C439" s="21"/>
      <c r="D439" s="3" t="s">
        <v>462</v>
      </c>
      <c r="F439" s="32"/>
      <c r="G439" s="52"/>
      <c r="H439" s="53"/>
      <c r="I439" s="52"/>
      <c r="J439" s="16"/>
      <c r="K439" s="33"/>
      <c r="L439" s="54"/>
      <c r="M439" s="29"/>
      <c r="N439" s="54"/>
      <c r="O439" s="54"/>
      <c r="P439" s="30"/>
      <c r="Q439" s="40"/>
    </row>
    <row r="440" spans="2:17" hidden="1">
      <c r="B440" s="21" t="s">
        <v>2391</v>
      </c>
      <c r="C440" s="21"/>
      <c r="D440" s="3" t="s">
        <v>441</v>
      </c>
      <c r="F440" s="5"/>
      <c r="J440" s="16"/>
      <c r="K440" s="21"/>
      <c r="L440" s="20"/>
      <c r="M440" s="29"/>
      <c r="N440" s="20"/>
      <c r="O440" s="39"/>
      <c r="P440" s="30"/>
      <c r="Q440" s="40"/>
    </row>
    <row r="441" spans="2:17" hidden="1">
      <c r="B441" s="21" t="s">
        <v>2392</v>
      </c>
      <c r="C441" s="21"/>
      <c r="D441" s="95" t="s">
        <v>1098</v>
      </c>
      <c r="F441" s="789"/>
      <c r="G441" s="92"/>
      <c r="H441" s="93"/>
      <c r="I441" s="92"/>
      <c r="J441" s="16"/>
      <c r="K441" s="33"/>
      <c r="L441" s="94"/>
      <c r="M441" s="29"/>
      <c r="N441" s="94"/>
      <c r="O441" s="94"/>
      <c r="P441" s="30"/>
      <c r="Q441" s="40"/>
    </row>
    <row r="442" spans="2:17" hidden="1">
      <c r="B442" s="21" t="s">
        <v>2393</v>
      </c>
      <c r="D442" s="19" t="s">
        <v>904</v>
      </c>
      <c r="F442" s="5"/>
      <c r="J442" s="16"/>
      <c r="L442" s="20"/>
      <c r="M442" s="20"/>
      <c r="N442" s="20"/>
      <c r="O442" s="39"/>
      <c r="P442" s="35"/>
    </row>
    <row r="443" spans="2:17" hidden="1">
      <c r="B443" s="21" t="s">
        <v>2394</v>
      </c>
      <c r="C443" s="21"/>
      <c r="D443" s="3" t="s">
        <v>1091</v>
      </c>
      <c r="F443" s="789"/>
      <c r="G443" s="92"/>
      <c r="H443" s="93"/>
      <c r="I443" s="92"/>
      <c r="J443" s="16"/>
      <c r="K443" s="33"/>
      <c r="L443" s="94"/>
      <c r="M443" s="29"/>
      <c r="N443" s="94"/>
      <c r="O443" s="94"/>
      <c r="P443" s="30"/>
      <c r="Q443" s="40"/>
    </row>
    <row r="444" spans="2:17" hidden="1">
      <c r="B444" s="21" t="s">
        <v>2395</v>
      </c>
      <c r="C444" s="21"/>
      <c r="D444" s="3" t="s">
        <v>746</v>
      </c>
      <c r="F444" s="5"/>
      <c r="J444" s="16"/>
      <c r="K444" s="21"/>
      <c r="L444" s="20"/>
      <c r="M444" s="29"/>
      <c r="N444" s="20"/>
      <c r="O444" s="39"/>
      <c r="P444" s="30"/>
      <c r="Q444" s="40"/>
    </row>
    <row r="445" spans="2:17" hidden="1">
      <c r="B445" s="21" t="s">
        <v>2396</v>
      </c>
      <c r="C445" s="21"/>
      <c r="D445" s="3" t="s">
        <v>677</v>
      </c>
      <c r="F445" s="5"/>
      <c r="J445" s="16"/>
      <c r="K445" s="21"/>
      <c r="L445" s="20"/>
      <c r="M445" s="29"/>
      <c r="N445" s="20"/>
      <c r="O445" s="39"/>
      <c r="P445" s="30"/>
      <c r="Q445" s="40"/>
    </row>
    <row r="446" spans="2:17" hidden="1">
      <c r="B446" s="21" t="s">
        <v>2397</v>
      </c>
      <c r="D446" s="19" t="s">
        <v>942</v>
      </c>
      <c r="F446" s="5"/>
      <c r="J446" s="16"/>
      <c r="L446" s="20"/>
      <c r="M446" s="20"/>
      <c r="N446" s="20"/>
      <c r="O446" s="39"/>
      <c r="P446" s="35"/>
    </row>
    <row r="447" spans="2:17" hidden="1">
      <c r="B447" s="21" t="s">
        <v>2398</v>
      </c>
      <c r="C447" s="21"/>
      <c r="D447" s="95" t="s">
        <v>1142</v>
      </c>
      <c r="F447" s="789"/>
      <c r="G447" s="92"/>
      <c r="H447" s="93"/>
      <c r="I447" s="92"/>
      <c r="J447" s="16"/>
      <c r="K447" s="33"/>
      <c r="L447" s="94"/>
      <c r="M447" s="29"/>
      <c r="N447" s="94"/>
      <c r="O447" s="94"/>
      <c r="P447" s="30"/>
      <c r="Q447" s="40"/>
    </row>
    <row r="448" spans="2:17" hidden="1">
      <c r="B448" s="21" t="s">
        <v>2399</v>
      </c>
      <c r="D448" s="19" t="s">
        <v>1027</v>
      </c>
      <c r="F448" s="5"/>
      <c r="J448" s="16"/>
      <c r="L448" s="20"/>
      <c r="M448" s="20"/>
      <c r="N448" s="20"/>
      <c r="O448" s="39"/>
      <c r="P448" s="35"/>
    </row>
    <row r="449" spans="2:17" hidden="1">
      <c r="B449" s="21" t="s">
        <v>2400</v>
      </c>
      <c r="D449" s="3" t="s">
        <v>814</v>
      </c>
      <c r="F449" s="5"/>
      <c r="J449" s="16"/>
      <c r="L449" s="20"/>
      <c r="M449" s="20"/>
      <c r="N449" s="20"/>
      <c r="O449" s="39"/>
      <c r="P449" s="35"/>
    </row>
    <row r="450" spans="2:17" hidden="1">
      <c r="B450" s="21" t="s">
        <v>2401</v>
      </c>
      <c r="D450" s="19" t="s">
        <v>369</v>
      </c>
      <c r="F450" s="5"/>
      <c r="J450" s="16"/>
      <c r="L450" s="20"/>
      <c r="M450" s="20"/>
      <c r="N450" s="20"/>
      <c r="O450" s="39"/>
      <c r="P450" s="35"/>
    </row>
    <row r="451" spans="2:17" hidden="1">
      <c r="B451" s="21" t="s">
        <v>2402</v>
      </c>
      <c r="C451" s="508"/>
      <c r="D451" s="85" t="s">
        <v>1910</v>
      </c>
      <c r="E451" s="22" t="s">
        <v>1911</v>
      </c>
      <c r="F451" s="789" t="s">
        <v>1912</v>
      </c>
      <c r="G451" s="506"/>
      <c r="H451" s="507"/>
      <c r="I451" s="506"/>
      <c r="J451" s="508"/>
      <c r="K451" s="515"/>
      <c r="L451" s="516"/>
      <c r="M451" s="517"/>
      <c r="N451" s="516"/>
      <c r="O451" s="516"/>
      <c r="P451" s="518"/>
      <c r="Q451" s="506"/>
    </row>
    <row r="452" spans="2:17" hidden="1">
      <c r="B452" s="21" t="s">
        <v>2403</v>
      </c>
      <c r="C452" s="21"/>
      <c r="D452" s="3" t="s">
        <v>683</v>
      </c>
      <c r="F452" s="5"/>
      <c r="J452" s="16"/>
      <c r="K452" s="21"/>
      <c r="L452" s="20"/>
      <c r="M452" s="29"/>
      <c r="N452" s="20"/>
      <c r="O452" s="39"/>
      <c r="P452" s="30"/>
      <c r="Q452" s="40"/>
    </row>
    <row r="453" spans="2:17" hidden="1">
      <c r="B453" s="21" t="s">
        <v>2404</v>
      </c>
      <c r="D453" s="3" t="s">
        <v>1079</v>
      </c>
      <c r="F453" s="789"/>
      <c r="G453" s="92"/>
      <c r="H453" s="93"/>
      <c r="I453" s="92"/>
      <c r="J453" s="16"/>
      <c r="K453" s="36"/>
      <c r="L453" s="94"/>
      <c r="M453" s="20"/>
      <c r="N453" s="94"/>
      <c r="O453" s="94"/>
      <c r="P453" s="35"/>
      <c r="Q453" s="92"/>
    </row>
    <row r="454" spans="2:17" hidden="1">
      <c r="B454" s="21" t="s">
        <v>2405</v>
      </c>
      <c r="C454" s="21"/>
      <c r="D454" s="3" t="s">
        <v>392</v>
      </c>
      <c r="F454" s="5"/>
      <c r="J454" s="16"/>
      <c r="K454" s="21"/>
      <c r="L454" s="20"/>
      <c r="M454" s="29"/>
      <c r="N454" s="20"/>
      <c r="O454" s="39"/>
      <c r="P454" s="30"/>
      <c r="Q454" s="40"/>
    </row>
    <row r="455" spans="2:17" hidden="1">
      <c r="B455" s="21" t="s">
        <v>2406</v>
      </c>
      <c r="C455" s="21"/>
      <c r="D455" s="3" t="s">
        <v>990</v>
      </c>
      <c r="F455" s="5"/>
      <c r="J455" s="16"/>
      <c r="K455" s="21"/>
      <c r="L455" s="20"/>
      <c r="M455" s="29"/>
      <c r="N455" s="20"/>
      <c r="O455" s="39"/>
      <c r="P455" s="30"/>
      <c r="Q455" s="40"/>
    </row>
    <row r="456" spans="2:17" hidden="1">
      <c r="B456" s="21" t="s">
        <v>2407</v>
      </c>
      <c r="C456" s="21"/>
      <c r="D456" s="3" t="s">
        <v>817</v>
      </c>
      <c r="F456" s="5"/>
      <c r="J456" s="16"/>
      <c r="K456" s="21"/>
      <c r="L456" s="20"/>
      <c r="M456" s="29"/>
      <c r="N456" s="20"/>
      <c r="O456" s="39"/>
      <c r="P456" s="30"/>
      <c r="Q456" s="40"/>
    </row>
    <row r="457" spans="2:17" hidden="1">
      <c r="B457" s="21" t="s">
        <v>2408</v>
      </c>
      <c r="C457" s="21"/>
      <c r="D457" s="3" t="s">
        <v>2008</v>
      </c>
      <c r="F457" s="808" t="s">
        <v>2009</v>
      </c>
      <c r="G457" s="92"/>
      <c r="H457" s="93"/>
      <c r="I457" s="92"/>
      <c r="J457" s="16"/>
      <c r="K457" s="33"/>
      <c r="L457" s="96"/>
      <c r="M457" s="29"/>
      <c r="N457" s="96"/>
      <c r="O457" s="54"/>
      <c r="P457" s="30"/>
      <c r="Q457" s="40"/>
    </row>
    <row r="458" spans="2:17" hidden="1">
      <c r="B458" s="21" t="s">
        <v>2409</v>
      </c>
      <c r="D458" s="19" t="s">
        <v>342</v>
      </c>
      <c r="F458" s="5"/>
      <c r="J458" s="16"/>
      <c r="L458" s="20"/>
      <c r="M458" s="20"/>
      <c r="N458" s="20"/>
      <c r="O458" s="39"/>
      <c r="P458" s="35"/>
    </row>
    <row r="459" spans="2:17" hidden="1">
      <c r="B459" s="21" t="s">
        <v>2410</v>
      </c>
      <c r="D459" s="19" t="s">
        <v>902</v>
      </c>
      <c r="F459" s="5"/>
      <c r="J459" s="16"/>
      <c r="L459" s="20"/>
      <c r="M459" s="20"/>
      <c r="N459" s="20"/>
      <c r="O459" s="39"/>
      <c r="P459" s="35"/>
    </row>
    <row r="460" spans="2:17" hidden="1">
      <c r="B460" s="21" t="s">
        <v>2411</v>
      </c>
      <c r="D460" s="19" t="s">
        <v>423</v>
      </c>
      <c r="F460" s="5"/>
      <c r="J460" s="16"/>
      <c r="L460" s="20"/>
      <c r="M460" s="20"/>
      <c r="N460" s="20"/>
      <c r="O460" s="39"/>
      <c r="P460" s="35"/>
    </row>
    <row r="461" spans="2:17" hidden="1">
      <c r="B461" s="21" t="s">
        <v>2412</v>
      </c>
      <c r="C461" s="21"/>
      <c r="D461" s="3" t="s">
        <v>564</v>
      </c>
      <c r="F461" s="5"/>
      <c r="J461" s="16"/>
      <c r="K461" s="21"/>
      <c r="L461" s="20"/>
      <c r="M461" s="29"/>
      <c r="N461" s="20"/>
      <c r="O461" s="39"/>
      <c r="P461" s="30"/>
      <c r="Q461" s="40"/>
    </row>
    <row r="462" spans="2:17" hidden="1">
      <c r="B462" s="21" t="s">
        <v>2413</v>
      </c>
      <c r="C462" s="21"/>
      <c r="D462" s="3" t="s">
        <v>378</v>
      </c>
      <c r="F462" s="5"/>
      <c r="J462" s="16"/>
      <c r="K462" s="21"/>
      <c r="L462" s="20"/>
      <c r="M462" s="29"/>
      <c r="N462" s="20"/>
      <c r="O462" s="39"/>
      <c r="P462" s="30"/>
      <c r="Q462" s="40"/>
    </row>
    <row r="463" spans="2:17" hidden="1">
      <c r="B463" s="21" t="s">
        <v>2414</v>
      </c>
      <c r="C463" s="21"/>
      <c r="D463" s="3" t="s">
        <v>915</v>
      </c>
      <c r="F463" s="5"/>
      <c r="J463" s="16"/>
      <c r="K463" s="21"/>
      <c r="L463" s="20"/>
      <c r="M463" s="29"/>
      <c r="N463" s="20"/>
      <c r="O463" s="39"/>
      <c r="P463" s="30"/>
      <c r="Q463" s="40"/>
    </row>
    <row r="464" spans="2:17" hidden="1">
      <c r="B464" s="21" t="s">
        <v>2415</v>
      </c>
      <c r="C464" s="21"/>
      <c r="D464" s="3" t="s">
        <v>377</v>
      </c>
      <c r="F464" s="5"/>
      <c r="J464" s="16"/>
      <c r="K464" s="21"/>
      <c r="L464" s="20"/>
      <c r="M464" s="29"/>
      <c r="N464" s="20"/>
      <c r="O464" s="39"/>
      <c r="P464" s="30"/>
      <c r="Q464" s="40"/>
    </row>
    <row r="465" spans="2:17" hidden="1">
      <c r="B465" s="21" t="s">
        <v>2416</v>
      </c>
      <c r="C465" s="21"/>
      <c r="D465" s="3" t="s">
        <v>654</v>
      </c>
      <c r="F465" s="5"/>
      <c r="J465" s="16"/>
      <c r="K465" s="21"/>
      <c r="L465" s="20"/>
      <c r="M465" s="29"/>
      <c r="N465" s="20"/>
      <c r="O465" s="39"/>
      <c r="P465" s="30"/>
      <c r="Q465" s="40"/>
    </row>
    <row r="466" spans="2:17" hidden="1">
      <c r="B466" s="21" t="s">
        <v>2417</v>
      </c>
      <c r="C466" s="21"/>
      <c r="D466" s="3" t="s">
        <v>1095</v>
      </c>
      <c r="F466" s="789"/>
      <c r="G466" s="92"/>
      <c r="H466" s="93"/>
      <c r="I466" s="92"/>
      <c r="J466" s="16"/>
      <c r="K466" s="33"/>
      <c r="L466" s="94"/>
      <c r="M466" s="29"/>
      <c r="N466" s="94"/>
      <c r="O466" s="94"/>
      <c r="P466" s="30"/>
      <c r="Q466" s="40"/>
    </row>
    <row r="467" spans="2:17" hidden="1">
      <c r="B467" s="21" t="s">
        <v>2418</v>
      </c>
      <c r="C467" s="21"/>
      <c r="D467" s="3" t="s">
        <v>1084</v>
      </c>
      <c r="F467" s="789"/>
      <c r="G467" s="92"/>
      <c r="H467" s="93"/>
      <c r="I467" s="92"/>
      <c r="J467" s="16"/>
      <c r="K467" s="33"/>
      <c r="L467" s="94"/>
      <c r="M467" s="29"/>
      <c r="N467" s="94"/>
      <c r="O467" s="94"/>
      <c r="P467" s="30"/>
      <c r="Q467" s="40"/>
    </row>
    <row r="468" spans="2:17" hidden="1">
      <c r="B468" s="21" t="s">
        <v>2419</v>
      </c>
      <c r="C468" s="416"/>
      <c r="D468" s="3" t="s">
        <v>1884</v>
      </c>
      <c r="E468" s="417"/>
      <c r="F468" s="809"/>
      <c r="G468" s="418"/>
      <c r="H468" s="419"/>
      <c r="I468" s="418"/>
      <c r="J468" s="420"/>
      <c r="K468" s="421"/>
      <c r="L468" s="422"/>
      <c r="M468" s="423"/>
      <c r="N468" s="422"/>
      <c r="O468" s="422"/>
      <c r="P468" s="424"/>
      <c r="Q468" s="425"/>
    </row>
    <row r="469" spans="2:17" hidden="1">
      <c r="B469" s="21" t="s">
        <v>2420</v>
      </c>
      <c r="C469" s="21"/>
      <c r="D469" s="86" t="s">
        <v>2387</v>
      </c>
      <c r="F469" s="789" t="s">
        <v>2388</v>
      </c>
      <c r="G469" s="92" t="s">
        <v>2389</v>
      </c>
      <c r="H469" s="93"/>
      <c r="I469" s="92"/>
      <c r="J469" s="16"/>
      <c r="K469" s="33"/>
      <c r="L469" s="96"/>
      <c r="M469" s="29"/>
      <c r="N469" s="96"/>
      <c r="O469" s="54"/>
      <c r="P469" s="30"/>
      <c r="Q469" s="40"/>
    </row>
    <row r="470" spans="2:17" hidden="1">
      <c r="B470" s="21" t="s">
        <v>2421</v>
      </c>
      <c r="C470" s="21"/>
      <c r="D470" s="3" t="s">
        <v>706</v>
      </c>
      <c r="F470" s="5"/>
      <c r="J470" s="16"/>
      <c r="K470" s="21"/>
      <c r="L470" s="20"/>
      <c r="M470" s="29"/>
      <c r="N470" s="20"/>
      <c r="O470" s="39"/>
      <c r="P470" s="30"/>
      <c r="Q470" s="40"/>
    </row>
    <row r="471" spans="2:17" hidden="1">
      <c r="B471" s="21" t="s">
        <v>2422</v>
      </c>
      <c r="C471" s="21"/>
      <c r="D471" s="3" t="s">
        <v>1173</v>
      </c>
      <c r="F471" s="789"/>
      <c r="G471" s="92"/>
      <c r="H471" s="93"/>
      <c r="I471" s="92"/>
      <c r="J471" s="16"/>
      <c r="K471" s="33"/>
      <c r="L471" s="94"/>
      <c r="M471" s="29"/>
      <c r="N471" s="94"/>
      <c r="O471" s="94"/>
      <c r="P471" s="30"/>
      <c r="Q471" s="40"/>
    </row>
    <row r="472" spans="2:17" hidden="1">
      <c r="B472" s="21" t="s">
        <v>2423</v>
      </c>
      <c r="C472" s="21"/>
      <c r="D472" s="3" t="s">
        <v>841</v>
      </c>
      <c r="F472" s="32"/>
      <c r="G472" s="52"/>
      <c r="H472" s="53"/>
      <c r="I472" s="52"/>
      <c r="J472" s="16"/>
      <c r="K472" s="33"/>
      <c r="L472" s="54"/>
      <c r="M472" s="29"/>
      <c r="N472" s="54"/>
      <c r="O472" s="54"/>
      <c r="P472" s="30"/>
      <c r="Q472" s="40"/>
    </row>
    <row r="473" spans="2:17" hidden="1">
      <c r="B473" s="21" t="s">
        <v>2424</v>
      </c>
      <c r="C473" s="508"/>
      <c r="D473" s="3" t="s">
        <v>1906</v>
      </c>
      <c r="E473" s="505"/>
      <c r="F473" s="790"/>
      <c r="G473" s="506"/>
      <c r="H473" s="507"/>
      <c r="I473" s="506"/>
      <c r="J473" s="508"/>
      <c r="K473" s="515"/>
      <c r="L473" s="516"/>
      <c r="M473" s="517"/>
      <c r="N473" s="516"/>
      <c r="O473" s="516"/>
      <c r="P473" s="518"/>
      <c r="Q473" s="506"/>
    </row>
    <row r="474" spans="2:17" hidden="1">
      <c r="B474" s="21" t="s">
        <v>2425</v>
      </c>
      <c r="C474" s="21"/>
      <c r="D474" s="19" t="s">
        <v>382</v>
      </c>
      <c r="F474" s="32"/>
      <c r="G474" s="52"/>
      <c r="H474" s="53"/>
      <c r="I474" s="52"/>
      <c r="J474" s="16"/>
      <c r="K474" s="33"/>
      <c r="L474" s="54"/>
      <c r="M474" s="29"/>
      <c r="N474" s="54"/>
      <c r="O474" s="54"/>
      <c r="P474" s="30"/>
      <c r="Q474" s="40"/>
    </row>
    <row r="475" spans="2:17" hidden="1">
      <c r="B475" s="21" t="s">
        <v>2426</v>
      </c>
      <c r="C475" s="21"/>
      <c r="D475" s="100" t="s">
        <v>1633</v>
      </c>
      <c r="E475" s="57" t="s">
        <v>1631</v>
      </c>
      <c r="F475" s="32" t="s">
        <v>1632</v>
      </c>
      <c r="G475" s="52"/>
      <c r="H475" s="53"/>
      <c r="I475" s="52"/>
      <c r="J475" s="16"/>
      <c r="K475" s="33"/>
      <c r="L475" s="54"/>
      <c r="M475" s="29"/>
      <c r="N475" s="54"/>
      <c r="O475" s="54"/>
      <c r="P475" s="30"/>
      <c r="Q475" s="40"/>
    </row>
    <row r="476" spans="2:17" hidden="1">
      <c r="B476" s="21" t="s">
        <v>2427</v>
      </c>
      <c r="C476" s="21"/>
      <c r="D476" s="3" t="s">
        <v>386</v>
      </c>
      <c r="F476" s="5"/>
      <c r="J476" s="16"/>
      <c r="K476" s="21"/>
      <c r="L476" s="20"/>
      <c r="M476" s="29"/>
      <c r="N476" s="20"/>
      <c r="O476" s="39"/>
      <c r="P476" s="30"/>
      <c r="Q476" s="40"/>
    </row>
    <row r="477" spans="2:17" hidden="1">
      <c r="B477" s="21" t="s">
        <v>2428</v>
      </c>
      <c r="C477" s="21"/>
      <c r="D477" s="3" t="s">
        <v>263</v>
      </c>
      <c r="F477" s="32"/>
      <c r="G477" s="52"/>
      <c r="H477" s="53"/>
      <c r="I477" s="52"/>
      <c r="J477" s="16"/>
      <c r="K477" s="33"/>
      <c r="L477" s="54"/>
      <c r="M477" s="29"/>
      <c r="N477" s="54"/>
      <c r="O477" s="54"/>
      <c r="P477" s="30"/>
      <c r="Q477" s="40"/>
    </row>
    <row r="478" spans="2:17" hidden="1">
      <c r="B478" s="21" t="s">
        <v>2429</v>
      </c>
      <c r="C478" s="21"/>
      <c r="D478" s="3" t="s">
        <v>1614</v>
      </c>
      <c r="F478" s="32"/>
      <c r="G478" s="52"/>
      <c r="H478" s="53"/>
      <c r="I478" s="52"/>
      <c r="J478" s="16"/>
      <c r="K478" s="33"/>
      <c r="L478" s="54"/>
      <c r="M478" s="29"/>
      <c r="N478" s="54"/>
      <c r="O478" s="54"/>
      <c r="P478" s="30"/>
      <c r="Q478" s="40"/>
    </row>
    <row r="479" spans="2:17" hidden="1">
      <c r="B479" s="21" t="s">
        <v>2430</v>
      </c>
      <c r="C479" s="21"/>
      <c r="D479" s="15" t="s">
        <v>313</v>
      </c>
      <c r="F479" s="32"/>
      <c r="G479" s="52"/>
      <c r="H479" s="53"/>
      <c r="I479" s="52"/>
      <c r="J479" s="16"/>
      <c r="K479" s="33"/>
      <c r="L479" s="54"/>
      <c r="M479" s="29"/>
      <c r="N479" s="54"/>
      <c r="O479" s="54"/>
      <c r="P479" s="30"/>
      <c r="Q479" s="40"/>
    </row>
    <row r="480" spans="2:17" hidden="1">
      <c r="B480" s="21" t="s">
        <v>2431</v>
      </c>
      <c r="C480" s="21"/>
      <c r="D480" s="51" t="s">
        <v>743</v>
      </c>
      <c r="F480" s="32"/>
      <c r="G480" s="52"/>
      <c r="H480" s="53"/>
      <c r="I480" s="52"/>
      <c r="J480" s="16"/>
      <c r="K480" s="33"/>
      <c r="L480" s="54"/>
      <c r="M480" s="29"/>
      <c r="N480" s="54"/>
      <c r="O480" s="54"/>
      <c r="P480" s="30"/>
      <c r="Q480" s="40"/>
    </row>
    <row r="481" spans="2:17" hidden="1">
      <c r="B481" s="21" t="s">
        <v>2432</v>
      </c>
      <c r="C481" s="955"/>
      <c r="D481" s="3" t="s">
        <v>2131</v>
      </c>
      <c r="E481" s="962"/>
      <c r="F481" s="963"/>
      <c r="G481" s="964"/>
      <c r="H481" s="965"/>
      <c r="I481" s="964"/>
      <c r="J481" s="955"/>
      <c r="K481" s="972"/>
      <c r="L481" s="973"/>
      <c r="M481" s="974"/>
      <c r="N481" s="973"/>
      <c r="O481" s="973"/>
      <c r="P481" s="975"/>
      <c r="Q481" s="964"/>
    </row>
    <row r="482" spans="2:17" hidden="1">
      <c r="B482" s="21" t="s">
        <v>2433</v>
      </c>
      <c r="C482" s="21"/>
      <c r="D482" s="3" t="s">
        <v>1176</v>
      </c>
      <c r="F482" s="32"/>
      <c r="G482" s="52"/>
      <c r="H482" s="53"/>
      <c r="I482" s="52"/>
      <c r="J482" s="16"/>
      <c r="K482" s="33"/>
      <c r="L482" s="54"/>
      <c r="M482" s="29"/>
      <c r="N482" s="54"/>
      <c r="O482" s="54"/>
      <c r="P482" s="30"/>
      <c r="Q482" s="40"/>
    </row>
    <row r="483" spans="2:17" hidden="1">
      <c r="B483" s="21" t="s">
        <v>2434</v>
      </c>
      <c r="C483" s="21"/>
      <c r="D483" s="3" t="s">
        <v>906</v>
      </c>
      <c r="F483" s="32"/>
      <c r="G483" s="52"/>
      <c r="H483" s="53"/>
      <c r="I483" s="52"/>
      <c r="J483" s="16"/>
      <c r="K483" s="33"/>
      <c r="L483" s="54"/>
      <c r="M483" s="29"/>
      <c r="N483" s="54"/>
      <c r="O483" s="54"/>
      <c r="P483" s="30"/>
      <c r="Q483" s="40"/>
    </row>
    <row r="484" spans="2:17" hidden="1">
      <c r="B484" s="21" t="s">
        <v>2435</v>
      </c>
      <c r="C484" s="146"/>
      <c r="D484" s="3" t="s">
        <v>1762</v>
      </c>
      <c r="E484" s="261"/>
      <c r="F484" s="799"/>
      <c r="G484" s="262"/>
      <c r="H484" s="263"/>
      <c r="I484" s="262"/>
      <c r="J484" s="101"/>
      <c r="K484" s="264"/>
      <c r="L484" s="265"/>
      <c r="M484" s="266"/>
      <c r="N484" s="265"/>
      <c r="O484" s="265"/>
      <c r="P484" s="267"/>
      <c r="Q484" s="268"/>
    </row>
    <row r="485" spans="2:17" hidden="1">
      <c r="B485" s="21" t="s">
        <v>2436</v>
      </c>
      <c r="C485" s="21"/>
      <c r="D485" s="51" t="s">
        <v>552</v>
      </c>
      <c r="F485" s="32"/>
      <c r="G485" s="52"/>
      <c r="H485" s="53"/>
      <c r="I485" s="52"/>
      <c r="J485" s="16"/>
      <c r="K485" s="33"/>
      <c r="L485" s="54"/>
      <c r="M485" s="29"/>
      <c r="N485" s="54"/>
      <c r="O485" s="54"/>
      <c r="P485" s="30"/>
      <c r="Q485" s="40"/>
    </row>
    <row r="486" spans="2:17">
      <c r="B486" s="21" t="s">
        <v>2437</v>
      </c>
      <c r="D486" s="3" t="s">
        <v>1957</v>
      </c>
      <c r="F486" s="789"/>
      <c r="G486" s="92"/>
      <c r="H486" s="93"/>
      <c r="I486" s="92"/>
      <c r="J486" s="16"/>
      <c r="K486" s="36"/>
      <c r="L486" s="94"/>
      <c r="M486" s="20"/>
      <c r="N486" s="94"/>
      <c r="O486" s="94"/>
      <c r="P486" s="35"/>
      <c r="Q486" s="92"/>
    </row>
    <row r="487" spans="2:17" hidden="1">
      <c r="B487" s="21" t="s">
        <v>2438</v>
      </c>
      <c r="C487" s="21"/>
      <c r="D487" s="19" t="s">
        <v>461</v>
      </c>
      <c r="F487" s="32"/>
      <c r="G487" s="52"/>
      <c r="H487" s="53"/>
      <c r="I487" s="52"/>
      <c r="J487" s="16"/>
      <c r="K487" s="33"/>
      <c r="L487" s="54"/>
      <c r="M487" s="29"/>
      <c r="N487" s="54"/>
      <c r="O487" s="54"/>
      <c r="P487" s="30"/>
      <c r="Q487" s="40"/>
    </row>
    <row r="488" spans="2:17" hidden="1">
      <c r="B488" s="21" t="s">
        <v>2439</v>
      </c>
      <c r="C488" s="21"/>
      <c r="D488" s="3" t="s">
        <v>993</v>
      </c>
      <c r="F488" s="5"/>
      <c r="J488" s="16"/>
      <c r="K488" s="21"/>
      <c r="L488" s="29"/>
      <c r="M488" s="29"/>
      <c r="N488" s="29"/>
      <c r="O488" s="56"/>
      <c r="P488" s="30"/>
      <c r="Q488" s="31"/>
    </row>
    <row r="489" spans="2:17" hidden="1">
      <c r="B489" s="21" t="s">
        <v>2440</v>
      </c>
      <c r="C489" s="21"/>
      <c r="D489" s="19" t="s">
        <v>752</v>
      </c>
      <c r="F489" s="32"/>
      <c r="G489" s="52"/>
      <c r="H489" s="53"/>
      <c r="I489" s="52"/>
      <c r="J489" s="16"/>
      <c r="K489" s="33"/>
      <c r="L489" s="54"/>
      <c r="M489" s="29"/>
      <c r="N489" s="54"/>
      <c r="O489" s="54"/>
      <c r="P489" s="30"/>
      <c r="Q489" s="40"/>
    </row>
    <row r="490" spans="2:17" hidden="1">
      <c r="B490" s="21" t="s">
        <v>2441</v>
      </c>
      <c r="C490" s="21"/>
      <c r="D490" s="19" t="s">
        <v>520</v>
      </c>
      <c r="F490" s="32"/>
      <c r="G490" s="52"/>
      <c r="H490" s="53"/>
      <c r="I490" s="52"/>
      <c r="J490" s="16"/>
      <c r="K490" s="33"/>
      <c r="L490" s="54"/>
      <c r="M490" s="29"/>
      <c r="N490" s="54"/>
      <c r="O490" s="54"/>
      <c r="P490" s="30"/>
      <c r="Q490" s="40"/>
    </row>
    <row r="491" spans="2:17" hidden="1">
      <c r="B491" s="21" t="s">
        <v>2442</v>
      </c>
      <c r="C491" s="21"/>
      <c r="D491" s="19" t="s">
        <v>533</v>
      </c>
      <c r="F491" s="32"/>
      <c r="G491" s="52"/>
      <c r="H491" s="53"/>
      <c r="I491" s="52"/>
      <c r="J491" s="16"/>
      <c r="K491" s="33"/>
      <c r="L491" s="54"/>
      <c r="M491" s="29"/>
      <c r="N491" s="54"/>
      <c r="O491" s="54"/>
      <c r="P491" s="30"/>
      <c r="Q491" s="40"/>
    </row>
    <row r="492" spans="2:17" hidden="1">
      <c r="B492" s="21" t="s">
        <v>2443</v>
      </c>
      <c r="D492" s="19" t="s">
        <v>596</v>
      </c>
      <c r="F492" s="5"/>
      <c r="J492" s="16"/>
      <c r="L492" s="20"/>
      <c r="M492" s="20"/>
      <c r="N492" s="20"/>
      <c r="O492" s="39"/>
      <c r="P492" s="35"/>
    </row>
    <row r="493" spans="2:17" hidden="1">
      <c r="B493" s="21" t="s">
        <v>2444</v>
      </c>
      <c r="C493" s="684"/>
      <c r="D493" s="3" t="s">
        <v>1997</v>
      </c>
      <c r="E493" s="685"/>
      <c r="F493" s="789" t="s">
        <v>1998</v>
      </c>
      <c r="G493" s="686"/>
      <c r="H493" s="687"/>
      <c r="I493" s="686"/>
      <c r="J493" s="688"/>
      <c r="K493" s="689"/>
      <c r="L493" s="690"/>
      <c r="M493" s="691"/>
      <c r="N493" s="690"/>
      <c r="O493" s="692"/>
      <c r="P493" s="693"/>
      <c r="Q493" s="694"/>
    </row>
    <row r="494" spans="2:17" hidden="1">
      <c r="B494" s="21" t="s">
        <v>2445</v>
      </c>
      <c r="C494" s="21"/>
      <c r="D494" s="51" t="s">
        <v>464</v>
      </c>
      <c r="F494" s="32"/>
      <c r="G494" s="52"/>
      <c r="H494" s="53"/>
      <c r="I494" s="52"/>
      <c r="J494" s="16"/>
      <c r="K494" s="33"/>
      <c r="L494" s="54"/>
      <c r="M494" s="29"/>
      <c r="N494" s="54"/>
      <c r="O494" s="54"/>
      <c r="P494" s="30"/>
      <c r="Q494" s="40"/>
    </row>
    <row r="495" spans="2:17" hidden="1">
      <c r="B495" s="21" t="s">
        <v>2446</v>
      </c>
      <c r="C495" s="21"/>
      <c r="D495" s="3" t="s">
        <v>422</v>
      </c>
      <c r="F495" s="32"/>
      <c r="G495" s="52"/>
      <c r="H495" s="53"/>
      <c r="I495" s="52"/>
      <c r="J495" s="16"/>
      <c r="K495" s="33"/>
      <c r="L495" s="54"/>
      <c r="M495" s="29"/>
      <c r="N495" s="54"/>
      <c r="O495" s="54"/>
      <c r="P495" s="30"/>
      <c r="Q495" s="40"/>
    </row>
    <row r="496" spans="2:17" hidden="1">
      <c r="B496" s="21" t="s">
        <v>2447</v>
      </c>
      <c r="D496" s="3" t="s">
        <v>2141</v>
      </c>
      <c r="E496" s="22" t="s">
        <v>2140</v>
      </c>
      <c r="F496" s="789" t="s">
        <v>2142</v>
      </c>
      <c r="G496" s="92"/>
      <c r="H496" s="93"/>
      <c r="I496" s="92"/>
      <c r="J496" s="16"/>
      <c r="K496" s="36"/>
      <c r="L496" s="94"/>
      <c r="M496" s="20"/>
      <c r="N496" s="94"/>
      <c r="O496" s="94"/>
      <c r="P496" s="35"/>
      <c r="Q496" s="92"/>
    </row>
    <row r="497" spans="2:17" hidden="1">
      <c r="B497" s="21" t="s">
        <v>2448</v>
      </c>
      <c r="C497" s="21"/>
      <c r="D497" s="3" t="s">
        <v>258</v>
      </c>
      <c r="F497" s="32"/>
      <c r="G497" s="52"/>
      <c r="H497" s="53"/>
      <c r="I497" s="52"/>
      <c r="J497" s="16"/>
      <c r="K497" s="33"/>
      <c r="L497" s="54"/>
      <c r="M497" s="29"/>
      <c r="N497" s="54"/>
      <c r="O497" s="54"/>
      <c r="P497" s="30"/>
      <c r="Q497" s="40"/>
    </row>
    <row r="498" spans="2:17" hidden="1">
      <c r="B498" s="21" t="s">
        <v>2449</v>
      </c>
      <c r="C498" s="21"/>
      <c r="D498" s="3" t="s">
        <v>557</v>
      </c>
      <c r="F498" s="32"/>
      <c r="G498" s="52"/>
      <c r="H498" s="53"/>
      <c r="I498" s="52"/>
      <c r="J498" s="16"/>
      <c r="K498" s="33"/>
      <c r="L498" s="54"/>
      <c r="M498" s="29"/>
      <c r="N498" s="54"/>
      <c r="O498" s="54"/>
      <c r="P498" s="30"/>
      <c r="Q498" s="40"/>
    </row>
    <row r="499" spans="2:17" hidden="1">
      <c r="B499" s="21" t="s">
        <v>2450</v>
      </c>
      <c r="C499" s="21"/>
      <c r="D499" s="3" t="s">
        <v>374</v>
      </c>
      <c r="F499" s="32"/>
      <c r="G499" s="52"/>
      <c r="H499" s="53"/>
      <c r="I499" s="52"/>
      <c r="J499" s="16"/>
      <c r="K499" s="33"/>
      <c r="L499" s="54"/>
      <c r="M499" s="29"/>
      <c r="N499" s="54"/>
      <c r="O499" s="54"/>
      <c r="P499" s="30"/>
      <c r="Q499" s="40"/>
    </row>
    <row r="500" spans="2:17" hidden="1">
      <c r="B500" s="21" t="s">
        <v>2451</v>
      </c>
      <c r="C500" s="21"/>
      <c r="D500" s="3" t="s">
        <v>749</v>
      </c>
      <c r="F500" s="32"/>
      <c r="G500" s="52"/>
      <c r="H500" s="53"/>
      <c r="I500" s="52"/>
      <c r="J500" s="16"/>
      <c r="K500" s="33"/>
      <c r="L500" s="54"/>
      <c r="M500" s="29"/>
      <c r="N500" s="54"/>
      <c r="O500" s="54"/>
      <c r="P500" s="30"/>
      <c r="Q500" s="40"/>
    </row>
    <row r="501" spans="2:17" hidden="1">
      <c r="B501" s="21" t="s">
        <v>2452</v>
      </c>
      <c r="D501" s="90" t="s">
        <v>1100</v>
      </c>
      <c r="F501" s="789"/>
      <c r="G501" s="92"/>
      <c r="H501" s="93"/>
      <c r="I501" s="92"/>
      <c r="J501" s="16"/>
      <c r="K501" s="36"/>
      <c r="L501" s="94"/>
      <c r="M501" s="20"/>
      <c r="N501" s="94"/>
      <c r="O501" s="94"/>
      <c r="P501" s="35"/>
      <c r="Q501" s="92"/>
    </row>
    <row r="502" spans="2:17" hidden="1">
      <c r="B502" s="21" t="s">
        <v>2453</v>
      </c>
      <c r="C502" s="955"/>
      <c r="D502" s="3" t="s">
        <v>2117</v>
      </c>
      <c r="E502" s="22" t="s">
        <v>2118</v>
      </c>
      <c r="F502" s="789" t="s">
        <v>2119</v>
      </c>
      <c r="G502" s="93" t="s">
        <v>2120</v>
      </c>
      <c r="H502" s="93"/>
      <c r="I502" s="964"/>
      <c r="J502" s="955"/>
      <c r="K502" s="972"/>
      <c r="L502" s="973"/>
      <c r="M502" s="974"/>
      <c r="N502" s="973"/>
      <c r="O502" s="973"/>
      <c r="P502" s="975"/>
      <c r="Q502" s="964"/>
    </row>
    <row r="503" spans="2:17" hidden="1">
      <c r="B503" s="21" t="s">
        <v>2454</v>
      </c>
      <c r="C503" s="21"/>
      <c r="D503" s="3" t="s">
        <v>742</v>
      </c>
      <c r="F503" s="32"/>
      <c r="G503" s="52"/>
      <c r="H503" s="53"/>
      <c r="I503" s="52"/>
      <c r="J503" s="16"/>
      <c r="K503" s="33"/>
      <c r="L503" s="54"/>
      <c r="M503" s="29"/>
      <c r="N503" s="54"/>
      <c r="O503" s="54"/>
      <c r="P503" s="30"/>
      <c r="Q503" s="40"/>
    </row>
    <row r="504" spans="2:17" hidden="1">
      <c r="B504" s="21" t="s">
        <v>2455</v>
      </c>
      <c r="C504" s="21"/>
      <c r="D504" s="51" t="s">
        <v>748</v>
      </c>
      <c r="F504" s="32"/>
      <c r="G504" s="52"/>
      <c r="H504" s="53"/>
      <c r="I504" s="52"/>
      <c r="J504" s="16"/>
      <c r="K504" s="33"/>
      <c r="L504" s="54"/>
      <c r="M504" s="29"/>
      <c r="N504" s="54"/>
      <c r="O504" s="54"/>
      <c r="P504" s="30"/>
      <c r="Q504" s="40"/>
    </row>
    <row r="505" spans="2:17" hidden="1">
      <c r="B505" s="21" t="s">
        <v>2456</v>
      </c>
      <c r="C505" s="21"/>
      <c r="D505" s="51" t="s">
        <v>538</v>
      </c>
      <c r="F505" s="32"/>
      <c r="G505" s="52"/>
      <c r="H505" s="53"/>
      <c r="I505" s="52"/>
      <c r="J505" s="16"/>
      <c r="K505" s="33"/>
      <c r="L505" s="54"/>
      <c r="M505" s="29"/>
      <c r="N505" s="54"/>
      <c r="O505" s="54"/>
      <c r="P505" s="30"/>
      <c r="Q505" s="40"/>
    </row>
    <row r="506" spans="2:17" hidden="1">
      <c r="B506" s="21" t="s">
        <v>2457</v>
      </c>
      <c r="D506" s="3" t="s">
        <v>816</v>
      </c>
      <c r="F506" s="5"/>
      <c r="J506" s="16"/>
      <c r="L506" s="20"/>
      <c r="M506" s="20"/>
      <c r="N506" s="20"/>
      <c r="O506" s="39"/>
      <c r="P506" s="35"/>
    </row>
    <row r="507" spans="2:17" hidden="1">
      <c r="B507" s="21" t="s">
        <v>2458</v>
      </c>
      <c r="D507" s="3" t="s">
        <v>924</v>
      </c>
      <c r="F507" s="5"/>
      <c r="J507" s="16"/>
      <c r="L507" s="20"/>
      <c r="M507" s="20"/>
      <c r="N507" s="20"/>
      <c r="O507" s="39"/>
      <c r="P507" s="35"/>
    </row>
    <row r="508" spans="2:17" hidden="1">
      <c r="B508" s="21" t="s">
        <v>2459</v>
      </c>
      <c r="D508" s="3" t="s">
        <v>845</v>
      </c>
      <c r="F508" s="5"/>
      <c r="J508" s="16"/>
      <c r="L508" s="20"/>
      <c r="M508" s="20"/>
      <c r="N508" s="20"/>
      <c r="O508" s="39"/>
      <c r="P508" s="35"/>
    </row>
    <row r="509" spans="2:17" hidden="1">
      <c r="B509" s="21" t="s">
        <v>2460</v>
      </c>
      <c r="C509" s="21"/>
      <c r="D509" s="3" t="s">
        <v>483</v>
      </c>
      <c r="F509" s="32"/>
      <c r="G509" s="52"/>
      <c r="H509" s="53"/>
      <c r="I509" s="52"/>
      <c r="J509" s="16"/>
      <c r="K509" s="33"/>
      <c r="L509" s="54"/>
      <c r="M509" s="29"/>
      <c r="N509" s="54"/>
      <c r="O509" s="54"/>
      <c r="P509" s="30"/>
      <c r="Q509" s="40"/>
    </row>
    <row r="510" spans="2:17" hidden="1">
      <c r="B510" s="21" t="s">
        <v>2461</v>
      </c>
      <c r="C510" s="344"/>
      <c r="D510" s="85" t="s">
        <v>1856</v>
      </c>
      <c r="E510" s="345"/>
      <c r="F510" s="810"/>
      <c r="G510" s="346"/>
      <c r="H510" s="347"/>
      <c r="I510" s="346"/>
      <c r="J510" s="343"/>
      <c r="K510" s="348"/>
      <c r="L510" s="351"/>
      <c r="M510" s="350"/>
      <c r="N510" s="351"/>
      <c r="O510" s="379"/>
      <c r="P510" s="352"/>
      <c r="Q510" s="353"/>
    </row>
    <row r="511" spans="2:17" hidden="1">
      <c r="B511" s="21" t="s">
        <v>2462</v>
      </c>
      <c r="C511" s="21"/>
      <c r="D511" s="3" t="s">
        <v>2056</v>
      </c>
      <c r="F511" s="789"/>
      <c r="G511" s="92"/>
      <c r="H511" s="93"/>
      <c r="I511" s="92"/>
      <c r="J511" s="16"/>
      <c r="K511" s="33"/>
      <c r="L511" s="96"/>
      <c r="M511" s="29"/>
      <c r="N511" s="96"/>
      <c r="O511" s="54"/>
      <c r="P511" s="30"/>
      <c r="Q511" s="40"/>
    </row>
    <row r="512" spans="2:17" hidden="1">
      <c r="B512" s="21" t="s">
        <v>2463</v>
      </c>
      <c r="C512" s="21"/>
      <c r="D512" s="3" t="s">
        <v>459</v>
      </c>
      <c r="F512" s="32"/>
      <c r="G512" s="52"/>
      <c r="H512" s="53"/>
      <c r="I512" s="52"/>
      <c r="J512" s="16"/>
      <c r="K512" s="33"/>
      <c r="L512" s="54"/>
      <c r="M512" s="29"/>
      <c r="N512" s="54"/>
      <c r="O512" s="54"/>
      <c r="P512" s="30"/>
      <c r="Q512" s="40"/>
    </row>
    <row r="513" spans="2:17" hidden="1">
      <c r="B513" s="21" t="s">
        <v>2464</v>
      </c>
      <c r="C513" s="21"/>
      <c r="D513" s="3" t="s">
        <v>439</v>
      </c>
      <c r="F513" s="32"/>
      <c r="G513" s="52"/>
      <c r="H513" s="53"/>
      <c r="I513" s="52"/>
      <c r="J513" s="16"/>
      <c r="K513" s="33"/>
      <c r="L513" s="54"/>
      <c r="M513" s="29"/>
      <c r="N513" s="54"/>
      <c r="O513" s="54"/>
      <c r="P513" s="30"/>
      <c r="Q513" s="40"/>
    </row>
    <row r="514" spans="2:17" hidden="1">
      <c r="B514" s="21" t="s">
        <v>2465</v>
      </c>
      <c r="C514" s="21"/>
      <c r="D514" s="3" t="s">
        <v>450</v>
      </c>
      <c r="F514" s="32"/>
      <c r="G514" s="52"/>
      <c r="H514" s="53"/>
      <c r="I514" s="52"/>
      <c r="J514" s="16"/>
      <c r="K514" s="33"/>
      <c r="L514" s="54"/>
      <c r="M514" s="29"/>
      <c r="N514" s="54"/>
      <c r="O514" s="54"/>
      <c r="P514" s="30"/>
      <c r="Q514" s="40"/>
    </row>
    <row r="515" spans="2:17" hidden="1">
      <c r="B515" s="21" t="s">
        <v>2466</v>
      </c>
      <c r="C515" s="21"/>
      <c r="D515" s="3" t="s">
        <v>1164</v>
      </c>
      <c r="E515" s="22" t="s">
        <v>1165</v>
      </c>
      <c r="F515" s="32"/>
      <c r="G515" s="52"/>
      <c r="H515" s="53"/>
      <c r="I515" s="52"/>
      <c r="J515" s="16"/>
      <c r="K515" s="33"/>
      <c r="L515" s="54"/>
      <c r="M515" s="29"/>
      <c r="N515" s="54"/>
      <c r="O515" s="54"/>
      <c r="P515" s="30"/>
      <c r="Q515" s="40"/>
    </row>
    <row r="516" spans="2:17" hidden="1">
      <c r="B516" s="21" t="s">
        <v>2467</v>
      </c>
      <c r="C516" s="21"/>
      <c r="D516" s="3" t="s">
        <v>495</v>
      </c>
      <c r="F516" s="32"/>
      <c r="G516" s="52"/>
      <c r="H516" s="53"/>
      <c r="I516" s="52"/>
      <c r="J516" s="16"/>
      <c r="K516" s="33"/>
      <c r="L516" s="54"/>
      <c r="M516" s="29"/>
      <c r="N516" s="54"/>
      <c r="O516" s="54"/>
      <c r="P516" s="30"/>
      <c r="Q516" s="40"/>
    </row>
    <row r="517" spans="2:17" hidden="1">
      <c r="B517" s="21" t="s">
        <v>2468</v>
      </c>
      <c r="C517" s="21"/>
      <c r="D517" s="3" t="s">
        <v>530</v>
      </c>
      <c r="F517" s="32"/>
      <c r="G517" s="52"/>
      <c r="H517" s="53"/>
      <c r="I517" s="52"/>
      <c r="J517" s="16"/>
      <c r="K517" s="33"/>
      <c r="L517" s="54"/>
      <c r="M517" s="29"/>
      <c r="N517" s="54"/>
      <c r="O517" s="54"/>
      <c r="P517" s="30"/>
      <c r="Q517" s="40"/>
    </row>
    <row r="518" spans="2:17" hidden="1">
      <c r="B518" s="21" t="s">
        <v>2469</v>
      </c>
      <c r="C518" s="314"/>
      <c r="D518" s="3" t="s">
        <v>1830</v>
      </c>
      <c r="E518" s="316"/>
      <c r="F518" s="794"/>
      <c r="G518" s="317"/>
      <c r="H518" s="318"/>
      <c r="I518" s="317"/>
      <c r="J518" s="315"/>
      <c r="K518" s="326"/>
      <c r="L518" s="327"/>
      <c r="M518" s="328"/>
      <c r="N518" s="327"/>
      <c r="O518" s="329"/>
      <c r="P518" s="330"/>
      <c r="Q518" s="331"/>
    </row>
    <row r="519" spans="2:17" hidden="1">
      <c r="B519" s="21" t="s">
        <v>2470</v>
      </c>
      <c r="C519" s="21"/>
      <c r="D519" s="3" t="s">
        <v>865</v>
      </c>
      <c r="F519" s="32"/>
      <c r="G519" s="52"/>
      <c r="H519" s="53"/>
      <c r="I519" s="52"/>
      <c r="J519" s="16"/>
      <c r="K519" s="33"/>
      <c r="L519" s="54"/>
      <c r="M519" s="29"/>
      <c r="N519" s="54"/>
      <c r="O519" s="54"/>
      <c r="P519" s="30"/>
      <c r="Q519" s="40"/>
    </row>
    <row r="520" spans="2:17" hidden="1">
      <c r="B520" s="21" t="s">
        <v>2471</v>
      </c>
      <c r="C520" s="21"/>
      <c r="D520" s="3" t="s">
        <v>866</v>
      </c>
      <c r="F520" s="32"/>
      <c r="G520" s="52"/>
      <c r="H520" s="53"/>
      <c r="I520" s="52"/>
      <c r="J520" s="16"/>
      <c r="K520" s="33"/>
      <c r="L520" s="54"/>
      <c r="M520" s="29"/>
      <c r="N520" s="54"/>
      <c r="O520" s="54"/>
      <c r="P520" s="30"/>
      <c r="Q520" s="40"/>
    </row>
    <row r="521" spans="2:17" hidden="1">
      <c r="B521" s="21" t="s">
        <v>2472</v>
      </c>
      <c r="D521" s="3" t="s">
        <v>1958</v>
      </c>
      <c r="F521" s="789"/>
      <c r="G521" s="92"/>
      <c r="H521" s="93"/>
      <c r="I521" s="92"/>
      <c r="J521" s="16"/>
      <c r="K521" s="36"/>
      <c r="L521" s="94"/>
      <c r="M521" s="20"/>
      <c r="N521" s="94"/>
      <c r="O521" s="94"/>
      <c r="P521" s="35"/>
      <c r="Q521" s="92"/>
    </row>
    <row r="522" spans="2:17" hidden="1">
      <c r="B522" s="21" t="s">
        <v>2473</v>
      </c>
      <c r="C522" s="21"/>
      <c r="D522" s="3" t="s">
        <v>908</v>
      </c>
      <c r="F522" s="32"/>
      <c r="G522" s="52"/>
      <c r="H522" s="53"/>
      <c r="I522" s="52"/>
      <c r="J522" s="16"/>
      <c r="K522" s="33"/>
      <c r="L522" s="54"/>
      <c r="M522" s="29"/>
      <c r="N522" s="54"/>
      <c r="O522" s="54"/>
      <c r="P522" s="30"/>
      <c r="Q522" s="40"/>
    </row>
    <row r="523" spans="2:17" hidden="1">
      <c r="B523" s="21" t="s">
        <v>2474</v>
      </c>
      <c r="C523" s="21"/>
      <c r="D523" s="3" t="s">
        <v>848</v>
      </c>
      <c r="F523" s="32"/>
      <c r="G523" s="52"/>
      <c r="H523" s="53"/>
      <c r="I523" s="52"/>
      <c r="J523" s="16"/>
      <c r="K523" s="33"/>
      <c r="L523" s="54"/>
      <c r="M523" s="29"/>
      <c r="N523" s="54"/>
      <c r="O523" s="54"/>
      <c r="P523" s="30"/>
      <c r="Q523" s="40"/>
    </row>
    <row r="524" spans="2:17" hidden="1">
      <c r="B524" s="21" t="s">
        <v>2475</v>
      </c>
      <c r="C524" s="21"/>
      <c r="D524" s="3" t="s">
        <v>502</v>
      </c>
      <c r="F524" s="32"/>
      <c r="G524" s="52"/>
      <c r="H524" s="53"/>
      <c r="I524" s="52"/>
      <c r="J524" s="16"/>
      <c r="K524" s="33"/>
      <c r="L524" s="54"/>
      <c r="M524" s="29"/>
      <c r="N524" s="54"/>
      <c r="O524" s="54"/>
      <c r="P524" s="30"/>
      <c r="Q524" s="40"/>
    </row>
    <row r="525" spans="2:17" hidden="1">
      <c r="B525" s="21" t="s">
        <v>2476</v>
      </c>
      <c r="C525" s="21"/>
      <c r="D525" s="3" t="s">
        <v>903</v>
      </c>
      <c r="F525" s="32"/>
      <c r="G525" s="52"/>
      <c r="H525" s="53"/>
      <c r="I525" s="52"/>
      <c r="J525" s="16"/>
      <c r="K525" s="33"/>
      <c r="L525" s="54"/>
      <c r="M525" s="29"/>
      <c r="N525" s="54"/>
      <c r="O525" s="54"/>
      <c r="P525" s="30"/>
      <c r="Q525" s="40"/>
    </row>
    <row r="526" spans="2:17" hidden="1">
      <c r="B526" s="21" t="s">
        <v>2477</v>
      </c>
      <c r="C526" s="21"/>
      <c r="D526" s="3" t="s">
        <v>1041</v>
      </c>
      <c r="F526" s="789"/>
      <c r="G526" s="92"/>
      <c r="H526" s="93"/>
      <c r="I526" s="92"/>
      <c r="J526" s="16"/>
      <c r="K526" s="33"/>
      <c r="L526" s="96"/>
      <c r="M526" s="29"/>
      <c r="N526" s="94"/>
      <c r="O526" s="54"/>
      <c r="P526" s="30"/>
      <c r="Q526" s="40"/>
    </row>
    <row r="527" spans="2:17" hidden="1">
      <c r="B527" s="21" t="s">
        <v>2478</v>
      </c>
      <c r="C527" s="961"/>
      <c r="D527" s="3" t="s">
        <v>2126</v>
      </c>
      <c r="E527" s="962"/>
      <c r="F527" s="789" t="s">
        <v>2127</v>
      </c>
      <c r="G527" s="964"/>
      <c r="H527" s="965"/>
      <c r="I527" s="964"/>
      <c r="J527" s="955"/>
      <c r="K527" s="966"/>
      <c r="L527" s="967"/>
      <c r="M527" s="968"/>
      <c r="N527" s="967"/>
      <c r="O527" s="969"/>
      <c r="P527" s="970"/>
      <c r="Q527" s="971"/>
    </row>
    <row r="528" spans="2:17" hidden="1">
      <c r="B528" s="21" t="s">
        <v>2479</v>
      </c>
      <c r="C528" s="21"/>
      <c r="D528" s="3" t="s">
        <v>303</v>
      </c>
      <c r="F528" s="32"/>
      <c r="G528" s="52"/>
      <c r="H528" s="53"/>
      <c r="I528" s="52"/>
      <c r="J528" s="16"/>
      <c r="K528" s="33"/>
      <c r="L528" s="54"/>
      <c r="M528" s="29"/>
      <c r="N528" s="54"/>
      <c r="O528" s="54"/>
      <c r="P528" s="30"/>
      <c r="Q528" s="40"/>
    </row>
    <row r="529" spans="2:17" hidden="1">
      <c r="B529" s="21" t="s">
        <v>2480</v>
      </c>
      <c r="D529" s="3" t="s">
        <v>328</v>
      </c>
      <c r="F529" s="5"/>
      <c r="J529" s="16"/>
      <c r="L529" s="20"/>
      <c r="M529" s="20"/>
      <c r="N529" s="20"/>
      <c r="O529" s="39"/>
      <c r="P529" s="35"/>
    </row>
    <row r="530" spans="2:17" hidden="1">
      <c r="B530" s="21" t="s">
        <v>2481</v>
      </c>
      <c r="C530" s="21"/>
      <c r="D530" s="3" t="s">
        <v>622</v>
      </c>
      <c r="F530" s="32"/>
      <c r="G530" s="52"/>
      <c r="H530" s="53"/>
      <c r="I530" s="52"/>
      <c r="J530" s="16"/>
      <c r="K530" s="33"/>
      <c r="L530" s="54"/>
      <c r="M530" s="29"/>
      <c r="N530" s="54"/>
      <c r="O530" s="54"/>
      <c r="P530" s="30"/>
      <c r="Q530" s="40"/>
    </row>
    <row r="531" spans="2:17" hidden="1">
      <c r="B531" s="21" t="s">
        <v>2482</v>
      </c>
      <c r="C531" s="21"/>
      <c r="D531" s="3" t="s">
        <v>349</v>
      </c>
      <c r="F531" s="32"/>
      <c r="G531" s="52"/>
      <c r="H531" s="53"/>
      <c r="I531" s="52"/>
      <c r="J531" s="16"/>
      <c r="K531" s="33"/>
      <c r="L531" s="54"/>
      <c r="M531" s="29"/>
      <c r="N531" s="54"/>
      <c r="O531" s="54"/>
      <c r="P531" s="30"/>
      <c r="Q531" s="40"/>
    </row>
    <row r="532" spans="2:17" hidden="1">
      <c r="B532" s="21" t="s">
        <v>2483</v>
      </c>
      <c r="C532" s="21"/>
      <c r="D532" s="3" t="s">
        <v>730</v>
      </c>
      <c r="F532" s="32"/>
      <c r="G532" s="52"/>
      <c r="H532" s="53"/>
      <c r="I532" s="52"/>
      <c r="J532" s="16"/>
      <c r="K532" s="33"/>
      <c r="L532" s="54"/>
      <c r="M532" s="29"/>
      <c r="N532" s="54"/>
      <c r="O532" s="54"/>
      <c r="P532" s="30"/>
      <c r="Q532" s="40"/>
    </row>
    <row r="533" spans="2:17" hidden="1">
      <c r="B533" s="21" t="s">
        <v>2484</v>
      </c>
      <c r="C533" s="21"/>
      <c r="D533" s="3" t="s">
        <v>1610</v>
      </c>
      <c r="F533" s="32"/>
      <c r="G533" s="52"/>
      <c r="H533" s="53"/>
      <c r="I533" s="52"/>
      <c r="J533" s="16"/>
      <c r="K533" s="33"/>
      <c r="L533" s="54"/>
      <c r="M533" s="29"/>
      <c r="N533" s="54"/>
      <c r="O533" s="54"/>
      <c r="P533" s="30"/>
      <c r="Q533" s="40"/>
    </row>
    <row r="534" spans="2:17" hidden="1">
      <c r="B534" s="21" t="s">
        <v>2485</v>
      </c>
      <c r="C534" s="21"/>
      <c r="D534" s="3" t="s">
        <v>626</v>
      </c>
      <c r="F534" s="32"/>
      <c r="G534" s="52"/>
      <c r="H534" s="53"/>
      <c r="I534" s="52"/>
      <c r="J534" s="16"/>
      <c r="K534" s="33"/>
      <c r="L534" s="54"/>
      <c r="M534" s="29"/>
      <c r="N534" s="54"/>
      <c r="O534" s="54"/>
      <c r="P534" s="30"/>
      <c r="Q534" s="40"/>
    </row>
    <row r="535" spans="2:17" hidden="1">
      <c r="B535" s="21" t="s">
        <v>2486</v>
      </c>
      <c r="C535" s="597"/>
      <c r="D535" s="3" t="s">
        <v>1944</v>
      </c>
      <c r="E535" s="598"/>
      <c r="F535" s="789" t="s">
        <v>1166</v>
      </c>
      <c r="G535" s="599"/>
      <c r="H535" s="600"/>
      <c r="I535" s="599"/>
      <c r="J535" s="601"/>
      <c r="K535" s="602"/>
      <c r="L535" s="603"/>
      <c r="M535" s="604"/>
      <c r="N535" s="603"/>
      <c r="O535" s="605"/>
      <c r="P535" s="606"/>
      <c r="Q535" s="607"/>
    </row>
    <row r="536" spans="2:17" hidden="1">
      <c r="B536" s="21" t="s">
        <v>2487</v>
      </c>
      <c r="C536" s="21"/>
      <c r="D536" s="3" t="s">
        <v>1037</v>
      </c>
      <c r="F536" s="32"/>
      <c r="G536" s="52"/>
      <c r="H536" s="53"/>
      <c r="I536" s="52"/>
      <c r="J536" s="16"/>
      <c r="K536" s="33"/>
      <c r="L536" s="54"/>
      <c r="M536" s="29"/>
      <c r="N536" s="54"/>
      <c r="O536" s="54"/>
      <c r="P536" s="30"/>
      <c r="Q536" s="40"/>
    </row>
    <row r="537" spans="2:17" hidden="1">
      <c r="B537" s="21" t="s">
        <v>2488</v>
      </c>
      <c r="C537" s="21"/>
      <c r="D537" s="3" t="s">
        <v>750</v>
      </c>
      <c r="F537" s="32"/>
      <c r="G537" s="52"/>
      <c r="H537" s="53"/>
      <c r="I537" s="52"/>
      <c r="J537" s="16"/>
      <c r="K537" s="33"/>
      <c r="L537" s="54"/>
      <c r="M537" s="29"/>
      <c r="N537" s="54"/>
      <c r="O537" s="54"/>
      <c r="P537" s="30"/>
      <c r="Q537" s="40"/>
    </row>
    <row r="538" spans="2:17" hidden="1">
      <c r="B538" s="21" t="s">
        <v>2489</v>
      </c>
      <c r="C538" s="21"/>
      <c r="D538" s="51" t="s">
        <v>759</v>
      </c>
      <c r="F538" s="32"/>
      <c r="G538" s="52"/>
      <c r="H538" s="53"/>
      <c r="I538" s="52"/>
      <c r="J538" s="16"/>
      <c r="K538" s="33"/>
      <c r="L538" s="54"/>
      <c r="M538" s="29"/>
      <c r="N538" s="54"/>
      <c r="O538" s="54"/>
      <c r="P538" s="30"/>
      <c r="Q538" s="40"/>
    </row>
    <row r="539" spans="2:17" hidden="1">
      <c r="B539" s="21" t="s">
        <v>2490</v>
      </c>
      <c r="C539" s="21"/>
      <c r="D539" s="87" t="s">
        <v>1115</v>
      </c>
      <c r="F539" s="32"/>
      <c r="G539" s="52"/>
      <c r="H539" s="53"/>
      <c r="I539" s="52"/>
      <c r="J539" s="16"/>
      <c r="K539" s="33"/>
      <c r="L539" s="54"/>
      <c r="M539" s="29"/>
      <c r="N539" s="54"/>
      <c r="O539" s="54"/>
      <c r="P539" s="30"/>
      <c r="Q539" s="40"/>
    </row>
    <row r="540" spans="2:17" hidden="1">
      <c r="B540" s="21" t="s">
        <v>2491</v>
      </c>
      <c r="C540" s="21"/>
      <c r="D540" s="3" t="s">
        <v>1036</v>
      </c>
      <c r="F540" s="32"/>
      <c r="G540" s="52"/>
      <c r="H540" s="53"/>
      <c r="I540" s="52"/>
      <c r="J540" s="16"/>
      <c r="K540" s="33"/>
      <c r="L540" s="54"/>
      <c r="M540" s="29"/>
      <c r="N540" s="54"/>
      <c r="O540" s="54"/>
      <c r="P540" s="30"/>
      <c r="Q540" s="40"/>
    </row>
    <row r="541" spans="2:17" hidden="1">
      <c r="B541" s="21"/>
      <c r="D541" s="86"/>
      <c r="F541" s="789"/>
      <c r="G541" s="92"/>
      <c r="H541" s="93"/>
      <c r="I541" s="92"/>
      <c r="J541" s="16"/>
      <c r="K541" s="36"/>
      <c r="L541" s="94"/>
      <c r="M541" s="20"/>
      <c r="N541" s="94"/>
      <c r="O541" s="94"/>
      <c r="P541" s="35"/>
      <c r="Q541" s="92"/>
    </row>
  </sheetData>
  <phoneticPr fontId="26" type="noConversion"/>
  <dataValidations count="1">
    <dataValidation type="list" allowBlank="1" showInputMessage="1" showErrorMessage="1" errorTitle="VERIFICAÇÃO" error="NOME NÃO CORRESPONDE A LISTA!!!" sqref="D532:D540" xr:uid="{F4204792-2500-40A9-9EA2-567493CE537B}">
      <formula1>$D$7:$D$597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175"/>
  <sheetViews>
    <sheetView showGridLines="0" topLeftCell="A5" zoomScale="110" zoomScaleNormal="110" workbookViewId="0">
      <selection activeCell="E157" sqref="E157"/>
    </sheetView>
  </sheetViews>
  <sheetFormatPr defaultColWidth="8.88671875" defaultRowHeight="14.4" outlineLevelCol="1"/>
  <cols>
    <col min="1" max="1" width="8.88671875" style="102"/>
    <col min="2" max="2" width="14.88671875" style="102" customWidth="1"/>
    <col min="3" max="3" width="13.88671875" style="102" customWidth="1"/>
    <col min="4" max="4" width="34.88671875" style="102" bestFit="1" customWidth="1"/>
    <col min="5" max="5" width="60.109375" style="102" bestFit="1" customWidth="1"/>
    <col min="6" max="6" width="14.6640625" style="102" customWidth="1"/>
    <col min="7" max="7" width="25" style="613" bestFit="1" customWidth="1"/>
    <col min="8" max="8" width="12.88671875" style="102" customWidth="1" outlineLevel="1"/>
    <col min="9" max="9" width="11" style="102" customWidth="1" outlineLevel="1"/>
    <col min="10" max="19" width="8.88671875" style="102" customWidth="1" outlineLevel="1"/>
    <col min="20" max="16384" width="8.88671875" style="102"/>
  </cols>
  <sheetData>
    <row r="2" spans="2:19">
      <c r="E2" s="1311" t="s">
        <v>191</v>
      </c>
      <c r="F2" s="655">
        <v>2026</v>
      </c>
      <c r="H2" s="102">
        <v>1</v>
      </c>
      <c r="I2" s="102">
        <v>2</v>
      </c>
      <c r="J2" s="102">
        <v>3</v>
      </c>
      <c r="K2" s="102">
        <v>4</v>
      </c>
      <c r="L2" s="102">
        <v>5</v>
      </c>
      <c r="M2" s="102">
        <v>6</v>
      </c>
      <c r="N2" s="102">
        <v>7</v>
      </c>
      <c r="O2" s="102">
        <v>8</v>
      </c>
      <c r="P2" s="102">
        <v>9</v>
      </c>
      <c r="Q2" s="102">
        <v>10</v>
      </c>
      <c r="R2" s="102">
        <v>11</v>
      </c>
      <c r="S2" s="102">
        <v>12</v>
      </c>
    </row>
    <row r="3" spans="2:19">
      <c r="E3" s="1311" t="s">
        <v>278</v>
      </c>
      <c r="F3" s="1312">
        <v>46089</v>
      </c>
      <c r="H3" s="102" t="str">
        <f>RIGHT(F2,2)</f>
        <v>26</v>
      </c>
    </row>
    <row r="4" spans="2:19">
      <c r="H4" s="1312" t="s">
        <v>345</v>
      </c>
    </row>
    <row r="5" spans="2:19">
      <c r="B5" s="1313" t="s">
        <v>88</v>
      </c>
      <c r="C5" s="1314" t="s">
        <v>11</v>
      </c>
      <c r="D5" s="1314" t="s">
        <v>196</v>
      </c>
      <c r="E5" s="1314" t="s">
        <v>209</v>
      </c>
      <c r="F5" s="1315" t="s">
        <v>190</v>
      </c>
      <c r="G5" s="1314" t="s">
        <v>676</v>
      </c>
    </row>
    <row r="6" spans="2:19" hidden="1">
      <c r="B6" s="1316" t="s">
        <v>89</v>
      </c>
      <c r="C6" s="1316" t="s">
        <v>90</v>
      </c>
      <c r="D6" s="1316" t="s">
        <v>208</v>
      </c>
      <c r="E6" s="1316" t="s">
        <v>207</v>
      </c>
      <c r="F6" s="1316" t="str">
        <f>Contas_Gerencial[[#This Row],[Código]]</f>
        <v>10.</v>
      </c>
      <c r="G6" s="1316"/>
    </row>
    <row r="7" spans="2:19" hidden="1">
      <c r="B7" s="1317" t="s">
        <v>91</v>
      </c>
      <c r="C7" s="1317" t="s">
        <v>90</v>
      </c>
      <c r="D7" s="1317" t="s">
        <v>90</v>
      </c>
      <c r="E7" s="1317" t="s">
        <v>206</v>
      </c>
      <c r="F7" s="1317" t="str">
        <f>Contas_Gerencial[[#This Row],[Código]]</f>
        <v>10.01</v>
      </c>
      <c r="G7" s="1317" t="s">
        <v>90</v>
      </c>
    </row>
    <row r="8" spans="2:19" hidden="1">
      <c r="B8" s="102" t="s">
        <v>92</v>
      </c>
      <c r="C8" s="102" t="s">
        <v>90</v>
      </c>
      <c r="D8" s="102" t="s">
        <v>312</v>
      </c>
      <c r="E8" s="102" t="s">
        <v>90</v>
      </c>
      <c r="F8" s="102" t="str">
        <f>Contas_Gerencial[[#This Row],[Código]]</f>
        <v>10.01.001</v>
      </c>
      <c r="G8" s="102" t="s">
        <v>90</v>
      </c>
    </row>
    <row r="9" spans="2:19" hidden="1">
      <c r="B9" s="102" t="s">
        <v>93</v>
      </c>
      <c r="C9" s="102" t="s">
        <v>90</v>
      </c>
      <c r="D9" s="102" t="s">
        <v>312</v>
      </c>
      <c r="E9" s="102" t="s">
        <v>311</v>
      </c>
      <c r="F9" s="102" t="str">
        <f>Contas_Gerencial[[#This Row],[Código]]</f>
        <v>10.01.002</v>
      </c>
      <c r="G9" s="102" t="s">
        <v>90</v>
      </c>
    </row>
    <row r="10" spans="2:19" hidden="1">
      <c r="B10" s="1317" t="s">
        <v>297</v>
      </c>
      <c r="C10" s="1317" t="s">
        <v>90</v>
      </c>
      <c r="D10" s="1317" t="s">
        <v>90</v>
      </c>
      <c r="E10" s="1317" t="s">
        <v>666</v>
      </c>
      <c r="F10" s="1317" t="str">
        <f>Contas_Gerencial[[#This Row],[Código]]</f>
        <v>10.02</v>
      </c>
      <c r="G10" s="1317" t="s">
        <v>90</v>
      </c>
    </row>
    <row r="11" spans="2:19" hidden="1">
      <c r="B11" s="102" t="s">
        <v>298</v>
      </c>
      <c r="C11" s="102" t="s">
        <v>90</v>
      </c>
      <c r="D11" s="102" t="s">
        <v>188</v>
      </c>
      <c r="E11" s="102" t="s">
        <v>681</v>
      </c>
      <c r="F11" s="102" t="str">
        <f>Contas_Gerencial[[#This Row],[Código]]</f>
        <v>10.02.001</v>
      </c>
      <c r="G11" s="102" t="s">
        <v>90</v>
      </c>
    </row>
    <row r="12" spans="2:19" hidden="1">
      <c r="B12" s="102" t="s">
        <v>299</v>
      </c>
      <c r="C12" s="102" t="s">
        <v>90</v>
      </c>
      <c r="D12" s="102" t="s">
        <v>188</v>
      </c>
      <c r="E12" s="102" t="s">
        <v>210</v>
      </c>
      <c r="F12" s="102" t="str">
        <f>Contas_Gerencial[[#This Row],[Código]]</f>
        <v>10.02.002</v>
      </c>
      <c r="G12" s="102" t="s">
        <v>90</v>
      </c>
    </row>
    <row r="13" spans="2:19" hidden="1">
      <c r="B13" s="102" t="s">
        <v>300</v>
      </c>
      <c r="C13" s="102" t="s">
        <v>90</v>
      </c>
      <c r="D13" s="102" t="s">
        <v>188</v>
      </c>
      <c r="E13" s="102" t="s">
        <v>1090</v>
      </c>
      <c r="F13" s="102" t="str">
        <f>Contas_Gerencial[[#This Row],[Código]]</f>
        <v>10.02.003</v>
      </c>
      <c r="G13" s="102" t="s">
        <v>90</v>
      </c>
    </row>
    <row r="14" spans="2:19" hidden="1">
      <c r="B14" s="102" t="s">
        <v>1089</v>
      </c>
      <c r="C14" s="102" t="s">
        <v>90</v>
      </c>
      <c r="D14" s="102" t="s">
        <v>188</v>
      </c>
      <c r="E14" s="102" t="s">
        <v>211</v>
      </c>
      <c r="F14" s="102" t="str">
        <f>Contas_Gerencial[[#This Row],[Código]]</f>
        <v>10.02.004</v>
      </c>
      <c r="G14" s="102" t="s">
        <v>90</v>
      </c>
    </row>
    <row r="15" spans="2:19" hidden="1">
      <c r="B15" s="1318" t="s">
        <v>94</v>
      </c>
      <c r="C15" s="1318" t="s">
        <v>95</v>
      </c>
      <c r="D15" s="1318" t="s">
        <v>95</v>
      </c>
      <c r="E15" s="1318" t="s">
        <v>205</v>
      </c>
      <c r="F15" s="1318" t="str">
        <f>Contas_Gerencial[[#This Row],[Código]]</f>
        <v>20.</v>
      </c>
      <c r="G15" s="1318"/>
    </row>
    <row r="16" spans="2:19" hidden="1">
      <c r="B16" s="1319" t="s">
        <v>96</v>
      </c>
      <c r="C16" s="1319" t="s">
        <v>95</v>
      </c>
      <c r="D16" s="1319" t="s">
        <v>43</v>
      </c>
      <c r="E16" s="1319" t="s">
        <v>204</v>
      </c>
      <c r="F16" s="1319" t="str">
        <f>Contas_Gerencial[[#This Row],[Código]]</f>
        <v>20.01</v>
      </c>
      <c r="G16" s="1319" t="s">
        <v>43</v>
      </c>
    </row>
    <row r="17" spans="2:7" hidden="1">
      <c r="B17" s="102" t="s">
        <v>97</v>
      </c>
      <c r="C17" s="102" t="s">
        <v>95</v>
      </c>
      <c r="D17" s="102" t="s">
        <v>43</v>
      </c>
      <c r="E17" s="102" t="s">
        <v>794</v>
      </c>
      <c r="F17" s="102" t="str">
        <f>Contas_Gerencial[[#This Row],[Código]]</f>
        <v>20.01.001</v>
      </c>
      <c r="G17" s="1319" t="s">
        <v>43</v>
      </c>
    </row>
    <row r="18" spans="2:7" hidden="1">
      <c r="B18" s="102" t="s">
        <v>98</v>
      </c>
      <c r="C18" s="102" t="s">
        <v>95</v>
      </c>
      <c r="D18" s="102" t="s">
        <v>43</v>
      </c>
      <c r="E18" s="102" t="s">
        <v>2653</v>
      </c>
      <c r="F18" s="102" t="str">
        <f>Contas_Gerencial[[#This Row],[Código]]</f>
        <v>20.01.002</v>
      </c>
      <c r="G18" s="1319" t="s">
        <v>43</v>
      </c>
    </row>
    <row r="19" spans="2:7" hidden="1">
      <c r="B19" s="102" t="s">
        <v>99</v>
      </c>
      <c r="C19" s="102" t="s">
        <v>95</v>
      </c>
      <c r="D19" s="102" t="s">
        <v>43</v>
      </c>
      <c r="E19" s="102" t="s">
        <v>79</v>
      </c>
      <c r="F19" s="102" t="str">
        <f>Contas_Gerencial[[#This Row],[Código]]</f>
        <v>20.01.003</v>
      </c>
      <c r="G19" s="1319" t="s">
        <v>43</v>
      </c>
    </row>
    <row r="20" spans="2:7" hidden="1">
      <c r="B20" s="102" t="s">
        <v>100</v>
      </c>
      <c r="C20" s="102" t="s">
        <v>95</v>
      </c>
      <c r="D20" s="102" t="s">
        <v>43</v>
      </c>
      <c r="E20" s="102" t="s">
        <v>2654</v>
      </c>
      <c r="F20" s="102" t="str">
        <f>Contas_Gerencial[[#This Row],[Código]]</f>
        <v>20.01.004</v>
      </c>
      <c r="G20" s="1319" t="s">
        <v>43</v>
      </c>
    </row>
    <row r="21" spans="2:7" hidden="1">
      <c r="B21" s="102" t="s">
        <v>101</v>
      </c>
      <c r="C21" s="102" t="s">
        <v>95</v>
      </c>
      <c r="D21" s="102" t="s">
        <v>43</v>
      </c>
      <c r="E21" s="102" t="s">
        <v>2655</v>
      </c>
      <c r="F21" s="102" t="str">
        <f>Contas_Gerencial[[#This Row],[Código]]</f>
        <v>20.01.005</v>
      </c>
      <c r="G21" s="1319" t="s">
        <v>43</v>
      </c>
    </row>
    <row r="22" spans="2:7" hidden="1">
      <c r="B22" s="102" t="s">
        <v>102</v>
      </c>
      <c r="C22" s="102" t="s">
        <v>95</v>
      </c>
      <c r="D22" s="102" t="s">
        <v>43</v>
      </c>
      <c r="E22" s="102" t="s">
        <v>2656</v>
      </c>
      <c r="F22" s="102" t="str">
        <f>Contas_Gerencial[[#This Row],[Código]]</f>
        <v>20.01.006</v>
      </c>
      <c r="G22" s="1319" t="s">
        <v>43</v>
      </c>
    </row>
    <row r="23" spans="2:7" hidden="1">
      <c r="B23" s="102" t="s">
        <v>103</v>
      </c>
      <c r="C23" s="102" t="s">
        <v>95</v>
      </c>
      <c r="D23" s="102" t="s">
        <v>43</v>
      </c>
      <c r="E23" s="102" t="s">
        <v>2657</v>
      </c>
      <c r="F23" s="102" t="str">
        <f>Contas_Gerencial[[#This Row],[Código]]</f>
        <v>20.01.007</v>
      </c>
      <c r="G23" s="1319" t="s">
        <v>43</v>
      </c>
    </row>
    <row r="24" spans="2:7" hidden="1">
      <c r="B24" s="102" t="s">
        <v>104</v>
      </c>
      <c r="C24" s="102" t="s">
        <v>95</v>
      </c>
      <c r="D24" s="102" t="s">
        <v>43</v>
      </c>
      <c r="E24" s="102" t="s">
        <v>1078</v>
      </c>
      <c r="F24" s="102" t="str">
        <f>Contas_Gerencial[[#This Row],[Código]]</f>
        <v>20.01.008</v>
      </c>
      <c r="G24" s="1319" t="s">
        <v>43</v>
      </c>
    </row>
    <row r="25" spans="2:7" hidden="1">
      <c r="B25" s="102" t="s">
        <v>105</v>
      </c>
      <c r="C25" s="102" t="s">
        <v>95</v>
      </c>
      <c r="D25" s="102" t="s">
        <v>43</v>
      </c>
      <c r="E25" s="102" t="s">
        <v>80</v>
      </c>
      <c r="F25" s="102" t="str">
        <f>Contas_Gerencial[[#This Row],[Código]]</f>
        <v>20.01.009</v>
      </c>
      <c r="G25" s="1319" t="s">
        <v>43</v>
      </c>
    </row>
    <row r="26" spans="2:7" hidden="1">
      <c r="B26" s="102" t="s">
        <v>106</v>
      </c>
      <c r="C26" s="102" t="s">
        <v>95</v>
      </c>
      <c r="D26" s="102" t="s">
        <v>43</v>
      </c>
      <c r="E26" s="102" t="s">
        <v>81</v>
      </c>
      <c r="F26" s="102" t="str">
        <f>Contas_Gerencial[[#This Row],[Código]]</f>
        <v>20.01.010</v>
      </c>
      <c r="G26" s="1319" t="s">
        <v>43</v>
      </c>
    </row>
    <row r="27" spans="2:7" hidden="1">
      <c r="B27" s="102" t="s">
        <v>107</v>
      </c>
      <c r="C27" s="102" t="s">
        <v>95</v>
      </c>
      <c r="D27" s="102" t="s">
        <v>43</v>
      </c>
      <c r="E27" s="102" t="s">
        <v>1054</v>
      </c>
      <c r="F27" s="102" t="str">
        <f>Contas_Gerencial[[#This Row],[Código]]</f>
        <v>20.01.011</v>
      </c>
      <c r="G27" s="1319" t="s">
        <v>43</v>
      </c>
    </row>
    <row r="28" spans="2:7" hidden="1">
      <c r="B28" s="102" t="s">
        <v>108</v>
      </c>
      <c r="C28" s="102" t="s">
        <v>95</v>
      </c>
      <c r="D28" s="102" t="s">
        <v>43</v>
      </c>
      <c r="E28" s="102" t="s">
        <v>429</v>
      </c>
      <c r="F28" s="102" t="str">
        <f>Contas_Gerencial[[#This Row],[Código]]</f>
        <v>20.01.012</v>
      </c>
      <c r="G28" s="1319" t="s">
        <v>43</v>
      </c>
    </row>
    <row r="29" spans="2:7" hidden="1">
      <c r="B29" s="102" t="s">
        <v>109</v>
      </c>
      <c r="C29" s="102" t="s">
        <v>95</v>
      </c>
      <c r="D29" s="102" t="s">
        <v>43</v>
      </c>
      <c r="E29" s="102" t="s">
        <v>85</v>
      </c>
      <c r="F29" s="102" t="str">
        <f>Contas_Gerencial[[#This Row],[Código]]</f>
        <v>20.01.013</v>
      </c>
      <c r="G29" s="1319" t="s">
        <v>43</v>
      </c>
    </row>
    <row r="30" spans="2:7" hidden="1">
      <c r="B30" s="102" t="s">
        <v>110</v>
      </c>
      <c r="C30" s="102" t="s">
        <v>95</v>
      </c>
      <c r="D30" s="102" t="s">
        <v>43</v>
      </c>
      <c r="E30" s="102" t="s">
        <v>458</v>
      </c>
      <c r="F30" s="102" t="str">
        <f>Contas_Gerencial[[#This Row],[Código]]</f>
        <v>20.01.014</v>
      </c>
      <c r="G30" s="1319" t="s">
        <v>43</v>
      </c>
    </row>
    <row r="31" spans="2:7" hidden="1">
      <c r="B31" s="102" t="s">
        <v>111</v>
      </c>
      <c r="C31" s="102" t="s">
        <v>95</v>
      </c>
      <c r="D31" s="102" t="s">
        <v>43</v>
      </c>
      <c r="E31" s="102" t="s">
        <v>82</v>
      </c>
      <c r="F31" s="102" t="str">
        <f>Contas_Gerencial[[#This Row],[Código]]</f>
        <v>20.01.015</v>
      </c>
      <c r="G31" s="1319" t="s">
        <v>43</v>
      </c>
    </row>
    <row r="32" spans="2:7" hidden="1">
      <c r="B32" s="102" t="s">
        <v>112</v>
      </c>
      <c r="C32" s="102" t="s">
        <v>95</v>
      </c>
      <c r="D32" s="102" t="s">
        <v>43</v>
      </c>
      <c r="E32" s="102" t="s">
        <v>189</v>
      </c>
      <c r="F32" s="102" t="str">
        <f>Contas_Gerencial[[#This Row],[Código]]</f>
        <v>20.01.016</v>
      </c>
      <c r="G32" s="1319" t="s">
        <v>43</v>
      </c>
    </row>
    <row r="33" spans="2:7" hidden="1">
      <c r="B33" s="102" t="s">
        <v>113</v>
      </c>
      <c r="C33" s="102" t="s">
        <v>95</v>
      </c>
      <c r="D33" s="102" t="s">
        <v>43</v>
      </c>
      <c r="E33" s="102" t="s">
        <v>115</v>
      </c>
      <c r="F33" s="102" t="str">
        <f>Contas_Gerencial[[#This Row],[Código]]</f>
        <v>20.01.017</v>
      </c>
      <c r="G33" s="1319" t="s">
        <v>43</v>
      </c>
    </row>
    <row r="34" spans="2:7" hidden="1">
      <c r="B34" s="102" t="s">
        <v>114</v>
      </c>
      <c r="C34" s="102" t="s">
        <v>95</v>
      </c>
      <c r="D34" s="102" t="s">
        <v>43</v>
      </c>
      <c r="E34" s="102" t="s">
        <v>430</v>
      </c>
      <c r="F34" s="102" t="str">
        <f>Contas_Gerencial[[#This Row],[Código]]</f>
        <v>20.01.018</v>
      </c>
      <c r="G34" s="1319" t="s">
        <v>43</v>
      </c>
    </row>
    <row r="35" spans="2:7" hidden="1">
      <c r="B35" s="102" t="s">
        <v>116</v>
      </c>
      <c r="C35" s="102" t="s">
        <v>95</v>
      </c>
      <c r="D35" s="102" t="s">
        <v>43</v>
      </c>
      <c r="E35" s="102" t="s">
        <v>123</v>
      </c>
      <c r="F35" s="102" t="str">
        <f>Contas_Gerencial[[#This Row],[Código]]</f>
        <v>20.01.019</v>
      </c>
      <c r="G35" s="1319" t="s">
        <v>43</v>
      </c>
    </row>
    <row r="36" spans="2:7" hidden="1">
      <c r="B36" s="102" t="s">
        <v>117</v>
      </c>
      <c r="C36" s="102" t="s">
        <v>95</v>
      </c>
      <c r="D36" s="102" t="s">
        <v>43</v>
      </c>
      <c r="E36" s="102" t="s">
        <v>61</v>
      </c>
      <c r="F36" s="102" t="str">
        <f>Contas_Gerencial[[#This Row],[Código]]</f>
        <v>20.01.020</v>
      </c>
      <c r="G36" s="1319" t="s">
        <v>43</v>
      </c>
    </row>
    <row r="37" spans="2:7" hidden="1">
      <c r="B37" s="102" t="s">
        <v>119</v>
      </c>
      <c r="C37" s="102" t="s">
        <v>95</v>
      </c>
      <c r="D37" s="102" t="s">
        <v>43</v>
      </c>
      <c r="E37" s="102" t="s">
        <v>2658</v>
      </c>
      <c r="F37" s="102" t="str">
        <f>Contas_Gerencial[[#This Row],[Código]]</f>
        <v>20.01.021</v>
      </c>
      <c r="G37" s="1319" t="s">
        <v>43</v>
      </c>
    </row>
    <row r="38" spans="2:7" hidden="1">
      <c r="B38" s="102" t="s">
        <v>120</v>
      </c>
      <c r="C38" s="102" t="s">
        <v>95</v>
      </c>
      <c r="D38" s="102" t="s">
        <v>43</v>
      </c>
      <c r="E38" s="102" t="s">
        <v>2003</v>
      </c>
      <c r="F38" s="102" t="str">
        <f>Contas_Gerencial[[#This Row],[Código]]</f>
        <v>20.01.022</v>
      </c>
      <c r="G38" s="1319" t="s">
        <v>43</v>
      </c>
    </row>
    <row r="39" spans="2:7" hidden="1">
      <c r="B39" s="102" t="s">
        <v>121</v>
      </c>
      <c r="C39" s="102" t="s">
        <v>95</v>
      </c>
      <c r="D39" s="102" t="s">
        <v>43</v>
      </c>
      <c r="E39" s="102" t="s">
        <v>435</v>
      </c>
      <c r="F39" s="102" t="str">
        <f>Contas_Gerencial[[#This Row],[Código]]</f>
        <v>20.01.023</v>
      </c>
      <c r="G39" s="1319" t="s">
        <v>43</v>
      </c>
    </row>
    <row r="40" spans="2:7" hidden="1">
      <c r="B40" s="102" t="s">
        <v>122</v>
      </c>
      <c r="C40" s="102" t="s">
        <v>95</v>
      </c>
      <c r="D40" s="102" t="s">
        <v>43</v>
      </c>
      <c r="E40" s="102" t="s">
        <v>1074</v>
      </c>
      <c r="F40" s="102" t="str">
        <f>Contas_Gerencial[[#This Row],[Código]]</f>
        <v>20.01.024</v>
      </c>
      <c r="G40" s="1319" t="s">
        <v>43</v>
      </c>
    </row>
    <row r="41" spans="2:7" hidden="1">
      <c r="B41" s="102" t="s">
        <v>424</v>
      </c>
      <c r="C41" s="102" t="s">
        <v>95</v>
      </c>
      <c r="D41" s="102" t="s">
        <v>43</v>
      </c>
      <c r="E41" s="102" t="s">
        <v>627</v>
      </c>
      <c r="F41" s="102" t="str">
        <f>Contas_Gerencial[[#This Row],[Código]]</f>
        <v>20.01.025</v>
      </c>
      <c r="G41" s="1319" t="s">
        <v>43</v>
      </c>
    </row>
    <row r="42" spans="2:7" hidden="1">
      <c r="B42" s="102" t="s">
        <v>425</v>
      </c>
      <c r="C42" s="102" t="s">
        <v>95</v>
      </c>
      <c r="D42" s="102" t="s">
        <v>43</v>
      </c>
      <c r="E42" s="102" t="s">
        <v>118</v>
      </c>
      <c r="F42" s="102" t="str">
        <f>Contas_Gerencial[[#This Row],[Código]]</f>
        <v>20.01.026</v>
      </c>
      <c r="G42" s="1319" t="s">
        <v>43</v>
      </c>
    </row>
    <row r="43" spans="2:7" hidden="1">
      <c r="B43" s="102" t="s">
        <v>428</v>
      </c>
      <c r="C43" s="102" t="s">
        <v>95</v>
      </c>
      <c r="D43" s="102" t="s">
        <v>43</v>
      </c>
      <c r="E43" s="102" t="s">
        <v>437</v>
      </c>
      <c r="F43" s="102" t="str">
        <f>Contas_Gerencial[[#This Row],[Código]]</f>
        <v>20.01.027</v>
      </c>
      <c r="G43" s="1319" t="s">
        <v>43</v>
      </c>
    </row>
    <row r="44" spans="2:7" hidden="1">
      <c r="B44" s="102" t="s">
        <v>457</v>
      </c>
      <c r="C44" s="102" t="s">
        <v>95</v>
      </c>
      <c r="D44" s="102" t="s">
        <v>43</v>
      </c>
      <c r="E44" s="102" t="s">
        <v>893</v>
      </c>
      <c r="F44" s="102" t="str">
        <f>Contas_Gerencial[[#This Row],[Código]]</f>
        <v>20.01.028</v>
      </c>
      <c r="G44" s="1319" t="s">
        <v>43</v>
      </c>
    </row>
    <row r="45" spans="2:7" hidden="1">
      <c r="B45" s="102" t="s">
        <v>478</v>
      </c>
      <c r="C45" s="102" t="s">
        <v>95</v>
      </c>
      <c r="D45" s="102" t="s">
        <v>43</v>
      </c>
      <c r="E45" s="102" t="s">
        <v>83</v>
      </c>
      <c r="F45" s="102" t="str">
        <f>Contas_Gerencial[[#This Row],[Código]]</f>
        <v>20.01.029</v>
      </c>
      <c r="G45" s="1319" t="s">
        <v>43</v>
      </c>
    </row>
    <row r="46" spans="2:7" hidden="1">
      <c r="B46" s="102" t="s">
        <v>489</v>
      </c>
      <c r="C46" s="102" t="s">
        <v>95</v>
      </c>
      <c r="D46" s="102" t="s">
        <v>43</v>
      </c>
      <c r="E46" s="102" t="s">
        <v>555</v>
      </c>
      <c r="F46" s="102" t="str">
        <f>Contas_Gerencial[[#This Row],[Código]]</f>
        <v>20.01.030</v>
      </c>
      <c r="G46" s="1319" t="s">
        <v>43</v>
      </c>
    </row>
    <row r="47" spans="2:7" hidden="1">
      <c r="B47" s="102" t="s">
        <v>554</v>
      </c>
      <c r="C47" s="102" t="s">
        <v>95</v>
      </c>
      <c r="D47" s="102" t="s">
        <v>43</v>
      </c>
      <c r="E47" s="102" t="s">
        <v>664</v>
      </c>
      <c r="F47" s="102" t="str">
        <f>Contas_Gerencial[[#This Row],[Código]]</f>
        <v>20.01.031</v>
      </c>
      <c r="G47" s="1319" t="s">
        <v>43</v>
      </c>
    </row>
    <row r="48" spans="2:7" hidden="1">
      <c r="B48" s="102" t="s">
        <v>628</v>
      </c>
      <c r="C48" s="102" t="s">
        <v>95</v>
      </c>
      <c r="D48" s="102" t="s">
        <v>43</v>
      </c>
      <c r="E48" s="1320" t="s">
        <v>84</v>
      </c>
      <c r="F48" s="102" t="str">
        <f>Contas_Gerencial[[#This Row],[Código]]</f>
        <v>20.01.032</v>
      </c>
      <c r="G48" s="1319" t="s">
        <v>43</v>
      </c>
    </row>
    <row r="49" spans="2:7" hidden="1">
      <c r="B49" s="102" t="s">
        <v>665</v>
      </c>
      <c r="C49" s="102" t="s">
        <v>95</v>
      </c>
      <c r="D49" s="102" t="s">
        <v>43</v>
      </c>
      <c r="E49" s="102" t="s">
        <v>1034</v>
      </c>
      <c r="F49" s="102" t="str">
        <f>Contas_Gerencial[[#This Row],[Código]]</f>
        <v>20.01.033</v>
      </c>
      <c r="G49" s="1319" t="s">
        <v>43</v>
      </c>
    </row>
    <row r="50" spans="2:7" hidden="1">
      <c r="B50" s="102" t="s">
        <v>679</v>
      </c>
      <c r="C50" s="102" t="s">
        <v>95</v>
      </c>
      <c r="D50" s="102" t="s">
        <v>43</v>
      </c>
      <c r="E50" s="102" t="s">
        <v>680</v>
      </c>
      <c r="F50" s="102" t="str">
        <f>Contas_Gerencial[[#This Row],[Código]]</f>
        <v>20.01.034</v>
      </c>
      <c r="G50" s="1319" t="s">
        <v>43</v>
      </c>
    </row>
    <row r="51" spans="2:7" hidden="1">
      <c r="B51" s="102" t="s">
        <v>793</v>
      </c>
      <c r="C51" s="102" t="s">
        <v>95</v>
      </c>
      <c r="D51" s="102" t="s">
        <v>43</v>
      </c>
      <c r="E51" s="102" t="s">
        <v>1056</v>
      </c>
      <c r="F51" s="102" t="str">
        <f>Contas_Gerencial[[#This Row],[Código]]</f>
        <v>20.01.035</v>
      </c>
      <c r="G51" s="1319" t="s">
        <v>43</v>
      </c>
    </row>
    <row r="52" spans="2:7" hidden="1">
      <c r="B52" s="102" t="s">
        <v>892</v>
      </c>
      <c r="C52" s="102" t="s">
        <v>95</v>
      </c>
      <c r="D52" s="102" t="s">
        <v>43</v>
      </c>
      <c r="E52" s="102" t="s">
        <v>436</v>
      </c>
      <c r="F52" s="102" t="str">
        <f>Contas_Gerencial[[#This Row],[Código]]</f>
        <v>20.01.036</v>
      </c>
      <c r="G52" s="1319" t="s">
        <v>43</v>
      </c>
    </row>
    <row r="53" spans="2:7" hidden="1">
      <c r="B53" s="102" t="s">
        <v>1033</v>
      </c>
      <c r="C53" s="102" t="s">
        <v>95</v>
      </c>
      <c r="D53" s="102" t="s">
        <v>43</v>
      </c>
      <c r="E53" s="102" t="s">
        <v>77</v>
      </c>
      <c r="F53" s="102" t="str">
        <f>Contas_Gerencial[[#This Row],[Código]]</f>
        <v>20.01.037</v>
      </c>
      <c r="G53" s="1319" t="s">
        <v>43</v>
      </c>
    </row>
    <row r="54" spans="2:7" hidden="1">
      <c r="B54" s="102" t="s">
        <v>1053</v>
      </c>
      <c r="C54" s="102" t="s">
        <v>95</v>
      </c>
      <c r="D54" s="102" t="s">
        <v>43</v>
      </c>
      <c r="E54" s="102" t="s">
        <v>438</v>
      </c>
      <c r="F54" s="102" t="str">
        <f>Contas_Gerencial[[#This Row],[Código]]</f>
        <v>20.01.038</v>
      </c>
      <c r="G54" s="1319" t="s">
        <v>43</v>
      </c>
    </row>
    <row r="55" spans="2:7" hidden="1">
      <c r="B55" s="102" t="s">
        <v>1055</v>
      </c>
      <c r="C55" s="102" t="s">
        <v>95</v>
      </c>
      <c r="D55" s="102" t="s">
        <v>43</v>
      </c>
      <c r="E55" s="102" t="s">
        <v>1075</v>
      </c>
      <c r="F55" s="102" t="str">
        <f>Contas_Gerencial[[#This Row],[Código]]</f>
        <v>20.01.039</v>
      </c>
      <c r="G55" s="1319" t="s">
        <v>43</v>
      </c>
    </row>
    <row r="56" spans="2:7" hidden="1">
      <c r="B56" s="102" t="s">
        <v>1073</v>
      </c>
      <c r="C56" s="102" t="s">
        <v>95</v>
      </c>
      <c r="D56" s="102" t="s">
        <v>43</v>
      </c>
      <c r="E56" s="102" t="s">
        <v>75</v>
      </c>
      <c r="F56" s="102" t="str">
        <f>Contas_Gerencial[[#This Row],[Código]]</f>
        <v>20.01.040</v>
      </c>
      <c r="G56" s="1319" t="s">
        <v>43</v>
      </c>
    </row>
    <row r="57" spans="2:7" hidden="1">
      <c r="B57" s="102" t="s">
        <v>1077</v>
      </c>
      <c r="C57" s="102" t="s">
        <v>95</v>
      </c>
      <c r="D57" s="102" t="s">
        <v>43</v>
      </c>
      <c r="E57" s="102" t="s">
        <v>301</v>
      </c>
      <c r="F57" s="102" t="str">
        <f>Contas_Gerencial[[#This Row],[Código]]</f>
        <v>20.01.041</v>
      </c>
      <c r="G57" s="1319" t="s">
        <v>43</v>
      </c>
    </row>
    <row r="58" spans="2:7" hidden="1">
      <c r="B58" s="102" t="s">
        <v>1088</v>
      </c>
      <c r="C58" s="102" t="s">
        <v>95</v>
      </c>
      <c r="D58" s="102" t="s">
        <v>43</v>
      </c>
      <c r="E58" s="102" t="s">
        <v>76</v>
      </c>
      <c r="F58" s="102" t="str">
        <f>Contas_Gerencial[[#This Row],[Código]]</f>
        <v>20.01.042</v>
      </c>
      <c r="G58" s="1319" t="s">
        <v>43</v>
      </c>
    </row>
    <row r="59" spans="2:7" hidden="1">
      <c r="B59" s="1319" t="s">
        <v>124</v>
      </c>
      <c r="C59" s="1319" t="s">
        <v>95</v>
      </c>
      <c r="D59" s="1319" t="s">
        <v>38</v>
      </c>
      <c r="E59" s="1319" t="s">
        <v>203</v>
      </c>
      <c r="F59" s="1319" t="str">
        <f>Contas_Gerencial[[#This Row],[Código]]</f>
        <v>20.02</v>
      </c>
      <c r="G59" s="1319" t="s">
        <v>38</v>
      </c>
    </row>
    <row r="60" spans="2:7" hidden="1">
      <c r="B60" s="102" t="s">
        <v>125</v>
      </c>
      <c r="C60" s="102" t="s">
        <v>95</v>
      </c>
      <c r="D60" s="102" t="s">
        <v>38</v>
      </c>
      <c r="E60" s="102" t="s">
        <v>28</v>
      </c>
      <c r="F60" s="102" t="str">
        <f>Contas_Gerencial[[#This Row],[Código]]</f>
        <v>20.02.001</v>
      </c>
      <c r="G60" s="1319" t="s">
        <v>38</v>
      </c>
    </row>
    <row r="61" spans="2:7" hidden="1">
      <c r="B61" s="102" t="s">
        <v>126</v>
      </c>
      <c r="C61" s="102" t="s">
        <v>95</v>
      </c>
      <c r="D61" s="102" t="s">
        <v>38</v>
      </c>
      <c r="E61" s="102" t="s">
        <v>1112</v>
      </c>
      <c r="F61" s="102" t="str">
        <f>Contas_Gerencial[[#This Row],[Código]]</f>
        <v>20.02.002</v>
      </c>
      <c r="G61" s="1319" t="s">
        <v>38</v>
      </c>
    </row>
    <row r="62" spans="2:7" hidden="1">
      <c r="B62" s="102" t="s">
        <v>127</v>
      </c>
      <c r="C62" s="102" t="s">
        <v>95</v>
      </c>
      <c r="D62" s="102" t="s">
        <v>38</v>
      </c>
      <c r="E62" s="102" t="s">
        <v>27</v>
      </c>
      <c r="F62" s="102" t="str">
        <f>Contas_Gerencial[[#This Row],[Código]]</f>
        <v>20.02.003</v>
      </c>
      <c r="G62" s="1319" t="s">
        <v>38</v>
      </c>
    </row>
    <row r="63" spans="2:7" hidden="1">
      <c r="B63" s="102" t="s">
        <v>128</v>
      </c>
      <c r="C63" s="102" t="s">
        <v>95</v>
      </c>
      <c r="D63" s="102" t="s">
        <v>38</v>
      </c>
      <c r="E63" s="102" t="s">
        <v>404</v>
      </c>
      <c r="F63" s="102" t="str">
        <f>Contas_Gerencial[[#This Row],[Código]]</f>
        <v>20.02.004</v>
      </c>
      <c r="G63" s="1319" t="s">
        <v>38</v>
      </c>
    </row>
    <row r="64" spans="2:7" hidden="1">
      <c r="B64" s="102" t="s">
        <v>268</v>
      </c>
      <c r="C64" s="102" t="s">
        <v>95</v>
      </c>
      <c r="D64" s="102" t="s">
        <v>38</v>
      </c>
      <c r="E64" s="102" t="s">
        <v>1124</v>
      </c>
      <c r="F64" s="102" t="str">
        <f>Contas_Gerencial[[#This Row],[Código]]</f>
        <v>20.02.005</v>
      </c>
      <c r="G64" s="1319" t="s">
        <v>38</v>
      </c>
    </row>
    <row r="65" spans="2:7" hidden="1">
      <c r="B65" s="102" t="s">
        <v>129</v>
      </c>
      <c r="C65" s="102" t="s">
        <v>95</v>
      </c>
      <c r="D65" s="102" t="s">
        <v>38</v>
      </c>
      <c r="E65" s="102" t="s">
        <v>51</v>
      </c>
      <c r="F65" s="102" t="str">
        <f>Contas_Gerencial[[#This Row],[Código]]</f>
        <v>20.02.006</v>
      </c>
      <c r="G65" s="1319" t="s">
        <v>38</v>
      </c>
    </row>
    <row r="66" spans="2:7" hidden="1">
      <c r="B66" s="102" t="s">
        <v>712</v>
      </c>
      <c r="C66" s="102" t="s">
        <v>95</v>
      </c>
      <c r="D66" s="102" t="s">
        <v>38</v>
      </c>
      <c r="E66" s="102" t="s">
        <v>26</v>
      </c>
      <c r="F66" s="102" t="str">
        <f>Contas_Gerencial[[#This Row],[Código]]</f>
        <v>20.02.007</v>
      </c>
      <c r="G66" s="1319" t="s">
        <v>38</v>
      </c>
    </row>
    <row r="67" spans="2:7" hidden="1">
      <c r="B67" s="102" t="s">
        <v>829</v>
      </c>
      <c r="C67" s="102" t="s">
        <v>95</v>
      </c>
      <c r="D67" s="102" t="s">
        <v>38</v>
      </c>
      <c r="E67" s="102" t="s">
        <v>343</v>
      </c>
      <c r="F67" s="102" t="str">
        <f>Contas_Gerencial[[#This Row],[Código]]</f>
        <v>20.02.008</v>
      </c>
      <c r="G67" s="1319" t="s">
        <v>38</v>
      </c>
    </row>
    <row r="68" spans="2:7" hidden="1">
      <c r="B68" s="102" t="s">
        <v>838</v>
      </c>
      <c r="C68" s="102" t="s">
        <v>95</v>
      </c>
      <c r="D68" s="102" t="s">
        <v>38</v>
      </c>
      <c r="E68" s="102" t="s">
        <v>711</v>
      </c>
      <c r="F68" s="102" t="str">
        <f>Contas_Gerencial[[#This Row],[Código]]</f>
        <v>20.02.009</v>
      </c>
      <c r="G68" s="1319" t="s">
        <v>38</v>
      </c>
    </row>
    <row r="69" spans="2:7" hidden="1">
      <c r="B69" s="102" t="s">
        <v>1111</v>
      </c>
      <c r="C69" s="102" t="s">
        <v>95</v>
      </c>
      <c r="D69" s="102" t="s">
        <v>38</v>
      </c>
      <c r="E69" s="102" t="s">
        <v>830</v>
      </c>
      <c r="F69" s="102" t="str">
        <f>Contas_Gerencial[[#This Row],[Código]]</f>
        <v>20.02.010</v>
      </c>
      <c r="G69" s="1319" t="s">
        <v>38</v>
      </c>
    </row>
    <row r="70" spans="2:7" hidden="1">
      <c r="B70" s="102" t="s">
        <v>1123</v>
      </c>
      <c r="C70" s="102" t="s">
        <v>95</v>
      </c>
      <c r="D70" s="102" t="s">
        <v>38</v>
      </c>
      <c r="E70" s="102" t="s">
        <v>839</v>
      </c>
      <c r="F70" s="102" t="str">
        <f>Contas_Gerencial[[#This Row],[Código]]</f>
        <v>20.02.011</v>
      </c>
      <c r="G70" s="1319" t="s">
        <v>38</v>
      </c>
    </row>
    <row r="71" spans="2:7" hidden="1">
      <c r="B71" s="1319" t="s">
        <v>130</v>
      </c>
      <c r="C71" s="1319" t="s">
        <v>95</v>
      </c>
      <c r="D71" s="1319" t="s">
        <v>42</v>
      </c>
      <c r="E71" s="1319" t="s">
        <v>202</v>
      </c>
      <c r="F71" s="1319" t="str">
        <f>Contas_Gerencial[[#This Row],[Código]]</f>
        <v>20.03</v>
      </c>
      <c r="G71" s="1319" t="s">
        <v>42</v>
      </c>
    </row>
    <row r="72" spans="2:7" hidden="1">
      <c r="B72" s="102" t="s">
        <v>131</v>
      </c>
      <c r="C72" s="102" t="s">
        <v>95</v>
      </c>
      <c r="D72" s="102" t="s">
        <v>42</v>
      </c>
      <c r="E72" s="614" t="s">
        <v>50</v>
      </c>
      <c r="F72" s="102" t="str">
        <f>Contas_Gerencial[[#This Row],[Código]]</f>
        <v>20.03.001</v>
      </c>
      <c r="G72" s="1319" t="s">
        <v>42</v>
      </c>
    </row>
    <row r="73" spans="2:7" hidden="1">
      <c r="B73" s="102" t="s">
        <v>132</v>
      </c>
      <c r="C73" s="102" t="s">
        <v>95</v>
      </c>
      <c r="D73" s="102" t="s">
        <v>42</v>
      </c>
      <c r="E73" s="615" t="s">
        <v>931</v>
      </c>
      <c r="F73" s="102" t="str">
        <f>Contas_Gerencial[[#This Row],[Código]]</f>
        <v>20.03.002</v>
      </c>
      <c r="G73" s="1319" t="s">
        <v>42</v>
      </c>
    </row>
    <row r="74" spans="2:7" hidden="1">
      <c r="B74" s="102" t="s">
        <v>133</v>
      </c>
      <c r="C74" s="102" t="s">
        <v>95</v>
      </c>
      <c r="D74" s="102" t="s">
        <v>42</v>
      </c>
      <c r="E74" s="614" t="s">
        <v>605</v>
      </c>
      <c r="F74" s="102" t="str">
        <f>Contas_Gerencial[[#This Row],[Código]]</f>
        <v>20.03.003</v>
      </c>
      <c r="G74" s="1319" t="s">
        <v>42</v>
      </c>
    </row>
    <row r="75" spans="2:7" hidden="1">
      <c r="B75" s="102" t="s">
        <v>134</v>
      </c>
      <c r="C75" s="102" t="s">
        <v>95</v>
      </c>
      <c r="D75" s="102" t="s">
        <v>42</v>
      </c>
      <c r="E75" s="615" t="s">
        <v>46</v>
      </c>
      <c r="F75" s="102" t="str">
        <f>Contas_Gerencial[[#This Row],[Código]]</f>
        <v>20.03.004</v>
      </c>
      <c r="G75" s="1321" t="s">
        <v>42</v>
      </c>
    </row>
    <row r="76" spans="2:7" hidden="1">
      <c r="B76" s="102" t="s">
        <v>135</v>
      </c>
      <c r="C76" s="102" t="s">
        <v>95</v>
      </c>
      <c r="D76" s="102" t="s">
        <v>42</v>
      </c>
      <c r="E76" s="615" t="s">
        <v>34</v>
      </c>
      <c r="F76" s="102" t="str">
        <f>Contas_Gerencial[[#This Row],[Código]]</f>
        <v>20.03.005</v>
      </c>
      <c r="G76" s="1319" t="s">
        <v>42</v>
      </c>
    </row>
    <row r="77" spans="2:7" hidden="1">
      <c r="B77" s="102" t="s">
        <v>136</v>
      </c>
      <c r="C77" s="102" t="s">
        <v>95</v>
      </c>
      <c r="D77" s="102" t="s">
        <v>42</v>
      </c>
      <c r="E77" s="615" t="s">
        <v>6</v>
      </c>
      <c r="F77" s="102" t="str">
        <f>Contas_Gerencial[[#This Row],[Código]]</f>
        <v>20.03.006</v>
      </c>
      <c r="G77" s="1321" t="s">
        <v>42</v>
      </c>
    </row>
    <row r="78" spans="2:7" hidden="1">
      <c r="B78" s="102" t="s">
        <v>604</v>
      </c>
      <c r="C78" s="102" t="s">
        <v>95</v>
      </c>
      <c r="D78" s="102" t="s">
        <v>42</v>
      </c>
      <c r="E78" s="615" t="s">
        <v>791</v>
      </c>
      <c r="F78" s="102" t="str">
        <f>Contas_Gerencial[[#This Row],[Código]]</f>
        <v>20.03.007</v>
      </c>
      <c r="G78" s="1319" t="s">
        <v>42</v>
      </c>
    </row>
    <row r="79" spans="2:7" hidden="1">
      <c r="B79" s="102" t="s">
        <v>790</v>
      </c>
      <c r="C79" s="102" t="s">
        <v>95</v>
      </c>
      <c r="D79" s="102" t="s">
        <v>42</v>
      </c>
      <c r="E79" s="615" t="s">
        <v>36</v>
      </c>
      <c r="F79" s="102" t="str">
        <f>Contas_Gerencial[[#This Row],[Código]]</f>
        <v>20.03.008</v>
      </c>
      <c r="G79" s="1321" t="s">
        <v>42</v>
      </c>
    </row>
    <row r="80" spans="2:7" hidden="1">
      <c r="B80" s="102" t="s">
        <v>932</v>
      </c>
      <c r="C80" s="102" t="s">
        <v>95</v>
      </c>
      <c r="D80" s="102" t="s">
        <v>42</v>
      </c>
      <c r="E80" s="615" t="s">
        <v>45</v>
      </c>
      <c r="F80" s="102" t="str">
        <f>Contas_Gerencial[[#This Row],[Código]]</f>
        <v>20.03.009</v>
      </c>
      <c r="G80" s="1319" t="s">
        <v>42</v>
      </c>
    </row>
    <row r="81" spans="2:7" hidden="1">
      <c r="B81" s="1319" t="s">
        <v>137</v>
      </c>
      <c r="C81" s="1319" t="s">
        <v>95</v>
      </c>
      <c r="D81" s="1319" t="s">
        <v>22</v>
      </c>
      <c r="E81" s="1319" t="s">
        <v>201</v>
      </c>
      <c r="F81" s="1319" t="str">
        <f>Contas_Gerencial[[#This Row],[Código]]</f>
        <v>20.04</v>
      </c>
      <c r="G81" s="1319" t="s">
        <v>22</v>
      </c>
    </row>
    <row r="82" spans="2:7" hidden="1">
      <c r="B82" s="102" t="s">
        <v>138</v>
      </c>
      <c r="C82" s="102" t="s">
        <v>95</v>
      </c>
      <c r="D82" s="102" t="s">
        <v>22</v>
      </c>
      <c r="E82" s="1322" t="s">
        <v>2659</v>
      </c>
      <c r="F82" s="102" t="str">
        <f>Contas_Gerencial[[#This Row],[Código]]</f>
        <v>20.04.001</v>
      </c>
      <c r="G82" s="1319" t="s">
        <v>22</v>
      </c>
    </row>
    <row r="83" spans="2:7" hidden="1">
      <c r="B83" s="102" t="s">
        <v>139</v>
      </c>
      <c r="C83" s="102" t="s">
        <v>95</v>
      </c>
      <c r="D83" s="102" t="s">
        <v>22</v>
      </c>
      <c r="E83" s="615" t="s">
        <v>2660</v>
      </c>
      <c r="F83" s="102" t="str">
        <f>Contas_Gerencial[[#This Row],[Código]]</f>
        <v>20.04.002</v>
      </c>
      <c r="G83" s="1319" t="s">
        <v>22</v>
      </c>
    </row>
    <row r="84" spans="2:7" hidden="1">
      <c r="B84" s="102" t="s">
        <v>140</v>
      </c>
      <c r="C84" s="102" t="s">
        <v>95</v>
      </c>
      <c r="D84" s="102" t="s">
        <v>22</v>
      </c>
      <c r="E84" s="614" t="s">
        <v>2661</v>
      </c>
      <c r="F84" s="102" t="str">
        <f>Contas_Gerencial[[#This Row],[Código]]</f>
        <v>20.04.003</v>
      </c>
      <c r="G84" s="1319" t="s">
        <v>22</v>
      </c>
    </row>
    <row r="85" spans="2:7" hidden="1">
      <c r="B85" s="102" t="s">
        <v>141</v>
      </c>
      <c r="C85" s="102" t="s">
        <v>95</v>
      </c>
      <c r="D85" s="102" t="s">
        <v>22</v>
      </c>
      <c r="E85" s="1322" t="s">
        <v>2651</v>
      </c>
      <c r="F85" s="102" t="str">
        <f>Contas_Gerencial[[#This Row],[Código]]</f>
        <v>20.04.004</v>
      </c>
      <c r="G85" s="1319" t="s">
        <v>22</v>
      </c>
    </row>
    <row r="86" spans="2:7" hidden="1">
      <c r="B86" s="102" t="s">
        <v>142</v>
      </c>
      <c r="C86" s="102" t="s">
        <v>95</v>
      </c>
      <c r="D86" s="102" t="s">
        <v>22</v>
      </c>
      <c r="E86" s="614" t="s">
        <v>2662</v>
      </c>
      <c r="F86" s="102" t="str">
        <f>Contas_Gerencial[[#This Row],[Código]]</f>
        <v>20.04.005</v>
      </c>
      <c r="G86" s="1319" t="s">
        <v>22</v>
      </c>
    </row>
    <row r="87" spans="2:7" hidden="1">
      <c r="B87" s="102" t="s">
        <v>269</v>
      </c>
      <c r="C87" s="102" t="s">
        <v>95</v>
      </c>
      <c r="D87" s="102" t="s">
        <v>22</v>
      </c>
      <c r="E87" s="615" t="s">
        <v>1180</v>
      </c>
      <c r="F87" s="102" t="str">
        <f>Contas_Gerencial[[#This Row],[Código]]</f>
        <v>20.04.006</v>
      </c>
      <c r="G87" s="1321" t="s">
        <v>22</v>
      </c>
    </row>
    <row r="88" spans="2:7" hidden="1">
      <c r="B88" s="102" t="s">
        <v>332</v>
      </c>
      <c r="C88" s="102" t="s">
        <v>95</v>
      </c>
      <c r="D88" s="102" t="s">
        <v>22</v>
      </c>
      <c r="E88" s="615" t="s">
        <v>58</v>
      </c>
      <c r="F88" s="102" t="str">
        <f>Contas_Gerencial[[#This Row],[Código]]</f>
        <v>20.04.007</v>
      </c>
      <c r="G88" s="1319" t="s">
        <v>22</v>
      </c>
    </row>
    <row r="89" spans="2:7" hidden="1">
      <c r="B89" s="1319" t="s">
        <v>143</v>
      </c>
      <c r="C89" s="1319" t="s">
        <v>95</v>
      </c>
      <c r="D89" s="1319" t="s">
        <v>270</v>
      </c>
      <c r="E89" s="1319" t="s">
        <v>271</v>
      </c>
      <c r="F89" s="1319" t="str">
        <f>Contas_Gerencial[[#This Row],[Código]]</f>
        <v>20.05</v>
      </c>
      <c r="G89" s="1319" t="s">
        <v>270</v>
      </c>
    </row>
    <row r="90" spans="2:7" hidden="1">
      <c r="B90" s="102" t="s">
        <v>144</v>
      </c>
      <c r="C90" s="102" t="s">
        <v>95</v>
      </c>
      <c r="D90" s="102" t="s">
        <v>272</v>
      </c>
      <c r="E90" s="102" t="s">
        <v>1151</v>
      </c>
      <c r="F90" s="102" t="str">
        <f>Contas_Gerencial[[#This Row],[Código]]</f>
        <v>20.05.001</v>
      </c>
      <c r="G90" s="1319" t="s">
        <v>270</v>
      </c>
    </row>
    <row r="91" spans="2:7" hidden="1">
      <c r="B91" s="102" t="s">
        <v>145</v>
      </c>
      <c r="C91" s="102" t="s">
        <v>95</v>
      </c>
      <c r="D91" s="102" t="s">
        <v>272</v>
      </c>
      <c r="E91" s="102" t="s">
        <v>267</v>
      </c>
      <c r="F91" s="102" t="str">
        <f>Contas_Gerencial[[#This Row],[Código]]</f>
        <v>20.05.002</v>
      </c>
      <c r="G91" s="1319" t="s">
        <v>270</v>
      </c>
    </row>
    <row r="92" spans="2:7" hidden="1">
      <c r="B92" s="102" t="s">
        <v>146</v>
      </c>
      <c r="C92" s="102" t="s">
        <v>95</v>
      </c>
      <c r="D92" s="102" t="s">
        <v>272</v>
      </c>
      <c r="E92" s="102" t="s">
        <v>47</v>
      </c>
      <c r="F92" s="102" t="str">
        <f>Contas_Gerencial[[#This Row],[Código]]</f>
        <v>20.05.003</v>
      </c>
      <c r="G92" s="1319" t="s">
        <v>270</v>
      </c>
    </row>
    <row r="93" spans="2:7" hidden="1">
      <c r="B93" s="102" t="s">
        <v>147</v>
      </c>
      <c r="C93" s="102" t="s">
        <v>95</v>
      </c>
      <c r="D93" s="102" t="s">
        <v>272</v>
      </c>
      <c r="E93" s="102" t="s">
        <v>72</v>
      </c>
      <c r="F93" s="102" t="str">
        <f>Contas_Gerencial[[#This Row],[Código]]</f>
        <v>20.05.004</v>
      </c>
      <c r="G93" s="1319" t="s">
        <v>270</v>
      </c>
    </row>
    <row r="94" spans="2:7" hidden="1">
      <c r="B94" s="102" t="s">
        <v>148</v>
      </c>
      <c r="C94" s="102" t="s">
        <v>95</v>
      </c>
      <c r="D94" s="102" t="s">
        <v>272</v>
      </c>
      <c r="E94" s="102" t="s">
        <v>73</v>
      </c>
      <c r="F94" s="102" t="str">
        <f>Contas_Gerencial[[#This Row],[Código]]</f>
        <v>20.05.005</v>
      </c>
      <c r="G94" s="1319" t="s">
        <v>270</v>
      </c>
    </row>
    <row r="95" spans="2:7" hidden="1">
      <c r="B95" s="102" t="s">
        <v>149</v>
      </c>
      <c r="C95" s="102" t="s">
        <v>95</v>
      </c>
      <c r="D95" s="102" t="s">
        <v>272</v>
      </c>
      <c r="E95" s="102" t="s">
        <v>24</v>
      </c>
      <c r="F95" s="102" t="str">
        <f>Contas_Gerencial[[#This Row],[Código]]</f>
        <v>20.05.006</v>
      </c>
      <c r="G95" s="1319" t="s">
        <v>270</v>
      </c>
    </row>
    <row r="96" spans="2:7" hidden="1">
      <c r="B96" s="102" t="s">
        <v>150</v>
      </c>
      <c r="C96" s="102" t="s">
        <v>95</v>
      </c>
      <c r="D96" s="102" t="s">
        <v>272</v>
      </c>
      <c r="E96" s="102" t="s">
        <v>25</v>
      </c>
      <c r="F96" s="102" t="str">
        <f>Contas_Gerencial[[#This Row],[Código]]</f>
        <v>20.05.007</v>
      </c>
      <c r="G96" s="1319" t="s">
        <v>270</v>
      </c>
    </row>
    <row r="97" spans="2:12" hidden="1">
      <c r="B97" s="102" t="s">
        <v>151</v>
      </c>
      <c r="C97" s="102" t="s">
        <v>95</v>
      </c>
      <c r="D97" s="102" t="s">
        <v>506</v>
      </c>
      <c r="E97" s="102" t="s">
        <v>507</v>
      </c>
      <c r="F97" s="102" t="str">
        <f>Contas_Gerencial[[#This Row],[Código]]</f>
        <v>20.05.008</v>
      </c>
      <c r="G97" s="1319" t="s">
        <v>270</v>
      </c>
    </row>
    <row r="98" spans="2:12" hidden="1">
      <c r="B98" s="102" t="s">
        <v>152</v>
      </c>
      <c r="C98" s="102" t="s">
        <v>95</v>
      </c>
      <c r="D98" s="102" t="s">
        <v>52</v>
      </c>
      <c r="E98" s="102" t="s">
        <v>52</v>
      </c>
      <c r="F98" s="102" t="str">
        <f>Contas_Gerencial[[#This Row],[Código]]</f>
        <v>20.05.009</v>
      </c>
      <c r="G98" s="1319" t="s">
        <v>270</v>
      </c>
    </row>
    <row r="99" spans="2:12" hidden="1">
      <c r="B99" s="102" t="s">
        <v>153</v>
      </c>
      <c r="C99" s="102" t="s">
        <v>95</v>
      </c>
      <c r="D99" s="102" t="s">
        <v>5</v>
      </c>
      <c r="E99" s="102" t="s">
        <v>579</v>
      </c>
      <c r="F99" s="102" t="str">
        <f>Contas_Gerencial[[#This Row],[Código]]</f>
        <v>20.05.010</v>
      </c>
      <c r="G99" s="1319" t="s">
        <v>270</v>
      </c>
      <c r="L99" s="614"/>
    </row>
    <row r="100" spans="2:12" hidden="1">
      <c r="B100" s="102" t="s">
        <v>154</v>
      </c>
      <c r="C100" s="102" t="s">
        <v>95</v>
      </c>
      <c r="D100" s="102" t="s">
        <v>5</v>
      </c>
      <c r="E100" s="102" t="s">
        <v>78</v>
      </c>
      <c r="F100" s="102" t="str">
        <f>Contas_Gerencial[[#This Row],[Código]]</f>
        <v>20.05.011</v>
      </c>
      <c r="G100" s="1319" t="s">
        <v>270</v>
      </c>
      <c r="L100" s="614"/>
    </row>
    <row r="101" spans="2:12" hidden="1">
      <c r="B101" s="102" t="s">
        <v>155</v>
      </c>
      <c r="C101" s="102" t="s">
        <v>95</v>
      </c>
      <c r="D101" s="102" t="s">
        <v>5</v>
      </c>
      <c r="E101" s="102" t="s">
        <v>445</v>
      </c>
      <c r="F101" s="102" t="str">
        <f>Contas_Gerencial[[#This Row],[Código]]</f>
        <v>20.05.012</v>
      </c>
      <c r="G101" s="1319" t="s">
        <v>270</v>
      </c>
      <c r="L101" s="614"/>
    </row>
    <row r="102" spans="2:12" hidden="1">
      <c r="B102" s="102" t="s">
        <v>156</v>
      </c>
      <c r="C102" s="102" t="s">
        <v>95</v>
      </c>
      <c r="D102" s="102" t="s">
        <v>5</v>
      </c>
      <c r="E102" s="102" t="s">
        <v>401</v>
      </c>
      <c r="F102" s="102" t="str">
        <f>Contas_Gerencial[[#This Row],[Código]]</f>
        <v>20.05.013</v>
      </c>
      <c r="G102" s="1319" t="s">
        <v>270</v>
      </c>
      <c r="L102" s="615"/>
    </row>
    <row r="103" spans="2:12" hidden="1">
      <c r="B103" s="102" t="s">
        <v>157</v>
      </c>
      <c r="C103" s="102" t="s">
        <v>95</v>
      </c>
      <c r="D103" s="102" t="s">
        <v>5</v>
      </c>
      <c r="E103" s="102" t="s">
        <v>402</v>
      </c>
      <c r="F103" s="102" t="str">
        <f>Contas_Gerencial[[#This Row],[Código]]</f>
        <v>20.05.014</v>
      </c>
      <c r="G103" s="1319" t="s">
        <v>270</v>
      </c>
      <c r="L103" s="615"/>
    </row>
    <row r="104" spans="2:12" hidden="1">
      <c r="B104" s="102" t="s">
        <v>446</v>
      </c>
      <c r="C104" s="102" t="s">
        <v>95</v>
      </c>
      <c r="D104" s="102" t="s">
        <v>5</v>
      </c>
      <c r="E104" s="102" t="s">
        <v>286</v>
      </c>
      <c r="F104" s="102" t="str">
        <f>Contas_Gerencial[[#This Row],[Código]]</f>
        <v>20.05.015</v>
      </c>
      <c r="G104" s="1319" t="s">
        <v>270</v>
      </c>
      <c r="L104" s="614"/>
    </row>
    <row r="105" spans="2:12" hidden="1">
      <c r="B105" s="102" t="s">
        <v>447</v>
      </c>
      <c r="C105" s="102" t="s">
        <v>95</v>
      </c>
      <c r="D105" s="102" t="s">
        <v>5</v>
      </c>
      <c r="E105" s="102" t="s">
        <v>65</v>
      </c>
      <c r="F105" s="102" t="str">
        <f>Contas_Gerencial[[#This Row],[Código]]</f>
        <v>20.05.016</v>
      </c>
      <c r="G105" s="1319" t="s">
        <v>270</v>
      </c>
      <c r="L105" s="615"/>
    </row>
    <row r="106" spans="2:12" hidden="1">
      <c r="B106" s="102" t="s">
        <v>274</v>
      </c>
      <c r="C106" s="102" t="s">
        <v>95</v>
      </c>
      <c r="D106" s="102" t="s">
        <v>5</v>
      </c>
      <c r="E106" s="102" t="s">
        <v>641</v>
      </c>
      <c r="F106" s="102" t="str">
        <f>Contas_Gerencial[[#This Row],[Código]]</f>
        <v>20.05.017</v>
      </c>
      <c r="G106" s="1319" t="s">
        <v>270</v>
      </c>
      <c r="L106" s="614"/>
    </row>
    <row r="107" spans="2:12" hidden="1">
      <c r="B107" s="102" t="s">
        <v>275</v>
      </c>
      <c r="C107" s="102" t="s">
        <v>95</v>
      </c>
      <c r="D107" s="102" t="s">
        <v>5</v>
      </c>
      <c r="E107" s="102" t="s">
        <v>74</v>
      </c>
      <c r="F107" s="102" t="str">
        <f>Contas_Gerencial[[#This Row],[Código]]</f>
        <v>20.05.018</v>
      </c>
      <c r="G107" s="1319" t="s">
        <v>270</v>
      </c>
      <c r="L107" s="615"/>
    </row>
    <row r="108" spans="2:12" ht="14.1" hidden="1" customHeight="1">
      <c r="B108" s="102" t="s">
        <v>276</v>
      </c>
      <c r="C108" s="102" t="s">
        <v>95</v>
      </c>
      <c r="D108" s="102" t="s">
        <v>5</v>
      </c>
      <c r="E108" s="102" t="s">
        <v>2663</v>
      </c>
      <c r="F108" s="102" t="str">
        <f>Contas_Gerencial[[#This Row],[Código]]</f>
        <v>20.05.019</v>
      </c>
      <c r="G108" s="1319" t="s">
        <v>270</v>
      </c>
      <c r="L108" s="614"/>
    </row>
    <row r="109" spans="2:12" hidden="1">
      <c r="B109" s="102" t="s">
        <v>277</v>
      </c>
      <c r="C109" s="102" t="s">
        <v>95</v>
      </c>
      <c r="D109" s="102" t="s">
        <v>5</v>
      </c>
      <c r="E109" s="102" t="s">
        <v>29</v>
      </c>
      <c r="F109" s="102" t="str">
        <f>Contas_Gerencial[[#This Row],[Código]]</f>
        <v>20.05.020</v>
      </c>
      <c r="G109" s="1319" t="s">
        <v>270</v>
      </c>
      <c r="L109" s="615"/>
    </row>
    <row r="110" spans="2:12" hidden="1">
      <c r="B110" s="102" t="s">
        <v>279</v>
      </c>
      <c r="C110" s="102" t="s">
        <v>95</v>
      </c>
      <c r="D110" s="102" t="s">
        <v>5</v>
      </c>
      <c r="E110" s="102" t="s">
        <v>59</v>
      </c>
      <c r="F110" s="102" t="str">
        <f>Contas_Gerencial[[#This Row],[Código]]</f>
        <v>20.05.021</v>
      </c>
      <c r="G110" s="1319" t="s">
        <v>270</v>
      </c>
      <c r="L110" s="615"/>
    </row>
    <row r="111" spans="2:12" hidden="1">
      <c r="B111" s="102" t="s">
        <v>287</v>
      </c>
      <c r="C111" s="102" t="s">
        <v>95</v>
      </c>
      <c r="D111" s="102" t="s">
        <v>5</v>
      </c>
      <c r="E111" s="102" t="s">
        <v>20</v>
      </c>
      <c r="F111" s="102" t="str">
        <f>Contas_Gerencial[[#This Row],[Código]]</f>
        <v>20.05.022</v>
      </c>
      <c r="G111" s="1319" t="s">
        <v>270</v>
      </c>
      <c r="L111" s="614"/>
    </row>
    <row r="112" spans="2:12" hidden="1">
      <c r="B112" s="102" t="s">
        <v>288</v>
      </c>
      <c r="C112" s="102" t="s">
        <v>95</v>
      </c>
      <c r="D112" s="102" t="s">
        <v>5</v>
      </c>
      <c r="E112" s="102" t="s">
        <v>291</v>
      </c>
      <c r="F112" s="102" t="str">
        <f>Contas_Gerencial[[#This Row],[Código]]</f>
        <v>20.05.023</v>
      </c>
      <c r="G112" s="1319" t="s">
        <v>270</v>
      </c>
      <c r="L112" s="614"/>
    </row>
    <row r="113" spans="2:7" hidden="1">
      <c r="B113" s="102" t="s">
        <v>292</v>
      </c>
      <c r="C113" s="102" t="s">
        <v>95</v>
      </c>
      <c r="D113" s="102" t="s">
        <v>30</v>
      </c>
      <c r="E113" s="102" t="s">
        <v>293</v>
      </c>
      <c r="F113" s="102" t="str">
        <f>Contas_Gerencial[[#This Row],[Código]]</f>
        <v>20.05.024</v>
      </c>
      <c r="G113" s="1319" t="s">
        <v>270</v>
      </c>
    </row>
    <row r="114" spans="2:7" hidden="1">
      <c r="B114" s="102" t="s">
        <v>578</v>
      </c>
      <c r="C114" s="102" t="s">
        <v>95</v>
      </c>
      <c r="D114" s="102" t="s">
        <v>659</v>
      </c>
      <c r="E114" s="102" t="s">
        <v>660</v>
      </c>
      <c r="F114" s="102" t="str">
        <f>Contas_Gerencial[[#This Row],[Código]]</f>
        <v>20.05.025</v>
      </c>
      <c r="G114" s="1319" t="s">
        <v>270</v>
      </c>
    </row>
    <row r="115" spans="2:7" hidden="1">
      <c r="B115" s="102" t="s">
        <v>588</v>
      </c>
      <c r="C115" s="102" t="s">
        <v>95</v>
      </c>
      <c r="D115" s="102" t="s">
        <v>659</v>
      </c>
      <c r="E115" s="102" t="s">
        <v>835</v>
      </c>
      <c r="F115" s="102" t="str">
        <f>Contas_Gerencial[[#This Row],[Código]]</f>
        <v>20.05.026</v>
      </c>
      <c r="G115" s="1319" t="s">
        <v>270</v>
      </c>
    </row>
    <row r="116" spans="2:7" hidden="1">
      <c r="B116" s="102" t="s">
        <v>658</v>
      </c>
      <c r="C116" s="102" t="s">
        <v>95</v>
      </c>
      <c r="D116" s="672" t="s">
        <v>844</v>
      </c>
      <c r="E116" s="102" t="s">
        <v>843</v>
      </c>
      <c r="F116" s="102" t="str">
        <f>Contas_Gerencial[[#This Row],[Código]]</f>
        <v>20.05.027</v>
      </c>
      <c r="G116" s="1319" t="s">
        <v>270</v>
      </c>
    </row>
    <row r="117" spans="2:7" hidden="1">
      <c r="B117" s="102" t="s">
        <v>836</v>
      </c>
      <c r="C117" s="102" t="s">
        <v>95</v>
      </c>
      <c r="D117" s="102" t="s">
        <v>273</v>
      </c>
      <c r="E117" s="102" t="s">
        <v>10</v>
      </c>
      <c r="F117" s="102" t="str">
        <f>Contas_Gerencial[[#This Row],[Código]]</f>
        <v>20.05.028</v>
      </c>
      <c r="G117" s="1319" t="s">
        <v>270</v>
      </c>
    </row>
    <row r="118" spans="2:7" hidden="1">
      <c r="B118" s="1319" t="s">
        <v>158</v>
      </c>
      <c r="C118" s="1319" t="s">
        <v>95</v>
      </c>
      <c r="D118" s="1319" t="s">
        <v>44</v>
      </c>
      <c r="E118" s="1319" t="s">
        <v>198</v>
      </c>
      <c r="F118" s="1319" t="str">
        <f>Contas_Gerencial[[#This Row],[Código]]</f>
        <v>20.06</v>
      </c>
      <c r="G118" s="1319" t="s">
        <v>44</v>
      </c>
    </row>
    <row r="119" spans="2:7" hidden="1">
      <c r="B119" s="102" t="s">
        <v>159</v>
      </c>
      <c r="C119" s="102" t="s">
        <v>95</v>
      </c>
      <c r="D119" s="102" t="s">
        <v>44</v>
      </c>
      <c r="E119" s="102" t="s">
        <v>39</v>
      </c>
      <c r="F119" s="102" t="str">
        <f>Contas_Gerencial[[#This Row],[Código]]</f>
        <v>20.06.001</v>
      </c>
      <c r="G119" s="1319" t="s">
        <v>44</v>
      </c>
    </row>
    <row r="120" spans="2:7" hidden="1">
      <c r="B120" s="102" t="s">
        <v>160</v>
      </c>
      <c r="C120" s="102" t="s">
        <v>95</v>
      </c>
      <c r="D120" s="102" t="s">
        <v>44</v>
      </c>
      <c r="E120" s="102" t="s">
        <v>280</v>
      </c>
      <c r="F120" s="102" t="str">
        <f>Contas_Gerencial[[#This Row],[Código]]</f>
        <v>20.06.002</v>
      </c>
      <c r="G120" s="1319" t="s">
        <v>44</v>
      </c>
    </row>
    <row r="121" spans="2:7" hidden="1">
      <c r="B121" s="102" t="s">
        <v>296</v>
      </c>
      <c r="C121" s="102" t="s">
        <v>95</v>
      </c>
      <c r="D121" s="102" t="s">
        <v>44</v>
      </c>
      <c r="E121" s="102" t="s">
        <v>295</v>
      </c>
      <c r="F121" s="102" t="str">
        <f>Contas_Gerencial[[#This Row],[Código]]</f>
        <v>20.06.003</v>
      </c>
      <c r="G121" s="1319" t="s">
        <v>44</v>
      </c>
    </row>
    <row r="122" spans="2:7" hidden="1">
      <c r="B122" s="1319" t="s">
        <v>161</v>
      </c>
      <c r="C122" s="1319" t="s">
        <v>95</v>
      </c>
      <c r="D122" s="1319" t="s">
        <v>35</v>
      </c>
      <c r="E122" s="1319" t="s">
        <v>199</v>
      </c>
      <c r="F122" s="1319" t="str">
        <f>Contas_Gerencial[[#This Row],[Código]]</f>
        <v>20.07</v>
      </c>
      <c r="G122" s="1319" t="s">
        <v>35</v>
      </c>
    </row>
    <row r="123" spans="2:7" hidden="1">
      <c r="B123" s="102" t="s">
        <v>162</v>
      </c>
      <c r="C123" s="102" t="s">
        <v>95</v>
      </c>
      <c r="D123" s="102" t="s">
        <v>35</v>
      </c>
      <c r="E123" s="102" t="s">
        <v>1486</v>
      </c>
      <c r="F123" s="102" t="str">
        <f>Contas_Gerencial[[#This Row],[Código]]</f>
        <v>20.07.001</v>
      </c>
      <c r="G123" s="1319" t="s">
        <v>35</v>
      </c>
    </row>
    <row r="124" spans="2:7" hidden="1">
      <c r="B124" s="102" t="s">
        <v>163</v>
      </c>
      <c r="C124" s="102" t="s">
        <v>95</v>
      </c>
      <c r="D124" s="102" t="s">
        <v>35</v>
      </c>
      <c r="E124" s="102" t="s">
        <v>294</v>
      </c>
      <c r="F124" s="102" t="str">
        <f>Contas_Gerencial[[#This Row],[Código]]</f>
        <v>20.07.002</v>
      </c>
      <c r="G124" s="1319" t="s">
        <v>35</v>
      </c>
    </row>
    <row r="125" spans="2:7" hidden="1">
      <c r="B125" s="102" t="s">
        <v>164</v>
      </c>
      <c r="C125" s="102" t="s">
        <v>95</v>
      </c>
      <c r="D125" s="102" t="s">
        <v>35</v>
      </c>
      <c r="E125" s="102" t="s">
        <v>289</v>
      </c>
      <c r="F125" s="102" t="str">
        <f>Contas_Gerencial[[#This Row],[Código]]</f>
        <v>20.07.003</v>
      </c>
      <c r="G125" s="1319" t="s">
        <v>35</v>
      </c>
    </row>
    <row r="126" spans="2:7" hidden="1">
      <c r="B126" s="102" t="s">
        <v>165</v>
      </c>
      <c r="C126" s="102" t="s">
        <v>95</v>
      </c>
      <c r="D126" s="102" t="s">
        <v>35</v>
      </c>
      <c r="E126" s="102" t="s">
        <v>53</v>
      </c>
      <c r="F126" s="102" t="str">
        <f>Contas_Gerencial[[#This Row],[Código]]</f>
        <v>20.07.004</v>
      </c>
      <c r="G126" s="1319" t="s">
        <v>35</v>
      </c>
    </row>
    <row r="127" spans="2:7" hidden="1">
      <c r="B127" s="102" t="s">
        <v>166</v>
      </c>
      <c r="C127" s="102" t="s">
        <v>95</v>
      </c>
      <c r="D127" s="102" t="s">
        <v>35</v>
      </c>
      <c r="E127" s="102" t="s">
        <v>894</v>
      </c>
      <c r="F127" s="102" t="str">
        <f>Contas_Gerencial[[#This Row],[Código]]</f>
        <v>20.07.005</v>
      </c>
      <c r="G127" s="1319" t="s">
        <v>35</v>
      </c>
    </row>
    <row r="128" spans="2:7" hidden="1">
      <c r="B128" s="102" t="s">
        <v>167</v>
      </c>
      <c r="C128" s="102" t="s">
        <v>95</v>
      </c>
      <c r="D128" s="102" t="s">
        <v>35</v>
      </c>
      <c r="E128" s="102" t="s">
        <v>63</v>
      </c>
      <c r="F128" s="102" t="str">
        <f>Contas_Gerencial[[#This Row],[Código]]</f>
        <v>20.07.006</v>
      </c>
      <c r="G128" s="1319" t="s">
        <v>35</v>
      </c>
    </row>
    <row r="129" spans="2:7" hidden="1">
      <c r="B129" s="102" t="s">
        <v>168</v>
      </c>
      <c r="C129" s="102" t="s">
        <v>95</v>
      </c>
      <c r="D129" s="102" t="s">
        <v>35</v>
      </c>
      <c r="E129" s="102" t="s">
        <v>576</v>
      </c>
      <c r="F129" s="102" t="str">
        <f>Contas_Gerencial[[#This Row],[Código]]</f>
        <v>20.07.007</v>
      </c>
      <c r="G129" s="1319" t="s">
        <v>35</v>
      </c>
    </row>
    <row r="130" spans="2:7" hidden="1">
      <c r="B130" s="102" t="s">
        <v>169</v>
      </c>
      <c r="C130" s="102" t="s">
        <v>95</v>
      </c>
      <c r="D130" s="102" t="s">
        <v>35</v>
      </c>
      <c r="E130" s="102" t="s">
        <v>21</v>
      </c>
      <c r="F130" s="102" t="str">
        <f>Contas_Gerencial[[#This Row],[Código]]</f>
        <v>20.07.008</v>
      </c>
      <c r="G130" s="1319" t="s">
        <v>35</v>
      </c>
    </row>
    <row r="131" spans="2:7" hidden="1">
      <c r="B131" s="102" t="s">
        <v>170</v>
      </c>
      <c r="C131" s="102" t="s">
        <v>95</v>
      </c>
      <c r="D131" s="102" t="s">
        <v>35</v>
      </c>
      <c r="E131" s="102" t="s">
        <v>54</v>
      </c>
      <c r="F131" s="102" t="str">
        <f>Contas_Gerencial[[#This Row],[Código]]</f>
        <v>20.07.009</v>
      </c>
      <c r="G131" s="1319" t="s">
        <v>35</v>
      </c>
    </row>
    <row r="132" spans="2:7" hidden="1">
      <c r="B132" s="102" t="s">
        <v>171</v>
      </c>
      <c r="C132" s="102" t="s">
        <v>95</v>
      </c>
      <c r="D132" s="102" t="s">
        <v>35</v>
      </c>
      <c r="E132" s="102" t="s">
        <v>37</v>
      </c>
      <c r="F132" s="102" t="str">
        <f>Contas_Gerencial[[#This Row],[Código]]</f>
        <v>20.07.010</v>
      </c>
      <c r="G132" s="1319" t="s">
        <v>35</v>
      </c>
    </row>
    <row r="133" spans="2:7" hidden="1">
      <c r="B133" s="102" t="s">
        <v>172</v>
      </c>
      <c r="C133" s="102" t="s">
        <v>95</v>
      </c>
      <c r="D133" s="102" t="s">
        <v>35</v>
      </c>
      <c r="E133" s="102" t="s">
        <v>31</v>
      </c>
      <c r="F133" s="102" t="str">
        <f>Contas_Gerencial[[#This Row],[Código]]</f>
        <v>20.07.011</v>
      </c>
      <c r="G133" s="1319" t="s">
        <v>35</v>
      </c>
    </row>
    <row r="134" spans="2:7" hidden="1">
      <c r="B134" s="102" t="s">
        <v>173</v>
      </c>
      <c r="C134" s="102" t="s">
        <v>95</v>
      </c>
      <c r="D134" s="102" t="s">
        <v>35</v>
      </c>
      <c r="E134" s="102" t="s">
        <v>846</v>
      </c>
      <c r="F134" s="102" t="str">
        <f>Contas_Gerencial[[#This Row],[Código]]</f>
        <v>20.07.012</v>
      </c>
      <c r="G134" s="1319" t="s">
        <v>35</v>
      </c>
    </row>
    <row r="135" spans="2:7" hidden="1">
      <c r="B135" s="102" t="s">
        <v>174</v>
      </c>
      <c r="C135" s="102" t="s">
        <v>95</v>
      </c>
      <c r="D135" s="102" t="s">
        <v>35</v>
      </c>
      <c r="E135" s="102" t="s">
        <v>187</v>
      </c>
      <c r="F135" s="102" t="str">
        <f>Contas_Gerencial[[#This Row],[Código]]</f>
        <v>20.07.013</v>
      </c>
      <c r="G135" s="1319" t="s">
        <v>35</v>
      </c>
    </row>
    <row r="136" spans="2:7" hidden="1">
      <c r="B136" s="102" t="s">
        <v>175</v>
      </c>
      <c r="C136" s="102" t="s">
        <v>95</v>
      </c>
      <c r="D136" s="102" t="s">
        <v>35</v>
      </c>
      <c r="E136" s="102" t="s">
        <v>1121</v>
      </c>
      <c r="F136" s="102" t="str">
        <f>Contas_Gerencial[[#This Row],[Código]]</f>
        <v>20.07.014</v>
      </c>
      <c r="G136" s="1319" t="s">
        <v>35</v>
      </c>
    </row>
    <row r="137" spans="2:7" hidden="1">
      <c r="B137" s="102" t="s">
        <v>176</v>
      </c>
      <c r="C137" s="102" t="s">
        <v>95</v>
      </c>
      <c r="D137" s="102" t="s">
        <v>35</v>
      </c>
      <c r="E137" s="102" t="s">
        <v>64</v>
      </c>
      <c r="F137" s="102" t="str">
        <f>Contas_Gerencial[[#This Row],[Código]]</f>
        <v>20.07.015</v>
      </c>
      <c r="G137" s="1319" t="s">
        <v>35</v>
      </c>
    </row>
    <row r="138" spans="2:7" hidden="1">
      <c r="B138" s="102" t="s">
        <v>290</v>
      </c>
      <c r="C138" s="102" t="s">
        <v>95</v>
      </c>
      <c r="D138" s="102" t="s">
        <v>35</v>
      </c>
      <c r="E138" s="102" t="s">
        <v>60</v>
      </c>
      <c r="F138" s="102" t="str">
        <f>Contas_Gerencial[[#This Row],[Código]]</f>
        <v>20.07.016</v>
      </c>
      <c r="G138" s="1319" t="s">
        <v>35</v>
      </c>
    </row>
    <row r="139" spans="2:7" hidden="1">
      <c r="B139" s="102" t="s">
        <v>307</v>
      </c>
      <c r="C139" s="102" t="s">
        <v>95</v>
      </c>
      <c r="D139" s="102" t="s">
        <v>35</v>
      </c>
      <c r="E139" s="102" t="s">
        <v>57</v>
      </c>
      <c r="F139" s="102" t="str">
        <f>Contas_Gerencial[[#This Row],[Código]]</f>
        <v>20.07.017</v>
      </c>
      <c r="G139" s="1319" t="s">
        <v>35</v>
      </c>
    </row>
    <row r="140" spans="2:7" hidden="1">
      <c r="B140" s="102" t="s">
        <v>308</v>
      </c>
      <c r="C140" s="102" t="s">
        <v>95</v>
      </c>
      <c r="D140" s="102" t="s">
        <v>35</v>
      </c>
      <c r="E140" s="102" t="s">
        <v>265</v>
      </c>
      <c r="F140" s="102" t="str">
        <f>Contas_Gerencial[[#This Row],[Código]]</f>
        <v>20.07.018</v>
      </c>
      <c r="G140" s="1319" t="s">
        <v>35</v>
      </c>
    </row>
    <row r="141" spans="2:7" hidden="1">
      <c r="B141" s="102" t="s">
        <v>309</v>
      </c>
      <c r="C141" s="102" t="s">
        <v>95</v>
      </c>
      <c r="D141" s="102" t="s">
        <v>35</v>
      </c>
      <c r="E141" s="102" t="s">
        <v>305</v>
      </c>
      <c r="F141" s="102" t="str">
        <f>Contas_Gerencial[[#This Row],[Código]]</f>
        <v>20.07.019</v>
      </c>
      <c r="G141" s="1319" t="s">
        <v>35</v>
      </c>
    </row>
    <row r="142" spans="2:7" hidden="1">
      <c r="B142" s="102" t="s">
        <v>427</v>
      </c>
      <c r="C142" s="102" t="s">
        <v>95</v>
      </c>
      <c r="D142" s="102" t="s">
        <v>35</v>
      </c>
      <c r="E142" s="102" t="s">
        <v>306</v>
      </c>
      <c r="F142" s="102" t="str">
        <f>Contas_Gerencial[[#This Row],[Código]]</f>
        <v>20.07.020</v>
      </c>
      <c r="G142" s="1319" t="s">
        <v>35</v>
      </c>
    </row>
    <row r="143" spans="2:7" hidden="1">
      <c r="B143" s="102" t="s">
        <v>575</v>
      </c>
      <c r="C143" s="102" t="s">
        <v>95</v>
      </c>
      <c r="D143" s="102" t="s">
        <v>35</v>
      </c>
      <c r="E143" s="102" t="s">
        <v>310</v>
      </c>
      <c r="F143" s="102" t="str">
        <f>Contas_Gerencial[[#This Row],[Código]]</f>
        <v>20.07.021</v>
      </c>
      <c r="G143" s="1319" t="s">
        <v>35</v>
      </c>
    </row>
    <row r="144" spans="2:7" hidden="1">
      <c r="B144" s="102" t="s">
        <v>744</v>
      </c>
      <c r="C144" s="102" t="s">
        <v>95</v>
      </c>
      <c r="D144" s="102" t="s">
        <v>35</v>
      </c>
      <c r="E144" s="102" t="s">
        <v>266</v>
      </c>
      <c r="F144" s="102" t="str">
        <f>Contas_Gerencial[[#This Row],[Código]]</f>
        <v>20.07.022</v>
      </c>
      <c r="G144" s="1319" t="s">
        <v>35</v>
      </c>
    </row>
    <row r="145" spans="2:7" hidden="1">
      <c r="B145" s="102" t="s">
        <v>847</v>
      </c>
      <c r="C145" s="102" t="s">
        <v>95</v>
      </c>
      <c r="D145" s="102" t="s">
        <v>35</v>
      </c>
      <c r="E145" s="102" t="s">
        <v>898</v>
      </c>
      <c r="F145" s="102" t="str">
        <f>Contas_Gerencial[[#This Row],[Código]]</f>
        <v>20.07.023</v>
      </c>
      <c r="G145" s="1319" t="s">
        <v>35</v>
      </c>
    </row>
    <row r="146" spans="2:7" hidden="1">
      <c r="B146" s="102" t="s">
        <v>882</v>
      </c>
      <c r="C146" s="102" t="s">
        <v>95</v>
      </c>
      <c r="D146" s="102" t="s">
        <v>35</v>
      </c>
      <c r="E146" s="102" t="s">
        <v>32</v>
      </c>
      <c r="F146" s="102" t="str">
        <f>Contas_Gerencial[[#This Row],[Código]]</f>
        <v>20.07.024</v>
      </c>
      <c r="G146" s="1319" t="s">
        <v>35</v>
      </c>
    </row>
    <row r="147" spans="2:7" hidden="1">
      <c r="B147" s="102" t="s">
        <v>895</v>
      </c>
      <c r="C147" s="102" t="s">
        <v>95</v>
      </c>
      <c r="D147" s="102" t="s">
        <v>35</v>
      </c>
      <c r="E147" s="102" t="s">
        <v>1052</v>
      </c>
      <c r="F147" s="102" t="str">
        <f>Contas_Gerencial[[#This Row],[Código]]</f>
        <v>20.07.025</v>
      </c>
      <c r="G147" s="1319" t="s">
        <v>35</v>
      </c>
    </row>
    <row r="148" spans="2:7" hidden="1">
      <c r="B148" s="102" t="s">
        <v>899</v>
      </c>
      <c r="C148" s="102" t="s">
        <v>95</v>
      </c>
      <c r="D148" s="102" t="s">
        <v>35</v>
      </c>
      <c r="E148" s="102" t="s">
        <v>745</v>
      </c>
      <c r="F148" s="102" t="str">
        <f>Contas_Gerencial[[#This Row],[Código]]</f>
        <v>20.07.026</v>
      </c>
      <c r="G148" s="1319" t="s">
        <v>35</v>
      </c>
    </row>
    <row r="149" spans="2:7" hidden="1">
      <c r="B149" s="102" t="s">
        <v>938</v>
      </c>
      <c r="C149" s="102" t="s">
        <v>95</v>
      </c>
      <c r="D149" s="102" t="s">
        <v>35</v>
      </c>
      <c r="E149" s="102" t="s">
        <v>998</v>
      </c>
      <c r="F149" s="102" t="str">
        <f>Contas_Gerencial[[#This Row],[Código]]</f>
        <v>20.07.027</v>
      </c>
      <c r="G149" s="1319" t="s">
        <v>35</v>
      </c>
    </row>
    <row r="150" spans="2:7" hidden="1">
      <c r="B150" s="102" t="s">
        <v>997</v>
      </c>
      <c r="C150" s="102" t="s">
        <v>95</v>
      </c>
      <c r="D150" s="102" t="s">
        <v>35</v>
      </c>
      <c r="E150" s="102" t="s">
        <v>881</v>
      </c>
      <c r="F150" s="102" t="str">
        <f>Contas_Gerencial[[#This Row],[Código]]</f>
        <v>20.07.028</v>
      </c>
      <c r="G150" s="1319" t="s">
        <v>35</v>
      </c>
    </row>
    <row r="151" spans="2:7" hidden="1">
      <c r="B151" s="102" t="s">
        <v>1051</v>
      </c>
      <c r="C151" s="102" t="s">
        <v>95</v>
      </c>
      <c r="D151" s="102" t="s">
        <v>35</v>
      </c>
      <c r="E151" s="613" t="s">
        <v>426</v>
      </c>
      <c r="F151" s="102" t="str">
        <f>Contas_Gerencial[[#This Row],[Código]]</f>
        <v>20.07.029</v>
      </c>
      <c r="G151" s="1319" t="s">
        <v>35</v>
      </c>
    </row>
    <row r="152" spans="2:7" hidden="1">
      <c r="B152" s="102" t="s">
        <v>1122</v>
      </c>
      <c r="C152" s="102" t="s">
        <v>95</v>
      </c>
      <c r="D152" s="102" t="s">
        <v>35</v>
      </c>
      <c r="E152" s="613" t="s">
        <v>940</v>
      </c>
      <c r="F152" s="102" t="str">
        <f>Contas_Gerencial[[#This Row],[Código]]</f>
        <v>20.07.030</v>
      </c>
      <c r="G152" s="1319" t="s">
        <v>35</v>
      </c>
    </row>
    <row r="153" spans="2:7" hidden="1">
      <c r="B153" s="1319" t="s">
        <v>177</v>
      </c>
      <c r="C153" s="1319" t="s">
        <v>95</v>
      </c>
      <c r="D153" s="1319" t="s">
        <v>9</v>
      </c>
      <c r="E153" s="1319" t="s">
        <v>200</v>
      </c>
      <c r="F153" s="1319" t="str">
        <f>Contas_Gerencial[[#This Row],[Código]]</f>
        <v>20.08</v>
      </c>
      <c r="G153" s="1319" t="s">
        <v>9</v>
      </c>
    </row>
    <row r="154" spans="2:7" hidden="1">
      <c r="B154" s="102" t="s">
        <v>178</v>
      </c>
      <c r="C154" s="102" t="s">
        <v>95</v>
      </c>
      <c r="D154" s="102" t="s">
        <v>9</v>
      </c>
      <c r="E154" s="102" t="s">
        <v>2112</v>
      </c>
      <c r="F154" s="102" t="str">
        <f>Contas_Gerencial[[#This Row],[Código]]</f>
        <v>20.08.001</v>
      </c>
      <c r="G154" s="1319" t="s">
        <v>9</v>
      </c>
    </row>
    <row r="155" spans="2:7" hidden="1">
      <c r="B155" s="102" t="s">
        <v>179</v>
      </c>
      <c r="C155" s="102" t="s">
        <v>95</v>
      </c>
      <c r="D155" s="102" t="s">
        <v>9</v>
      </c>
      <c r="E155" s="102" t="s">
        <v>589</v>
      </c>
      <c r="F155" s="102" t="str">
        <f>Contas_Gerencial[[#This Row],[Código]]</f>
        <v>20.08.002</v>
      </c>
      <c r="G155" s="1319" t="s">
        <v>9</v>
      </c>
    </row>
    <row r="156" spans="2:7" hidden="1">
      <c r="B156" s="102" t="s">
        <v>180</v>
      </c>
      <c r="C156" s="102" t="s">
        <v>95</v>
      </c>
      <c r="D156" s="102" t="s">
        <v>9</v>
      </c>
      <c r="E156" s="102" t="s">
        <v>379</v>
      </c>
      <c r="F156" s="102" t="str">
        <f>Contas_Gerencial[[#This Row],[Código]]</f>
        <v>20.08.003</v>
      </c>
      <c r="G156" s="1319" t="s">
        <v>9</v>
      </c>
    </row>
    <row r="157" spans="2:7">
      <c r="B157" s="102" t="s">
        <v>181</v>
      </c>
      <c r="C157" s="102" t="s">
        <v>95</v>
      </c>
      <c r="D157" s="102" t="s">
        <v>9</v>
      </c>
      <c r="E157" s="1320" t="s">
        <v>2648</v>
      </c>
      <c r="F157" s="102" t="str">
        <f>Contas_Gerencial[[#This Row],[Código]]</f>
        <v>20.08.004</v>
      </c>
      <c r="G157" s="1319" t="s">
        <v>9</v>
      </c>
    </row>
    <row r="158" spans="2:7" hidden="1">
      <c r="B158" s="102" t="s">
        <v>182</v>
      </c>
      <c r="C158" s="102" t="s">
        <v>95</v>
      </c>
      <c r="D158" s="102" t="s">
        <v>9</v>
      </c>
      <c r="E158" s="1320" t="s">
        <v>2649</v>
      </c>
      <c r="F158" s="102" t="str">
        <f>Contas_Gerencial[[#This Row],[Código]]</f>
        <v>20.08.005</v>
      </c>
      <c r="G158" s="1319" t="s">
        <v>9</v>
      </c>
    </row>
    <row r="159" spans="2:7" hidden="1">
      <c r="B159" s="102" t="s">
        <v>183</v>
      </c>
      <c r="C159" s="102" t="s">
        <v>95</v>
      </c>
      <c r="D159" s="102" t="s">
        <v>9</v>
      </c>
      <c r="E159" s="102" t="s">
        <v>380</v>
      </c>
      <c r="F159" s="102" t="str">
        <f>Contas_Gerencial[[#This Row],[Código]]</f>
        <v>20.08.006</v>
      </c>
      <c r="G159" s="1319" t="s">
        <v>9</v>
      </c>
    </row>
    <row r="160" spans="2:7" hidden="1">
      <c r="B160" s="102" t="s">
        <v>184</v>
      </c>
      <c r="C160" s="102" t="s">
        <v>95</v>
      </c>
      <c r="D160" s="102" t="s">
        <v>9</v>
      </c>
      <c r="E160" s="1320" t="s">
        <v>2652</v>
      </c>
      <c r="F160" s="102" t="str">
        <f>Contas_Gerencial[[#This Row],[Código]]</f>
        <v>20.08.007</v>
      </c>
      <c r="G160" s="1319" t="s">
        <v>9</v>
      </c>
    </row>
    <row r="161" spans="2:7" hidden="1">
      <c r="B161" s="102" t="s">
        <v>185</v>
      </c>
      <c r="C161" s="102" t="s">
        <v>95</v>
      </c>
      <c r="D161" s="102" t="s">
        <v>9</v>
      </c>
      <c r="E161" s="1320" t="s">
        <v>2650</v>
      </c>
      <c r="F161" s="102" t="str">
        <f>Contas_Gerencial[[#This Row],[Código]]</f>
        <v>20.08.008</v>
      </c>
      <c r="G161" s="1319" t="s">
        <v>9</v>
      </c>
    </row>
    <row r="162" spans="2:7" hidden="1">
      <c r="B162" s="102" t="s">
        <v>186</v>
      </c>
      <c r="C162" s="102" t="s">
        <v>95</v>
      </c>
      <c r="D162" s="102" t="s">
        <v>9</v>
      </c>
      <c r="E162" s="102" t="s">
        <v>381</v>
      </c>
      <c r="F162" s="102" t="str">
        <f>Contas_Gerencial[[#This Row],[Código]]</f>
        <v>20.08.009</v>
      </c>
      <c r="G162" s="1319" t="s">
        <v>9</v>
      </c>
    </row>
    <row r="163" spans="2:7" hidden="1">
      <c r="B163" s="102" t="s">
        <v>590</v>
      </c>
      <c r="C163" s="102" t="s">
        <v>95</v>
      </c>
      <c r="D163" s="102" t="s">
        <v>9</v>
      </c>
      <c r="E163" s="102" t="s">
        <v>618</v>
      </c>
      <c r="F163" s="102" t="str">
        <f>Contas_Gerencial[[#This Row],[Código]]</f>
        <v>20.08.010</v>
      </c>
      <c r="G163" s="1319" t="s">
        <v>9</v>
      </c>
    </row>
    <row r="164" spans="2:7" hidden="1">
      <c r="B164" s="102" t="s">
        <v>617</v>
      </c>
      <c r="C164" s="102" t="s">
        <v>95</v>
      </c>
      <c r="D164" s="102" t="s">
        <v>9</v>
      </c>
      <c r="E164" s="102" t="s">
        <v>1031</v>
      </c>
      <c r="F164" s="102" t="str">
        <f>Contas_Gerencial[[#This Row],[Código]]</f>
        <v>20.08.011</v>
      </c>
      <c r="G164" s="1319" t="s">
        <v>9</v>
      </c>
    </row>
    <row r="165" spans="2:7" hidden="1">
      <c r="B165" s="102" t="s">
        <v>1032</v>
      </c>
      <c r="C165" s="102" t="s">
        <v>95</v>
      </c>
      <c r="D165" s="102" t="s">
        <v>9</v>
      </c>
      <c r="E165" s="102" t="s">
        <v>1058</v>
      </c>
      <c r="F165" s="102" t="str">
        <f>Contas_Gerencial[[#This Row],[Código]]</f>
        <v>20.08.012</v>
      </c>
      <c r="G165" s="1319" t="s">
        <v>9</v>
      </c>
    </row>
    <row r="166" spans="2:7" hidden="1">
      <c r="B166" s="102" t="s">
        <v>1057</v>
      </c>
      <c r="C166" s="102" t="s">
        <v>95</v>
      </c>
      <c r="D166" s="102" t="s">
        <v>9</v>
      </c>
      <c r="E166" s="672" t="s">
        <v>1086</v>
      </c>
      <c r="F166" s="102" t="str">
        <f>Contas_Gerencial[[#This Row],[Código]]</f>
        <v>20.08.013</v>
      </c>
      <c r="G166" s="1319" t="s">
        <v>9</v>
      </c>
    </row>
    <row r="167" spans="2:7" hidden="1">
      <c r="B167" s="102" t="s">
        <v>1085</v>
      </c>
      <c r="C167" s="102" t="s">
        <v>95</v>
      </c>
      <c r="D167" s="102" t="s">
        <v>9</v>
      </c>
      <c r="E167" s="102" t="s">
        <v>1134</v>
      </c>
      <c r="F167" s="102" t="str">
        <f>Contas_Gerencial[[#This Row],[Código]]</f>
        <v>20.08.014</v>
      </c>
      <c r="G167" s="1319" t="s">
        <v>9</v>
      </c>
    </row>
    <row r="168" spans="2:7" hidden="1">
      <c r="B168" s="102" t="s">
        <v>1133</v>
      </c>
      <c r="C168" s="102" t="s">
        <v>95</v>
      </c>
      <c r="D168" s="102" t="s">
        <v>9</v>
      </c>
      <c r="E168" s="102" t="s">
        <v>1159</v>
      </c>
      <c r="F168" s="102" t="str">
        <f>Contas_Gerencial[[#This Row],[Código]]</f>
        <v>20.08.015</v>
      </c>
      <c r="G168" s="1319" t="s">
        <v>9</v>
      </c>
    </row>
    <row r="169" spans="2:7" hidden="1">
      <c r="B169" s="102" t="s">
        <v>1158</v>
      </c>
      <c r="C169" s="1320" t="s">
        <v>95</v>
      </c>
      <c r="D169" s="1320" t="s">
        <v>9</v>
      </c>
      <c r="E169" s="1320" t="s">
        <v>1175</v>
      </c>
      <c r="F169" s="102" t="str">
        <f>Contas_Gerencial[[#This Row],[Código]]</f>
        <v>20.08.016</v>
      </c>
      <c r="G169" s="1319" t="s">
        <v>9</v>
      </c>
    </row>
    <row r="170" spans="2:7" hidden="1">
      <c r="B170" s="102" t="s">
        <v>1174</v>
      </c>
      <c r="C170" s="1320" t="s">
        <v>95</v>
      </c>
      <c r="D170" s="1320" t="s">
        <v>9</v>
      </c>
      <c r="E170" s="1320" t="s">
        <v>1638</v>
      </c>
      <c r="F170" s="102" t="str">
        <f>Contas_Gerencial[[#This Row],[Código]]</f>
        <v>20.08.017</v>
      </c>
      <c r="G170" s="1319" t="s">
        <v>9</v>
      </c>
    </row>
    <row r="171" spans="2:7" hidden="1">
      <c r="B171" s="102" t="s">
        <v>1637</v>
      </c>
      <c r="C171" s="1320" t="s">
        <v>95</v>
      </c>
      <c r="D171" s="1320" t="s">
        <v>9</v>
      </c>
      <c r="E171" s="1320" t="s">
        <v>2109</v>
      </c>
      <c r="F171" s="102" t="str">
        <f>Contas_Gerencial[[#This Row],[Código]]</f>
        <v>20.08.018</v>
      </c>
      <c r="G171" s="1319" t="s">
        <v>9</v>
      </c>
    </row>
    <row r="172" spans="2:7">
      <c r="B172" s="1319" t="s">
        <v>630</v>
      </c>
      <c r="C172" s="1319" t="s">
        <v>95</v>
      </c>
      <c r="D172" s="1319" t="s">
        <v>631</v>
      </c>
      <c r="E172" s="1319" t="s">
        <v>632</v>
      </c>
      <c r="F172" s="1319" t="str">
        <f>B172</f>
        <v>20.09</v>
      </c>
      <c r="G172" s="1319" t="s">
        <v>631</v>
      </c>
    </row>
    <row r="173" spans="2:7">
      <c r="B173" s="102" t="s">
        <v>633</v>
      </c>
      <c r="C173" s="102" t="s">
        <v>95</v>
      </c>
      <c r="D173" s="102" t="s">
        <v>631</v>
      </c>
      <c r="E173" s="102" t="s">
        <v>631</v>
      </c>
      <c r="F173" s="102" t="str">
        <f>B173</f>
        <v>20.09.001</v>
      </c>
      <c r="G173" s="102" t="s">
        <v>631</v>
      </c>
    </row>
    <row r="174" spans="2:7">
      <c r="B174" s="1319" t="s">
        <v>634</v>
      </c>
      <c r="C174" s="1319" t="s">
        <v>95</v>
      </c>
      <c r="D174" s="1319" t="s">
        <v>635</v>
      </c>
      <c r="E174" s="1319" t="s">
        <v>636</v>
      </c>
      <c r="F174" s="1319" t="str">
        <f>B174</f>
        <v>20.10</v>
      </c>
      <c r="G174" s="1319" t="s">
        <v>635</v>
      </c>
    </row>
    <row r="175" spans="2:7">
      <c r="B175" s="102" t="s">
        <v>637</v>
      </c>
      <c r="C175" s="102" t="s">
        <v>95</v>
      </c>
      <c r="D175" s="102" t="s">
        <v>635</v>
      </c>
      <c r="E175" s="102" t="s">
        <v>629</v>
      </c>
      <c r="F175" s="102" t="str">
        <f>B175</f>
        <v>20.10.001</v>
      </c>
      <c r="G175" s="102" t="s">
        <v>635</v>
      </c>
    </row>
  </sheetData>
  <sortState xmlns:xlrd2="http://schemas.microsoft.com/office/spreadsheetml/2017/richdata2" ref="L76:L86">
    <sortCondition ref="L75"/>
  </sortState>
  <phoneticPr fontId="26" type="noConversion"/>
  <conditionalFormatting sqref="D7">
    <cfRule type="duplicateValues" dxfId="307" priority="167"/>
  </conditionalFormatting>
  <conditionalFormatting sqref="D8:D9 D11:D12">
    <cfRule type="duplicateValues" dxfId="306" priority="536"/>
  </conditionalFormatting>
  <conditionalFormatting sqref="D10">
    <cfRule type="duplicateValues" dxfId="305" priority="123"/>
  </conditionalFormatting>
  <conditionalFormatting sqref="D13:D14">
    <cfRule type="duplicateValues" dxfId="304" priority="135"/>
    <cfRule type="duplicateValues" dxfId="303" priority="114"/>
  </conditionalFormatting>
  <conditionalFormatting sqref="D15">
    <cfRule type="duplicateValues" dxfId="302" priority="158"/>
  </conditionalFormatting>
  <conditionalFormatting sqref="D16">
    <cfRule type="duplicateValues" dxfId="301" priority="166"/>
  </conditionalFormatting>
  <conditionalFormatting sqref="D59">
    <cfRule type="duplicateValues" dxfId="300" priority="165"/>
  </conditionalFormatting>
  <conditionalFormatting sqref="D71">
    <cfRule type="duplicateValues" dxfId="299" priority="164"/>
  </conditionalFormatting>
  <conditionalFormatting sqref="D81">
    <cfRule type="duplicateValues" dxfId="298" priority="163"/>
  </conditionalFormatting>
  <conditionalFormatting sqref="D89">
    <cfRule type="duplicateValues" dxfId="297" priority="162"/>
  </conditionalFormatting>
  <conditionalFormatting sqref="D96">
    <cfRule type="duplicateValues" dxfId="296" priority="1"/>
  </conditionalFormatting>
  <conditionalFormatting sqref="D114">
    <cfRule type="duplicateValues" dxfId="295" priority="40"/>
  </conditionalFormatting>
  <conditionalFormatting sqref="D115">
    <cfRule type="duplicateValues" dxfId="294" priority="32"/>
  </conditionalFormatting>
  <conditionalFormatting sqref="D116 D113">
    <cfRule type="duplicateValues" dxfId="293" priority="6733"/>
  </conditionalFormatting>
  <conditionalFormatting sqref="D118">
    <cfRule type="duplicateValues" dxfId="292" priority="161"/>
  </conditionalFormatting>
  <conditionalFormatting sqref="D122">
    <cfRule type="duplicateValues" dxfId="291" priority="160"/>
  </conditionalFormatting>
  <conditionalFormatting sqref="D153">
    <cfRule type="duplicateValues" dxfId="290" priority="159"/>
  </conditionalFormatting>
  <conditionalFormatting sqref="D172">
    <cfRule type="duplicateValues" dxfId="289" priority="101"/>
  </conditionalFormatting>
  <conditionalFormatting sqref="D174">
    <cfRule type="duplicateValues" dxfId="288" priority="98"/>
  </conditionalFormatting>
  <conditionalFormatting sqref="E5">
    <cfRule type="duplicateValues" dxfId="287" priority="168"/>
  </conditionalFormatting>
  <conditionalFormatting sqref="E10">
    <cfRule type="duplicateValues" dxfId="286" priority="124"/>
  </conditionalFormatting>
  <conditionalFormatting sqref="E13:E14">
    <cfRule type="duplicateValues" dxfId="285" priority="134"/>
  </conditionalFormatting>
  <conditionalFormatting sqref="E18">
    <cfRule type="duplicateValues" dxfId="284" priority="45"/>
    <cfRule type="duplicateValues" dxfId="283" priority="46"/>
    <cfRule type="duplicateValues" dxfId="282" priority="47"/>
  </conditionalFormatting>
  <conditionalFormatting sqref="E43:E44">
    <cfRule type="duplicateValues" dxfId="281" priority="108"/>
  </conditionalFormatting>
  <conditionalFormatting sqref="E48">
    <cfRule type="duplicateValues" dxfId="280" priority="16"/>
    <cfRule type="duplicateValues" dxfId="279" priority="15"/>
    <cfRule type="duplicateValues" dxfId="278" priority="14"/>
  </conditionalFormatting>
  <conditionalFormatting sqref="E59">
    <cfRule type="duplicateValues" dxfId="277" priority="175"/>
  </conditionalFormatting>
  <conditionalFormatting sqref="E64:E66">
    <cfRule type="duplicateValues" dxfId="276" priority="95"/>
  </conditionalFormatting>
  <conditionalFormatting sqref="E67">
    <cfRule type="duplicateValues" dxfId="275" priority="27"/>
    <cfRule type="duplicateValues" dxfId="274" priority="28"/>
    <cfRule type="duplicateValues" dxfId="273" priority="29"/>
  </conditionalFormatting>
  <conditionalFormatting sqref="E68:E70">
    <cfRule type="duplicateValues" dxfId="272" priority="26"/>
    <cfRule type="duplicateValues" dxfId="271" priority="24"/>
    <cfRule type="duplicateValues" dxfId="270" priority="25"/>
  </conditionalFormatting>
  <conditionalFormatting sqref="E71">
    <cfRule type="duplicateValues" dxfId="269" priority="174"/>
  </conditionalFormatting>
  <conditionalFormatting sqref="E72:E76 E78 E80">
    <cfRule type="duplicateValues" dxfId="268" priority="12"/>
  </conditionalFormatting>
  <conditionalFormatting sqref="E72:E76 E78:E80">
    <cfRule type="duplicateValues" dxfId="267" priority="10"/>
    <cfRule type="duplicateValues" dxfId="266" priority="13"/>
  </conditionalFormatting>
  <conditionalFormatting sqref="E77">
    <cfRule type="duplicateValues" dxfId="265" priority="8"/>
    <cfRule type="duplicateValues" dxfId="264" priority="9"/>
    <cfRule type="duplicateValues" dxfId="263" priority="7"/>
  </conditionalFormatting>
  <conditionalFormatting sqref="E79">
    <cfRule type="duplicateValues" dxfId="262" priority="11"/>
  </conditionalFormatting>
  <conditionalFormatting sqref="E81">
    <cfRule type="duplicateValues" dxfId="261" priority="173"/>
  </conditionalFormatting>
  <conditionalFormatting sqref="E82:E86">
    <cfRule type="duplicateValues" dxfId="260" priority="5"/>
  </conditionalFormatting>
  <conditionalFormatting sqref="E82:E88">
    <cfRule type="duplicateValues" dxfId="259" priority="6"/>
    <cfRule type="duplicateValues" dxfId="258" priority="2"/>
  </conditionalFormatting>
  <conditionalFormatting sqref="E87">
    <cfRule type="duplicateValues" dxfId="257" priority="3"/>
  </conditionalFormatting>
  <conditionalFormatting sqref="E88">
    <cfRule type="duplicateValues" dxfId="256" priority="4"/>
  </conditionalFormatting>
  <conditionalFormatting sqref="E89">
    <cfRule type="duplicateValues" dxfId="255" priority="172"/>
  </conditionalFormatting>
  <conditionalFormatting sqref="E93">
    <cfRule type="duplicateValues" dxfId="254" priority="155"/>
  </conditionalFormatting>
  <conditionalFormatting sqref="E97">
    <cfRule type="duplicateValues" dxfId="253" priority="109"/>
  </conditionalFormatting>
  <conditionalFormatting sqref="E99">
    <cfRule type="duplicateValues" dxfId="252" priority="106"/>
  </conditionalFormatting>
  <conditionalFormatting sqref="E100:E101">
    <cfRule type="duplicateValues" dxfId="251" priority="742"/>
  </conditionalFormatting>
  <conditionalFormatting sqref="E102">
    <cfRule type="duplicateValues" dxfId="250" priority="130"/>
  </conditionalFormatting>
  <conditionalFormatting sqref="E111">
    <cfRule type="duplicateValues" dxfId="249" priority="765"/>
  </conditionalFormatting>
  <conditionalFormatting sqref="E112">
    <cfRule type="duplicateValues" dxfId="248" priority="107"/>
  </conditionalFormatting>
  <conditionalFormatting sqref="E114">
    <cfRule type="duplicateValues" dxfId="247" priority="39"/>
    <cfRule type="duplicateValues" dxfId="246" priority="42"/>
    <cfRule type="duplicateValues" dxfId="245" priority="41"/>
  </conditionalFormatting>
  <conditionalFormatting sqref="E115">
    <cfRule type="duplicateValues" dxfId="244" priority="33"/>
    <cfRule type="duplicateValues" dxfId="243" priority="31"/>
    <cfRule type="duplicateValues" dxfId="242" priority="34"/>
  </conditionalFormatting>
  <conditionalFormatting sqref="E117">
    <cfRule type="duplicateValues" dxfId="241" priority="96"/>
  </conditionalFormatting>
  <conditionalFormatting sqref="E118">
    <cfRule type="duplicateValues" dxfId="240" priority="171"/>
  </conditionalFormatting>
  <conditionalFormatting sqref="E122">
    <cfRule type="duplicateValues" dxfId="239" priority="170"/>
  </conditionalFormatting>
  <conditionalFormatting sqref="E124">
    <cfRule type="duplicateValues" dxfId="238" priority="129"/>
  </conditionalFormatting>
  <conditionalFormatting sqref="E139">
    <cfRule type="duplicateValues" dxfId="237" priority="113"/>
  </conditionalFormatting>
  <conditionalFormatting sqref="E140:E143">
    <cfRule type="duplicateValues" dxfId="236" priority="112"/>
  </conditionalFormatting>
  <conditionalFormatting sqref="E146 E150:E152">
    <cfRule type="duplicateValues" dxfId="235" priority="6852"/>
  </conditionalFormatting>
  <conditionalFormatting sqref="E147">
    <cfRule type="duplicateValues" dxfId="234" priority="6415"/>
  </conditionalFormatting>
  <conditionalFormatting sqref="E148:E149">
    <cfRule type="duplicateValues" dxfId="233" priority="20"/>
    <cfRule type="duplicateValues" dxfId="232" priority="21"/>
    <cfRule type="duplicateValues" dxfId="231" priority="22"/>
  </conditionalFormatting>
  <conditionalFormatting sqref="E150:E163 E71 E19:E47 E6:E17 E81 E49:E66 E89:E113 E116:E146">
    <cfRule type="duplicateValues" dxfId="230" priority="6884"/>
  </conditionalFormatting>
  <conditionalFormatting sqref="E153">
    <cfRule type="duplicateValues" dxfId="229" priority="169"/>
  </conditionalFormatting>
  <conditionalFormatting sqref="E154:E155">
    <cfRule type="duplicateValues" dxfId="228" priority="6555"/>
  </conditionalFormatting>
  <conditionalFormatting sqref="E156">
    <cfRule type="duplicateValues" dxfId="227" priority="152"/>
  </conditionalFormatting>
  <conditionalFormatting sqref="E157">
    <cfRule type="duplicateValues" dxfId="226" priority="153"/>
  </conditionalFormatting>
  <conditionalFormatting sqref="E161">
    <cfRule type="duplicateValues" dxfId="225" priority="150"/>
  </conditionalFormatting>
  <conditionalFormatting sqref="E162:E163">
    <cfRule type="duplicateValues" dxfId="224" priority="103"/>
  </conditionalFormatting>
  <conditionalFormatting sqref="E164:E171">
    <cfRule type="duplicateValues" dxfId="223" priority="6512"/>
    <cfRule type="duplicateValues" dxfId="222" priority="6511"/>
    <cfRule type="duplicateValues" dxfId="221" priority="6513"/>
  </conditionalFormatting>
  <conditionalFormatting sqref="E172">
    <cfRule type="duplicateValues" dxfId="220" priority="102"/>
  </conditionalFormatting>
  <conditionalFormatting sqref="E172:E1048576 E71 E19:E47 E1:E17 E150:E163 E81 E49:E66 E89:E113 E116:E146">
    <cfRule type="duplicateValues" dxfId="219" priority="6820"/>
  </conditionalFormatting>
  <conditionalFormatting sqref="E173">
    <cfRule type="duplicateValues" dxfId="218" priority="100"/>
  </conditionalFormatting>
  <conditionalFormatting sqref="E174">
    <cfRule type="duplicateValues" dxfId="217" priority="99"/>
  </conditionalFormatting>
  <conditionalFormatting sqref="E175">
    <cfRule type="duplicateValues" dxfId="216" priority="97"/>
  </conditionalFormatting>
  <conditionalFormatting sqref="E176:E1048576 E116 E158:E160 E60:E63 E3:E4 E1 E123 E90:E92 E119:E121 E6:E9 E103:E110 E125:E138 E113 E11:E12 E144:E145 E98 E45:E47 E19:E42 E14:E17 E49:E58 E94:E96">
    <cfRule type="duplicateValues" dxfId="215" priority="176"/>
  </conditionalFormatting>
  <conditionalFormatting sqref="G16">
    <cfRule type="duplicateValues" dxfId="214" priority="63"/>
  </conditionalFormatting>
  <conditionalFormatting sqref="G17:G58">
    <cfRule type="duplicateValues" dxfId="213" priority="6625"/>
  </conditionalFormatting>
  <conditionalFormatting sqref="G59">
    <cfRule type="duplicateValues" dxfId="212" priority="64"/>
  </conditionalFormatting>
  <conditionalFormatting sqref="G60:G70">
    <cfRule type="duplicateValues" dxfId="211" priority="6385"/>
  </conditionalFormatting>
  <conditionalFormatting sqref="G71">
    <cfRule type="duplicateValues" dxfId="210" priority="62"/>
  </conditionalFormatting>
  <conditionalFormatting sqref="G72:G80">
    <cfRule type="duplicateValues" dxfId="209" priority="6510"/>
  </conditionalFormatting>
  <conditionalFormatting sqref="G81">
    <cfRule type="duplicateValues" dxfId="208" priority="61"/>
  </conditionalFormatting>
  <conditionalFormatting sqref="G82:G88">
    <cfRule type="duplicateValues" dxfId="207" priority="6657"/>
  </conditionalFormatting>
  <conditionalFormatting sqref="G89">
    <cfRule type="duplicateValues" dxfId="206" priority="60"/>
  </conditionalFormatting>
  <conditionalFormatting sqref="G90:G117">
    <cfRule type="duplicateValues" dxfId="205" priority="6819"/>
  </conditionalFormatting>
  <conditionalFormatting sqref="G118">
    <cfRule type="duplicateValues" dxfId="204" priority="59"/>
  </conditionalFormatting>
  <conditionalFormatting sqref="G119:G121">
    <cfRule type="duplicateValues" dxfId="203" priority="67"/>
  </conditionalFormatting>
  <conditionalFormatting sqref="G122">
    <cfRule type="duplicateValues" dxfId="202" priority="58"/>
  </conditionalFormatting>
  <conditionalFormatting sqref="G123:G152">
    <cfRule type="duplicateValues" dxfId="201" priority="6874"/>
  </conditionalFormatting>
  <conditionalFormatting sqref="G153">
    <cfRule type="duplicateValues" dxfId="200" priority="57"/>
  </conditionalFormatting>
  <conditionalFormatting sqref="G154:G171">
    <cfRule type="duplicateValues" dxfId="199" priority="6589"/>
  </conditionalFormatting>
  <conditionalFormatting sqref="G172">
    <cfRule type="duplicateValues" dxfId="198" priority="56"/>
  </conditionalFormatting>
  <conditionalFormatting sqref="G174">
    <cfRule type="duplicateValues" dxfId="197" priority="55"/>
  </conditionalFormatting>
  <conditionalFormatting sqref="L98 L103:L110">
    <cfRule type="duplicateValues" dxfId="196" priority="6767"/>
  </conditionalFormatting>
  <conditionalFormatting sqref="L99">
    <cfRule type="duplicateValues" dxfId="195" priority="105"/>
  </conditionalFormatting>
  <conditionalFormatting sqref="L100:L101">
    <cfRule type="duplicateValues" dxfId="194" priority="743"/>
  </conditionalFormatting>
  <conditionalFormatting sqref="L102">
    <cfRule type="duplicateValues" dxfId="193" priority="131"/>
  </conditionalFormatting>
  <conditionalFormatting sqref="L111:L112">
    <cfRule type="duplicateValues" dxfId="192" priority="766"/>
  </conditionalFormatting>
  <pageMargins left="0.511811024" right="0.511811024" top="0.78740157499999996" bottom="0.78740157499999996" header="0.31496062000000002" footer="0.31496062000000002"/>
  <pageSetup paperSize="9" scale="75" orientation="portrait" r:id="rId1"/>
  <colBreaks count="1" manualBreakCount="1">
    <brk id="7" max="1048575" man="1"/>
  </col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7:B11"/>
  <sheetViews>
    <sheetView showGridLines="0" zoomScaleNormal="100" workbookViewId="0">
      <selection activeCell="D18" sqref="D18"/>
    </sheetView>
  </sheetViews>
  <sheetFormatPr defaultRowHeight="14.4"/>
  <cols>
    <col min="2" max="2" width="11.5546875" customWidth="1"/>
  </cols>
  <sheetData>
    <row r="7" spans="2:2">
      <c r="B7" t="s">
        <v>212</v>
      </c>
    </row>
    <row r="8" spans="2:2">
      <c r="B8" t="s">
        <v>214</v>
      </c>
    </row>
    <row r="9" spans="2:2">
      <c r="B9" t="s">
        <v>1</v>
      </c>
    </row>
    <row r="10" spans="2:2">
      <c r="B10" t="s">
        <v>215</v>
      </c>
    </row>
    <row r="11" spans="2:2">
      <c r="B11" t="s">
        <v>216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06AD-2E6E-49C4-AECF-F540FCAD4427}">
  <sheetPr>
    <tabColor theme="4" tint="-0.499984740745262"/>
    <pageSetUpPr fitToPage="1"/>
  </sheetPr>
  <dimension ref="B2:AB380"/>
  <sheetViews>
    <sheetView showGridLines="0" topLeftCell="A294" zoomScale="89" zoomScaleNormal="89" zoomScaleSheetLayoutView="79" workbookViewId="0">
      <pane xSplit="7" topLeftCell="L1" activePane="topRight" state="frozen"/>
      <selection activeCell="A7" sqref="A7"/>
      <selection pane="topRight" activeCell="Q305" sqref="Q305"/>
    </sheetView>
  </sheetViews>
  <sheetFormatPr defaultColWidth="9.109375" defaultRowHeight="15.6"/>
  <cols>
    <col min="1" max="1" width="2.109375" style="107" customWidth="1"/>
    <col min="2" max="2" width="19.5546875" style="445" customWidth="1"/>
    <col min="3" max="3" width="33" style="445" customWidth="1"/>
    <col min="4" max="4" width="2.33203125" style="445" hidden="1" customWidth="1"/>
    <col min="5" max="5" width="53.44140625" style="445" customWidth="1"/>
    <col min="6" max="6" width="20.5546875" style="445" customWidth="1"/>
    <col min="7" max="7" width="27.5546875" style="445" customWidth="1"/>
    <col min="8" max="9" width="26.44140625" style="445" customWidth="1"/>
    <col min="10" max="10" width="58.5546875" style="107" customWidth="1"/>
    <col min="11" max="11" width="80.5546875" style="107" customWidth="1"/>
    <col min="12" max="12" width="8.88671875" style="445" customWidth="1"/>
    <col min="13" max="13" width="15.88671875" style="1283" customWidth="1"/>
    <col min="14" max="14" width="15.88671875" style="493" customWidth="1"/>
    <col min="15" max="15" width="15.88671875" style="494" customWidth="1"/>
    <col min="16" max="16" width="15.88671875" style="555" customWidth="1"/>
    <col min="17" max="17" width="24.5546875" style="107" bestFit="1" customWidth="1"/>
    <col min="18" max="18" width="18.5546875" style="106" bestFit="1" customWidth="1"/>
    <col min="19" max="19" width="15.88671875" style="447" customWidth="1"/>
    <col min="20" max="20" width="24.5546875" style="443" bestFit="1" customWidth="1"/>
    <col min="21" max="21" width="1.88671875" style="107" customWidth="1"/>
    <col min="22" max="22" width="37.77734375" style="443" customWidth="1"/>
    <col min="23" max="23" width="14.5546875" style="107" customWidth="1"/>
    <col min="24" max="24" width="19.21875" style="107" customWidth="1"/>
    <col min="25" max="25" width="1.88671875" style="107" customWidth="1"/>
    <col min="26" max="26" width="40.5546875" style="107" customWidth="1"/>
    <col min="27" max="27" width="16.88671875" style="107" customWidth="1"/>
    <col min="28" max="28" width="19" style="107" customWidth="1"/>
    <col min="29" max="16384" width="9.109375" style="107"/>
  </cols>
  <sheetData>
    <row r="2" spans="2:22">
      <c r="C2" s="444" t="s">
        <v>17</v>
      </c>
      <c r="D2" s="445">
        <f>'TA Gerencial'!F2</f>
        <v>2026</v>
      </c>
      <c r="E2" s="489" t="s">
        <v>8</v>
      </c>
      <c r="G2" s="489"/>
      <c r="H2" s="489"/>
      <c r="I2" s="489"/>
      <c r="J2" s="489"/>
      <c r="K2" s="489"/>
      <c r="L2" s="489"/>
      <c r="M2" s="1282"/>
      <c r="N2" s="491"/>
      <c r="O2" s="446"/>
    </row>
    <row r="3" spans="2:22" ht="32.25" customHeight="1">
      <c r="C3" s="444" t="s">
        <v>18</v>
      </c>
      <c r="D3" s="106" t="s">
        <v>71</v>
      </c>
      <c r="E3" s="553" t="s">
        <v>2036</v>
      </c>
      <c r="G3" s="489"/>
      <c r="H3" s="489"/>
      <c r="I3" s="553" t="s">
        <v>1899</v>
      </c>
      <c r="J3" s="489"/>
      <c r="K3" s="489"/>
      <c r="L3" s="489"/>
      <c r="M3" s="1282"/>
      <c r="N3" s="491"/>
      <c r="O3" s="446"/>
    </row>
    <row r="4" spans="2:22">
      <c r="B4" s="492"/>
      <c r="C4" s="444" t="s">
        <v>19</v>
      </c>
      <c r="D4" s="448"/>
      <c r="E4" s="489" t="s">
        <v>1904</v>
      </c>
      <c r="G4" s="489"/>
      <c r="H4" s="489"/>
      <c r="I4" s="489"/>
      <c r="J4" s="489"/>
      <c r="K4" s="489"/>
      <c r="L4" s="489"/>
      <c r="M4" s="1282"/>
      <c r="N4" s="491"/>
      <c r="O4" s="446"/>
    </row>
    <row r="6" spans="2:22" s="445" customFormat="1" ht="41.25" customHeight="1">
      <c r="B6" s="492" t="s">
        <v>192</v>
      </c>
      <c r="C6" s="495" t="s">
        <v>11</v>
      </c>
      <c r="D6" s="495" t="s">
        <v>193</v>
      </c>
      <c r="E6" s="496" t="s">
        <v>23</v>
      </c>
      <c r="F6" s="496" t="s">
        <v>40</v>
      </c>
      <c r="G6" s="496" t="s">
        <v>87</v>
      </c>
      <c r="H6" s="492" t="s">
        <v>12</v>
      </c>
      <c r="I6" s="445" t="s">
        <v>4</v>
      </c>
      <c r="J6" s="492" t="s">
        <v>245</v>
      </c>
      <c r="K6" s="492" t="s">
        <v>0</v>
      </c>
      <c r="L6" s="492" t="s">
        <v>7</v>
      </c>
      <c r="M6" s="1283" t="s">
        <v>13</v>
      </c>
      <c r="N6" s="493" t="s">
        <v>14</v>
      </c>
      <c r="O6" s="493" t="s">
        <v>2</v>
      </c>
      <c r="P6" s="497" t="s">
        <v>212</v>
      </c>
      <c r="Q6" s="492" t="s">
        <v>285</v>
      </c>
      <c r="R6" s="498" t="s">
        <v>283</v>
      </c>
      <c r="S6" s="499" t="s">
        <v>55</v>
      </c>
      <c r="T6" s="450" t="s">
        <v>284</v>
      </c>
      <c r="V6" s="450"/>
    </row>
    <row r="7" spans="2:22" s="445" customFormat="1" ht="21" customHeight="1">
      <c r="B7" s="83" t="str">
        <f>CONCATENATE('TA Gerencial'!J2,'TA Gerencial'!H4,'TA Gerencial'!H3)</f>
        <v>3/26</v>
      </c>
      <c r="C7" s="739" t="s">
        <v>2606</v>
      </c>
      <c r="D7" s="739" t="s">
        <v>38</v>
      </c>
      <c r="E7" s="739" t="s">
        <v>2606</v>
      </c>
      <c r="F7" s="739"/>
      <c r="G7" s="739"/>
      <c r="H7" s="739"/>
      <c r="I7" s="739"/>
      <c r="J7" s="739"/>
      <c r="K7" s="739"/>
      <c r="L7" s="739"/>
      <c r="M7" s="1284"/>
      <c r="N7" s="739"/>
      <c r="O7" s="739"/>
      <c r="P7" s="739"/>
      <c r="Q7" s="739"/>
      <c r="R7" s="739"/>
      <c r="S7" s="739"/>
      <c r="T7" s="1173"/>
      <c r="V7" s="450"/>
    </row>
    <row r="8" spans="2:22" ht="21" customHeight="1">
      <c r="B8" s="1210" t="str">
        <f>B7</f>
        <v>3/26</v>
      </c>
      <c r="C8" s="1211" t="str">
        <f>VLOOKUP(mFEV17[[#This Row],[CÓDIGO CONTABIL]],Contas_Gerencial[#All],3,FALSE)</f>
        <v>DESPESAS FIXAS</v>
      </c>
      <c r="D8" s="1212" t="str">
        <f>VLOOKUP(mFEV17[[#This Row],[DESCRIÇÃO CONTABIL]],Contas_Gerencial[[#All],[DESCRIÇÃO DA CONTA - NÃO UTILIZAR]:[Código2]],2,FALSE)</f>
        <v>20.02.010</v>
      </c>
      <c r="E8" s="1211" t="s">
        <v>830</v>
      </c>
      <c r="F8" s="1203" t="s">
        <v>41</v>
      </c>
      <c r="G8" s="1203" t="s">
        <v>595</v>
      </c>
      <c r="H8" s="1203" t="s">
        <v>1907</v>
      </c>
      <c r="I8" s="1213" t="s">
        <v>2065</v>
      </c>
      <c r="J8" s="1203" t="s">
        <v>377</v>
      </c>
      <c r="K8" s="1203" t="s">
        <v>2156</v>
      </c>
      <c r="L8" s="1206" t="s">
        <v>2137</v>
      </c>
      <c r="M8" s="1285">
        <v>46031</v>
      </c>
      <c r="N8" s="1207">
        <v>46031</v>
      </c>
      <c r="O8" s="1207" t="s">
        <v>2065</v>
      </c>
      <c r="P8" s="1203" t="s">
        <v>1</v>
      </c>
      <c r="Q8" s="1214">
        <f>106.26/10</f>
        <v>10.626000000000001</v>
      </c>
      <c r="R8" s="1215">
        <v>0</v>
      </c>
      <c r="S8" s="1215">
        <v>0</v>
      </c>
      <c r="T8" s="1216">
        <f>SUM(mFEV17[[#This Row],[PRINCIPAL]:[JUROS]])</f>
        <v>10.626000000000001</v>
      </c>
      <c r="V8" s="115"/>
    </row>
    <row r="9" spans="2:22" ht="21" customHeight="1">
      <c r="B9" s="1210" t="str">
        <f t="shared" ref="B9:B28" si="0">B8</f>
        <v>3/26</v>
      </c>
      <c r="C9" s="1211" t="str">
        <f>VLOOKUP(mFEV17[[#This Row],[CÓDIGO CONTABIL]],Contas_Gerencial[#All],3,FALSE)</f>
        <v>DESPESAS FIXAS</v>
      </c>
      <c r="D9" s="1212" t="str">
        <f>VLOOKUP(mFEV17[[#This Row],[DESCRIÇÃO CONTABIL]],Contas_Gerencial[[#All],[DESCRIÇÃO DA CONTA - NÃO UTILIZAR]:[Código2]],2,FALSE)</f>
        <v>20.02.009</v>
      </c>
      <c r="E9" s="1202" t="s">
        <v>711</v>
      </c>
      <c r="F9" s="1203" t="s">
        <v>41</v>
      </c>
      <c r="G9" s="1203" t="s">
        <v>595</v>
      </c>
      <c r="H9" s="1203" t="s">
        <v>1803</v>
      </c>
      <c r="I9" s="1213" t="s">
        <v>2065</v>
      </c>
      <c r="J9" s="1203" t="s">
        <v>377</v>
      </c>
      <c r="K9" s="1203" t="s">
        <v>2155</v>
      </c>
      <c r="L9" s="1206" t="s">
        <v>2137</v>
      </c>
      <c r="M9" s="1285">
        <v>46031</v>
      </c>
      <c r="N9" s="1207">
        <v>46031</v>
      </c>
      <c r="O9" s="1207" t="s">
        <v>2065</v>
      </c>
      <c r="P9" s="1203" t="s">
        <v>1</v>
      </c>
      <c r="Q9" s="1217">
        <f>1806.11/10</f>
        <v>180.61099999999999</v>
      </c>
      <c r="R9" s="1209">
        <v>0</v>
      </c>
      <c r="S9" s="1209">
        <v>0</v>
      </c>
      <c r="T9" s="1216">
        <f>SUM(mFEV17[[#This Row],[PRINCIPAL]:[JUROS]])</f>
        <v>180.61099999999999</v>
      </c>
      <c r="V9" s="115"/>
    </row>
    <row r="10" spans="2:22" ht="21" customHeight="1">
      <c r="B10" s="1210" t="str">
        <f>B15</f>
        <v>3/26</v>
      </c>
      <c r="C10" s="1211" t="str">
        <f>VLOOKUP(mFEV17[[#This Row],[CÓDIGO CONTABIL]],Contas_Gerencial[#All],3,FALSE)</f>
        <v>DESPESAS FIXAS</v>
      </c>
      <c r="D10" s="1212" t="str">
        <f>VLOOKUP(mFEV17[[#This Row],[DESCRIÇÃO CONTABIL]],Contas_Gerencial[[#All],[DESCRIÇÃO DA CONTA - NÃO UTILIZAR]:[Código2]],2,FALSE)</f>
        <v>20.02.010</v>
      </c>
      <c r="E10" s="1202" t="s">
        <v>830</v>
      </c>
      <c r="F10" s="1203" t="s">
        <v>581</v>
      </c>
      <c r="G10" s="1203" t="s">
        <v>595</v>
      </c>
      <c r="H10" s="1203" t="s">
        <v>1907</v>
      </c>
      <c r="I10" s="1213" t="s">
        <v>2065</v>
      </c>
      <c r="J10" s="1203" t="s">
        <v>377</v>
      </c>
      <c r="K10" s="1203" t="s">
        <v>2158</v>
      </c>
      <c r="L10" s="1206" t="s">
        <v>2137</v>
      </c>
      <c r="M10" s="1285">
        <v>46031</v>
      </c>
      <c r="N10" s="1207">
        <v>46031</v>
      </c>
      <c r="O10" s="1207" t="s">
        <v>2065</v>
      </c>
      <c r="P10" s="1203" t="s">
        <v>1</v>
      </c>
      <c r="Q10" s="1217">
        <f>106.26/10</f>
        <v>10.626000000000001</v>
      </c>
      <c r="R10" s="1209">
        <v>0</v>
      </c>
      <c r="S10" s="1209">
        <v>0</v>
      </c>
      <c r="T10" s="1216">
        <f>SUM(mFEV17[[#This Row],[PRINCIPAL]:[JUROS]])</f>
        <v>10.626000000000001</v>
      </c>
      <c r="V10" s="115"/>
    </row>
    <row r="11" spans="2:22" ht="21" customHeight="1">
      <c r="B11" s="1210" t="str">
        <f t="shared" si="0"/>
        <v>3/26</v>
      </c>
      <c r="C11" s="1211" t="str">
        <f>VLOOKUP(mFEV17[[#This Row],[CÓDIGO CONTABIL]],Contas_Gerencial[#All],3,FALSE)</f>
        <v>DESPESAS FIXAS</v>
      </c>
      <c r="D11" s="1212" t="str">
        <f>VLOOKUP(mFEV17[[#This Row],[DESCRIÇÃO CONTABIL]],Contas_Gerencial[[#All],[DESCRIÇÃO DA CONTA - NÃO UTILIZAR]:[Código2]],2,FALSE)</f>
        <v>20.02.009</v>
      </c>
      <c r="E11" s="1202" t="s">
        <v>711</v>
      </c>
      <c r="F11" s="1203" t="s">
        <v>581</v>
      </c>
      <c r="G11" s="1203" t="s">
        <v>595</v>
      </c>
      <c r="H11" s="1203" t="s">
        <v>1803</v>
      </c>
      <c r="I11" s="1213" t="s">
        <v>2065</v>
      </c>
      <c r="J11" s="1203" t="s">
        <v>377</v>
      </c>
      <c r="K11" s="1203" t="s">
        <v>2157</v>
      </c>
      <c r="L11" s="1206" t="s">
        <v>2137</v>
      </c>
      <c r="M11" s="1285">
        <v>46031</v>
      </c>
      <c r="N11" s="1207">
        <v>46031</v>
      </c>
      <c r="O11" s="1207" t="s">
        <v>2065</v>
      </c>
      <c r="P11" s="1203" t="s">
        <v>1</v>
      </c>
      <c r="Q11" s="1217">
        <f>3636.31/10</f>
        <v>363.63099999999997</v>
      </c>
      <c r="R11" s="1209">
        <v>0</v>
      </c>
      <c r="S11" s="1209">
        <v>0</v>
      </c>
      <c r="T11" s="1216">
        <f>SUM(mFEV17[[#This Row],[PRINCIPAL]:[JUROS]])</f>
        <v>363.63099999999997</v>
      </c>
      <c r="V11" s="115"/>
    </row>
    <row r="12" spans="2:22" ht="21" customHeight="1">
      <c r="B12" s="1210" t="str">
        <f>B20</f>
        <v>3/26</v>
      </c>
      <c r="C12" s="1211" t="str">
        <f>VLOOKUP(mFEV17[[#This Row],[CÓDIGO CONTABIL]],Contas_Gerencial[#All],3,FALSE)</f>
        <v>SERVIÇOS DE TERCEIROS</v>
      </c>
      <c r="D12" s="1212" t="str">
        <f>VLOOKUP(mFEV17[[#This Row],[DESCRIÇÃO CONTABIL]],Contas_Gerencial[[#All],[DESCRIÇÃO DA CONTA - NÃO UTILIZAR]:[Código2]],2,FALSE)</f>
        <v>20.07.027</v>
      </c>
      <c r="E12" s="1202" t="s">
        <v>998</v>
      </c>
      <c r="F12" s="1203" t="s">
        <v>41</v>
      </c>
      <c r="G12" s="1204" t="s">
        <v>595</v>
      </c>
      <c r="H12" s="1203" t="s">
        <v>1803</v>
      </c>
      <c r="I12" s="1205" t="s">
        <v>2065</v>
      </c>
      <c r="J12" s="1203" t="s">
        <v>808</v>
      </c>
      <c r="K12" s="1203" t="s">
        <v>2612</v>
      </c>
      <c r="L12" s="1206" t="s">
        <v>2591</v>
      </c>
      <c r="M12" s="1285">
        <v>46083</v>
      </c>
      <c r="N12" s="1207">
        <v>46083</v>
      </c>
      <c r="O12" s="1207" t="s">
        <v>2065</v>
      </c>
      <c r="P12" s="1203" t="s">
        <v>1</v>
      </c>
      <c r="Q12" s="1208">
        <f>239.65/10</f>
        <v>23.965</v>
      </c>
      <c r="R12" s="1209">
        <v>0</v>
      </c>
      <c r="S12" s="1209">
        <v>0</v>
      </c>
      <c r="T12" s="1216">
        <f>SUM(mFEV17[[#This Row],[PRINCIPAL]:[JUROS]])</f>
        <v>23.965</v>
      </c>
      <c r="V12" s="115"/>
    </row>
    <row r="13" spans="2:22" ht="21" customHeight="1">
      <c r="B13" s="1210" t="str">
        <f>B11</f>
        <v>3/26</v>
      </c>
      <c r="C13" s="1211" t="str">
        <f>VLOOKUP(mFEV17[[#This Row],[CÓDIGO CONTABIL]],Contas_Gerencial[#All],3,FALSE)</f>
        <v>SERVIÇOS DE TERCEIROS</v>
      </c>
      <c r="D13" s="1212" t="str">
        <f>VLOOKUP(mFEV17[[#This Row],[DESCRIÇÃO CONTABIL]],Contas_Gerencial[[#All],[DESCRIÇÃO DA CONTA - NÃO UTILIZAR]:[Código2]],2,FALSE)</f>
        <v>20.07.028</v>
      </c>
      <c r="E13" s="1202" t="s">
        <v>881</v>
      </c>
      <c r="F13" s="1203" t="s">
        <v>41</v>
      </c>
      <c r="G13" s="1203" t="s">
        <v>595</v>
      </c>
      <c r="H13" s="1203" t="s">
        <v>1802</v>
      </c>
      <c r="I13" s="1213" t="s">
        <v>2065</v>
      </c>
      <c r="J13" s="1203" t="s">
        <v>1084</v>
      </c>
      <c r="K13" s="1203" t="s">
        <v>2603</v>
      </c>
      <c r="L13" s="1206" t="s">
        <v>2619</v>
      </c>
      <c r="M13" s="1285">
        <v>45749</v>
      </c>
      <c r="N13" s="1207">
        <v>45749</v>
      </c>
      <c r="O13" s="1207" t="s">
        <v>2065</v>
      </c>
      <c r="P13" s="1203" t="s">
        <v>1</v>
      </c>
      <c r="Q13" s="1217">
        <f>163.8/10</f>
        <v>16.380000000000003</v>
      </c>
      <c r="R13" s="1209">
        <v>0</v>
      </c>
      <c r="S13" s="1209">
        <v>0</v>
      </c>
      <c r="T13" s="1216">
        <f>SUM(mFEV17[[#This Row],[PRINCIPAL]:[JUROS]])</f>
        <v>16.380000000000003</v>
      </c>
      <c r="V13" s="115"/>
    </row>
    <row r="14" spans="2:22" ht="21" customHeight="1">
      <c r="B14" s="1210" t="str">
        <f t="shared" si="0"/>
        <v>3/26</v>
      </c>
      <c r="C14" s="1211" t="str">
        <f>VLOOKUP(mFEV17[[#This Row],[CÓDIGO CONTABIL]],Contas_Gerencial[#All],3,FALSE)</f>
        <v>SERVIÇOS DE TERCEIROS</v>
      </c>
      <c r="D14" s="1212" t="str">
        <f>VLOOKUP(mFEV17[[#This Row],[DESCRIÇÃO CONTABIL]],Contas_Gerencial[[#All],[DESCRIÇÃO DA CONTA - NÃO UTILIZAR]:[Código2]],2,FALSE)</f>
        <v>20.07.028</v>
      </c>
      <c r="E14" s="1201" t="s">
        <v>881</v>
      </c>
      <c r="F14" s="1201" t="s">
        <v>582</v>
      </c>
      <c r="G14" s="1201" t="s">
        <v>595</v>
      </c>
      <c r="H14" s="1201" t="s">
        <v>1802</v>
      </c>
      <c r="I14" s="1213" t="s">
        <v>2065</v>
      </c>
      <c r="J14" s="1201" t="s">
        <v>1084</v>
      </c>
      <c r="K14" s="1201" t="s">
        <v>2604</v>
      </c>
      <c r="L14" s="1203" t="s">
        <v>2619</v>
      </c>
      <c r="M14" s="1285">
        <v>45772</v>
      </c>
      <c r="N14" s="1207">
        <v>45772</v>
      </c>
      <c r="O14" s="1207" t="s">
        <v>2065</v>
      </c>
      <c r="P14" s="1203" t="s">
        <v>1</v>
      </c>
      <c r="Q14" s="1217">
        <f>163.8/10</f>
        <v>16.380000000000003</v>
      </c>
      <c r="R14" s="1215">
        <v>0</v>
      </c>
      <c r="S14" s="1215">
        <v>0</v>
      </c>
      <c r="T14" s="1216">
        <f>SUM(mFEV17[[#This Row],[PRINCIPAL]:[JUROS]])</f>
        <v>16.380000000000003</v>
      </c>
      <c r="V14" s="115"/>
    </row>
    <row r="15" spans="2:22" ht="21" customHeight="1">
      <c r="B15" s="1210" t="str">
        <f>B9</f>
        <v>3/26</v>
      </c>
      <c r="C15" s="1211" t="str">
        <f>VLOOKUP(mFEV17[[#This Row],[CÓDIGO CONTABIL]],Contas_Gerencial[#All],3,FALSE)</f>
        <v>DESPESAS FIXAS</v>
      </c>
      <c r="D15" s="1212" t="str">
        <f>VLOOKUP(mFEV17[[#This Row],[DESCRIÇÃO CONTABIL]],Contas_Gerencial[[#All],[DESCRIÇÃO DA CONTA - NÃO UTILIZAR]:[Código2]],2,FALSE)</f>
        <v>20.02.006</v>
      </c>
      <c r="E15" s="1202" t="s">
        <v>51</v>
      </c>
      <c r="F15" s="1203" t="s">
        <v>41</v>
      </c>
      <c r="G15" s="1203" t="s">
        <v>595</v>
      </c>
      <c r="H15" s="1203" t="s">
        <v>1803</v>
      </c>
      <c r="I15" s="1213" t="s">
        <v>2588</v>
      </c>
      <c r="J15" s="1203" t="s">
        <v>377</v>
      </c>
      <c r="K15" s="1203" t="s">
        <v>2589</v>
      </c>
      <c r="L15" s="1206" t="s">
        <v>2619</v>
      </c>
      <c r="M15" s="1285">
        <v>45776</v>
      </c>
      <c r="N15" s="1207">
        <v>45776</v>
      </c>
      <c r="O15" s="1207" t="s">
        <v>2065</v>
      </c>
      <c r="P15" s="1203" t="s">
        <v>1</v>
      </c>
      <c r="Q15" s="1217">
        <f>2402.69/10</f>
        <v>240.26900000000001</v>
      </c>
      <c r="R15" s="1209">
        <v>0</v>
      </c>
      <c r="S15" s="1209">
        <v>0</v>
      </c>
      <c r="T15" s="1216">
        <f>SUM(mFEV17[[#This Row],[PRINCIPAL]:[JUROS]])</f>
        <v>240.26900000000001</v>
      </c>
      <c r="V15" s="115"/>
    </row>
    <row r="16" spans="2:22" ht="21" customHeight="1">
      <c r="B16" s="1210" t="str">
        <f>B14</f>
        <v>3/26</v>
      </c>
      <c r="C16" s="1211" t="str">
        <f>VLOOKUP(mFEV17[[#This Row],[CÓDIGO CONTABIL]],Contas_Gerencial[#All],3,FALSE)</f>
        <v>SERVIÇOS DE TERCEIROS</v>
      </c>
      <c r="D16" s="1212" t="str">
        <f>VLOOKUP(mFEV17[[#This Row],[DESCRIÇÃO CONTABIL]],Contas_Gerencial[[#All],[DESCRIÇÃO DA CONTA - NÃO UTILIZAR]:[Código2]],2,FALSE)</f>
        <v>20.07.028</v>
      </c>
      <c r="E16" s="1202" t="s">
        <v>881</v>
      </c>
      <c r="F16" s="1203" t="s">
        <v>581</v>
      </c>
      <c r="G16" s="1203" t="s">
        <v>595</v>
      </c>
      <c r="H16" s="1203" t="s">
        <v>1802</v>
      </c>
      <c r="I16" s="1213" t="s">
        <v>2065</v>
      </c>
      <c r="J16" s="1203" t="s">
        <v>1084</v>
      </c>
      <c r="K16" s="1203" t="s">
        <v>2602</v>
      </c>
      <c r="L16" s="1206" t="s">
        <v>2620</v>
      </c>
      <c r="M16" s="1285">
        <v>45868</v>
      </c>
      <c r="N16" s="1207">
        <v>46233</v>
      </c>
      <c r="O16" s="1207" t="s">
        <v>2065</v>
      </c>
      <c r="P16" s="1203" t="s">
        <v>1</v>
      </c>
      <c r="Q16" s="1217">
        <f>163.8/10</f>
        <v>16.380000000000003</v>
      </c>
      <c r="R16" s="1209">
        <v>0</v>
      </c>
      <c r="S16" s="1209">
        <v>0</v>
      </c>
      <c r="T16" s="1216">
        <f>SUM(mFEV17[[#This Row],[PRINCIPAL]:[JUROS]])</f>
        <v>16.380000000000003</v>
      </c>
      <c r="V16" s="115"/>
    </row>
    <row r="17" spans="2:22" ht="21" customHeight="1">
      <c r="B17" s="1210" t="str">
        <f>B20</f>
        <v>3/26</v>
      </c>
      <c r="C17" s="1211" t="str">
        <f>VLOOKUP(mFEV17[[#This Row],[CÓDIGO CONTABIL]],Contas_Gerencial[#All],3,FALSE)</f>
        <v>SERVIÇOS DE TERCEIROS</v>
      </c>
      <c r="D17" s="1212" t="str">
        <f>VLOOKUP(mFEV17[[#This Row],[DESCRIÇÃO CONTABIL]],Contas_Gerencial[[#All],[DESCRIÇÃO DA CONTA - NÃO UTILIZAR]:[Código2]],2,FALSE)</f>
        <v>20.07.026</v>
      </c>
      <c r="E17" s="1202" t="s">
        <v>745</v>
      </c>
      <c r="F17" s="1203" t="s">
        <v>41</v>
      </c>
      <c r="G17" s="1204" t="s">
        <v>595</v>
      </c>
      <c r="H17" s="1203" t="s">
        <v>2616</v>
      </c>
      <c r="I17" s="1205" t="s">
        <v>2617</v>
      </c>
      <c r="J17" s="1203" t="s">
        <v>704</v>
      </c>
      <c r="K17" s="1203" t="s">
        <v>2618</v>
      </c>
      <c r="L17" s="1206" t="s">
        <v>2621</v>
      </c>
      <c r="M17" s="1285">
        <v>45905</v>
      </c>
      <c r="N17" s="1207">
        <v>45905</v>
      </c>
      <c r="O17" s="1207" t="s">
        <v>2065</v>
      </c>
      <c r="P17" s="1203" t="s">
        <v>1</v>
      </c>
      <c r="Q17" s="1208">
        <f>4238/10</f>
        <v>423.8</v>
      </c>
      <c r="R17" s="1209">
        <v>0</v>
      </c>
      <c r="S17" s="1209">
        <v>0</v>
      </c>
      <c r="T17" s="1216">
        <f>SUM(mFEV17[[#This Row],[PRINCIPAL]:[JUROS]])</f>
        <v>423.8</v>
      </c>
      <c r="V17" s="115"/>
    </row>
    <row r="18" spans="2:22" ht="21" customHeight="1">
      <c r="B18" s="1210" t="str">
        <f>B16</f>
        <v>3/26</v>
      </c>
      <c r="C18" s="1211" t="str">
        <f>VLOOKUP(mFEV17[[#This Row],[CÓDIGO CONTABIL]],Contas_Gerencial[#All],3,FALSE)</f>
        <v>SERVIÇOS DE TERCEIROS</v>
      </c>
      <c r="D18" s="1212" t="str">
        <f>VLOOKUP(mFEV17[[#This Row],[DESCRIÇÃO CONTABIL]],Contas_Gerencial[[#All],[DESCRIÇÃO DA CONTA - NÃO UTILIZAR]:[Código2]],2,FALSE)</f>
        <v>20.07.002</v>
      </c>
      <c r="E18" s="1201" t="s">
        <v>294</v>
      </c>
      <c r="F18" s="1202" t="s">
        <v>41</v>
      </c>
      <c r="G18" s="1201" t="s">
        <v>595</v>
      </c>
      <c r="H18" s="1202" t="s">
        <v>1802</v>
      </c>
      <c r="I18" s="1205" t="s">
        <v>2065</v>
      </c>
      <c r="J18" s="1203" t="s">
        <v>1125</v>
      </c>
      <c r="K18" s="1203" t="s">
        <v>1859</v>
      </c>
      <c r="L18" s="1218" t="s">
        <v>2605</v>
      </c>
      <c r="M18" s="1285">
        <v>46376</v>
      </c>
      <c r="N18" s="1207">
        <v>46376</v>
      </c>
      <c r="O18" s="1207" t="s">
        <v>2065</v>
      </c>
      <c r="P18" s="1203" t="s">
        <v>1</v>
      </c>
      <c r="Q18" s="1215">
        <f>1320/10</f>
        <v>132</v>
      </c>
      <c r="R18" s="1215">
        <v>0</v>
      </c>
      <c r="S18" s="1215">
        <v>0</v>
      </c>
      <c r="T18" s="1216">
        <f>SUM(mFEV17[[#This Row],[PRINCIPAL]:[JUROS]])</f>
        <v>132</v>
      </c>
      <c r="V18" s="115"/>
    </row>
    <row r="19" spans="2:22" ht="21" customHeight="1">
      <c r="B19" s="1210" t="str">
        <f t="shared" si="0"/>
        <v>3/26</v>
      </c>
      <c r="C19" s="1211" t="str">
        <f>VLOOKUP(mFEV17[[#This Row],[CÓDIGO CONTABIL]],Contas_Gerencial[#All],3,FALSE)</f>
        <v>SERVIÇOS DE TERCEIROS</v>
      </c>
      <c r="D19" s="1212" t="str">
        <f>VLOOKUP(mFEV17[[#This Row],[DESCRIÇÃO CONTABIL]],Contas_Gerencial[[#All],[DESCRIÇÃO DA CONTA - NÃO UTILIZAR]:[Código2]],2,FALSE)</f>
        <v>20.07.002</v>
      </c>
      <c r="E19" s="1201" t="s">
        <v>294</v>
      </c>
      <c r="F19" s="1202" t="s">
        <v>582</v>
      </c>
      <c r="G19" s="1201" t="s">
        <v>595</v>
      </c>
      <c r="H19" s="1202" t="s">
        <v>1802</v>
      </c>
      <c r="I19" s="1205" t="s">
        <v>2065</v>
      </c>
      <c r="J19" s="1203" t="s">
        <v>1125</v>
      </c>
      <c r="K19" s="1203" t="s">
        <v>1859</v>
      </c>
      <c r="L19" s="1218" t="s">
        <v>2605</v>
      </c>
      <c r="M19" s="1285">
        <v>46376</v>
      </c>
      <c r="N19" s="1207">
        <v>46376</v>
      </c>
      <c r="O19" s="1207" t="s">
        <v>2065</v>
      </c>
      <c r="P19" s="1203" t="s">
        <v>1</v>
      </c>
      <c r="Q19" s="1215">
        <f>500/10</f>
        <v>50</v>
      </c>
      <c r="R19" s="1215">
        <v>0</v>
      </c>
      <c r="S19" s="1215">
        <v>0</v>
      </c>
      <c r="T19" s="1216">
        <f>SUM(mFEV17[[#This Row],[PRINCIPAL]:[JUROS]])</f>
        <v>50</v>
      </c>
      <c r="V19" s="115"/>
    </row>
    <row r="20" spans="2:22" ht="21" customHeight="1">
      <c r="B20" s="1210" t="str">
        <f t="shared" si="0"/>
        <v>3/26</v>
      </c>
      <c r="C20" s="1211" t="str">
        <f>VLOOKUP(mFEV17[[#This Row],[CÓDIGO CONTABIL]],Contas_Gerencial[#All],3,FALSE)</f>
        <v>SERVIÇOS DE TERCEIROS</v>
      </c>
      <c r="D20" s="1212" t="str">
        <f>VLOOKUP(mFEV17[[#This Row],[DESCRIÇÃO CONTABIL]],Contas_Gerencial[[#All],[DESCRIÇÃO DA CONTA - NÃO UTILIZAR]:[Código2]],2,FALSE)</f>
        <v>20.07.002</v>
      </c>
      <c r="E20" s="1201" t="s">
        <v>294</v>
      </c>
      <c r="F20" s="1202" t="s">
        <v>581</v>
      </c>
      <c r="G20" s="1201" t="s">
        <v>595</v>
      </c>
      <c r="H20" s="1202" t="s">
        <v>1802</v>
      </c>
      <c r="I20" s="1205" t="s">
        <v>2065</v>
      </c>
      <c r="J20" s="1203" t="s">
        <v>1125</v>
      </c>
      <c r="K20" s="1203" t="s">
        <v>1859</v>
      </c>
      <c r="L20" s="1218" t="s">
        <v>2605</v>
      </c>
      <c r="M20" s="1285">
        <v>46376</v>
      </c>
      <c r="N20" s="1207">
        <v>46376</v>
      </c>
      <c r="O20" s="1207" t="s">
        <v>2065</v>
      </c>
      <c r="P20" s="1203" t="s">
        <v>1</v>
      </c>
      <c r="Q20" s="1215">
        <f>730/10</f>
        <v>73</v>
      </c>
      <c r="R20" s="1215">
        <v>0</v>
      </c>
      <c r="S20" s="1215">
        <v>0</v>
      </c>
      <c r="T20" s="1216">
        <f>SUM(mFEV17[[#This Row],[PRINCIPAL]:[JUROS]])</f>
        <v>73</v>
      </c>
      <c r="V20" s="115"/>
    </row>
    <row r="21" spans="2:22" ht="21" customHeight="1">
      <c r="B21" s="1219" t="str">
        <f>B12</f>
        <v>3/26</v>
      </c>
      <c r="C21" s="1183" t="str">
        <f>VLOOKUP(mFEV17[[#This Row],[CÓDIGO CONTABIL]],Contas_Gerencial[#All],3,FALSE)</f>
        <v>SERVIÇOS DE TERCEIROS</v>
      </c>
      <c r="D21" s="1184" t="str">
        <f>VLOOKUP(mFEV17[[#This Row],[DESCRIÇÃO CONTABIL]],Contas_Gerencial[[#All],[DESCRIÇÃO DA CONTA - NÃO UTILIZAR]:[Código2]],2,FALSE)</f>
        <v>20.07.010</v>
      </c>
      <c r="E21" s="1185" t="s">
        <v>37</v>
      </c>
      <c r="F21" s="1186" t="s">
        <v>41</v>
      </c>
      <c r="G21" s="1187" t="s">
        <v>2607</v>
      </c>
      <c r="H21" s="1186" t="s">
        <v>2065</v>
      </c>
      <c r="I21" s="1186" t="s">
        <v>2065</v>
      </c>
      <c r="J21" s="1186" t="s">
        <v>41</v>
      </c>
      <c r="K21" s="1186" t="s">
        <v>2610</v>
      </c>
      <c r="L21" s="1188" t="s">
        <v>1766</v>
      </c>
      <c r="M21" s="1286" t="s">
        <v>2065</v>
      </c>
      <c r="N21" s="1189">
        <v>46376</v>
      </c>
      <c r="O21" s="1189" t="s">
        <v>2065</v>
      </c>
      <c r="P21" s="1186" t="s">
        <v>1</v>
      </c>
      <c r="Q21" s="1190">
        <v>0</v>
      </c>
      <c r="R21" s="1190">
        <v>0</v>
      </c>
      <c r="S21" s="1190">
        <v>0</v>
      </c>
      <c r="T21" s="1220">
        <f>SUM(mFEV17[[#This Row],[PRINCIPAL]:[JUROS]])</f>
        <v>0</v>
      </c>
      <c r="V21" s="115"/>
    </row>
    <row r="22" spans="2:22" ht="21" customHeight="1">
      <c r="B22" s="1219" t="str">
        <f t="shared" si="0"/>
        <v>3/26</v>
      </c>
      <c r="C22" s="1183" t="str">
        <f>VLOOKUP(mFEV17[[#This Row],[CÓDIGO CONTABIL]],Contas_Gerencial[#All],3,FALSE)</f>
        <v>SERVIÇOS DE TERCEIROS</v>
      </c>
      <c r="D22" s="1184" t="str">
        <f>VLOOKUP(mFEV17[[#This Row],[DESCRIÇÃO CONTABIL]],Contas_Gerencial[[#All],[DESCRIÇÃO DA CONTA - NÃO UTILIZAR]:[Código2]],2,FALSE)</f>
        <v>20.07.006</v>
      </c>
      <c r="E22" s="1185" t="s">
        <v>63</v>
      </c>
      <c r="F22" s="1186" t="s">
        <v>41</v>
      </c>
      <c r="G22" s="1187" t="s">
        <v>2607</v>
      </c>
      <c r="H22" s="1186" t="s">
        <v>2065</v>
      </c>
      <c r="I22" s="1186" t="s">
        <v>2065</v>
      </c>
      <c r="J22" s="1186" t="s">
        <v>412</v>
      </c>
      <c r="K22" s="1186" t="s">
        <v>2608</v>
      </c>
      <c r="L22" s="1188" t="s">
        <v>1766</v>
      </c>
      <c r="M22" s="1286" t="s">
        <v>2065</v>
      </c>
      <c r="N22" s="1189">
        <v>46376</v>
      </c>
      <c r="O22" s="1189" t="s">
        <v>2065</v>
      </c>
      <c r="P22" s="1186" t="s">
        <v>1</v>
      </c>
      <c r="Q22" s="1190">
        <v>0</v>
      </c>
      <c r="R22" s="1190">
        <v>0</v>
      </c>
      <c r="S22" s="1190">
        <v>0</v>
      </c>
      <c r="T22" s="1220">
        <f>SUM(mFEV17[[#This Row],[PRINCIPAL]:[JUROS]])</f>
        <v>0</v>
      </c>
      <c r="V22" s="115"/>
    </row>
    <row r="23" spans="2:22" ht="21" customHeight="1">
      <c r="B23" s="1219" t="str">
        <f t="shared" si="0"/>
        <v>3/26</v>
      </c>
      <c r="C23" s="1183" t="str">
        <f>VLOOKUP(mFEV17[[#This Row],[CÓDIGO CONTABIL]],Contas_Gerencial[#All],3,FALSE)</f>
        <v>SERVIÇOS DE TERCEIROS</v>
      </c>
      <c r="D23" s="1184" t="str">
        <f>VLOOKUP(mFEV17[[#This Row],[DESCRIÇÃO CONTABIL]],Contas_Gerencial[[#All],[DESCRIÇÃO DA CONTA - NÃO UTILIZAR]:[Código2]],2,FALSE)</f>
        <v>20.07.013</v>
      </c>
      <c r="E23" s="1185" t="s">
        <v>187</v>
      </c>
      <c r="F23" s="1186" t="s">
        <v>41</v>
      </c>
      <c r="G23" s="1187" t="s">
        <v>2607</v>
      </c>
      <c r="H23" s="1186" t="s">
        <v>2065</v>
      </c>
      <c r="I23" s="1186" t="s">
        <v>2065</v>
      </c>
      <c r="J23" s="1186" t="s">
        <v>41</v>
      </c>
      <c r="K23" s="1186" t="s">
        <v>2609</v>
      </c>
      <c r="L23" s="1188" t="s">
        <v>1766</v>
      </c>
      <c r="M23" s="1286" t="s">
        <v>2065</v>
      </c>
      <c r="N23" s="1189">
        <v>46376</v>
      </c>
      <c r="O23" s="1189" t="s">
        <v>2065</v>
      </c>
      <c r="P23" s="1186" t="s">
        <v>1</v>
      </c>
      <c r="Q23" s="1190">
        <v>0</v>
      </c>
      <c r="R23" s="1190">
        <v>0</v>
      </c>
      <c r="S23" s="1190">
        <v>0</v>
      </c>
      <c r="T23" s="1220">
        <f>SUM(mFEV17[[#This Row],[PRINCIPAL]:[JUROS]])</f>
        <v>0</v>
      </c>
      <c r="V23" s="115"/>
    </row>
    <row r="24" spans="2:22" ht="21" customHeight="1">
      <c r="B24" s="1219" t="str">
        <f t="shared" si="0"/>
        <v>3/26</v>
      </c>
      <c r="C24" s="1183" t="str">
        <f>VLOOKUP(mFEV17[[#This Row],[CÓDIGO CONTABIL]],Contas_Gerencial[#All],3,FALSE)</f>
        <v>SERVIÇOS DE TERCEIROS</v>
      </c>
      <c r="D24" s="1184" t="str">
        <f>VLOOKUP(mFEV17[[#This Row],[DESCRIÇÃO CONTABIL]],Contas_Gerencial[[#All],[DESCRIÇÃO DA CONTA - NÃO UTILIZAR]:[Código2]],2,FALSE)</f>
        <v>20.07.012</v>
      </c>
      <c r="E24" s="1185" t="s">
        <v>846</v>
      </c>
      <c r="F24" s="1186" t="s">
        <v>41</v>
      </c>
      <c r="G24" s="1187" t="s">
        <v>2607</v>
      </c>
      <c r="H24" s="1186" t="s">
        <v>2065</v>
      </c>
      <c r="I24" s="1186" t="s">
        <v>2065</v>
      </c>
      <c r="J24" s="1186" t="s">
        <v>41</v>
      </c>
      <c r="K24" s="1186" t="s">
        <v>2609</v>
      </c>
      <c r="L24" s="1188" t="s">
        <v>1766</v>
      </c>
      <c r="M24" s="1286" t="s">
        <v>2065</v>
      </c>
      <c r="N24" s="1189">
        <v>46376</v>
      </c>
      <c r="O24" s="1189" t="s">
        <v>2065</v>
      </c>
      <c r="P24" s="1186" t="s">
        <v>1</v>
      </c>
      <c r="Q24" s="1190">
        <v>0</v>
      </c>
      <c r="R24" s="1190">
        <v>0</v>
      </c>
      <c r="S24" s="1190">
        <v>0</v>
      </c>
      <c r="T24" s="1220">
        <f>SUM(mFEV17[[#This Row],[PRINCIPAL]:[JUROS]])</f>
        <v>0</v>
      </c>
      <c r="V24" s="115"/>
    </row>
    <row r="25" spans="2:22" ht="21" customHeight="1">
      <c r="B25" s="1219" t="str">
        <f t="shared" si="0"/>
        <v>3/26</v>
      </c>
      <c r="C25" s="1183" t="str">
        <f>VLOOKUP(mFEV17[[#This Row],[CÓDIGO CONTABIL]],Contas_Gerencial[#All],3,FALSE)</f>
        <v>SERVIÇOS DE TERCEIROS</v>
      </c>
      <c r="D25" s="1184" t="str">
        <f>VLOOKUP(mFEV17[[#This Row],[DESCRIÇÃO CONTABIL]],Contas_Gerencial[[#All],[DESCRIÇÃO DA CONTA - NÃO UTILIZAR]:[Código2]],2,FALSE)</f>
        <v>20.07.021</v>
      </c>
      <c r="E25" s="1185" t="s">
        <v>310</v>
      </c>
      <c r="F25" s="1186" t="s">
        <v>41</v>
      </c>
      <c r="G25" s="1187" t="s">
        <v>2607</v>
      </c>
      <c r="H25" s="1186" t="s">
        <v>2065</v>
      </c>
      <c r="I25" s="1186" t="s">
        <v>2065</v>
      </c>
      <c r="J25" s="1186" t="s">
        <v>41</v>
      </c>
      <c r="K25" s="1186" t="s">
        <v>2611</v>
      </c>
      <c r="L25" s="1188" t="s">
        <v>1766</v>
      </c>
      <c r="M25" s="1286" t="s">
        <v>2065</v>
      </c>
      <c r="N25" s="1189">
        <v>46376</v>
      </c>
      <c r="O25" s="1189" t="s">
        <v>2065</v>
      </c>
      <c r="P25" s="1186" t="s">
        <v>1</v>
      </c>
      <c r="Q25" s="1190">
        <v>0</v>
      </c>
      <c r="R25" s="1190">
        <v>0</v>
      </c>
      <c r="S25" s="1190">
        <v>0</v>
      </c>
      <c r="T25" s="1220">
        <f>SUM(mFEV17[[#This Row],[PRINCIPAL]:[JUROS]])</f>
        <v>0</v>
      </c>
      <c r="V25" s="115"/>
    </row>
    <row r="26" spans="2:22" ht="21" customHeight="1">
      <c r="B26" s="1219" t="str">
        <f t="shared" si="0"/>
        <v>3/26</v>
      </c>
      <c r="C26" s="1183" t="str">
        <f>VLOOKUP(mFEV17[[#This Row],[CÓDIGO CONTABIL]],Contas_Gerencial[#All],3,FALSE)</f>
        <v>SERVIÇOS DE TERCEIROS</v>
      </c>
      <c r="D26" s="1184" t="str">
        <f>VLOOKUP(mFEV17[[#This Row],[DESCRIÇÃO CONTABIL]],Contas_Gerencial[[#All],[DESCRIÇÃO DA CONTA - NÃO UTILIZAR]:[Código2]],2,FALSE)</f>
        <v>20.07.018</v>
      </c>
      <c r="E26" s="1185" t="s">
        <v>265</v>
      </c>
      <c r="F26" s="1186" t="s">
        <v>41</v>
      </c>
      <c r="G26" s="1187" t="s">
        <v>2607</v>
      </c>
      <c r="H26" s="1186" t="s">
        <v>2065</v>
      </c>
      <c r="I26" s="1186" t="s">
        <v>2065</v>
      </c>
      <c r="J26" s="1186" t="s">
        <v>41</v>
      </c>
      <c r="K26" s="1186" t="s">
        <v>2611</v>
      </c>
      <c r="L26" s="1188" t="s">
        <v>1766</v>
      </c>
      <c r="M26" s="1286" t="s">
        <v>2065</v>
      </c>
      <c r="N26" s="1189">
        <v>46376</v>
      </c>
      <c r="O26" s="1189" t="s">
        <v>2065</v>
      </c>
      <c r="P26" s="1186" t="s">
        <v>1</v>
      </c>
      <c r="Q26" s="1190">
        <v>0</v>
      </c>
      <c r="R26" s="1190">
        <v>0</v>
      </c>
      <c r="S26" s="1190">
        <v>0</v>
      </c>
      <c r="T26" s="1220">
        <f>SUM(mFEV17[[#This Row],[PRINCIPAL]:[JUROS]])</f>
        <v>0</v>
      </c>
      <c r="V26" s="115"/>
    </row>
    <row r="27" spans="2:22" ht="21" customHeight="1">
      <c r="B27" s="1219" t="str">
        <f>B26</f>
        <v>3/26</v>
      </c>
      <c r="C27" s="1183" t="str">
        <f>VLOOKUP(mFEV17[[#This Row],[CÓDIGO CONTABIL]],Contas_Gerencial[#All],3,FALSE)</f>
        <v>SERVIÇOS DE TERCEIROS</v>
      </c>
      <c r="D27" s="1184" t="str">
        <f>VLOOKUP(mFEV17[[#This Row],[DESCRIÇÃO CONTABIL]],Contas_Gerencial[[#All],[DESCRIÇÃO DA CONTA - NÃO UTILIZAR]:[Código2]],2,FALSE)</f>
        <v>20.07.016</v>
      </c>
      <c r="E27" s="1185" t="s">
        <v>60</v>
      </c>
      <c r="F27" s="1186" t="s">
        <v>41</v>
      </c>
      <c r="G27" s="1187" t="s">
        <v>595</v>
      </c>
      <c r="H27" s="1186" t="s">
        <v>1827</v>
      </c>
      <c r="I27" s="1221" t="s">
        <v>2065</v>
      </c>
      <c r="J27" s="1186" t="s">
        <v>1960</v>
      </c>
      <c r="K27" s="1186" t="s">
        <v>2165</v>
      </c>
      <c r="L27" s="1188" t="s">
        <v>1766</v>
      </c>
      <c r="M27" s="1286">
        <v>46035</v>
      </c>
      <c r="N27" s="1189">
        <v>46037</v>
      </c>
      <c r="O27" s="1189" t="s">
        <v>2065</v>
      </c>
      <c r="P27" s="1186" t="s">
        <v>1</v>
      </c>
      <c r="Q27" s="1222">
        <f>3683.66/10</f>
        <v>368.36599999999999</v>
      </c>
      <c r="R27" s="1223">
        <v>0</v>
      </c>
      <c r="S27" s="1223">
        <v>0</v>
      </c>
      <c r="T27" s="1220">
        <f>SUM(mFEV17[[#This Row],[PRINCIPAL]:[JUROS]])</f>
        <v>368.36599999999999</v>
      </c>
      <c r="V27" s="115"/>
    </row>
    <row r="28" spans="2:22" ht="21" customHeight="1">
      <c r="B28" s="1219" t="str">
        <f t="shared" si="0"/>
        <v>3/26</v>
      </c>
      <c r="C28" s="1183" t="str">
        <f>VLOOKUP(mFEV17[[#This Row],[CÓDIGO CONTABIL]],Contas_Gerencial[#All],3,FALSE)</f>
        <v>SERVIÇOS DE TERCEIROS</v>
      </c>
      <c r="D28" s="1184" t="str">
        <f>VLOOKUP(mFEV17[[#This Row],[DESCRIÇÃO CONTABIL]],Contas_Gerencial[[#All],[DESCRIÇÃO DA CONTA - NÃO UTILIZAR]:[Código2]],2,FALSE)</f>
        <v>20.07.016</v>
      </c>
      <c r="E28" s="1185" t="s">
        <v>60</v>
      </c>
      <c r="F28" s="1186" t="s">
        <v>41</v>
      </c>
      <c r="G28" s="1187" t="s">
        <v>595</v>
      </c>
      <c r="H28" s="1186" t="s">
        <v>1827</v>
      </c>
      <c r="I28" s="1221" t="s">
        <v>2065</v>
      </c>
      <c r="J28" s="1186" t="s">
        <v>1960</v>
      </c>
      <c r="K28" s="1186" t="s">
        <v>2179</v>
      </c>
      <c r="L28" s="1188" t="s">
        <v>1766</v>
      </c>
      <c r="M28" s="1286">
        <v>46039</v>
      </c>
      <c r="N28" s="1189">
        <v>46045</v>
      </c>
      <c r="O28" s="1189" t="s">
        <v>2065</v>
      </c>
      <c r="P28" s="1186" t="s">
        <v>1</v>
      </c>
      <c r="Q28" s="1222">
        <f>1555.24/10</f>
        <v>155.524</v>
      </c>
      <c r="R28" s="1223">
        <v>0</v>
      </c>
      <c r="S28" s="1223">
        <v>0</v>
      </c>
      <c r="T28" s="1220">
        <f>SUM(mFEV17[[#This Row],[PRINCIPAL]:[JUROS]])</f>
        <v>155.524</v>
      </c>
      <c r="V28" s="115"/>
    </row>
    <row r="29" spans="2:22" ht="21" customHeight="1">
      <c r="B29" s="739" t="s">
        <v>44</v>
      </c>
      <c r="C29" s="739" t="s">
        <v>44</v>
      </c>
      <c r="D29" s="739" t="s">
        <v>38</v>
      </c>
      <c r="E29" s="739"/>
      <c r="F29" s="739"/>
      <c r="G29" s="739"/>
      <c r="H29" s="739"/>
      <c r="I29" s="739"/>
      <c r="J29" s="739"/>
      <c r="K29" s="739"/>
      <c r="L29" s="739"/>
      <c r="M29" s="1284"/>
      <c r="N29" s="739"/>
      <c r="O29" s="739"/>
      <c r="P29" s="739"/>
      <c r="Q29" s="739"/>
      <c r="R29" s="739"/>
      <c r="S29" s="739"/>
      <c r="T29" s="1172"/>
      <c r="V29" s="115"/>
    </row>
    <row r="30" spans="2:22" ht="21" customHeight="1">
      <c r="B30" s="1224" t="str">
        <f>B28</f>
        <v>3/26</v>
      </c>
      <c r="C30" s="1225" t="str">
        <f>VLOOKUP(mFEV17[[#This Row],[CÓDIGO CONTABIL]],Contas_Gerencial[#All],3,FALSE)</f>
        <v>INVESTIMENTOS</v>
      </c>
      <c r="D30" s="1226" t="str">
        <f>VLOOKUP(mFEV17[[#This Row],[DESCRIÇÃO CONTABIL]],Contas_Gerencial[[#All],[DESCRIÇÃO DA CONTA - NÃO UTILIZAR]:[Código2]],2,FALSE)</f>
        <v>20.06.003</v>
      </c>
      <c r="E30" s="1227" t="s">
        <v>295</v>
      </c>
      <c r="F30" s="1228" t="s">
        <v>41</v>
      </c>
      <c r="G30" s="1228" t="s">
        <v>595</v>
      </c>
      <c r="H30" s="1229" t="s">
        <v>2065</v>
      </c>
      <c r="I30" s="1229" t="s">
        <v>2065</v>
      </c>
      <c r="J30" s="1228" t="s">
        <v>41</v>
      </c>
      <c r="K30" s="1228" t="s">
        <v>295</v>
      </c>
      <c r="L30" s="1230" t="s">
        <v>2258</v>
      </c>
      <c r="M30" s="1287">
        <v>46081</v>
      </c>
      <c r="N30" s="1231">
        <v>46106</v>
      </c>
      <c r="O30" s="1231" t="s">
        <v>2065</v>
      </c>
      <c r="P30" s="1228" t="s">
        <v>1</v>
      </c>
      <c r="Q30" s="1232">
        <v>11078.279999999999</v>
      </c>
      <c r="R30" s="1233">
        <v>0</v>
      </c>
      <c r="S30" s="1233">
        <v>0</v>
      </c>
      <c r="T30" s="1234">
        <f>SUM(mFEV17[[#This Row],[PRINCIPAL]:[JUROS]])</f>
        <v>11078.279999999999</v>
      </c>
      <c r="V30" s="115"/>
    </row>
    <row r="31" spans="2:22" ht="21" customHeight="1">
      <c r="B31" s="1224" t="str">
        <f>B30</f>
        <v>3/26</v>
      </c>
      <c r="C31" s="1225" t="str">
        <f>VLOOKUP(mFEV17[[#This Row],[CÓDIGO CONTABIL]],Contas_Gerencial[#All],3,FALSE)</f>
        <v>INVESTIMENTOS</v>
      </c>
      <c r="D31" s="1226" t="str">
        <f>VLOOKUP(mFEV17[[#This Row],[DESCRIÇÃO CONTABIL]],Contas_Gerencial[[#All],[DESCRIÇÃO DA CONTA - NÃO UTILIZAR]:[Código2]],2,FALSE)</f>
        <v>20.06.003</v>
      </c>
      <c r="E31" s="1227" t="s">
        <v>295</v>
      </c>
      <c r="F31" s="1228" t="s">
        <v>582</v>
      </c>
      <c r="G31" s="1228" t="s">
        <v>595</v>
      </c>
      <c r="H31" s="1229" t="s">
        <v>2065</v>
      </c>
      <c r="I31" s="1229" t="s">
        <v>2065</v>
      </c>
      <c r="J31" s="1228" t="s">
        <v>582</v>
      </c>
      <c r="K31" s="1228" t="s">
        <v>295</v>
      </c>
      <c r="L31" s="1230" t="s">
        <v>2258</v>
      </c>
      <c r="M31" s="1287">
        <v>46081</v>
      </c>
      <c r="N31" s="1231">
        <v>46106</v>
      </c>
      <c r="O31" s="1231" t="s">
        <v>2065</v>
      </c>
      <c r="P31" s="1228" t="s">
        <v>1</v>
      </c>
      <c r="Q31" s="1232">
        <v>6091.32</v>
      </c>
      <c r="R31" s="1233">
        <v>0</v>
      </c>
      <c r="S31" s="1233">
        <v>0</v>
      </c>
      <c r="T31" s="1234">
        <f>SUM(mFEV17[[#This Row],[PRINCIPAL]:[JUROS]])</f>
        <v>6091.32</v>
      </c>
      <c r="V31" s="115"/>
    </row>
    <row r="32" spans="2:22" ht="21" customHeight="1">
      <c r="B32" s="1224" t="str">
        <f t="shared" ref="B32" si="1">B30</f>
        <v>3/26</v>
      </c>
      <c r="C32" s="1225" t="str">
        <f>VLOOKUP(mFEV17[[#This Row],[CÓDIGO CONTABIL]],Contas_Gerencial[#All],3,FALSE)</f>
        <v>INVESTIMENTOS</v>
      </c>
      <c r="D32" s="1226" t="str">
        <f>VLOOKUP(mFEV17[[#This Row],[DESCRIÇÃO CONTABIL]],Contas_Gerencial[[#All],[DESCRIÇÃO DA CONTA - NÃO UTILIZAR]:[Código2]],2,FALSE)</f>
        <v>20.06.003</v>
      </c>
      <c r="E32" s="1227" t="s">
        <v>295</v>
      </c>
      <c r="F32" s="1228" t="s">
        <v>581</v>
      </c>
      <c r="G32" s="1228" t="s">
        <v>595</v>
      </c>
      <c r="H32" s="1229" t="s">
        <v>2065</v>
      </c>
      <c r="I32" s="1229" t="s">
        <v>2065</v>
      </c>
      <c r="J32" s="1228" t="s">
        <v>581</v>
      </c>
      <c r="K32" s="1228" t="s">
        <v>295</v>
      </c>
      <c r="L32" s="1230" t="s">
        <v>2258</v>
      </c>
      <c r="M32" s="1287">
        <v>46081</v>
      </c>
      <c r="N32" s="1231">
        <v>46106</v>
      </c>
      <c r="O32" s="1231" t="s">
        <v>2065</v>
      </c>
      <c r="P32" s="1228" t="s">
        <v>1</v>
      </c>
      <c r="Q32" s="1232">
        <v>12743.88</v>
      </c>
      <c r="R32" s="1233">
        <v>0</v>
      </c>
      <c r="S32" s="1233">
        <v>0</v>
      </c>
      <c r="T32" s="1234">
        <f>SUM(mFEV17[[#This Row],[PRINCIPAL]:[JUROS]])</f>
        <v>12743.88</v>
      </c>
      <c r="V32" s="115"/>
    </row>
    <row r="33" spans="2:22" ht="21" customHeight="1">
      <c r="B33" s="739" t="s">
        <v>65</v>
      </c>
      <c r="C33" s="739" t="s">
        <v>65</v>
      </c>
      <c r="D33" s="739" t="s">
        <v>38</v>
      </c>
      <c r="E33" s="739"/>
      <c r="F33" s="739"/>
      <c r="G33" s="739"/>
      <c r="H33" s="739"/>
      <c r="I33" s="739"/>
      <c r="J33" s="739"/>
      <c r="K33" s="739"/>
      <c r="L33" s="739"/>
      <c r="M33" s="1284"/>
      <c r="N33" s="739"/>
      <c r="O33" s="739"/>
      <c r="P33" s="739"/>
      <c r="Q33" s="739"/>
      <c r="R33" s="739"/>
      <c r="S33" s="739"/>
      <c r="T33" s="1172"/>
      <c r="V33" s="115"/>
    </row>
    <row r="34" spans="2:22" ht="21" customHeight="1">
      <c r="B34" s="1294" t="str">
        <f>B32</f>
        <v>3/26</v>
      </c>
      <c r="C34" s="1295" t="str">
        <f>VLOOKUP(mFEV17[[#This Row],[CÓDIGO CONTABIL]],Contas_Gerencial[#All],3,FALSE)</f>
        <v>FOLHA DE PAGAMENTO</v>
      </c>
      <c r="D34" s="1296" t="str">
        <f>VLOOKUP(mFEV17[[#This Row],[DESCRIÇÃO CONTABIL]],Contas_Gerencial[[#All],[DESCRIÇÃO DA CONTA - NÃO UTILIZAR]:[Código2]],2,FALSE)</f>
        <v>20.05.016</v>
      </c>
      <c r="E34" s="1297" t="s">
        <v>65</v>
      </c>
      <c r="F34" s="1298" t="s">
        <v>581</v>
      </c>
      <c r="G34" s="1298" t="s">
        <v>87</v>
      </c>
      <c r="H34" s="1299" t="s">
        <v>2065</v>
      </c>
      <c r="I34" s="1300" t="s">
        <v>2065</v>
      </c>
      <c r="J34" s="1298" t="s">
        <v>581</v>
      </c>
      <c r="K34" s="1298" t="s">
        <v>2646</v>
      </c>
      <c r="L34" s="1299" t="s">
        <v>2591</v>
      </c>
      <c r="M34" s="1301">
        <v>46082</v>
      </c>
      <c r="N34" s="1302">
        <v>46106</v>
      </c>
      <c r="O34" s="1302" t="s">
        <v>2065</v>
      </c>
      <c r="P34" s="1303" t="s">
        <v>1</v>
      </c>
      <c r="Q34" s="1304">
        <v>0</v>
      </c>
      <c r="R34" s="1305">
        <v>0</v>
      </c>
      <c r="S34" s="1305">
        <v>0</v>
      </c>
      <c r="T34" s="1306">
        <f>SUM(mFEV17[[#This Row],[PRINCIPAL]:[JUROS]])</f>
        <v>0</v>
      </c>
      <c r="V34" s="115"/>
    </row>
    <row r="35" spans="2:22" ht="21" customHeight="1">
      <c r="B35" s="1294" t="str">
        <f>B34</f>
        <v>3/26</v>
      </c>
      <c r="C35" s="1295" t="str">
        <f>VLOOKUP(mFEV17[[#This Row],[CÓDIGO CONTABIL]],Contas_Gerencial[#All],3,FALSE)</f>
        <v>FOLHA DE PAGAMENTO</v>
      </c>
      <c r="D35" s="1296" t="str">
        <f>VLOOKUP(mFEV17[[#This Row],[DESCRIÇÃO CONTABIL]],Contas_Gerencial[[#All],[DESCRIÇÃO DA CONTA - NÃO UTILIZAR]:[Código2]],2,FALSE)</f>
        <v>20.05.014</v>
      </c>
      <c r="E35" s="1297" t="s">
        <v>402</v>
      </c>
      <c r="F35" s="1298" t="s">
        <v>581</v>
      </c>
      <c r="G35" s="1298" t="s">
        <v>87</v>
      </c>
      <c r="H35" s="1299" t="s">
        <v>2065</v>
      </c>
      <c r="I35" s="1300" t="s">
        <v>2065</v>
      </c>
      <c r="J35" s="1298" t="s">
        <v>581</v>
      </c>
      <c r="K35" s="1298" t="s">
        <v>2646</v>
      </c>
      <c r="L35" s="1299" t="s">
        <v>2591</v>
      </c>
      <c r="M35" s="1301">
        <v>46082</v>
      </c>
      <c r="N35" s="1302">
        <v>46106</v>
      </c>
      <c r="O35" s="1302" t="s">
        <v>2065</v>
      </c>
      <c r="P35" s="1303" t="s">
        <v>1</v>
      </c>
      <c r="Q35" s="1304">
        <v>0</v>
      </c>
      <c r="R35" s="1305">
        <v>0</v>
      </c>
      <c r="S35" s="1305">
        <v>0</v>
      </c>
      <c r="T35" s="1306">
        <f>SUM(mFEV17[[#This Row],[PRINCIPAL]:[JUROS]])</f>
        <v>0</v>
      </c>
      <c r="V35" s="115"/>
    </row>
    <row r="36" spans="2:22" ht="21" customHeight="1">
      <c r="B36" s="739" t="s">
        <v>38</v>
      </c>
      <c r="C36" s="739" t="s">
        <v>38</v>
      </c>
      <c r="D36" s="739" t="s">
        <v>38</v>
      </c>
      <c r="E36" s="739"/>
      <c r="F36" s="739"/>
      <c r="G36" s="739"/>
      <c r="H36" s="739"/>
      <c r="I36" s="739"/>
      <c r="J36" s="739"/>
      <c r="K36" s="739"/>
      <c r="L36" s="739"/>
      <c r="M36" s="1284"/>
      <c r="N36" s="739"/>
      <c r="O36" s="739"/>
      <c r="P36" s="739"/>
      <c r="Q36" s="739"/>
      <c r="R36" s="739"/>
      <c r="S36" s="739"/>
      <c r="T36" s="1172"/>
      <c r="V36" s="115"/>
    </row>
    <row r="37" spans="2:22" ht="21" customHeight="1">
      <c r="B37" s="1167" t="str">
        <f>B11</f>
        <v>3/26</v>
      </c>
      <c r="C37" s="731" t="str">
        <f>VLOOKUP(mFEV17[[#This Row],[CÓDIGO CONTABIL]],Contas_Gerencial[#All],3,FALSE)</f>
        <v>DESPESAS FIXAS</v>
      </c>
      <c r="D37" s="1165" t="str">
        <f>VLOOKUP(mFEV17[[#This Row],[DESCRIÇÃO CONTABIL]],Contas_Gerencial[[#All],[DESCRIÇÃO DA CONTA - NÃO UTILIZAR]:[Código2]],2,FALSE)</f>
        <v>20.02.001</v>
      </c>
      <c r="E37" s="711" t="s">
        <v>28</v>
      </c>
      <c r="F37" s="711" t="s">
        <v>41</v>
      </c>
      <c r="G37" s="711" t="s">
        <v>595</v>
      </c>
      <c r="H37" s="711" t="s">
        <v>1803</v>
      </c>
      <c r="I37" s="716">
        <v>38498</v>
      </c>
      <c r="J37" s="711" t="s">
        <v>372</v>
      </c>
      <c r="K37" s="711" t="s">
        <v>1806</v>
      </c>
      <c r="L37" s="729" t="s">
        <v>2258</v>
      </c>
      <c r="M37" s="1271">
        <v>46043</v>
      </c>
      <c r="N37" s="715" t="s">
        <v>2065</v>
      </c>
      <c r="O37" s="715" t="s">
        <v>2065</v>
      </c>
      <c r="P37" s="711" t="s">
        <v>1</v>
      </c>
      <c r="Q37" s="717">
        <f>2008.87-200</f>
        <v>1808.87</v>
      </c>
      <c r="R37" s="730">
        <v>0</v>
      </c>
      <c r="S37" s="730">
        <v>0</v>
      </c>
      <c r="T37" s="115">
        <f>SUM(mFEV17[[#This Row],[PRINCIPAL]:[JUROS]])</f>
        <v>1808.87</v>
      </c>
      <c r="V37" s="115"/>
    </row>
    <row r="38" spans="2:22" ht="21" customHeight="1">
      <c r="B38" s="1167" t="str">
        <f t="shared" ref="B38:B95" si="2">B37</f>
        <v>3/26</v>
      </c>
      <c r="C38" s="731" t="str">
        <f>VLOOKUP(mFEV17[[#This Row],[CÓDIGO CONTABIL]],Contas_Gerencial[#All],3,FALSE)</f>
        <v>DESPESAS FIXAS</v>
      </c>
      <c r="D38" s="1165" t="str">
        <f>VLOOKUP(mFEV17[[#This Row],[DESCRIÇÃO CONTABIL]],Contas_Gerencial[[#All],[DESCRIÇÃO DA CONTA - NÃO UTILIZAR]:[Código2]],2,FALSE)</f>
        <v>20.02.003</v>
      </c>
      <c r="E38" s="713" t="s">
        <v>27</v>
      </c>
      <c r="F38" s="713" t="s">
        <v>41</v>
      </c>
      <c r="G38" s="713" t="s">
        <v>595</v>
      </c>
      <c r="H38" s="713" t="s">
        <v>1803</v>
      </c>
      <c r="I38" s="716">
        <v>5224702</v>
      </c>
      <c r="J38" s="713" t="s">
        <v>1506</v>
      </c>
      <c r="K38" s="713" t="s">
        <v>1809</v>
      </c>
      <c r="L38" s="729" t="s">
        <v>2258</v>
      </c>
      <c r="M38" s="1271">
        <v>46049</v>
      </c>
      <c r="N38" s="715" t="s">
        <v>2065</v>
      </c>
      <c r="O38" s="715" t="s">
        <v>2065</v>
      </c>
      <c r="P38" s="711" t="s">
        <v>1</v>
      </c>
      <c r="Q38" s="732">
        <v>706.88</v>
      </c>
      <c r="R38" s="732">
        <v>0</v>
      </c>
      <c r="S38" s="732">
        <v>0</v>
      </c>
      <c r="T38" s="115">
        <f>SUM(mFEV17[[#This Row],[PRINCIPAL]:[JUROS]])</f>
        <v>706.88</v>
      </c>
      <c r="V38" s="115"/>
    </row>
    <row r="39" spans="2:22" ht="21" customHeight="1">
      <c r="B39" s="1167" t="str">
        <f t="shared" si="2"/>
        <v>3/26</v>
      </c>
      <c r="C39" s="731" t="str">
        <f>VLOOKUP(mFEV17[[#This Row],[CÓDIGO CONTABIL]],Contas_Gerencial[#All],3,FALSE)</f>
        <v>DESPESAS FIXAS</v>
      </c>
      <c r="D39" s="1165" t="str">
        <f>VLOOKUP(mFEV17[[#This Row],[DESCRIÇÃO CONTABIL]],Contas_Gerencial[[#All],[DESCRIÇÃO DA CONTA - NÃO UTILIZAR]:[Código2]],2,FALSE)</f>
        <v>20.02.007</v>
      </c>
      <c r="E39" s="712" t="s">
        <v>26</v>
      </c>
      <c r="F39" s="712" t="s">
        <v>41</v>
      </c>
      <c r="G39" s="733" t="s">
        <v>595</v>
      </c>
      <c r="H39" s="712" t="s">
        <v>1807</v>
      </c>
      <c r="I39" s="716">
        <v>5678768283</v>
      </c>
      <c r="J39" s="711" t="s">
        <v>374</v>
      </c>
      <c r="K39" s="711" t="s">
        <v>1808</v>
      </c>
      <c r="L39" s="729" t="s">
        <v>2258</v>
      </c>
      <c r="M39" s="1271">
        <v>46063</v>
      </c>
      <c r="N39" s="715" t="s">
        <v>2065</v>
      </c>
      <c r="O39" s="715" t="s">
        <v>2065</v>
      </c>
      <c r="P39" s="711" t="s">
        <v>1</v>
      </c>
      <c r="Q39" s="734">
        <v>95.02</v>
      </c>
      <c r="R39" s="735">
        <v>0</v>
      </c>
      <c r="S39" s="735">
        <v>0</v>
      </c>
      <c r="T39" s="115">
        <f>SUM(mFEV17[[#This Row],[PRINCIPAL]:[JUROS]])</f>
        <v>95.02</v>
      </c>
      <c r="V39" s="115"/>
    </row>
    <row r="40" spans="2:22" ht="21" customHeight="1">
      <c r="B40" s="1167" t="str">
        <f t="shared" si="2"/>
        <v>3/26</v>
      </c>
      <c r="C40" s="731" t="str">
        <f>VLOOKUP(mFEV17[[#This Row],[CÓDIGO CONTABIL]],Contas_Gerencial[#All],3,FALSE)</f>
        <v>DESPESAS FIXAS</v>
      </c>
      <c r="D40" s="1165" t="str">
        <f>VLOOKUP(mFEV17[[#This Row],[DESCRIÇÃO CONTABIL]],Contas_Gerencial[[#All],[DESCRIÇÃO DA CONTA - NÃO UTILIZAR]:[Código2]],2,FALSE)</f>
        <v>20.02.007</v>
      </c>
      <c r="E40" s="712" t="s">
        <v>26</v>
      </c>
      <c r="F40" s="712" t="s">
        <v>41</v>
      </c>
      <c r="G40" s="733" t="s">
        <v>595</v>
      </c>
      <c r="H40" s="712" t="s">
        <v>1807</v>
      </c>
      <c r="I40" s="716">
        <v>230226</v>
      </c>
      <c r="J40" s="711" t="s">
        <v>405</v>
      </c>
      <c r="K40" s="711" t="s">
        <v>1861</v>
      </c>
      <c r="L40" s="729" t="s">
        <v>2258</v>
      </c>
      <c r="M40" s="1271">
        <v>46063</v>
      </c>
      <c r="N40" s="715" t="s">
        <v>2065</v>
      </c>
      <c r="O40" s="715" t="s">
        <v>2065</v>
      </c>
      <c r="P40" s="711" t="s">
        <v>1</v>
      </c>
      <c r="Q40" s="734">
        <v>139.94999999999999</v>
      </c>
      <c r="R40" s="735">
        <v>0</v>
      </c>
      <c r="S40" s="735">
        <v>0</v>
      </c>
      <c r="T40" s="115">
        <f>SUM(mFEV17[[#This Row],[PRINCIPAL]:[JUROS]])</f>
        <v>139.94999999999999</v>
      </c>
      <c r="V40" s="115"/>
    </row>
    <row r="41" spans="2:22" ht="21" customHeight="1">
      <c r="B41" s="1167" t="str">
        <f t="shared" si="2"/>
        <v>3/26</v>
      </c>
      <c r="C41" s="731" t="str">
        <f>VLOOKUP(mFEV17[[#This Row],[CÓDIGO CONTABIL]],Contas_Gerencial[#All],3,FALSE)</f>
        <v>DESPESAS FIXAS</v>
      </c>
      <c r="D41" s="1165" t="str">
        <f>VLOOKUP(mFEV17[[#This Row],[DESCRIÇÃO CONTABIL]],Contas_Gerencial[[#All],[DESCRIÇÃO DA CONTA - NÃO UTILIZAR]:[Código2]],2,FALSE)</f>
        <v>20.02.004</v>
      </c>
      <c r="E41" s="711" t="s">
        <v>404</v>
      </c>
      <c r="F41" s="711" t="s">
        <v>41</v>
      </c>
      <c r="G41" s="711" t="s">
        <v>595</v>
      </c>
      <c r="H41" s="711" t="s">
        <v>1807</v>
      </c>
      <c r="I41" s="716">
        <v>108790221</v>
      </c>
      <c r="J41" s="711" t="s">
        <v>1160</v>
      </c>
      <c r="K41" s="711" t="s">
        <v>2282</v>
      </c>
      <c r="L41" s="729" t="s">
        <v>2258</v>
      </c>
      <c r="M41" s="1271">
        <v>46017</v>
      </c>
      <c r="N41" s="715" t="s">
        <v>2065</v>
      </c>
      <c r="O41" s="715" t="s">
        <v>2065</v>
      </c>
      <c r="P41" s="711" t="s">
        <v>1</v>
      </c>
      <c r="Q41" s="717">
        <v>221.81</v>
      </c>
      <c r="R41" s="730">
        <v>0</v>
      </c>
      <c r="S41" s="730">
        <v>0</v>
      </c>
      <c r="T41" s="115">
        <f>SUM(mFEV17[[#This Row],[PRINCIPAL]:[JUROS]])</f>
        <v>221.81</v>
      </c>
      <c r="V41" s="115"/>
    </row>
    <row r="42" spans="2:22" ht="21" customHeight="1">
      <c r="B42" s="1167" t="str">
        <f t="shared" si="2"/>
        <v>3/26</v>
      </c>
      <c r="C42" s="731" t="str">
        <f>VLOOKUP(mFEV17[[#This Row],[CÓDIGO CONTABIL]],Contas_Gerencial[#All],3,FALSE)</f>
        <v>DESPESAS FIXAS</v>
      </c>
      <c r="D42" s="1165" t="str">
        <f>VLOOKUP(mFEV17[[#This Row],[DESCRIÇÃO CONTABIL]],Contas_Gerencial[[#All],[DESCRIÇÃO DA CONTA - NÃO UTILIZAR]:[Código2]],2,FALSE)</f>
        <v>20.02.004</v>
      </c>
      <c r="E42" s="711" t="s">
        <v>404</v>
      </c>
      <c r="F42" s="711" t="s">
        <v>41</v>
      </c>
      <c r="G42" s="711" t="s">
        <v>595</v>
      </c>
      <c r="H42" s="711" t="s">
        <v>1807</v>
      </c>
      <c r="I42" s="716">
        <v>110679754</v>
      </c>
      <c r="J42" s="711" t="s">
        <v>1160</v>
      </c>
      <c r="K42" s="711" t="s">
        <v>2495</v>
      </c>
      <c r="L42" s="729" t="s">
        <v>2258</v>
      </c>
      <c r="M42" s="1271">
        <v>46065</v>
      </c>
      <c r="N42" s="715" t="s">
        <v>2065</v>
      </c>
      <c r="O42" s="715" t="s">
        <v>2065</v>
      </c>
      <c r="P42" s="711" t="s">
        <v>1</v>
      </c>
      <c r="Q42" s="717">
        <v>66.540000000000006</v>
      </c>
      <c r="R42" s="730">
        <v>0</v>
      </c>
      <c r="S42" s="730">
        <v>0</v>
      </c>
      <c r="T42" s="115">
        <f>SUM(mFEV17[[#This Row],[PRINCIPAL]:[JUROS]])</f>
        <v>66.540000000000006</v>
      </c>
      <c r="V42" s="115"/>
    </row>
    <row r="43" spans="2:22" ht="21" customHeight="1">
      <c r="B43" s="739" t="s">
        <v>5</v>
      </c>
      <c r="C43" s="739" t="s">
        <v>5</v>
      </c>
      <c r="D43" s="1166" t="e">
        <f>VLOOKUP(mFEV17[[#This Row],[DESCRIÇÃO CONTABIL]],Contas_Gerencial[[#All],[DESCRIÇÃO DA CONTA - NÃO UTILIZAR]:[Código2]],2,FALSE)</f>
        <v>#N/A</v>
      </c>
      <c r="E43" s="739"/>
      <c r="F43" s="739"/>
      <c r="G43" s="739"/>
      <c r="H43" s="739"/>
      <c r="I43" s="739"/>
      <c r="J43" s="739"/>
      <c r="K43" s="739"/>
      <c r="L43" s="739"/>
      <c r="M43" s="1284"/>
      <c r="N43" s="739"/>
      <c r="O43" s="739"/>
      <c r="P43" s="739"/>
      <c r="Q43" s="739"/>
      <c r="R43" s="739"/>
      <c r="S43" s="739"/>
      <c r="T43" s="1171"/>
      <c r="V43" s="115"/>
    </row>
    <row r="44" spans="2:22" ht="21" customHeight="1">
      <c r="B44" s="1168" t="str">
        <f>B42</f>
        <v>3/26</v>
      </c>
      <c r="C44" s="472" t="str">
        <f>VLOOKUP(mFEV17[[#This Row],[CÓDIGO CONTABIL]],Contas_Gerencial[#All],3,FALSE)</f>
        <v>RECEITA SUBCONTA</v>
      </c>
      <c r="D44" s="445" t="str">
        <f>VLOOKUP(mFEV17[[#This Row],[DESCRIÇÃO CONTABIL]],Contas_Gerencial[[#All],[DESCRIÇÃO DA CONTA - NÃO UTILIZAR]:[Código2]],2,FALSE)</f>
        <v>10.01.001</v>
      </c>
      <c r="E44" s="473" t="s">
        <v>90</v>
      </c>
      <c r="F44" s="473" t="s">
        <v>41</v>
      </c>
      <c r="G44" s="473" t="s">
        <v>982</v>
      </c>
      <c r="H44" s="473" t="s">
        <v>1788</v>
      </c>
      <c r="I44" s="474" t="s">
        <v>2065</v>
      </c>
      <c r="J44" s="472" t="s">
        <v>41</v>
      </c>
      <c r="K44" s="472" t="s">
        <v>1792</v>
      </c>
      <c r="L44" s="475" t="s">
        <v>2258</v>
      </c>
      <c r="M44" s="1270">
        <v>46081</v>
      </c>
      <c r="N44" s="476">
        <v>46086</v>
      </c>
      <c r="O44" s="457">
        <v>46087</v>
      </c>
      <c r="P44" s="452" t="s">
        <v>214</v>
      </c>
      <c r="Q44" s="483">
        <v>7054</v>
      </c>
      <c r="R44" s="479">
        <v>0</v>
      </c>
      <c r="S44" s="479">
        <v>0</v>
      </c>
      <c r="T44" s="1169">
        <f>SUM(mFEV17[[#This Row],[PRINCIPAL]:[JUROS]])</f>
        <v>7054</v>
      </c>
      <c r="V44" s="115"/>
    </row>
    <row r="45" spans="2:22" ht="21" customHeight="1">
      <c r="B45" s="1167" t="str">
        <f t="shared" si="2"/>
        <v>3/26</v>
      </c>
      <c r="C45" s="731" t="str">
        <f>VLOOKUP(mFEV17[[#This Row],[CÓDIGO CONTABIL]],Contas_Gerencial[#All],3,FALSE)</f>
        <v>TRIBUTOS</v>
      </c>
      <c r="D45" s="1165" t="str">
        <f>VLOOKUP(mFEV17[[#This Row],[DESCRIÇÃO CONTABIL]],Contas_Gerencial[[#All],[DESCRIÇÃO DA CONTA - NÃO UTILIZAR]:[Código2]],2,FALSE)</f>
        <v>20.08.008</v>
      </c>
      <c r="E45" s="712" t="s">
        <v>2650</v>
      </c>
      <c r="F45" s="713" t="s">
        <v>41</v>
      </c>
      <c r="G45" s="733" t="s">
        <v>982</v>
      </c>
      <c r="H45" s="713" t="s">
        <v>1788</v>
      </c>
      <c r="I45" s="716" t="s">
        <v>2065</v>
      </c>
      <c r="J45" s="711" t="s">
        <v>378</v>
      </c>
      <c r="K45" s="711" t="s">
        <v>2087</v>
      </c>
      <c r="L45" s="714" t="s">
        <v>2258</v>
      </c>
      <c r="M45" s="1271">
        <v>46081</v>
      </c>
      <c r="N45" s="715">
        <v>46101</v>
      </c>
      <c r="O45" s="715" t="s">
        <v>2065</v>
      </c>
      <c r="P45" s="711" t="s">
        <v>214</v>
      </c>
      <c r="Q45" s="862">
        <f>45.85+211.62+70.54</f>
        <v>328.01000000000005</v>
      </c>
      <c r="R45" s="862">
        <v>0</v>
      </c>
      <c r="S45" s="862">
        <v>0</v>
      </c>
      <c r="T45" s="115">
        <f>SUM(mFEV17[[#This Row],[PRINCIPAL]:[JUROS]])</f>
        <v>328.01000000000005</v>
      </c>
      <c r="V45" s="115"/>
    </row>
    <row r="46" spans="2:22" ht="21" customHeight="1">
      <c r="B46" s="1167" t="str">
        <f t="shared" si="2"/>
        <v>3/26</v>
      </c>
      <c r="C46" s="731" t="str">
        <f>VLOOKUP(mFEV17[[#This Row],[CÓDIGO CONTABIL]],Contas_Gerencial[#All],3,FALSE)</f>
        <v>ENCARGOS</v>
      </c>
      <c r="D46" s="1165" t="str">
        <f>VLOOKUP(mFEV17[[#This Row],[DESCRIÇÃO CONTABIL]],Contas_Gerencial[[#All],[DESCRIÇÃO DA CONTA - NÃO UTILIZAR]:[Código2]],2,FALSE)</f>
        <v>20.04.004</v>
      </c>
      <c r="E46" s="712" t="s">
        <v>2651</v>
      </c>
      <c r="F46" s="713" t="s">
        <v>41</v>
      </c>
      <c r="G46" s="733" t="s">
        <v>982</v>
      </c>
      <c r="H46" s="713" t="s">
        <v>1788</v>
      </c>
      <c r="I46" s="716" t="s">
        <v>2065</v>
      </c>
      <c r="J46" s="711" t="s">
        <v>264</v>
      </c>
      <c r="K46" s="711" t="s">
        <v>2113</v>
      </c>
      <c r="L46" s="714" t="s">
        <v>2258</v>
      </c>
      <c r="M46" s="1271">
        <v>46081</v>
      </c>
      <c r="N46" s="715">
        <v>46101</v>
      </c>
      <c r="O46" s="715" t="s">
        <v>2065</v>
      </c>
      <c r="P46" s="711" t="s">
        <v>214</v>
      </c>
      <c r="Q46" s="861">
        <v>422.58</v>
      </c>
      <c r="R46" s="862">
        <v>0</v>
      </c>
      <c r="S46" s="862">
        <v>0</v>
      </c>
      <c r="T46" s="115">
        <f>SUM(mFEV17[[#This Row],[PRINCIPAL]:[JUROS]])</f>
        <v>422.58</v>
      </c>
      <c r="V46" s="115"/>
    </row>
    <row r="47" spans="2:22" ht="21" customHeight="1">
      <c r="B47" s="1167" t="str">
        <f t="shared" si="2"/>
        <v>3/26</v>
      </c>
      <c r="C47" s="731" t="str">
        <f>VLOOKUP(mFEV17[[#This Row],[CÓDIGO CONTABIL]],Contas_Gerencial[#All],3,FALSE)</f>
        <v>TRIBUTOS</v>
      </c>
      <c r="D47" s="1165" t="str">
        <f>VLOOKUP(mFEV17[[#This Row],[DESCRIÇÃO CONTABIL]],Contas_Gerencial[[#All],[DESCRIÇÃO DA CONTA - NÃO UTILIZAR]:[Código2]],2,FALSE)</f>
        <v>20.08.005</v>
      </c>
      <c r="E47" s="713" t="s">
        <v>2649</v>
      </c>
      <c r="F47" s="712" t="s">
        <v>41</v>
      </c>
      <c r="G47" s="733" t="s">
        <v>982</v>
      </c>
      <c r="H47" s="713" t="s">
        <v>1788</v>
      </c>
      <c r="I47" s="716" t="s">
        <v>2065</v>
      </c>
      <c r="J47" s="711" t="s">
        <v>378</v>
      </c>
      <c r="K47" s="711" t="s">
        <v>2086</v>
      </c>
      <c r="L47" s="714" t="s">
        <v>2258</v>
      </c>
      <c r="M47" s="1271">
        <v>46081</v>
      </c>
      <c r="N47" s="715">
        <v>46101</v>
      </c>
      <c r="O47" s="715" t="s">
        <v>2065</v>
      </c>
      <c r="P47" s="711" t="s">
        <v>1</v>
      </c>
      <c r="Q47" s="730">
        <v>70.540000000000006</v>
      </c>
      <c r="R47" s="730">
        <v>0</v>
      </c>
      <c r="S47" s="730">
        <v>0</v>
      </c>
      <c r="T47" s="115">
        <f>SUM(mFEV17[[#This Row],[PRINCIPAL]:[JUROS]])</f>
        <v>70.540000000000006</v>
      </c>
      <c r="V47" s="115"/>
    </row>
    <row r="48" spans="2:22" ht="21" customHeight="1">
      <c r="B48" s="1167" t="str">
        <f t="shared" si="2"/>
        <v>3/26</v>
      </c>
      <c r="C48" s="731" t="str">
        <f>VLOOKUP(mFEV17[[#This Row],[CÓDIGO CONTABIL]],Contas_Gerencial[#All],3,FALSE)</f>
        <v>TRIBUTOS</v>
      </c>
      <c r="D48" s="1165" t="str">
        <f>VLOOKUP(mFEV17[[#This Row],[DESCRIÇÃO CONTABIL]],Contas_Gerencial[[#All],[DESCRIÇÃO DA CONTA - NÃO UTILIZAR]:[Código2]],2,FALSE)</f>
        <v>20.08.004</v>
      </c>
      <c r="E48" s="712" t="s">
        <v>2648</v>
      </c>
      <c r="F48" s="713" t="s">
        <v>41</v>
      </c>
      <c r="G48" s="733" t="s">
        <v>982</v>
      </c>
      <c r="H48" s="713" t="s">
        <v>1788</v>
      </c>
      <c r="I48" s="716" t="s">
        <v>2065</v>
      </c>
      <c r="J48" s="711" t="s">
        <v>378</v>
      </c>
      <c r="K48" s="711" t="s">
        <v>2085</v>
      </c>
      <c r="L48" s="714" t="s">
        <v>2258</v>
      </c>
      <c r="M48" s="1271">
        <v>46081</v>
      </c>
      <c r="N48" s="715">
        <v>46101</v>
      </c>
      <c r="O48" s="1271">
        <v>46081</v>
      </c>
      <c r="P48" s="711" t="s">
        <v>214</v>
      </c>
      <c r="Q48" s="862">
        <v>352.7</v>
      </c>
      <c r="R48" s="862">
        <v>0</v>
      </c>
      <c r="S48" s="862">
        <v>0</v>
      </c>
      <c r="T48" s="115">
        <f>SUM(mFEV17[[#This Row],[PRINCIPAL]:[JUROS]])</f>
        <v>352.7</v>
      </c>
      <c r="V48" s="115"/>
    </row>
    <row r="49" spans="2:22" ht="21" customHeight="1">
      <c r="B49" s="1167" t="str">
        <f t="shared" si="2"/>
        <v>3/26</v>
      </c>
      <c r="C49" s="731" t="str">
        <f>VLOOKUP(mFEV17[[#This Row],[CÓDIGO CONTABIL]],Contas_Gerencial[#All],3,FALSE)</f>
        <v>FOLHA DE PAGAMENTO</v>
      </c>
      <c r="D49" s="1165" t="str">
        <f>VLOOKUP(mFEV17[[#This Row],[DESCRIÇÃO CONTABIL]],Contas_Gerencial[[#All],[DESCRIÇÃO DA CONTA - NÃO UTILIZAR]:[Código2]],2,FALSE)</f>
        <v>20.05.021</v>
      </c>
      <c r="E49" s="712" t="s">
        <v>59</v>
      </c>
      <c r="F49" s="712" t="s">
        <v>581</v>
      </c>
      <c r="G49" s="713" t="s">
        <v>982</v>
      </c>
      <c r="H49" s="712" t="s">
        <v>1791</v>
      </c>
      <c r="I49" s="716" t="s">
        <v>2065</v>
      </c>
      <c r="J49" s="711" t="s">
        <v>581</v>
      </c>
      <c r="K49" s="711" t="s">
        <v>1790</v>
      </c>
      <c r="L49" s="714" t="s">
        <v>2258</v>
      </c>
      <c r="M49" s="1271">
        <v>46081</v>
      </c>
      <c r="N49" s="715">
        <v>46086</v>
      </c>
      <c r="O49" s="715">
        <v>46086</v>
      </c>
      <c r="P49" s="711" t="s">
        <v>1</v>
      </c>
      <c r="Q49" s="861">
        <v>1805.69</v>
      </c>
      <c r="R49" s="735">
        <v>0</v>
      </c>
      <c r="S49" s="735">
        <v>0</v>
      </c>
      <c r="T49" s="115">
        <f>SUM(mFEV17[[#This Row],[PRINCIPAL]:[JUROS]])</f>
        <v>1805.69</v>
      </c>
      <c r="V49" s="115"/>
    </row>
    <row r="50" spans="2:22" ht="21" customHeight="1">
      <c r="B50" s="1167" t="str">
        <f t="shared" si="2"/>
        <v>3/26</v>
      </c>
      <c r="C50" s="731" t="str">
        <f>VLOOKUP(mFEV17[[#This Row],[CÓDIGO CONTABIL]],Contas_Gerencial[#All],3,FALSE)</f>
        <v>ENCARGOS</v>
      </c>
      <c r="D50" s="1165" t="str">
        <f>VLOOKUP(mFEV17[[#This Row],[DESCRIÇÃO CONTABIL]],Contas_Gerencial[[#All],[DESCRIÇÃO DA CONTA - NÃO UTILIZAR]:[Código2]],2,FALSE)</f>
        <v>20.04.006</v>
      </c>
      <c r="E50" s="712" t="s">
        <v>1180</v>
      </c>
      <c r="F50" s="712" t="s">
        <v>581</v>
      </c>
      <c r="G50" s="733" t="s">
        <v>982</v>
      </c>
      <c r="H50" s="712" t="s">
        <v>1180</v>
      </c>
      <c r="I50" s="716" t="s">
        <v>2065</v>
      </c>
      <c r="J50" s="711" t="s">
        <v>384</v>
      </c>
      <c r="K50" s="712" t="s">
        <v>1180</v>
      </c>
      <c r="L50" s="714" t="s">
        <v>2258</v>
      </c>
      <c r="M50" s="1271">
        <v>46081</v>
      </c>
      <c r="N50" s="715">
        <v>46101</v>
      </c>
      <c r="O50" s="715" t="s">
        <v>2065</v>
      </c>
      <c r="P50" s="711" t="s">
        <v>1</v>
      </c>
      <c r="Q50" s="861">
        <v>172.65</v>
      </c>
      <c r="R50" s="735">
        <v>0</v>
      </c>
      <c r="S50" s="735">
        <v>0</v>
      </c>
      <c r="T50" s="115">
        <f>SUM(mFEV17[[#This Row],[PRINCIPAL]:[JUROS]])</f>
        <v>172.65</v>
      </c>
      <c r="V50" s="115"/>
    </row>
    <row r="51" spans="2:22" ht="21" customHeight="1">
      <c r="B51" s="1167" t="str">
        <f t="shared" si="2"/>
        <v>3/26</v>
      </c>
      <c r="C51" s="731" t="str">
        <f>VLOOKUP(mFEV17[[#This Row],[CÓDIGO CONTABIL]],Contas_Gerencial[#All],3,FALSE)</f>
        <v>ENCARGOS</v>
      </c>
      <c r="D51" s="1165" t="str">
        <f>VLOOKUP(mFEV17[[#This Row],[DESCRIÇÃO CONTABIL]],Contas_Gerencial[[#All],[DESCRIÇÃO DA CONTA - NÃO UTILIZAR]:[Código2]],2,FALSE)</f>
        <v>20.04.001</v>
      </c>
      <c r="E51" s="712" t="s">
        <v>2659</v>
      </c>
      <c r="F51" s="712" t="s">
        <v>581</v>
      </c>
      <c r="G51" s="733" t="s">
        <v>982</v>
      </c>
      <c r="H51" s="713" t="s">
        <v>1788</v>
      </c>
      <c r="I51" s="716" t="s">
        <v>2065</v>
      </c>
      <c r="J51" s="711" t="s">
        <v>757</v>
      </c>
      <c r="K51" s="711" t="s">
        <v>2089</v>
      </c>
      <c r="L51" s="714" t="s">
        <v>2258</v>
      </c>
      <c r="M51" s="1271">
        <v>46081</v>
      </c>
      <c r="N51" s="715">
        <v>46101</v>
      </c>
      <c r="O51" s="715" t="s">
        <v>2065</v>
      </c>
      <c r="P51" s="711" t="s">
        <v>1</v>
      </c>
      <c r="Q51" s="861">
        <v>169.92</v>
      </c>
      <c r="R51" s="862">
        <v>0</v>
      </c>
      <c r="S51" s="862">
        <v>0</v>
      </c>
      <c r="T51" s="115">
        <f>SUM(mFEV17[[#This Row],[PRINCIPAL]:[JUROS]])</f>
        <v>169.92</v>
      </c>
      <c r="V51" s="115"/>
    </row>
    <row r="52" spans="2:22" ht="21" customHeight="1">
      <c r="B52" s="1167" t="str">
        <f t="shared" si="2"/>
        <v>3/26</v>
      </c>
      <c r="C52" s="731" t="str">
        <f>VLOOKUP(mFEV17[[#This Row],[CÓDIGO CONTABIL]],Contas_Gerencial[#All],3,FALSE)</f>
        <v>BENEFICIO</v>
      </c>
      <c r="D52" s="1165" t="str">
        <f>VLOOKUP(mFEV17[[#This Row],[DESCRIÇÃO CONTABIL]],Contas_Gerencial[[#All],[DESCRIÇÃO DA CONTA - NÃO UTILIZAR]:[Código2]],2,FALSE)</f>
        <v>20.05.006</v>
      </c>
      <c r="E52" s="733" t="s">
        <v>24</v>
      </c>
      <c r="F52" s="712" t="s">
        <v>581</v>
      </c>
      <c r="G52" s="712" t="s">
        <v>982</v>
      </c>
      <c r="H52" s="712" t="s">
        <v>1791</v>
      </c>
      <c r="I52" s="716" t="s">
        <v>2065</v>
      </c>
      <c r="J52" s="711" t="s">
        <v>581</v>
      </c>
      <c r="K52" s="711" t="s">
        <v>2590</v>
      </c>
      <c r="L52" s="729" t="s">
        <v>2591</v>
      </c>
      <c r="M52" s="1271">
        <v>46101</v>
      </c>
      <c r="N52" s="715">
        <v>46101</v>
      </c>
      <c r="O52" s="715" t="s">
        <v>2065</v>
      </c>
      <c r="P52" s="712" t="s">
        <v>1</v>
      </c>
      <c r="Q52" s="730">
        <v>324.66000000000003</v>
      </c>
      <c r="R52" s="730">
        <v>0</v>
      </c>
      <c r="S52" s="730">
        <v>0</v>
      </c>
      <c r="T52" s="115">
        <f>SUM(mFEV17[[#This Row],[PRINCIPAL]:[JUROS]])</f>
        <v>324.66000000000003</v>
      </c>
      <c r="V52" s="115"/>
    </row>
    <row r="53" spans="2:22" ht="21" customHeight="1">
      <c r="B53" s="1167" t="str">
        <f t="shared" si="2"/>
        <v>3/26</v>
      </c>
      <c r="C53" s="731" t="str">
        <f>VLOOKUP(mFEV17[[#This Row],[CÓDIGO CONTABIL]],Contas_Gerencial[#All],3,FALSE)</f>
        <v>BENEFICIO</v>
      </c>
      <c r="D53" s="1165" t="str">
        <f>VLOOKUP(mFEV17[[#This Row],[DESCRIÇÃO CONTABIL]],Contas_Gerencial[[#All],[DESCRIÇÃO DA CONTA - NÃO UTILIZAR]:[Código2]],2,FALSE)</f>
        <v>20.05.007</v>
      </c>
      <c r="E53" s="733" t="s">
        <v>25</v>
      </c>
      <c r="F53" s="712" t="s">
        <v>581</v>
      </c>
      <c r="G53" s="712" t="s">
        <v>982</v>
      </c>
      <c r="H53" s="712" t="s">
        <v>1791</v>
      </c>
      <c r="I53" s="716" t="s">
        <v>2065</v>
      </c>
      <c r="J53" s="711" t="s">
        <v>581</v>
      </c>
      <c r="K53" s="711" t="s">
        <v>2590</v>
      </c>
      <c r="L53" s="729" t="s">
        <v>2591</v>
      </c>
      <c r="M53" s="1271">
        <v>46101</v>
      </c>
      <c r="N53" s="715">
        <v>46101</v>
      </c>
      <c r="O53" s="715" t="s">
        <v>2065</v>
      </c>
      <c r="P53" s="712" t="s">
        <v>1</v>
      </c>
      <c r="Q53" s="730">
        <v>37.799999999999997</v>
      </c>
      <c r="R53" s="730">
        <v>0</v>
      </c>
      <c r="S53" s="730">
        <v>0</v>
      </c>
      <c r="T53" s="115">
        <f>SUM(mFEV17[[#This Row],[PRINCIPAL]:[JUROS]])</f>
        <v>37.799999999999997</v>
      </c>
      <c r="V53" s="115"/>
    </row>
    <row r="54" spans="2:22" ht="21" customHeight="1">
      <c r="B54" s="1168" t="str">
        <f t="shared" si="2"/>
        <v>3/26</v>
      </c>
      <c r="C54" s="472" t="str">
        <f>VLOOKUP(mFEV17[[#This Row],[CÓDIGO CONTABIL]],Contas_Gerencial[#All],3,FALSE)</f>
        <v>RECEITA SUBCONTA</v>
      </c>
      <c r="D54" s="445" t="str">
        <f>VLOOKUP(mFEV17[[#This Row],[DESCRIÇÃO CONTABIL]],Contas_Gerencial[[#All],[DESCRIÇÃO DA CONTA - NÃO UTILIZAR]:[Código2]],2,FALSE)</f>
        <v>10.01.001</v>
      </c>
      <c r="E54" s="473" t="s">
        <v>90</v>
      </c>
      <c r="F54" s="473" t="s">
        <v>41</v>
      </c>
      <c r="G54" s="473" t="s">
        <v>1081</v>
      </c>
      <c r="H54" s="473" t="s">
        <v>1788</v>
      </c>
      <c r="I54" s="474" t="s">
        <v>2065</v>
      </c>
      <c r="J54" s="472" t="s">
        <v>41</v>
      </c>
      <c r="K54" s="472" t="s">
        <v>1792</v>
      </c>
      <c r="L54" s="475" t="s">
        <v>2258</v>
      </c>
      <c r="M54" s="1270">
        <v>46081</v>
      </c>
      <c r="N54" s="476">
        <v>46096</v>
      </c>
      <c r="O54" s="476" t="s">
        <v>2065</v>
      </c>
      <c r="P54" s="452" t="s">
        <v>215</v>
      </c>
      <c r="Q54" s="478">
        <v>7388</v>
      </c>
      <c r="R54" s="479">
        <v>0</v>
      </c>
      <c r="S54" s="479">
        <v>0</v>
      </c>
      <c r="T54" s="1169">
        <f>SUM(mFEV17[[#This Row],[PRINCIPAL]:[JUROS]])</f>
        <v>7388</v>
      </c>
      <c r="V54" s="115"/>
    </row>
    <row r="55" spans="2:22" ht="21" customHeight="1">
      <c r="B55" s="1167" t="str">
        <f t="shared" si="2"/>
        <v>3/26</v>
      </c>
      <c r="C55" s="731" t="str">
        <f>VLOOKUP(mFEV17[[#This Row],[CÓDIGO CONTABIL]],Contas_Gerencial[#All],3,FALSE)</f>
        <v>TRIBUTOS</v>
      </c>
      <c r="D55" s="1165" t="str">
        <f>VLOOKUP(mFEV17[[#This Row],[DESCRIÇÃO CONTABIL]],Contas_Gerencial[[#All],[DESCRIÇÃO DA CONTA - NÃO UTILIZAR]:[Código2]],2,FALSE)</f>
        <v>20.08.008</v>
      </c>
      <c r="E55" s="712" t="s">
        <v>2650</v>
      </c>
      <c r="F55" s="713" t="s">
        <v>41</v>
      </c>
      <c r="G55" s="733" t="s">
        <v>1081</v>
      </c>
      <c r="H55" s="713" t="s">
        <v>1788</v>
      </c>
      <c r="I55" s="716" t="s">
        <v>2065</v>
      </c>
      <c r="J55" s="711" t="s">
        <v>378</v>
      </c>
      <c r="K55" s="711" t="s">
        <v>2087</v>
      </c>
      <c r="L55" s="714" t="s">
        <v>2258</v>
      </c>
      <c r="M55" s="1271">
        <v>46081</v>
      </c>
      <c r="N55" s="715">
        <v>46101</v>
      </c>
      <c r="O55" s="715" t="s">
        <v>2065</v>
      </c>
      <c r="P55" s="711" t="s">
        <v>214</v>
      </c>
      <c r="Q55" s="862">
        <f>48.02+221.64+73.88</f>
        <v>343.53999999999996</v>
      </c>
      <c r="R55" s="862">
        <v>0</v>
      </c>
      <c r="S55" s="862">
        <v>0</v>
      </c>
      <c r="T55" s="115">
        <f>SUM(mFEV17[[#This Row],[PRINCIPAL]:[JUROS]])</f>
        <v>343.53999999999996</v>
      </c>
      <c r="V55" s="115"/>
    </row>
    <row r="56" spans="2:22" ht="21" customHeight="1">
      <c r="B56" s="1167" t="str">
        <f t="shared" si="2"/>
        <v>3/26</v>
      </c>
      <c r="C56" s="731" t="str">
        <f>VLOOKUP(mFEV17[[#This Row],[CÓDIGO CONTABIL]],Contas_Gerencial[#All],3,FALSE)</f>
        <v>ENCARGOS</v>
      </c>
      <c r="D56" s="1165" t="str">
        <f>VLOOKUP(mFEV17[[#This Row],[DESCRIÇÃO CONTABIL]],Contas_Gerencial[[#All],[DESCRIÇÃO DA CONTA - NÃO UTILIZAR]:[Código2]],2,FALSE)</f>
        <v>20.04.004</v>
      </c>
      <c r="E56" s="712" t="s">
        <v>2651</v>
      </c>
      <c r="F56" s="713" t="s">
        <v>41</v>
      </c>
      <c r="G56" s="733" t="s">
        <v>1081</v>
      </c>
      <c r="H56" s="713" t="s">
        <v>1788</v>
      </c>
      <c r="I56" s="716" t="s">
        <v>2065</v>
      </c>
      <c r="J56" s="711" t="s">
        <v>264</v>
      </c>
      <c r="K56" s="711" t="s">
        <v>2113</v>
      </c>
      <c r="L56" s="714" t="s">
        <v>2258</v>
      </c>
      <c r="M56" s="1271">
        <v>46081</v>
      </c>
      <c r="N56" s="715">
        <v>46101</v>
      </c>
      <c r="O56" s="715" t="s">
        <v>2065</v>
      </c>
      <c r="P56" s="711" t="s">
        <v>214</v>
      </c>
      <c r="Q56" s="861">
        <v>459.32</v>
      </c>
      <c r="R56" s="862">
        <v>0</v>
      </c>
      <c r="S56" s="862">
        <v>0</v>
      </c>
      <c r="T56" s="115">
        <f>SUM(mFEV17[[#This Row],[PRINCIPAL]:[JUROS]])</f>
        <v>459.32</v>
      </c>
      <c r="V56" s="115"/>
    </row>
    <row r="57" spans="2:22" ht="21" customHeight="1">
      <c r="B57" s="1167" t="str">
        <f t="shared" si="2"/>
        <v>3/26</v>
      </c>
      <c r="C57" s="731" t="str">
        <f>VLOOKUP(mFEV17[[#This Row],[CÓDIGO CONTABIL]],Contas_Gerencial[#All],3,FALSE)</f>
        <v>TRIBUTOS</v>
      </c>
      <c r="D57" s="1165" t="str">
        <f>VLOOKUP(mFEV17[[#This Row],[DESCRIÇÃO CONTABIL]],Contas_Gerencial[[#All],[DESCRIÇÃO DA CONTA - NÃO UTILIZAR]:[Código2]],2,FALSE)</f>
        <v>20.08.005</v>
      </c>
      <c r="E57" s="713" t="s">
        <v>2649</v>
      </c>
      <c r="F57" s="712" t="s">
        <v>41</v>
      </c>
      <c r="G57" s="733" t="s">
        <v>1081</v>
      </c>
      <c r="H57" s="713" t="s">
        <v>1788</v>
      </c>
      <c r="I57" s="716" t="s">
        <v>2065</v>
      </c>
      <c r="J57" s="711" t="s">
        <v>378</v>
      </c>
      <c r="K57" s="711" t="s">
        <v>2086</v>
      </c>
      <c r="L57" s="714" t="s">
        <v>2258</v>
      </c>
      <c r="M57" s="1271">
        <v>46081</v>
      </c>
      <c r="N57" s="715">
        <v>46101</v>
      </c>
      <c r="O57" s="715" t="s">
        <v>2065</v>
      </c>
      <c r="P57" s="711" t="s">
        <v>1</v>
      </c>
      <c r="Q57" s="730">
        <v>73.88</v>
      </c>
      <c r="R57" s="730">
        <v>0</v>
      </c>
      <c r="S57" s="730">
        <v>0</v>
      </c>
      <c r="T57" s="115">
        <f>SUM(mFEV17[[#This Row],[PRINCIPAL]:[JUROS]])</f>
        <v>73.88</v>
      </c>
      <c r="V57" s="115"/>
    </row>
    <row r="58" spans="2:22" ht="21" customHeight="1">
      <c r="B58" s="1167" t="str">
        <f t="shared" si="2"/>
        <v>3/26</v>
      </c>
      <c r="C58" s="731" t="str">
        <f>VLOOKUP(mFEV17[[#This Row],[CÓDIGO CONTABIL]],Contas_Gerencial[#All],3,FALSE)</f>
        <v>TRIBUTOS</v>
      </c>
      <c r="D58" s="1165" t="str">
        <f>VLOOKUP(mFEV17[[#This Row],[DESCRIÇÃO CONTABIL]],Contas_Gerencial[[#All],[DESCRIÇÃO DA CONTA - NÃO UTILIZAR]:[Código2]],2,FALSE)</f>
        <v>20.08.004</v>
      </c>
      <c r="E58" s="712" t="s">
        <v>2648</v>
      </c>
      <c r="F58" s="713" t="s">
        <v>41</v>
      </c>
      <c r="G58" s="733" t="s">
        <v>1081</v>
      </c>
      <c r="H58" s="713" t="s">
        <v>1788</v>
      </c>
      <c r="I58" s="716" t="s">
        <v>2065</v>
      </c>
      <c r="J58" s="711" t="s">
        <v>378</v>
      </c>
      <c r="K58" s="711" t="s">
        <v>2085</v>
      </c>
      <c r="L58" s="714" t="s">
        <v>2258</v>
      </c>
      <c r="M58" s="1271">
        <v>46081</v>
      </c>
      <c r="N58" s="715">
        <v>46101</v>
      </c>
      <c r="O58" s="1271">
        <v>46081</v>
      </c>
      <c r="P58" s="711" t="s">
        <v>214</v>
      </c>
      <c r="Q58" s="862">
        <v>369.4</v>
      </c>
      <c r="R58" s="862">
        <v>0</v>
      </c>
      <c r="S58" s="862">
        <v>0</v>
      </c>
      <c r="T58" s="115">
        <f>SUM(mFEV17[[#This Row],[PRINCIPAL]:[JUROS]])</f>
        <v>369.4</v>
      </c>
      <c r="V58" s="115"/>
    </row>
    <row r="59" spans="2:22" ht="21" customHeight="1">
      <c r="B59" s="1167" t="str">
        <f t="shared" si="2"/>
        <v>3/26</v>
      </c>
      <c r="C59" s="731" t="str">
        <f>VLOOKUP(mFEV17[[#This Row],[CÓDIGO CONTABIL]],Contas_Gerencial[#All],3,FALSE)</f>
        <v>FOLHA DE PAGAMENTO</v>
      </c>
      <c r="D59" s="1165" t="str">
        <f>VLOOKUP(mFEV17[[#This Row],[DESCRIÇÃO CONTABIL]],Contas_Gerencial[[#All],[DESCRIÇÃO DA CONTA - NÃO UTILIZAR]:[Código2]],2,FALSE)</f>
        <v>20.05.021</v>
      </c>
      <c r="E59" s="712" t="s">
        <v>59</v>
      </c>
      <c r="F59" s="712" t="s">
        <v>582</v>
      </c>
      <c r="G59" s="713" t="s">
        <v>1081</v>
      </c>
      <c r="H59" s="712" t="s">
        <v>1791</v>
      </c>
      <c r="I59" s="716" t="s">
        <v>2065</v>
      </c>
      <c r="J59" s="712" t="s">
        <v>582</v>
      </c>
      <c r="K59" s="711" t="s">
        <v>1790</v>
      </c>
      <c r="L59" s="714" t="s">
        <v>2258</v>
      </c>
      <c r="M59" s="1271">
        <v>46081</v>
      </c>
      <c r="N59" s="715">
        <v>46086</v>
      </c>
      <c r="O59" s="715" t="s">
        <v>2065</v>
      </c>
      <c r="P59" s="711" t="s">
        <v>1</v>
      </c>
      <c r="Q59" s="1280">
        <v>1804.14</v>
      </c>
      <c r="R59" s="735">
        <v>0</v>
      </c>
      <c r="S59" s="735">
        <v>0</v>
      </c>
      <c r="T59" s="115">
        <f>SUM(mFEV17[[#This Row],[PRINCIPAL]:[JUROS]])</f>
        <v>1804.14</v>
      </c>
      <c r="V59" s="115"/>
    </row>
    <row r="60" spans="2:22" ht="21" customHeight="1">
      <c r="B60" s="1167" t="str">
        <f t="shared" si="2"/>
        <v>3/26</v>
      </c>
      <c r="C60" s="731" t="str">
        <f>VLOOKUP(mFEV17[[#This Row],[CÓDIGO CONTABIL]],Contas_Gerencial[#All],3,FALSE)</f>
        <v>ENCARGOS</v>
      </c>
      <c r="D60" s="1165" t="str">
        <f>VLOOKUP(mFEV17[[#This Row],[DESCRIÇÃO CONTABIL]],Contas_Gerencial[[#All],[DESCRIÇÃO DA CONTA - NÃO UTILIZAR]:[Código2]],2,FALSE)</f>
        <v>20.04.006</v>
      </c>
      <c r="E60" s="712" t="s">
        <v>1180</v>
      </c>
      <c r="F60" s="712" t="s">
        <v>582</v>
      </c>
      <c r="G60" s="733" t="s">
        <v>1081</v>
      </c>
      <c r="H60" s="712" t="s">
        <v>1180</v>
      </c>
      <c r="I60" s="716" t="s">
        <v>2065</v>
      </c>
      <c r="J60" s="711" t="s">
        <v>384</v>
      </c>
      <c r="K60" s="712" t="s">
        <v>1180</v>
      </c>
      <c r="L60" s="714" t="s">
        <v>2258</v>
      </c>
      <c r="M60" s="1271">
        <v>46081</v>
      </c>
      <c r="N60" s="715">
        <v>46101</v>
      </c>
      <c r="O60" s="715" t="s">
        <v>2065</v>
      </c>
      <c r="P60" s="711" t="s">
        <v>1</v>
      </c>
      <c r="Q60" s="1280">
        <v>172.65</v>
      </c>
      <c r="R60" s="735">
        <v>0</v>
      </c>
      <c r="S60" s="735">
        <v>0</v>
      </c>
      <c r="T60" s="115">
        <f>SUM(mFEV17[[#This Row],[PRINCIPAL]:[JUROS]])</f>
        <v>172.65</v>
      </c>
      <c r="V60" s="115"/>
    </row>
    <row r="61" spans="2:22" ht="21" customHeight="1">
      <c r="B61" s="1167" t="str">
        <f t="shared" si="2"/>
        <v>3/26</v>
      </c>
      <c r="C61" s="731" t="str">
        <f>VLOOKUP(mFEV17[[#This Row],[CÓDIGO CONTABIL]],Contas_Gerencial[#All],3,FALSE)</f>
        <v>ENCARGOS</v>
      </c>
      <c r="D61" s="1165" t="str">
        <f>VLOOKUP(mFEV17[[#This Row],[DESCRIÇÃO CONTABIL]],Contas_Gerencial[[#All],[DESCRIÇÃO DA CONTA - NÃO UTILIZAR]:[Código2]],2,FALSE)</f>
        <v>20.04.001</v>
      </c>
      <c r="E61" s="712" t="s">
        <v>2659</v>
      </c>
      <c r="F61" s="712" t="s">
        <v>582</v>
      </c>
      <c r="G61" s="718" t="s">
        <v>1081</v>
      </c>
      <c r="H61" s="711" t="s">
        <v>1788</v>
      </c>
      <c r="I61" s="716" t="s">
        <v>2065</v>
      </c>
      <c r="J61" s="711" t="s">
        <v>757</v>
      </c>
      <c r="K61" s="711" t="s">
        <v>2089</v>
      </c>
      <c r="L61" s="714" t="s">
        <v>2258</v>
      </c>
      <c r="M61" s="1271">
        <v>46081</v>
      </c>
      <c r="N61" s="715">
        <v>46101</v>
      </c>
      <c r="O61" s="715" t="s">
        <v>2065</v>
      </c>
      <c r="P61" s="711" t="s">
        <v>1</v>
      </c>
      <c r="Q61" s="1280">
        <v>171.47</v>
      </c>
      <c r="R61" s="863">
        <v>0</v>
      </c>
      <c r="S61" s="863">
        <v>0</v>
      </c>
      <c r="T61" s="115">
        <f>SUM(mFEV17[[#This Row],[PRINCIPAL]:[JUROS]])</f>
        <v>171.47</v>
      </c>
      <c r="V61" s="115"/>
    </row>
    <row r="62" spans="2:22" ht="21" customHeight="1">
      <c r="B62" s="1167" t="str">
        <f t="shared" si="2"/>
        <v>3/26</v>
      </c>
      <c r="C62" s="731" t="str">
        <f>VLOOKUP(mFEV17[[#This Row],[CÓDIGO CONTABIL]],Contas_Gerencial[#All],3,FALSE)</f>
        <v>BENEFICIO</v>
      </c>
      <c r="D62" s="1165" t="str">
        <f>VLOOKUP(mFEV17[[#This Row],[DESCRIÇÃO CONTABIL]],Contas_Gerencial[[#All],[DESCRIÇÃO DA CONTA - NÃO UTILIZAR]:[Código2]],2,FALSE)</f>
        <v>20.05.006</v>
      </c>
      <c r="E62" s="733" t="s">
        <v>24</v>
      </c>
      <c r="F62" s="712" t="s">
        <v>582</v>
      </c>
      <c r="G62" s="712" t="s">
        <v>1081</v>
      </c>
      <c r="H62" s="712" t="s">
        <v>1791</v>
      </c>
      <c r="I62" s="716" t="s">
        <v>2065</v>
      </c>
      <c r="J62" s="712" t="s">
        <v>582</v>
      </c>
      <c r="K62" s="711" t="s">
        <v>2590</v>
      </c>
      <c r="L62" s="729" t="s">
        <v>2591</v>
      </c>
      <c r="M62" s="1271">
        <v>46101</v>
      </c>
      <c r="N62" s="715">
        <v>46101</v>
      </c>
      <c r="O62" s="715" t="s">
        <v>2065</v>
      </c>
      <c r="P62" s="712" t="s">
        <v>1</v>
      </c>
      <c r="Q62" s="730">
        <v>1113.1200000000001</v>
      </c>
      <c r="R62" s="730">
        <v>0</v>
      </c>
      <c r="S62" s="730">
        <v>0</v>
      </c>
      <c r="T62" s="115">
        <f>SUM(mFEV17[[#This Row],[PRINCIPAL]:[JUROS]])</f>
        <v>1113.1200000000001</v>
      </c>
      <c r="V62" s="115"/>
    </row>
    <row r="63" spans="2:22" ht="21" customHeight="1">
      <c r="B63" s="1167" t="str">
        <f t="shared" si="2"/>
        <v>3/26</v>
      </c>
      <c r="C63" s="731" t="str">
        <f>VLOOKUP(mFEV17[[#This Row],[CÓDIGO CONTABIL]],Contas_Gerencial[#All],3,FALSE)</f>
        <v>BENEFICIO</v>
      </c>
      <c r="D63" s="1165" t="str">
        <f>VLOOKUP(mFEV17[[#This Row],[DESCRIÇÃO CONTABIL]],Contas_Gerencial[[#All],[DESCRIÇÃO DA CONTA - NÃO UTILIZAR]:[Código2]],2,FALSE)</f>
        <v>20.05.007</v>
      </c>
      <c r="E63" s="733" t="s">
        <v>25</v>
      </c>
      <c r="F63" s="712" t="s">
        <v>582</v>
      </c>
      <c r="G63" s="712" t="s">
        <v>1081</v>
      </c>
      <c r="H63" s="712" t="s">
        <v>1791</v>
      </c>
      <c r="I63" s="716" t="s">
        <v>2065</v>
      </c>
      <c r="J63" s="712" t="s">
        <v>582</v>
      </c>
      <c r="K63" s="711" t="s">
        <v>2590</v>
      </c>
      <c r="L63" s="729" t="s">
        <v>2591</v>
      </c>
      <c r="M63" s="1271">
        <v>46101</v>
      </c>
      <c r="N63" s="715">
        <v>46101</v>
      </c>
      <c r="O63" s="715" t="s">
        <v>2065</v>
      </c>
      <c r="P63" s="712" t="s">
        <v>1</v>
      </c>
      <c r="Q63" s="730">
        <v>264</v>
      </c>
      <c r="R63" s="730">
        <v>0</v>
      </c>
      <c r="S63" s="730">
        <v>0</v>
      </c>
      <c r="T63" s="115">
        <f>SUM(mFEV17[[#This Row],[PRINCIPAL]:[JUROS]])</f>
        <v>264</v>
      </c>
    </row>
    <row r="64" spans="2:22" ht="21" customHeight="1">
      <c r="B64" s="1168" t="str">
        <f t="shared" si="2"/>
        <v>3/26</v>
      </c>
      <c r="C64" s="472" t="str">
        <f>VLOOKUP(mFEV17[[#This Row],[CÓDIGO CONTABIL]],Contas_Gerencial[#All],3,FALSE)</f>
        <v>RECEITA SUBCONTA</v>
      </c>
      <c r="D64" s="445" t="str">
        <f>VLOOKUP(mFEV17[[#This Row],[DESCRIÇÃO CONTABIL]],Contas_Gerencial[[#All],[DESCRIÇÃO DA CONTA - NÃO UTILIZAR]:[Código2]],2,FALSE)</f>
        <v>10.01.001</v>
      </c>
      <c r="E64" s="473" t="s">
        <v>90</v>
      </c>
      <c r="F64" s="473" t="s">
        <v>41</v>
      </c>
      <c r="G64" s="473" t="s">
        <v>1767</v>
      </c>
      <c r="H64" s="473" t="s">
        <v>1788</v>
      </c>
      <c r="I64" s="474" t="s">
        <v>2065</v>
      </c>
      <c r="J64" s="472" t="s">
        <v>41</v>
      </c>
      <c r="K64" s="472" t="s">
        <v>1792</v>
      </c>
      <c r="L64" s="475" t="s">
        <v>2258</v>
      </c>
      <c r="M64" s="1270">
        <v>46081</v>
      </c>
      <c r="N64" s="476">
        <v>46091</v>
      </c>
      <c r="O64" s="476" t="s">
        <v>2065</v>
      </c>
      <c r="P64" s="452" t="s">
        <v>215</v>
      </c>
      <c r="Q64" s="478">
        <v>41450</v>
      </c>
      <c r="R64" s="479">
        <v>0</v>
      </c>
      <c r="S64" s="479">
        <v>0</v>
      </c>
      <c r="T64" s="1169">
        <f>SUM(mFEV17[[#This Row],[PRINCIPAL]:[JUROS]])</f>
        <v>41450</v>
      </c>
    </row>
    <row r="65" spans="2:22" ht="21" customHeight="1">
      <c r="B65" s="1167" t="str">
        <f t="shared" si="2"/>
        <v>3/26</v>
      </c>
      <c r="C65" s="731" t="str">
        <f>VLOOKUP(mFEV17[[#This Row],[CÓDIGO CONTABIL]],Contas_Gerencial[#All],3,FALSE)</f>
        <v>TRIBUTOS</v>
      </c>
      <c r="D65" s="1165" t="str">
        <f>VLOOKUP(mFEV17[[#This Row],[DESCRIÇÃO CONTABIL]],Contas_Gerencial[[#All],[DESCRIÇÃO DA CONTA - NÃO UTILIZAR]:[Código2]],2,FALSE)</f>
        <v>20.08.008</v>
      </c>
      <c r="E65" s="712" t="s">
        <v>2650</v>
      </c>
      <c r="F65" s="713" t="s">
        <v>41</v>
      </c>
      <c r="G65" s="733" t="s">
        <v>1767</v>
      </c>
      <c r="H65" s="713" t="s">
        <v>1788</v>
      </c>
      <c r="I65" s="716" t="s">
        <v>2065</v>
      </c>
      <c r="J65" s="711" t="s">
        <v>378</v>
      </c>
      <c r="K65" s="711" t="s">
        <v>2087</v>
      </c>
      <c r="L65" s="714" t="s">
        <v>2258</v>
      </c>
      <c r="M65" s="1271">
        <v>46081</v>
      </c>
      <c r="N65" s="715">
        <v>46101</v>
      </c>
      <c r="O65" s="715" t="s">
        <v>2065</v>
      </c>
      <c r="P65" s="711" t="s">
        <v>214</v>
      </c>
      <c r="Q65" s="862">
        <f>269.43+1243.5+414.5</f>
        <v>1927.43</v>
      </c>
      <c r="R65" s="862">
        <v>0</v>
      </c>
      <c r="S65" s="862">
        <v>0</v>
      </c>
      <c r="T65" s="115">
        <f>SUM(mFEV17[[#This Row],[PRINCIPAL]:[JUROS]])</f>
        <v>1927.43</v>
      </c>
    </row>
    <row r="66" spans="2:22" ht="21" customHeight="1">
      <c r="B66" s="1167" t="str">
        <f t="shared" si="2"/>
        <v>3/26</v>
      </c>
      <c r="C66" s="731" t="str">
        <f>VLOOKUP(mFEV17[[#This Row],[CÓDIGO CONTABIL]],Contas_Gerencial[#All],3,FALSE)</f>
        <v>ENCARGOS</v>
      </c>
      <c r="D66" s="1165" t="str">
        <f>VLOOKUP(mFEV17[[#This Row],[DESCRIÇÃO CONTABIL]],Contas_Gerencial[[#All],[DESCRIÇÃO DA CONTA - NÃO UTILIZAR]:[Código2]],2,FALSE)</f>
        <v>20.04.004</v>
      </c>
      <c r="E66" s="712" t="s">
        <v>2651</v>
      </c>
      <c r="F66" s="713" t="s">
        <v>41</v>
      </c>
      <c r="G66" s="733" t="s">
        <v>1767</v>
      </c>
      <c r="H66" s="713" t="s">
        <v>1788</v>
      </c>
      <c r="I66" s="716" t="s">
        <v>2065</v>
      </c>
      <c r="J66" s="711" t="s">
        <v>264</v>
      </c>
      <c r="K66" s="711" t="s">
        <v>2113</v>
      </c>
      <c r="L66" s="714" t="s">
        <v>2258</v>
      </c>
      <c r="M66" s="1271">
        <v>46081</v>
      </c>
      <c r="N66" s="715">
        <v>46101</v>
      </c>
      <c r="O66" s="715" t="s">
        <v>2065</v>
      </c>
      <c r="P66" s="711" t="s">
        <v>214</v>
      </c>
      <c r="Q66" s="861">
        <v>3155.24</v>
      </c>
      <c r="R66" s="862">
        <v>0</v>
      </c>
      <c r="S66" s="862">
        <v>0</v>
      </c>
      <c r="T66" s="115">
        <f>SUM(mFEV17[[#This Row],[PRINCIPAL]:[JUROS]])</f>
        <v>3155.24</v>
      </c>
      <c r="V66" s="115"/>
    </row>
    <row r="67" spans="2:22" ht="21" customHeight="1">
      <c r="B67" s="1167" t="str">
        <f t="shared" si="2"/>
        <v>3/26</v>
      </c>
      <c r="C67" s="731" t="str">
        <f>VLOOKUP(mFEV17[[#This Row],[CÓDIGO CONTABIL]],Contas_Gerencial[#All],3,FALSE)</f>
        <v>TRIBUTOS</v>
      </c>
      <c r="D67" s="1165" t="str">
        <f>VLOOKUP(mFEV17[[#This Row],[DESCRIÇÃO CONTABIL]],Contas_Gerencial[[#All],[DESCRIÇÃO DA CONTA - NÃO UTILIZAR]:[Código2]],2,FALSE)</f>
        <v>20.08.005</v>
      </c>
      <c r="E67" s="713" t="s">
        <v>2649</v>
      </c>
      <c r="F67" s="712" t="s">
        <v>41</v>
      </c>
      <c r="G67" s="733" t="s">
        <v>1767</v>
      </c>
      <c r="H67" s="713" t="s">
        <v>1788</v>
      </c>
      <c r="I67" s="716" t="s">
        <v>2065</v>
      </c>
      <c r="J67" s="711" t="s">
        <v>378</v>
      </c>
      <c r="K67" s="711" t="s">
        <v>2086</v>
      </c>
      <c r="L67" s="714" t="s">
        <v>2258</v>
      </c>
      <c r="M67" s="1271">
        <v>46081</v>
      </c>
      <c r="N67" s="715">
        <v>46101</v>
      </c>
      <c r="O67" s="715" t="s">
        <v>2065</v>
      </c>
      <c r="P67" s="711" t="s">
        <v>1</v>
      </c>
      <c r="Q67" s="730">
        <v>414.5</v>
      </c>
      <c r="R67" s="730">
        <v>0</v>
      </c>
      <c r="S67" s="730">
        <v>0</v>
      </c>
      <c r="T67" s="115">
        <f>SUM(mFEV17[[#This Row],[PRINCIPAL]:[JUROS]])</f>
        <v>414.5</v>
      </c>
    </row>
    <row r="68" spans="2:22" ht="21" customHeight="1">
      <c r="B68" s="1167" t="str">
        <f t="shared" si="2"/>
        <v>3/26</v>
      </c>
      <c r="C68" s="731" t="str">
        <f>VLOOKUP(mFEV17[[#This Row],[CÓDIGO CONTABIL]],Contas_Gerencial[#All],3,FALSE)</f>
        <v>TRIBUTOS</v>
      </c>
      <c r="D68" s="1165" t="str">
        <f>VLOOKUP(mFEV17[[#This Row],[DESCRIÇÃO CONTABIL]],Contas_Gerencial[[#All],[DESCRIÇÃO DA CONTA - NÃO UTILIZAR]:[Código2]],2,FALSE)</f>
        <v>20.08.004</v>
      </c>
      <c r="E68" s="712" t="s">
        <v>2648</v>
      </c>
      <c r="F68" s="713" t="s">
        <v>41</v>
      </c>
      <c r="G68" s="733" t="s">
        <v>1767</v>
      </c>
      <c r="H68" s="713" t="s">
        <v>1788</v>
      </c>
      <c r="I68" s="716" t="s">
        <v>2065</v>
      </c>
      <c r="J68" s="711" t="s">
        <v>378</v>
      </c>
      <c r="K68" s="711" t="s">
        <v>2085</v>
      </c>
      <c r="L68" s="714" t="s">
        <v>2258</v>
      </c>
      <c r="M68" s="1271">
        <v>46081</v>
      </c>
      <c r="N68" s="715">
        <v>46101</v>
      </c>
      <c r="O68" s="1271">
        <v>46081</v>
      </c>
      <c r="P68" s="711" t="s">
        <v>214</v>
      </c>
      <c r="Q68" s="862">
        <v>2072.5</v>
      </c>
      <c r="R68" s="862">
        <v>0</v>
      </c>
      <c r="S68" s="862">
        <v>0</v>
      </c>
      <c r="T68" s="115">
        <f>SUM(mFEV17[[#This Row],[PRINCIPAL]:[JUROS]])</f>
        <v>2072.5</v>
      </c>
    </row>
    <row r="69" spans="2:22" ht="21" customHeight="1">
      <c r="B69" s="1167" t="str">
        <f t="shared" si="2"/>
        <v>3/26</v>
      </c>
      <c r="C69" s="731" t="str">
        <f>VLOOKUP(mFEV17[[#This Row],[CÓDIGO CONTABIL]],Contas_Gerencial[#All],3,FALSE)</f>
        <v>FOLHA DE PAGAMENTO</v>
      </c>
      <c r="D69" s="1165" t="str">
        <f>VLOOKUP(mFEV17[[#This Row],[DESCRIÇÃO CONTABIL]],Contas_Gerencial[[#All],[DESCRIÇÃO DA CONTA - NÃO UTILIZAR]:[Código2]],2,FALSE)</f>
        <v>20.05.021</v>
      </c>
      <c r="E69" s="712" t="s">
        <v>59</v>
      </c>
      <c r="F69" s="712" t="s">
        <v>581</v>
      </c>
      <c r="G69" s="713" t="s">
        <v>1767</v>
      </c>
      <c r="H69" s="712" t="s">
        <v>1791</v>
      </c>
      <c r="I69" s="716" t="s">
        <v>2065</v>
      </c>
      <c r="J69" s="711" t="s">
        <v>41</v>
      </c>
      <c r="K69" s="711" t="s">
        <v>1868</v>
      </c>
      <c r="L69" s="714" t="s">
        <v>2258</v>
      </c>
      <c r="M69" s="1271">
        <v>46081</v>
      </c>
      <c r="N69" s="715">
        <v>46086</v>
      </c>
      <c r="O69" s="715">
        <v>46086</v>
      </c>
      <c r="P69" s="711" t="s">
        <v>1</v>
      </c>
      <c r="Q69" s="861">
        <f>10787.11</f>
        <v>10787.11</v>
      </c>
      <c r="R69" s="735">
        <v>0</v>
      </c>
      <c r="S69" s="735">
        <v>0</v>
      </c>
      <c r="T69" s="115">
        <f>SUM(mFEV17[[#This Row],[PRINCIPAL]:[JUROS]])</f>
        <v>10787.11</v>
      </c>
      <c r="V69" s="115"/>
    </row>
    <row r="70" spans="2:22" ht="21" customHeight="1">
      <c r="B70" s="1167" t="str">
        <f t="shared" si="2"/>
        <v>3/26</v>
      </c>
      <c r="C70" s="731" t="str">
        <f>VLOOKUP(mFEV17[[#This Row],[CÓDIGO CONTABIL]],Contas_Gerencial[#All],3,FALSE)</f>
        <v>ENCARGOS</v>
      </c>
      <c r="D70" s="1165" t="str">
        <f>VLOOKUP(mFEV17[[#This Row],[DESCRIÇÃO CONTABIL]],Contas_Gerencial[[#All],[DESCRIÇÃO DA CONTA - NÃO UTILIZAR]:[Código2]],2,FALSE)</f>
        <v>20.04.006</v>
      </c>
      <c r="E70" s="712" t="s">
        <v>1180</v>
      </c>
      <c r="F70" s="712" t="s">
        <v>581</v>
      </c>
      <c r="G70" s="733" t="s">
        <v>1767</v>
      </c>
      <c r="H70" s="712" t="s">
        <v>1180</v>
      </c>
      <c r="I70" s="716" t="s">
        <v>2065</v>
      </c>
      <c r="J70" s="711" t="s">
        <v>384</v>
      </c>
      <c r="K70" s="712" t="s">
        <v>1180</v>
      </c>
      <c r="L70" s="714" t="s">
        <v>2258</v>
      </c>
      <c r="M70" s="1271">
        <v>46081</v>
      </c>
      <c r="N70" s="715">
        <v>46101</v>
      </c>
      <c r="O70" s="715" t="s">
        <v>2065</v>
      </c>
      <c r="P70" s="711" t="s">
        <v>1</v>
      </c>
      <c r="Q70" s="861">
        <v>1026.8499999999999</v>
      </c>
      <c r="R70" s="735">
        <v>0</v>
      </c>
      <c r="S70" s="735">
        <v>0</v>
      </c>
      <c r="T70" s="115">
        <f>SUM(mFEV17[[#This Row],[PRINCIPAL]:[JUROS]])</f>
        <v>1026.8499999999999</v>
      </c>
    </row>
    <row r="71" spans="2:22" ht="21" customHeight="1">
      <c r="B71" s="1167" t="str">
        <f t="shared" si="2"/>
        <v>3/26</v>
      </c>
      <c r="C71" s="731" t="str">
        <f>VLOOKUP(mFEV17[[#This Row],[CÓDIGO CONTABIL]],Contas_Gerencial[#All],3,FALSE)</f>
        <v>ENCARGOS</v>
      </c>
      <c r="D71" s="1165" t="str">
        <f>VLOOKUP(mFEV17[[#This Row],[DESCRIÇÃO CONTABIL]],Contas_Gerencial[[#All],[DESCRIÇÃO DA CONTA - NÃO UTILIZAR]:[Código2]],2,FALSE)</f>
        <v>20.04.001</v>
      </c>
      <c r="E71" s="712" t="s">
        <v>2659</v>
      </c>
      <c r="F71" s="712" t="s">
        <v>581</v>
      </c>
      <c r="G71" s="733" t="s">
        <v>1767</v>
      </c>
      <c r="H71" s="713" t="s">
        <v>1788</v>
      </c>
      <c r="I71" s="716" t="s">
        <v>2065</v>
      </c>
      <c r="J71" s="711" t="s">
        <v>757</v>
      </c>
      <c r="K71" s="711" t="s">
        <v>2089</v>
      </c>
      <c r="L71" s="714" t="s">
        <v>2258</v>
      </c>
      <c r="M71" s="1271">
        <v>46081</v>
      </c>
      <c r="N71" s="715">
        <v>46101</v>
      </c>
      <c r="O71" s="715" t="s">
        <v>2065</v>
      </c>
      <c r="P71" s="711" t="s">
        <v>1</v>
      </c>
      <c r="Q71" s="861">
        <v>837.45</v>
      </c>
      <c r="R71" s="862">
        <v>0</v>
      </c>
      <c r="S71" s="862">
        <v>0</v>
      </c>
      <c r="T71" s="115">
        <f>SUM(mFEV17[[#This Row],[PRINCIPAL]:[JUROS]])</f>
        <v>837.45</v>
      </c>
    </row>
    <row r="72" spans="2:22" ht="21" customHeight="1">
      <c r="B72" s="1167" t="str">
        <f t="shared" si="2"/>
        <v>3/26</v>
      </c>
      <c r="C72" s="731" t="str">
        <f>VLOOKUP(mFEV17[[#This Row],[CÓDIGO CONTABIL]],Contas_Gerencial[#All],3,FALSE)</f>
        <v>BENEFICIO</v>
      </c>
      <c r="D72" s="1165" t="str">
        <f>VLOOKUP(mFEV17[[#This Row],[DESCRIÇÃO CONTABIL]],Contas_Gerencial[[#All],[DESCRIÇÃO DA CONTA - NÃO UTILIZAR]:[Código2]],2,FALSE)</f>
        <v>20.05.006</v>
      </c>
      <c r="E72" s="733" t="s">
        <v>24</v>
      </c>
      <c r="F72" s="712" t="s">
        <v>581</v>
      </c>
      <c r="G72" s="712" t="s">
        <v>1767</v>
      </c>
      <c r="H72" s="712" t="s">
        <v>1819</v>
      </c>
      <c r="I72" s="716" t="s">
        <v>2065</v>
      </c>
      <c r="J72" s="712" t="s">
        <v>581</v>
      </c>
      <c r="K72" s="711" t="s">
        <v>2590</v>
      </c>
      <c r="L72" s="729" t="s">
        <v>2591</v>
      </c>
      <c r="M72" s="1271">
        <v>46101</v>
      </c>
      <c r="N72" s="715">
        <v>46101</v>
      </c>
      <c r="O72" s="715" t="s">
        <v>2065</v>
      </c>
      <c r="P72" s="712" t="s">
        <v>1</v>
      </c>
      <c r="Q72" s="730">
        <v>5519.22</v>
      </c>
      <c r="R72" s="730">
        <v>0</v>
      </c>
      <c r="S72" s="730">
        <v>0</v>
      </c>
      <c r="T72" s="115">
        <f>SUM(mFEV17[[#This Row],[PRINCIPAL]:[JUROS]])</f>
        <v>5519.22</v>
      </c>
    </row>
    <row r="73" spans="2:22" ht="21" customHeight="1">
      <c r="B73" s="1167" t="str">
        <f t="shared" si="2"/>
        <v>3/26</v>
      </c>
      <c r="C73" s="731" t="str">
        <f>VLOOKUP(mFEV17[[#This Row],[CÓDIGO CONTABIL]],Contas_Gerencial[#All],3,FALSE)</f>
        <v>BENEFICIO</v>
      </c>
      <c r="D73" s="1165" t="str">
        <f>VLOOKUP(mFEV17[[#This Row],[DESCRIÇÃO CONTABIL]],Contas_Gerencial[[#All],[DESCRIÇÃO DA CONTA - NÃO UTILIZAR]:[Código2]],2,FALSE)</f>
        <v>20.05.007</v>
      </c>
      <c r="E73" s="733" t="s">
        <v>25</v>
      </c>
      <c r="F73" s="712" t="s">
        <v>581</v>
      </c>
      <c r="G73" s="712" t="s">
        <v>1767</v>
      </c>
      <c r="H73" s="712" t="s">
        <v>1819</v>
      </c>
      <c r="I73" s="716" t="s">
        <v>2065</v>
      </c>
      <c r="J73" s="712" t="s">
        <v>581</v>
      </c>
      <c r="K73" s="711" t="s">
        <v>2590</v>
      </c>
      <c r="L73" s="729" t="s">
        <v>2591</v>
      </c>
      <c r="M73" s="1271">
        <v>46101</v>
      </c>
      <c r="N73" s="715">
        <v>46101</v>
      </c>
      <c r="O73" s="715" t="s">
        <v>2065</v>
      </c>
      <c r="P73" s="712" t="s">
        <v>1</v>
      </c>
      <c r="Q73" s="730">
        <v>1067</v>
      </c>
      <c r="R73" s="730">
        <v>0</v>
      </c>
      <c r="S73" s="730">
        <v>0</v>
      </c>
      <c r="T73" s="115">
        <f>SUM(mFEV17[[#This Row],[PRINCIPAL]:[JUROS]])</f>
        <v>1067</v>
      </c>
    </row>
    <row r="74" spans="2:22" ht="21" customHeight="1">
      <c r="B74" s="1168" t="str">
        <f t="shared" si="2"/>
        <v>3/26</v>
      </c>
      <c r="C74" s="472" t="str">
        <f>VLOOKUP(mFEV17[[#This Row],[CÓDIGO CONTABIL]],Contas_Gerencial[#All],3,FALSE)</f>
        <v>RECEITA SUBCONTA</v>
      </c>
      <c r="D74" s="445" t="str">
        <f>VLOOKUP(mFEV17[[#This Row],[DESCRIÇÃO CONTABIL]],Contas_Gerencial[[#All],[DESCRIÇÃO DA CONTA - NÃO UTILIZAR]:[Código2]],2,FALSE)</f>
        <v>10.01.001</v>
      </c>
      <c r="E74" s="473" t="s">
        <v>90</v>
      </c>
      <c r="F74" s="473" t="s">
        <v>41</v>
      </c>
      <c r="G74" s="473" t="s">
        <v>49</v>
      </c>
      <c r="H74" s="473" t="s">
        <v>1788</v>
      </c>
      <c r="I74" s="474" t="s">
        <v>2065</v>
      </c>
      <c r="J74" s="472" t="s">
        <v>41</v>
      </c>
      <c r="K74" s="472" t="s">
        <v>1792</v>
      </c>
      <c r="L74" s="475" t="s">
        <v>2258</v>
      </c>
      <c r="M74" s="1270">
        <v>46081</v>
      </c>
      <c r="N74" s="476">
        <v>46086</v>
      </c>
      <c r="O74" s="476" t="s">
        <v>2065</v>
      </c>
      <c r="P74" s="452" t="s">
        <v>215</v>
      </c>
      <c r="Q74" s="478">
        <v>36427</v>
      </c>
      <c r="R74" s="479">
        <v>0</v>
      </c>
      <c r="S74" s="479">
        <v>0</v>
      </c>
      <c r="T74" s="1169">
        <f>SUM(mFEV17[[#This Row],[PRINCIPAL]:[JUROS]])</f>
        <v>36427</v>
      </c>
    </row>
    <row r="75" spans="2:22" ht="21" customHeight="1">
      <c r="B75" s="1167" t="str">
        <f t="shared" si="2"/>
        <v>3/26</v>
      </c>
      <c r="C75" s="731" t="str">
        <f>VLOOKUP(mFEV17[[#This Row],[CÓDIGO CONTABIL]],Contas_Gerencial[#All],3,FALSE)</f>
        <v>TRIBUTOS</v>
      </c>
      <c r="D75" s="1165" t="str">
        <f>VLOOKUP(mFEV17[[#This Row],[DESCRIÇÃO CONTABIL]],Contas_Gerencial[[#All],[DESCRIÇÃO DA CONTA - NÃO UTILIZAR]:[Código2]],2,FALSE)</f>
        <v>20.08.008</v>
      </c>
      <c r="E75" s="712" t="s">
        <v>2650</v>
      </c>
      <c r="F75" s="713" t="s">
        <v>41</v>
      </c>
      <c r="G75" s="733" t="s">
        <v>49</v>
      </c>
      <c r="H75" s="713" t="s">
        <v>1788</v>
      </c>
      <c r="I75" s="716" t="s">
        <v>2065</v>
      </c>
      <c r="J75" s="711" t="s">
        <v>378</v>
      </c>
      <c r="K75" s="711" t="s">
        <v>2087</v>
      </c>
      <c r="L75" s="714" t="s">
        <v>2258</v>
      </c>
      <c r="M75" s="1271">
        <v>46081</v>
      </c>
      <c r="N75" s="715">
        <v>46101</v>
      </c>
      <c r="O75" s="715" t="s">
        <v>2065</v>
      </c>
      <c r="P75" s="711" t="s">
        <v>214</v>
      </c>
      <c r="Q75" s="862">
        <f>236.77+1092.81+364.27</f>
        <v>1693.85</v>
      </c>
      <c r="R75" s="862">
        <v>0</v>
      </c>
      <c r="S75" s="862">
        <v>0</v>
      </c>
      <c r="T75" s="115">
        <f>SUM(mFEV17[[#This Row],[PRINCIPAL]:[JUROS]])</f>
        <v>1693.85</v>
      </c>
    </row>
    <row r="76" spans="2:22" ht="21" customHeight="1">
      <c r="B76" s="1167" t="str">
        <f t="shared" si="2"/>
        <v>3/26</v>
      </c>
      <c r="C76" s="731" t="str">
        <f>VLOOKUP(mFEV17[[#This Row],[CÓDIGO CONTABIL]],Contas_Gerencial[#All],3,FALSE)</f>
        <v>ENCARGOS</v>
      </c>
      <c r="D76" s="1165" t="str">
        <f>VLOOKUP(mFEV17[[#This Row],[DESCRIÇÃO CONTABIL]],Contas_Gerencial[[#All],[DESCRIÇÃO DA CONTA - NÃO UTILIZAR]:[Código2]],2,FALSE)</f>
        <v>20.04.004</v>
      </c>
      <c r="E76" s="712" t="s">
        <v>2651</v>
      </c>
      <c r="F76" s="713" t="s">
        <v>41</v>
      </c>
      <c r="G76" s="733" t="s">
        <v>49</v>
      </c>
      <c r="H76" s="713" t="s">
        <v>1788</v>
      </c>
      <c r="I76" s="716" t="s">
        <v>2065</v>
      </c>
      <c r="J76" s="711" t="s">
        <v>264</v>
      </c>
      <c r="K76" s="711" t="s">
        <v>2113</v>
      </c>
      <c r="L76" s="714" t="s">
        <v>2258</v>
      </c>
      <c r="M76" s="1271">
        <v>46081</v>
      </c>
      <c r="N76" s="715">
        <v>46101</v>
      </c>
      <c r="O76" s="715" t="s">
        <v>2065</v>
      </c>
      <c r="P76" s="711" t="s">
        <v>214</v>
      </c>
      <c r="Q76" s="861">
        <v>2639.67</v>
      </c>
      <c r="R76" s="862">
        <v>0</v>
      </c>
      <c r="S76" s="862">
        <v>0</v>
      </c>
      <c r="T76" s="115">
        <f>SUM(mFEV17[[#This Row],[PRINCIPAL]:[JUROS]])</f>
        <v>2639.67</v>
      </c>
    </row>
    <row r="77" spans="2:22" ht="21" customHeight="1">
      <c r="B77" s="1167" t="str">
        <f t="shared" si="2"/>
        <v>3/26</v>
      </c>
      <c r="C77" s="731" t="str">
        <f>VLOOKUP(mFEV17[[#This Row],[CÓDIGO CONTABIL]],Contas_Gerencial[#All],3,FALSE)</f>
        <v>TRIBUTOS</v>
      </c>
      <c r="D77" s="1165" t="str">
        <f>VLOOKUP(mFEV17[[#This Row],[DESCRIÇÃO CONTABIL]],Contas_Gerencial[[#All],[DESCRIÇÃO DA CONTA - NÃO UTILIZAR]:[Código2]],2,FALSE)</f>
        <v>20.08.005</v>
      </c>
      <c r="E77" s="713" t="s">
        <v>2649</v>
      </c>
      <c r="F77" s="712" t="s">
        <v>41</v>
      </c>
      <c r="G77" s="733" t="s">
        <v>49</v>
      </c>
      <c r="H77" s="713" t="s">
        <v>1788</v>
      </c>
      <c r="I77" s="716" t="s">
        <v>2065</v>
      </c>
      <c r="J77" s="711" t="s">
        <v>378</v>
      </c>
      <c r="K77" s="711" t="s">
        <v>2086</v>
      </c>
      <c r="L77" s="714" t="s">
        <v>2258</v>
      </c>
      <c r="M77" s="1271">
        <v>46081</v>
      </c>
      <c r="N77" s="715">
        <v>46101</v>
      </c>
      <c r="O77" s="715" t="s">
        <v>2065</v>
      </c>
      <c r="P77" s="711" t="s">
        <v>1</v>
      </c>
      <c r="Q77" s="730">
        <v>364.27</v>
      </c>
      <c r="R77" s="730">
        <v>0</v>
      </c>
      <c r="S77" s="730">
        <v>0</v>
      </c>
      <c r="T77" s="115">
        <f>SUM(mFEV17[[#This Row],[PRINCIPAL]:[JUROS]])</f>
        <v>364.27</v>
      </c>
    </row>
    <row r="78" spans="2:22" ht="21" customHeight="1">
      <c r="B78" s="1167" t="str">
        <f t="shared" si="2"/>
        <v>3/26</v>
      </c>
      <c r="C78" s="731" t="str">
        <f>VLOOKUP(mFEV17[[#This Row],[CÓDIGO CONTABIL]],Contas_Gerencial[#All],3,FALSE)</f>
        <v>TRIBUTOS</v>
      </c>
      <c r="D78" s="1165" t="str">
        <f>VLOOKUP(mFEV17[[#This Row],[DESCRIÇÃO CONTABIL]],Contas_Gerencial[[#All],[DESCRIÇÃO DA CONTA - NÃO UTILIZAR]:[Código2]],2,FALSE)</f>
        <v>20.08.004</v>
      </c>
      <c r="E78" s="712" t="s">
        <v>2648</v>
      </c>
      <c r="F78" s="713" t="s">
        <v>41</v>
      </c>
      <c r="G78" s="733" t="s">
        <v>49</v>
      </c>
      <c r="H78" s="713" t="s">
        <v>1788</v>
      </c>
      <c r="I78" s="716" t="s">
        <v>2065</v>
      </c>
      <c r="J78" s="711" t="s">
        <v>378</v>
      </c>
      <c r="K78" s="711" t="s">
        <v>2085</v>
      </c>
      <c r="L78" s="714" t="s">
        <v>2258</v>
      </c>
      <c r="M78" s="1271">
        <v>46081</v>
      </c>
      <c r="N78" s="715">
        <v>46101</v>
      </c>
      <c r="O78" s="1271">
        <v>46081</v>
      </c>
      <c r="P78" s="711" t="s">
        <v>214</v>
      </c>
      <c r="Q78" s="862">
        <v>1821.35</v>
      </c>
      <c r="R78" s="862">
        <v>0</v>
      </c>
      <c r="S78" s="862">
        <v>0</v>
      </c>
      <c r="T78" s="115">
        <f>SUM(mFEV17[[#This Row],[PRINCIPAL]:[JUROS]])</f>
        <v>1821.35</v>
      </c>
    </row>
    <row r="79" spans="2:22" ht="21" customHeight="1">
      <c r="B79" s="1167" t="str">
        <f t="shared" si="2"/>
        <v>3/26</v>
      </c>
      <c r="C79" s="731" t="str">
        <f>VLOOKUP(mFEV17[[#This Row],[CÓDIGO CONTABIL]],Contas_Gerencial[#All],3,FALSE)</f>
        <v>FOLHA DE PAGAMENTO</v>
      </c>
      <c r="D79" s="1165" t="str">
        <f>VLOOKUP(mFEV17[[#This Row],[DESCRIÇÃO CONTABIL]],Contas_Gerencial[[#All],[DESCRIÇÃO DA CONTA - NÃO UTILIZAR]:[Código2]],2,FALSE)</f>
        <v>20.05.021</v>
      </c>
      <c r="E79" s="712" t="s">
        <v>59</v>
      </c>
      <c r="F79" s="712" t="s">
        <v>581</v>
      </c>
      <c r="G79" s="713" t="s">
        <v>49</v>
      </c>
      <c r="H79" s="712" t="s">
        <v>1791</v>
      </c>
      <c r="I79" s="716" t="s">
        <v>2065</v>
      </c>
      <c r="J79" s="711" t="s">
        <v>41</v>
      </c>
      <c r="K79" s="711" t="s">
        <v>2139</v>
      </c>
      <c r="L79" s="714" t="s">
        <v>2258</v>
      </c>
      <c r="M79" s="1271">
        <v>46081</v>
      </c>
      <c r="N79" s="715">
        <v>46086</v>
      </c>
      <c r="O79" s="715">
        <v>46086</v>
      </c>
      <c r="P79" s="711" t="s">
        <v>1</v>
      </c>
      <c r="Q79" s="861">
        <f>9272.39</f>
        <v>9272.39</v>
      </c>
      <c r="R79" s="735">
        <v>0</v>
      </c>
      <c r="S79" s="735">
        <v>0</v>
      </c>
      <c r="T79" s="115">
        <f>SUM(mFEV17[[#This Row],[PRINCIPAL]:[JUROS]])</f>
        <v>9272.39</v>
      </c>
    </row>
    <row r="80" spans="2:22" ht="21" customHeight="1">
      <c r="B80" s="1167" t="str">
        <f t="shared" si="2"/>
        <v>3/26</v>
      </c>
      <c r="C80" s="731" t="str">
        <f>VLOOKUP(mFEV17[[#This Row],[CÓDIGO CONTABIL]],Contas_Gerencial[#All],3,FALSE)</f>
        <v>ENCARGOS</v>
      </c>
      <c r="D80" s="1165" t="str">
        <f>VLOOKUP(mFEV17[[#This Row],[DESCRIÇÃO CONTABIL]],Contas_Gerencial[[#All],[DESCRIÇÃO DA CONTA - NÃO UTILIZAR]:[Código2]],2,FALSE)</f>
        <v>20.04.006</v>
      </c>
      <c r="E80" s="712" t="s">
        <v>1180</v>
      </c>
      <c r="F80" s="712" t="s">
        <v>581</v>
      </c>
      <c r="G80" s="733" t="s">
        <v>49</v>
      </c>
      <c r="H80" s="712" t="s">
        <v>1180</v>
      </c>
      <c r="I80" s="716" t="s">
        <v>2065</v>
      </c>
      <c r="J80" s="711" t="s">
        <v>384</v>
      </c>
      <c r="K80" s="712" t="s">
        <v>1180</v>
      </c>
      <c r="L80" s="714" t="s">
        <v>2258</v>
      </c>
      <c r="M80" s="1271">
        <v>46081</v>
      </c>
      <c r="N80" s="715">
        <v>46101</v>
      </c>
      <c r="O80" s="715" t="s">
        <v>2065</v>
      </c>
      <c r="P80" s="711" t="s">
        <v>1</v>
      </c>
      <c r="Q80" s="861">
        <v>884.7</v>
      </c>
      <c r="R80" s="735">
        <v>0</v>
      </c>
      <c r="S80" s="735">
        <v>0</v>
      </c>
      <c r="T80" s="115">
        <f>SUM(mFEV17[[#This Row],[PRINCIPAL]:[JUROS]])</f>
        <v>884.7</v>
      </c>
    </row>
    <row r="81" spans="2:22" ht="21" customHeight="1">
      <c r="B81" s="1167" t="str">
        <f t="shared" si="2"/>
        <v>3/26</v>
      </c>
      <c r="C81" s="731" t="str">
        <f>VLOOKUP(mFEV17[[#This Row],[CÓDIGO CONTABIL]],Contas_Gerencial[#All],3,FALSE)</f>
        <v>ENCARGOS</v>
      </c>
      <c r="D81" s="1165" t="str">
        <f>VLOOKUP(mFEV17[[#This Row],[DESCRIÇÃO CONTABIL]],Contas_Gerencial[[#All],[DESCRIÇÃO DA CONTA - NÃO UTILIZAR]:[Código2]],2,FALSE)</f>
        <v>20.04.001</v>
      </c>
      <c r="E81" s="712" t="s">
        <v>2659</v>
      </c>
      <c r="F81" s="711" t="s">
        <v>581</v>
      </c>
      <c r="G81" s="718" t="s">
        <v>49</v>
      </c>
      <c r="H81" s="731" t="s">
        <v>1788</v>
      </c>
      <c r="I81" s="716" t="s">
        <v>2065</v>
      </c>
      <c r="J81" s="711" t="s">
        <v>757</v>
      </c>
      <c r="K81" s="711" t="s">
        <v>2089</v>
      </c>
      <c r="L81" s="714" t="s">
        <v>2137</v>
      </c>
      <c r="M81" s="1271">
        <v>46081</v>
      </c>
      <c r="N81" s="715">
        <v>46101</v>
      </c>
      <c r="O81" s="715" t="s">
        <v>2065</v>
      </c>
      <c r="P81" s="711" t="s">
        <v>1</v>
      </c>
      <c r="Q81" s="861">
        <v>873.72</v>
      </c>
      <c r="R81" s="862">
        <v>0</v>
      </c>
      <c r="S81" s="862">
        <v>0</v>
      </c>
      <c r="T81" s="115">
        <f>SUM(mFEV17[[#This Row],[PRINCIPAL]:[JUROS]])</f>
        <v>873.72</v>
      </c>
    </row>
    <row r="82" spans="2:22" ht="21" customHeight="1">
      <c r="B82" s="1167" t="str">
        <f t="shared" si="2"/>
        <v>3/26</v>
      </c>
      <c r="C82" s="731" t="str">
        <f>VLOOKUP(mFEV17[[#This Row],[CÓDIGO CONTABIL]],Contas_Gerencial[#All],3,FALSE)</f>
        <v>FOLHA DE PAGAMENTO</v>
      </c>
      <c r="D82" s="1165" t="str">
        <f>VLOOKUP(mFEV17[[#This Row],[DESCRIÇÃO CONTABIL]],Contas_Gerencial[[#All],[DESCRIÇÃO DA CONTA - NÃO UTILIZAR]:[Código2]],2,FALSE)</f>
        <v>20.05.021</v>
      </c>
      <c r="E82" s="711" t="s">
        <v>59</v>
      </c>
      <c r="F82" s="711" t="s">
        <v>582</v>
      </c>
      <c r="G82" s="731" t="s">
        <v>49</v>
      </c>
      <c r="H82" s="711" t="s">
        <v>1791</v>
      </c>
      <c r="I82" s="716" t="s">
        <v>2065</v>
      </c>
      <c r="J82" s="711" t="s">
        <v>582</v>
      </c>
      <c r="K82" s="711" t="s">
        <v>2077</v>
      </c>
      <c r="L82" s="714" t="s">
        <v>2137</v>
      </c>
      <c r="M82" s="1271">
        <v>46081</v>
      </c>
      <c r="N82" s="715">
        <v>46086</v>
      </c>
      <c r="O82" s="715" t="s">
        <v>2065</v>
      </c>
      <c r="P82" s="711" t="s">
        <v>1</v>
      </c>
      <c r="Q82" s="861">
        <v>2053.89</v>
      </c>
      <c r="R82" s="735">
        <v>0</v>
      </c>
      <c r="S82" s="735">
        <v>0</v>
      </c>
      <c r="T82" s="115">
        <f>SUM(mFEV17[[#This Row],[PRINCIPAL]:[JUROS]])</f>
        <v>2053.89</v>
      </c>
      <c r="V82" s="115"/>
    </row>
    <row r="83" spans="2:22" ht="21" customHeight="1">
      <c r="B83" s="1167" t="str">
        <f t="shared" si="2"/>
        <v>3/26</v>
      </c>
      <c r="C83" s="731" t="str">
        <f>VLOOKUP(mFEV17[[#This Row],[CÓDIGO CONTABIL]],Contas_Gerencial[#All],3,FALSE)</f>
        <v>ENCARGOS</v>
      </c>
      <c r="D83" s="1165" t="str">
        <f>VLOOKUP(mFEV17[[#This Row],[DESCRIÇÃO CONTABIL]],Contas_Gerencial[[#All],[DESCRIÇÃO DA CONTA - NÃO UTILIZAR]:[Código2]],2,FALSE)</f>
        <v>20.04.006</v>
      </c>
      <c r="E83" s="711" t="s">
        <v>1180</v>
      </c>
      <c r="F83" s="711" t="s">
        <v>582</v>
      </c>
      <c r="G83" s="718" t="s">
        <v>49</v>
      </c>
      <c r="H83" s="711" t="s">
        <v>1180</v>
      </c>
      <c r="I83" s="716" t="s">
        <v>2065</v>
      </c>
      <c r="J83" s="711" t="s">
        <v>384</v>
      </c>
      <c r="K83" s="712" t="s">
        <v>1180</v>
      </c>
      <c r="L83" s="714" t="s">
        <v>2137</v>
      </c>
      <c r="M83" s="1271">
        <v>46081</v>
      </c>
      <c r="N83" s="715">
        <v>46086</v>
      </c>
      <c r="O83" s="715" t="s">
        <v>2065</v>
      </c>
      <c r="P83" s="711" t="s">
        <v>1</v>
      </c>
      <c r="Q83" s="861">
        <v>188.93</v>
      </c>
      <c r="R83" s="735">
        <v>0</v>
      </c>
      <c r="S83" s="735">
        <v>0</v>
      </c>
      <c r="T83" s="115">
        <f>SUM(mFEV17[[#This Row],[PRINCIPAL]:[JUROS]])</f>
        <v>188.93</v>
      </c>
    </row>
    <row r="84" spans="2:22" ht="21" customHeight="1">
      <c r="B84" s="1167" t="str">
        <f t="shared" si="2"/>
        <v>3/26</v>
      </c>
      <c r="C84" s="731" t="str">
        <f>VLOOKUP(mFEV17[[#This Row],[CÓDIGO CONTABIL]],Contas_Gerencial[#All],3,FALSE)</f>
        <v>ENCARGOS</v>
      </c>
      <c r="D84" s="1165" t="str">
        <f>VLOOKUP(mFEV17[[#This Row],[DESCRIÇÃO CONTABIL]],Contas_Gerencial[[#All],[DESCRIÇÃO DA CONTA - NÃO UTILIZAR]:[Código2]],2,FALSE)</f>
        <v>20.04.001</v>
      </c>
      <c r="E84" s="712" t="s">
        <v>2659</v>
      </c>
      <c r="F84" s="711" t="s">
        <v>582</v>
      </c>
      <c r="G84" s="718" t="s">
        <v>49</v>
      </c>
      <c r="H84" s="731" t="s">
        <v>1788</v>
      </c>
      <c r="I84" s="716" t="s">
        <v>2065</v>
      </c>
      <c r="J84" s="711" t="s">
        <v>757</v>
      </c>
      <c r="K84" s="711" t="s">
        <v>2089</v>
      </c>
      <c r="L84" s="714" t="s">
        <v>2137</v>
      </c>
      <c r="M84" s="1271">
        <v>46081</v>
      </c>
      <c r="N84" s="715">
        <v>46101</v>
      </c>
      <c r="O84" s="715" t="s">
        <v>2065</v>
      </c>
      <c r="P84" s="711" t="s">
        <v>1</v>
      </c>
      <c r="Q84" s="861">
        <v>189.78</v>
      </c>
      <c r="R84" s="862">
        <v>0</v>
      </c>
      <c r="S84" s="862">
        <v>0</v>
      </c>
      <c r="T84" s="115">
        <f>SUM(mFEV17[[#This Row],[PRINCIPAL]:[JUROS]])</f>
        <v>189.78</v>
      </c>
    </row>
    <row r="85" spans="2:22" ht="21" customHeight="1">
      <c r="B85" s="1167" t="str">
        <f t="shared" si="2"/>
        <v>3/26</v>
      </c>
      <c r="C85" s="731" t="str">
        <f>VLOOKUP(mFEV17[[#This Row],[CÓDIGO CONTABIL]],Contas_Gerencial[#All],3,FALSE)</f>
        <v>BENEFICIO</v>
      </c>
      <c r="D85" s="1165" t="str">
        <f>VLOOKUP(mFEV17[[#This Row],[DESCRIÇÃO CONTABIL]],Contas_Gerencial[[#All],[DESCRIÇÃO DA CONTA - NÃO UTILIZAR]:[Código2]],2,FALSE)</f>
        <v>20.05.006</v>
      </c>
      <c r="E85" s="733" t="s">
        <v>24</v>
      </c>
      <c r="F85" s="712" t="s">
        <v>581</v>
      </c>
      <c r="G85" s="712" t="s">
        <v>49</v>
      </c>
      <c r="H85" s="712" t="s">
        <v>1791</v>
      </c>
      <c r="I85" s="716" t="s">
        <v>2065</v>
      </c>
      <c r="J85" s="711" t="s">
        <v>41</v>
      </c>
      <c r="K85" s="711" t="s">
        <v>2590</v>
      </c>
      <c r="L85" s="729" t="s">
        <v>2591</v>
      </c>
      <c r="M85" s="1271">
        <v>46101</v>
      </c>
      <c r="N85" s="715">
        <v>46101</v>
      </c>
      <c r="O85" s="715" t="s">
        <v>2065</v>
      </c>
      <c r="P85" s="712" t="s">
        <v>1</v>
      </c>
      <c r="Q85" s="730">
        <v>4174.2</v>
      </c>
      <c r="R85" s="730">
        <v>0</v>
      </c>
      <c r="S85" s="730">
        <v>0</v>
      </c>
      <c r="T85" s="115">
        <f>SUM(mFEV17[[#This Row],[PRINCIPAL]:[JUROS]])</f>
        <v>4174.2</v>
      </c>
    </row>
    <row r="86" spans="2:22" ht="21" customHeight="1">
      <c r="B86" s="1167" t="str">
        <f t="shared" si="2"/>
        <v>3/26</v>
      </c>
      <c r="C86" s="731" t="str">
        <f>VLOOKUP(mFEV17[[#This Row],[CÓDIGO CONTABIL]],Contas_Gerencial[#All],3,FALSE)</f>
        <v>BENEFICIO</v>
      </c>
      <c r="D86" s="1165" t="str">
        <f>VLOOKUP(mFEV17[[#This Row],[DESCRIÇÃO CONTABIL]],Contas_Gerencial[[#All],[DESCRIÇÃO DA CONTA - NÃO UTILIZAR]:[Código2]],2,FALSE)</f>
        <v>20.05.007</v>
      </c>
      <c r="E86" s="733" t="s">
        <v>25</v>
      </c>
      <c r="F86" s="712" t="s">
        <v>581</v>
      </c>
      <c r="G86" s="712" t="s">
        <v>49</v>
      </c>
      <c r="H86" s="712" t="s">
        <v>1791</v>
      </c>
      <c r="I86" s="716" t="s">
        <v>2065</v>
      </c>
      <c r="J86" s="711" t="s">
        <v>41</v>
      </c>
      <c r="K86" s="711" t="s">
        <v>2590</v>
      </c>
      <c r="L86" s="729" t="s">
        <v>2591</v>
      </c>
      <c r="M86" s="1271">
        <v>46101</v>
      </c>
      <c r="N86" s="715">
        <v>46101</v>
      </c>
      <c r="O86" s="715" t="s">
        <v>2065</v>
      </c>
      <c r="P86" s="712" t="s">
        <v>1</v>
      </c>
      <c r="Q86" s="730">
        <v>1041.8</v>
      </c>
      <c r="R86" s="730">
        <v>0</v>
      </c>
      <c r="S86" s="730">
        <v>0</v>
      </c>
      <c r="T86" s="115">
        <f>SUM(mFEV17[[#This Row],[PRINCIPAL]:[JUROS]])</f>
        <v>1041.8</v>
      </c>
    </row>
    <row r="87" spans="2:22" ht="21" customHeight="1">
      <c r="B87" s="1167" t="str">
        <f t="shared" si="2"/>
        <v>3/26</v>
      </c>
      <c r="C87" s="731" t="str">
        <f>VLOOKUP(mFEV17[[#This Row],[CÓDIGO CONTABIL]],Contas_Gerencial[#All],3,FALSE)</f>
        <v>BENEFICIO</v>
      </c>
      <c r="D87" s="1165" t="str">
        <f>VLOOKUP(mFEV17[[#This Row],[DESCRIÇÃO CONTABIL]],Contas_Gerencial[[#All],[DESCRIÇÃO DA CONTA - NÃO UTILIZAR]:[Código2]],2,FALSE)</f>
        <v>20.05.006</v>
      </c>
      <c r="E87" s="733" t="s">
        <v>24</v>
      </c>
      <c r="F87" s="712" t="s">
        <v>582</v>
      </c>
      <c r="G87" s="712" t="s">
        <v>49</v>
      </c>
      <c r="H87" s="712" t="s">
        <v>1791</v>
      </c>
      <c r="I87" s="716" t="s">
        <v>2065</v>
      </c>
      <c r="J87" s="711" t="s">
        <v>581</v>
      </c>
      <c r="K87" s="711" t="s">
        <v>2592</v>
      </c>
      <c r="L87" s="729" t="s">
        <v>2591</v>
      </c>
      <c r="M87" s="1271">
        <v>46101</v>
      </c>
      <c r="N87" s="715">
        <v>46101</v>
      </c>
      <c r="O87" s="715" t="s">
        <v>2065</v>
      </c>
      <c r="P87" s="712" t="s">
        <v>1</v>
      </c>
      <c r="Q87" s="730">
        <v>185.52</v>
      </c>
      <c r="R87" s="730">
        <v>0</v>
      </c>
      <c r="S87" s="730">
        <v>0</v>
      </c>
      <c r="T87" s="115">
        <f>SUM(mFEV17[[#This Row],[PRINCIPAL]:[JUROS]])</f>
        <v>185.52</v>
      </c>
    </row>
    <row r="88" spans="2:22" ht="21" customHeight="1">
      <c r="B88" s="1167" t="str">
        <f t="shared" si="2"/>
        <v>3/26</v>
      </c>
      <c r="C88" s="731" t="str">
        <f>VLOOKUP(mFEV17[[#This Row],[CÓDIGO CONTABIL]],Contas_Gerencial[#All],3,FALSE)</f>
        <v>BENEFICIO</v>
      </c>
      <c r="D88" s="1165" t="str">
        <f>VLOOKUP(mFEV17[[#This Row],[DESCRIÇÃO CONTABIL]],Contas_Gerencial[[#All],[DESCRIÇÃO DA CONTA - NÃO UTILIZAR]:[Código2]],2,FALSE)</f>
        <v>20.05.007</v>
      </c>
      <c r="E88" s="733" t="s">
        <v>25</v>
      </c>
      <c r="F88" s="712" t="s">
        <v>582</v>
      </c>
      <c r="G88" s="712" t="s">
        <v>49</v>
      </c>
      <c r="H88" s="712" t="s">
        <v>1791</v>
      </c>
      <c r="I88" s="716" t="s">
        <v>2065</v>
      </c>
      <c r="J88" s="711" t="s">
        <v>582</v>
      </c>
      <c r="K88" s="711" t="s">
        <v>2592</v>
      </c>
      <c r="L88" s="729" t="s">
        <v>2591</v>
      </c>
      <c r="M88" s="1271">
        <v>46101</v>
      </c>
      <c r="N88" s="715">
        <v>46101</v>
      </c>
      <c r="O88" s="715" t="s">
        <v>2065</v>
      </c>
      <c r="P88" s="712" t="s">
        <v>1</v>
      </c>
      <c r="Q88" s="730">
        <v>38.5</v>
      </c>
      <c r="R88" s="730">
        <v>0</v>
      </c>
      <c r="S88" s="730">
        <v>0</v>
      </c>
      <c r="T88" s="115">
        <f>SUM(mFEV17[[#This Row],[PRINCIPAL]:[JUROS]])</f>
        <v>38.5</v>
      </c>
    </row>
    <row r="89" spans="2:22" ht="21" customHeight="1">
      <c r="B89" s="1168" t="str">
        <f t="shared" si="2"/>
        <v>3/26</v>
      </c>
      <c r="C89" s="472" t="str">
        <f>VLOOKUP(mFEV17[[#This Row],[CÓDIGO CONTABIL]],Contas_Gerencial[#All],3,FALSE)</f>
        <v>RECEITA SUBCONTA</v>
      </c>
      <c r="D89" s="445" t="str">
        <f>VLOOKUP(mFEV17[[#This Row],[DESCRIÇÃO CONTABIL]],Contas_Gerencial[[#All],[DESCRIÇÃO DA CONTA - NÃO UTILIZAR]:[Código2]],2,FALSE)</f>
        <v>10.01.001</v>
      </c>
      <c r="E89" s="485" t="s">
        <v>90</v>
      </c>
      <c r="F89" s="485" t="s">
        <v>582</v>
      </c>
      <c r="G89" s="486" t="s">
        <v>653</v>
      </c>
      <c r="H89" s="485" t="s">
        <v>1788</v>
      </c>
      <c r="I89" s="474" t="s">
        <v>2065</v>
      </c>
      <c r="J89" s="477" t="s">
        <v>582</v>
      </c>
      <c r="K89" s="477" t="s">
        <v>1792</v>
      </c>
      <c r="L89" s="475" t="s">
        <v>2258</v>
      </c>
      <c r="M89" s="1270">
        <v>46081</v>
      </c>
      <c r="N89" s="476">
        <v>46096</v>
      </c>
      <c r="O89" s="476" t="s">
        <v>2065</v>
      </c>
      <c r="P89" s="452" t="s">
        <v>215</v>
      </c>
      <c r="Q89" s="738">
        <v>24230</v>
      </c>
      <c r="R89" s="487">
        <v>0</v>
      </c>
      <c r="S89" s="487">
        <v>0</v>
      </c>
      <c r="T89" s="1169">
        <f>SUM(mFEV17[[#This Row],[PRINCIPAL]:[JUROS]])</f>
        <v>24230</v>
      </c>
      <c r="V89" s="115"/>
    </row>
    <row r="90" spans="2:22" ht="21" customHeight="1">
      <c r="B90" s="1167" t="str">
        <f t="shared" si="2"/>
        <v>3/26</v>
      </c>
      <c r="C90" s="731" t="str">
        <f>VLOOKUP(mFEV17[[#This Row],[CÓDIGO CONTABIL]],Contas_Gerencial[#All],3,FALSE)</f>
        <v>ENCARGOS</v>
      </c>
      <c r="D90" s="1165" t="str">
        <f>VLOOKUP(mFEV17[[#This Row],[DESCRIÇÃO CONTABIL]],Contas_Gerencial[[#All],[DESCRIÇÃO DA CONTA - NÃO UTILIZAR]:[Código2]],2,FALSE)</f>
        <v>20.04.004</v>
      </c>
      <c r="E90" s="712" t="s">
        <v>2651</v>
      </c>
      <c r="F90" s="712" t="s">
        <v>582</v>
      </c>
      <c r="G90" s="733" t="s">
        <v>653</v>
      </c>
      <c r="H90" s="712" t="s">
        <v>1788</v>
      </c>
      <c r="I90" s="716" t="s">
        <v>2065</v>
      </c>
      <c r="J90" s="711" t="s">
        <v>264</v>
      </c>
      <c r="K90" s="711" t="s">
        <v>2113</v>
      </c>
      <c r="L90" s="714" t="s">
        <v>2258</v>
      </c>
      <c r="M90" s="1271">
        <v>46081</v>
      </c>
      <c r="N90" s="715">
        <v>46101</v>
      </c>
      <c r="O90" s="715" t="s">
        <v>2065</v>
      </c>
      <c r="P90" s="711" t="s">
        <v>214</v>
      </c>
      <c r="Q90" s="862">
        <v>1600.87</v>
      </c>
      <c r="R90" s="735">
        <v>0</v>
      </c>
      <c r="S90" s="735">
        <v>0</v>
      </c>
      <c r="T90" s="115">
        <f>SUM(mFEV17[[#This Row],[PRINCIPAL]:[JUROS]])</f>
        <v>1600.87</v>
      </c>
    </row>
    <row r="91" spans="2:22" ht="21" customHeight="1">
      <c r="B91" s="1167" t="str">
        <f t="shared" si="2"/>
        <v>3/26</v>
      </c>
      <c r="C91" s="731" t="str">
        <f>VLOOKUP(mFEV17[[#This Row],[CÓDIGO CONTABIL]],Contas_Gerencial[#All],3,FALSE)</f>
        <v>TRIBUTOS</v>
      </c>
      <c r="D91" s="1165" t="str">
        <f>VLOOKUP(mFEV17[[#This Row],[DESCRIÇÃO CONTABIL]],Contas_Gerencial[[#All],[DESCRIÇÃO DA CONTA - NÃO UTILIZAR]:[Código2]],2,FALSE)</f>
        <v>20.08.004</v>
      </c>
      <c r="E91" s="712" t="s">
        <v>2648</v>
      </c>
      <c r="F91" s="712" t="s">
        <v>582</v>
      </c>
      <c r="G91" s="733" t="s">
        <v>653</v>
      </c>
      <c r="H91" s="712" t="s">
        <v>1788</v>
      </c>
      <c r="I91" s="716" t="s">
        <v>2065</v>
      </c>
      <c r="J91" s="711" t="s">
        <v>654</v>
      </c>
      <c r="K91" s="711" t="s">
        <v>2114</v>
      </c>
      <c r="L91" s="714" t="s">
        <v>2258</v>
      </c>
      <c r="M91" s="1271">
        <v>46081</v>
      </c>
      <c r="N91" s="715">
        <v>46101</v>
      </c>
      <c r="O91" s="1271">
        <v>46081</v>
      </c>
      <c r="P91" s="711" t="s">
        <v>214</v>
      </c>
      <c r="Q91" s="734">
        <v>804.44</v>
      </c>
      <c r="R91" s="735">
        <v>0</v>
      </c>
      <c r="S91" s="735">
        <v>0</v>
      </c>
      <c r="T91" s="115">
        <f>SUM(mFEV17[[#This Row],[PRINCIPAL]:[JUROS]])</f>
        <v>804.44</v>
      </c>
    </row>
    <row r="92" spans="2:22" ht="21" customHeight="1">
      <c r="B92" s="1167" t="str">
        <f t="shared" si="2"/>
        <v>3/26</v>
      </c>
      <c r="C92" s="731" t="str">
        <f>VLOOKUP(mFEV17[[#This Row],[CÓDIGO CONTABIL]],Contas_Gerencial[#All],3,FALSE)</f>
        <v>TRIBUTOS</v>
      </c>
      <c r="D92" s="1165" t="str">
        <f>VLOOKUP(mFEV17[[#This Row],[DESCRIÇÃO CONTABIL]],Contas_Gerencial[[#All],[DESCRIÇÃO DA CONTA - NÃO UTILIZAR]:[Código2]],2,FALSE)</f>
        <v>20.08.001</v>
      </c>
      <c r="E92" s="712" t="s">
        <v>2112</v>
      </c>
      <c r="F92" s="712" t="s">
        <v>582</v>
      </c>
      <c r="G92" s="733" t="s">
        <v>653</v>
      </c>
      <c r="H92" s="712" t="s">
        <v>1788</v>
      </c>
      <c r="I92" s="716" t="s">
        <v>2065</v>
      </c>
      <c r="J92" s="711" t="s">
        <v>654</v>
      </c>
      <c r="K92" s="711" t="s">
        <v>1907</v>
      </c>
      <c r="L92" s="714" t="s">
        <v>2258</v>
      </c>
      <c r="M92" s="1271">
        <v>46081</v>
      </c>
      <c r="N92" s="715">
        <v>46101</v>
      </c>
      <c r="O92" s="1271">
        <v>46081</v>
      </c>
      <c r="P92" s="711" t="s">
        <v>214</v>
      </c>
      <c r="Q92" s="734">
        <v>0</v>
      </c>
      <c r="R92" s="735">
        <v>0</v>
      </c>
      <c r="S92" s="735">
        <v>0</v>
      </c>
      <c r="T92" s="115">
        <f>SUM(mFEV17[[#This Row],[PRINCIPAL]:[JUROS]])</f>
        <v>0</v>
      </c>
    </row>
    <row r="93" spans="2:22" ht="21" customHeight="1">
      <c r="B93" s="1167" t="str">
        <f t="shared" si="2"/>
        <v>3/26</v>
      </c>
      <c r="C93" s="731" t="str">
        <f>VLOOKUP(mFEV17[[#This Row],[CÓDIGO CONTABIL]],Contas_Gerencial[#All],3,FALSE)</f>
        <v>TRIBUTOS</v>
      </c>
      <c r="D93" s="1165" t="str">
        <f>VLOOKUP(mFEV17[[#This Row],[DESCRIÇÃO CONTABIL]],Contas_Gerencial[[#All],[DESCRIÇÃO DA CONTA - NÃO UTILIZAR]:[Código2]],2,FALSE)</f>
        <v>20.08.002</v>
      </c>
      <c r="E93" s="712" t="s">
        <v>589</v>
      </c>
      <c r="F93" s="712" t="s">
        <v>582</v>
      </c>
      <c r="G93" s="733" t="s">
        <v>653</v>
      </c>
      <c r="H93" s="712" t="s">
        <v>1788</v>
      </c>
      <c r="I93" s="716" t="s">
        <v>2065</v>
      </c>
      <c r="J93" s="711" t="s">
        <v>654</v>
      </c>
      <c r="K93" s="711" t="s">
        <v>1907</v>
      </c>
      <c r="L93" s="714" t="s">
        <v>2258</v>
      </c>
      <c r="M93" s="1271">
        <v>46081</v>
      </c>
      <c r="N93" s="715">
        <v>46101</v>
      </c>
      <c r="O93" s="715" t="s">
        <v>2065</v>
      </c>
      <c r="P93" s="711" t="s">
        <v>1</v>
      </c>
      <c r="Q93" s="861">
        <v>1200.6263095683694</v>
      </c>
      <c r="R93" s="735">
        <v>0</v>
      </c>
      <c r="S93" s="735">
        <v>0</v>
      </c>
      <c r="T93" s="115">
        <f>SUM(mFEV17[[#This Row],[PRINCIPAL]:[JUROS]])</f>
        <v>1200.6263095683694</v>
      </c>
    </row>
    <row r="94" spans="2:22" ht="21" customHeight="1">
      <c r="B94" s="1167" t="str">
        <f t="shared" si="2"/>
        <v>3/26</v>
      </c>
      <c r="C94" s="731" t="str">
        <f>VLOOKUP(mFEV17[[#This Row],[CÓDIGO CONTABIL]],Contas_Gerencial[#All],3,FALSE)</f>
        <v>FOLHA DE PAGAMENTO</v>
      </c>
      <c r="D94" s="1165" t="str">
        <f>VLOOKUP(mFEV17[[#This Row],[DESCRIÇÃO CONTABIL]],Contas_Gerencial[[#All],[DESCRIÇÃO DA CONTA - NÃO UTILIZAR]:[Código2]],2,FALSE)</f>
        <v>20.05.021</v>
      </c>
      <c r="E94" s="712" t="s">
        <v>59</v>
      </c>
      <c r="F94" s="711" t="s">
        <v>582</v>
      </c>
      <c r="G94" s="718" t="s">
        <v>653</v>
      </c>
      <c r="H94" s="712" t="s">
        <v>1791</v>
      </c>
      <c r="I94" s="716" t="s">
        <v>2065</v>
      </c>
      <c r="J94" s="711" t="s">
        <v>582</v>
      </c>
      <c r="K94" s="712" t="s">
        <v>1793</v>
      </c>
      <c r="L94" s="714" t="s">
        <v>2258</v>
      </c>
      <c r="M94" s="1271">
        <v>46081</v>
      </c>
      <c r="N94" s="715">
        <v>46086</v>
      </c>
      <c r="O94" s="715" t="s">
        <v>2065</v>
      </c>
      <c r="P94" s="711" t="s">
        <v>1</v>
      </c>
      <c r="Q94" s="734">
        <v>4107.78</v>
      </c>
      <c r="R94" s="735">
        <v>0</v>
      </c>
      <c r="S94" s="735">
        <v>0</v>
      </c>
      <c r="T94" s="115">
        <f>SUM(mFEV17[[#This Row],[PRINCIPAL]:[JUROS]])</f>
        <v>4107.78</v>
      </c>
    </row>
    <row r="95" spans="2:22" ht="21" customHeight="1">
      <c r="B95" s="1167" t="str">
        <f t="shared" si="2"/>
        <v>3/26</v>
      </c>
      <c r="C95" s="731" t="str">
        <f>VLOOKUP(mFEV17[[#This Row],[CÓDIGO CONTABIL]],Contas_Gerencial[#All],3,FALSE)</f>
        <v>ENCARGOS</v>
      </c>
      <c r="D95" s="1165" t="str">
        <f>VLOOKUP(mFEV17[[#This Row],[DESCRIÇÃO CONTABIL]],Contas_Gerencial[[#All],[DESCRIÇÃO DA CONTA - NÃO UTILIZAR]:[Código2]],2,FALSE)</f>
        <v>20.04.006</v>
      </c>
      <c r="E95" s="712" t="s">
        <v>1180</v>
      </c>
      <c r="F95" s="712" t="s">
        <v>582</v>
      </c>
      <c r="G95" s="733" t="s">
        <v>653</v>
      </c>
      <c r="H95" s="712" t="s">
        <v>1180</v>
      </c>
      <c r="I95" s="716" t="s">
        <v>2065</v>
      </c>
      <c r="J95" s="711" t="s">
        <v>384</v>
      </c>
      <c r="K95" s="711" t="s">
        <v>1180</v>
      </c>
      <c r="L95" s="714" t="s">
        <v>2258</v>
      </c>
      <c r="M95" s="1271">
        <v>46081</v>
      </c>
      <c r="N95" s="715">
        <v>46101</v>
      </c>
      <c r="O95" s="715" t="s">
        <v>2065</v>
      </c>
      <c r="P95" s="711" t="s">
        <v>1</v>
      </c>
      <c r="Q95" s="734">
        <v>377.86</v>
      </c>
      <c r="R95" s="735">
        <v>0</v>
      </c>
      <c r="S95" s="735">
        <v>0</v>
      </c>
      <c r="T95" s="115">
        <f>SUM(mFEV17[[#This Row],[PRINCIPAL]:[JUROS]])</f>
        <v>377.86</v>
      </c>
    </row>
    <row r="96" spans="2:22" ht="21" customHeight="1">
      <c r="B96" s="1167" t="str">
        <f t="shared" ref="B96:B156" si="3">B95</f>
        <v>3/26</v>
      </c>
      <c r="C96" s="731" t="str">
        <f>VLOOKUP(mFEV17[[#This Row],[CÓDIGO CONTABIL]],Contas_Gerencial[#All],3,FALSE)</f>
        <v>ENCARGOS</v>
      </c>
      <c r="D96" s="1165" t="str">
        <f>VLOOKUP(mFEV17[[#This Row],[DESCRIÇÃO CONTABIL]],Contas_Gerencial[[#All],[DESCRIÇÃO DA CONTA - NÃO UTILIZAR]:[Código2]],2,FALSE)</f>
        <v>20.04.001</v>
      </c>
      <c r="E96" s="712" t="s">
        <v>2659</v>
      </c>
      <c r="F96" s="712" t="s">
        <v>582</v>
      </c>
      <c r="G96" s="712" t="s">
        <v>653</v>
      </c>
      <c r="H96" s="712" t="s">
        <v>1788</v>
      </c>
      <c r="I96" s="716" t="s">
        <v>2065</v>
      </c>
      <c r="J96" s="711" t="s">
        <v>757</v>
      </c>
      <c r="K96" s="711" t="s">
        <v>2089</v>
      </c>
      <c r="L96" s="714" t="s">
        <v>2258</v>
      </c>
      <c r="M96" s="1271">
        <v>46081</v>
      </c>
      <c r="N96" s="715">
        <v>46101</v>
      </c>
      <c r="O96" s="715" t="s">
        <v>2065</v>
      </c>
      <c r="P96" s="960" t="s">
        <v>1</v>
      </c>
      <c r="Q96" s="737">
        <v>379.56</v>
      </c>
      <c r="R96" s="735">
        <v>0</v>
      </c>
      <c r="S96" s="735">
        <v>0</v>
      </c>
      <c r="T96" s="115">
        <f>SUM(mFEV17[[#This Row],[PRINCIPAL]:[JUROS]])</f>
        <v>379.56</v>
      </c>
    </row>
    <row r="97" spans="2:22" ht="21" customHeight="1">
      <c r="B97" s="1167" t="str">
        <f t="shared" si="3"/>
        <v>3/26</v>
      </c>
      <c r="C97" s="731" t="str">
        <f>VLOOKUP(mFEV17[[#This Row],[CÓDIGO CONTABIL]],Contas_Gerencial[#All],3,FALSE)</f>
        <v>BENEFICIO</v>
      </c>
      <c r="D97" s="1165" t="str">
        <f>VLOOKUP(mFEV17[[#This Row],[DESCRIÇÃO CONTABIL]],Contas_Gerencial[[#All],[DESCRIÇÃO DA CONTA - NÃO UTILIZAR]:[Código2]],2,FALSE)</f>
        <v>20.05.006</v>
      </c>
      <c r="E97" s="733" t="s">
        <v>24</v>
      </c>
      <c r="F97" s="712" t="s">
        <v>582</v>
      </c>
      <c r="G97" s="712" t="s">
        <v>653</v>
      </c>
      <c r="H97" s="712" t="s">
        <v>1791</v>
      </c>
      <c r="I97" s="716" t="s">
        <v>2065</v>
      </c>
      <c r="J97" s="711" t="s">
        <v>582</v>
      </c>
      <c r="K97" s="711" t="s">
        <v>2590</v>
      </c>
      <c r="L97" s="729" t="s">
        <v>2591</v>
      </c>
      <c r="M97" s="1271">
        <v>46101</v>
      </c>
      <c r="N97" s="715">
        <v>46101</v>
      </c>
      <c r="O97" s="715" t="s">
        <v>2065</v>
      </c>
      <c r="P97" s="712" t="s">
        <v>1</v>
      </c>
      <c r="Q97" s="730">
        <v>1298.6400000000001</v>
      </c>
      <c r="R97" s="730">
        <v>0</v>
      </c>
      <c r="S97" s="730">
        <v>0</v>
      </c>
      <c r="T97" s="115">
        <f>SUM(mFEV17[[#This Row],[PRINCIPAL]:[JUROS]])</f>
        <v>1298.6400000000001</v>
      </c>
    </row>
    <row r="98" spans="2:22" ht="21" customHeight="1">
      <c r="B98" s="1167" t="str">
        <f t="shared" si="3"/>
        <v>3/26</v>
      </c>
      <c r="C98" s="731" t="str">
        <f>VLOOKUP(mFEV17[[#This Row],[CÓDIGO CONTABIL]],Contas_Gerencial[#All],3,FALSE)</f>
        <v>BENEFICIO</v>
      </c>
      <c r="D98" s="1165" t="str">
        <f>VLOOKUP(mFEV17[[#This Row],[DESCRIÇÃO CONTABIL]],Contas_Gerencial[[#All],[DESCRIÇÃO DA CONTA - NÃO UTILIZAR]:[Código2]],2,FALSE)</f>
        <v>20.05.007</v>
      </c>
      <c r="E98" s="733" t="s">
        <v>25</v>
      </c>
      <c r="F98" s="712" t="s">
        <v>582</v>
      </c>
      <c r="G98" s="712" t="s">
        <v>653</v>
      </c>
      <c r="H98" s="712" t="s">
        <v>1791</v>
      </c>
      <c r="I98" s="716" t="s">
        <v>2065</v>
      </c>
      <c r="J98" s="711" t="s">
        <v>582</v>
      </c>
      <c r="K98" s="711" t="s">
        <v>2590</v>
      </c>
      <c r="L98" s="729" t="s">
        <v>2591</v>
      </c>
      <c r="M98" s="1271">
        <v>46101</v>
      </c>
      <c r="N98" s="715">
        <v>46101</v>
      </c>
      <c r="O98" s="715" t="s">
        <v>2065</v>
      </c>
      <c r="P98" s="712" t="s">
        <v>1</v>
      </c>
      <c r="Q98" s="730">
        <v>197.59999999999997</v>
      </c>
      <c r="R98" s="730">
        <v>0</v>
      </c>
      <c r="S98" s="730">
        <v>0</v>
      </c>
      <c r="T98" s="115">
        <f>SUM(mFEV17[[#This Row],[PRINCIPAL]:[JUROS]])</f>
        <v>197.59999999999997</v>
      </c>
    </row>
    <row r="99" spans="2:22" ht="21" customHeight="1">
      <c r="B99" s="1167" t="str">
        <f t="shared" si="3"/>
        <v>3/26</v>
      </c>
      <c r="C99" s="731" t="str">
        <f>VLOOKUP(mFEV17[[#This Row],[CÓDIGO CONTABIL]],Contas_Gerencial[#All],3,FALSE)</f>
        <v>FOLHA DE PAGAMENTO</v>
      </c>
      <c r="D99" s="445" t="str">
        <f>VLOOKUP(mFEV17[[#This Row],[DESCRIÇÃO CONTABIL]],Contas_Gerencial[[#All],[DESCRIÇÃO DA CONTA - NÃO UTILIZAR]:[Código2]],2,FALSE)</f>
        <v>20.05.021</v>
      </c>
      <c r="E99" s="712" t="s">
        <v>59</v>
      </c>
      <c r="F99" s="711" t="s">
        <v>581</v>
      </c>
      <c r="G99" s="711" t="s">
        <v>653</v>
      </c>
      <c r="H99" s="711" t="s">
        <v>1791</v>
      </c>
      <c r="I99" s="716" t="s">
        <v>2065</v>
      </c>
      <c r="J99" s="711" t="s">
        <v>581</v>
      </c>
      <c r="K99" s="711" t="s">
        <v>2145</v>
      </c>
      <c r="L99" s="714" t="s">
        <v>2258</v>
      </c>
      <c r="M99" s="1271">
        <v>46081</v>
      </c>
      <c r="N99" s="715">
        <v>46086</v>
      </c>
      <c r="O99" s="715">
        <v>46086</v>
      </c>
      <c r="P99" s="711" t="s">
        <v>1</v>
      </c>
      <c r="Q99" s="861">
        <v>3611.38</v>
      </c>
      <c r="R99" s="735">
        <v>0</v>
      </c>
      <c r="S99" s="735">
        <v>0</v>
      </c>
      <c r="T99" s="115">
        <f>SUM(mFEV17[[#This Row],[PRINCIPAL]:[JUROS]])</f>
        <v>3611.38</v>
      </c>
    </row>
    <row r="100" spans="2:22" ht="21" customHeight="1">
      <c r="B100" s="1167" t="str">
        <f t="shared" si="3"/>
        <v>3/26</v>
      </c>
      <c r="C100" s="731" t="str">
        <f>VLOOKUP(mFEV17[[#This Row],[CÓDIGO CONTABIL]],Contas_Gerencial[#All],3,FALSE)</f>
        <v>ENCARGOS</v>
      </c>
      <c r="D100" s="445" t="str">
        <f>VLOOKUP(mFEV17[[#This Row],[DESCRIÇÃO CONTABIL]],Contas_Gerencial[[#All],[DESCRIÇÃO DA CONTA - NÃO UTILIZAR]:[Código2]],2,FALSE)</f>
        <v>20.04.006</v>
      </c>
      <c r="E100" s="712" t="s">
        <v>1180</v>
      </c>
      <c r="F100" s="711" t="s">
        <v>581</v>
      </c>
      <c r="G100" s="711" t="s">
        <v>653</v>
      </c>
      <c r="H100" s="712" t="s">
        <v>1180</v>
      </c>
      <c r="I100" s="716">
        <v>158</v>
      </c>
      <c r="J100" s="711" t="s">
        <v>384</v>
      </c>
      <c r="K100" s="712" t="s">
        <v>1180</v>
      </c>
      <c r="L100" s="714" t="s">
        <v>2258</v>
      </c>
      <c r="M100" s="1271">
        <v>46081</v>
      </c>
      <c r="N100" s="715">
        <v>46101</v>
      </c>
      <c r="O100" s="715" t="s">
        <v>2065</v>
      </c>
      <c r="P100" s="711" t="s">
        <v>1</v>
      </c>
      <c r="Q100" s="861">
        <v>345.3</v>
      </c>
      <c r="R100" s="735">
        <v>0</v>
      </c>
      <c r="S100" s="735">
        <v>0</v>
      </c>
      <c r="T100" s="115">
        <f>SUM(mFEV17[[#This Row],[PRINCIPAL]:[JUROS]])</f>
        <v>345.3</v>
      </c>
    </row>
    <row r="101" spans="2:22" ht="21" customHeight="1">
      <c r="B101" s="1167" t="str">
        <f t="shared" si="3"/>
        <v>3/26</v>
      </c>
      <c r="C101" s="731" t="str">
        <f>VLOOKUP(mFEV17[[#This Row],[CÓDIGO CONTABIL]],Contas_Gerencial[#All],3,FALSE)</f>
        <v>ENCARGOS</v>
      </c>
      <c r="D101" s="445" t="str">
        <f>VLOOKUP(mFEV17[[#This Row],[DESCRIÇÃO CONTABIL]],Contas_Gerencial[[#All],[DESCRIÇÃO DA CONTA - NÃO UTILIZAR]:[Código2]],2,FALSE)</f>
        <v>20.04.001</v>
      </c>
      <c r="E101" s="712" t="s">
        <v>2659</v>
      </c>
      <c r="F101" s="712" t="s">
        <v>581</v>
      </c>
      <c r="G101" s="711" t="s">
        <v>653</v>
      </c>
      <c r="H101" s="712" t="s">
        <v>1788</v>
      </c>
      <c r="I101" s="716">
        <v>158</v>
      </c>
      <c r="J101" s="711" t="s">
        <v>757</v>
      </c>
      <c r="K101" s="711" t="s">
        <v>2089</v>
      </c>
      <c r="L101" s="714" t="s">
        <v>2258</v>
      </c>
      <c r="M101" s="1271">
        <v>46081</v>
      </c>
      <c r="N101" s="715">
        <v>46101</v>
      </c>
      <c r="O101" s="715" t="s">
        <v>2065</v>
      </c>
      <c r="P101" s="712" t="s">
        <v>1</v>
      </c>
      <c r="Q101" s="734">
        <v>339.84</v>
      </c>
      <c r="R101" s="735">
        <v>0</v>
      </c>
      <c r="S101" s="735">
        <v>0</v>
      </c>
      <c r="T101" s="115">
        <f>SUM(mFEV17[[#This Row],[PRINCIPAL]:[JUROS]])</f>
        <v>339.84</v>
      </c>
    </row>
    <row r="102" spans="2:22" ht="21" customHeight="1">
      <c r="B102" s="1167" t="str">
        <f t="shared" si="3"/>
        <v>3/26</v>
      </c>
      <c r="C102" s="731" t="str">
        <f>VLOOKUP(mFEV17[[#This Row],[CÓDIGO CONTABIL]],Contas_Gerencial[#All],3,FALSE)</f>
        <v>BENEFICIO</v>
      </c>
      <c r="D102" s="445" t="str">
        <f>VLOOKUP(mFEV17[[#This Row],[DESCRIÇÃO CONTABIL]],Contas_Gerencial[[#All],[DESCRIÇÃO DA CONTA - NÃO UTILIZAR]:[Código2]],2,FALSE)</f>
        <v>20.05.006</v>
      </c>
      <c r="E102" s="733" t="s">
        <v>24</v>
      </c>
      <c r="F102" s="712" t="s">
        <v>581</v>
      </c>
      <c r="G102" s="711" t="s">
        <v>653</v>
      </c>
      <c r="H102" s="712" t="s">
        <v>1791</v>
      </c>
      <c r="I102" s="716" t="s">
        <v>2065</v>
      </c>
      <c r="J102" s="711" t="s">
        <v>581</v>
      </c>
      <c r="K102" s="711" t="s">
        <v>2593</v>
      </c>
      <c r="L102" s="729" t="s">
        <v>2591</v>
      </c>
      <c r="M102" s="1271">
        <v>46101</v>
      </c>
      <c r="N102" s="715">
        <v>46101</v>
      </c>
      <c r="O102" s="715" t="s">
        <v>2065</v>
      </c>
      <c r="P102" s="712" t="s">
        <v>1</v>
      </c>
      <c r="Q102" s="730">
        <v>1298.6400000000001</v>
      </c>
      <c r="R102" s="730">
        <v>0</v>
      </c>
      <c r="S102" s="730">
        <v>0</v>
      </c>
      <c r="T102" s="115">
        <f>SUM(mFEV17[[#This Row],[PRINCIPAL]:[JUROS]])</f>
        <v>1298.6400000000001</v>
      </c>
    </row>
    <row r="103" spans="2:22" ht="21" customHeight="1">
      <c r="B103" s="1167" t="str">
        <f t="shared" si="3"/>
        <v>3/26</v>
      </c>
      <c r="C103" s="731" t="str">
        <f>VLOOKUP(mFEV17[[#This Row],[CÓDIGO CONTABIL]],Contas_Gerencial[#All],3,FALSE)</f>
        <v>BENEFICIO</v>
      </c>
      <c r="D103" s="445" t="str">
        <f>VLOOKUP(mFEV17[[#This Row],[DESCRIÇÃO CONTABIL]],Contas_Gerencial[[#All],[DESCRIÇÃO DA CONTA - NÃO UTILIZAR]:[Código2]],2,FALSE)</f>
        <v>20.05.007</v>
      </c>
      <c r="E103" s="733" t="s">
        <v>25</v>
      </c>
      <c r="F103" s="712" t="s">
        <v>581</v>
      </c>
      <c r="G103" s="711" t="s">
        <v>653</v>
      </c>
      <c r="H103" s="712" t="s">
        <v>1791</v>
      </c>
      <c r="I103" s="716" t="s">
        <v>2065</v>
      </c>
      <c r="J103" s="711" t="s">
        <v>581</v>
      </c>
      <c r="K103" s="711" t="s">
        <v>2593</v>
      </c>
      <c r="L103" s="729" t="s">
        <v>2591</v>
      </c>
      <c r="M103" s="1271">
        <v>46101</v>
      </c>
      <c r="N103" s="715">
        <v>46101</v>
      </c>
      <c r="O103" s="715" t="s">
        <v>2065</v>
      </c>
      <c r="P103" s="712" t="s">
        <v>1</v>
      </c>
      <c r="Q103" s="730">
        <v>182.39999999999998</v>
      </c>
      <c r="R103" s="730">
        <v>0</v>
      </c>
      <c r="S103" s="730">
        <v>0</v>
      </c>
      <c r="T103" s="115">
        <f>SUM(mFEV17[[#This Row],[PRINCIPAL]:[JUROS]])</f>
        <v>182.39999999999998</v>
      </c>
    </row>
    <row r="104" spans="2:22" ht="21" customHeight="1">
      <c r="B104" s="1168" t="str">
        <f>B98</f>
        <v>3/26</v>
      </c>
      <c r="C104" s="472" t="str">
        <f>VLOOKUP(mFEV17[[#This Row],[CÓDIGO CONTABIL]],Contas_Gerencial[#All],3,FALSE)</f>
        <v>RECEITA SUBCONTA</v>
      </c>
      <c r="D104" s="445" t="str">
        <f>VLOOKUP(mFEV17[[#This Row],[DESCRIÇÃO CONTABIL]],Contas_Gerencial[[#All],[DESCRIÇÃO DA CONTA - NÃO UTILIZAR]:[Código2]],2,FALSE)</f>
        <v>10.01.001</v>
      </c>
      <c r="E104" s="485" t="s">
        <v>90</v>
      </c>
      <c r="F104" s="485" t="s">
        <v>582</v>
      </c>
      <c r="G104" s="486" t="s">
        <v>583</v>
      </c>
      <c r="H104" s="485" t="s">
        <v>1788</v>
      </c>
      <c r="I104" s="474" t="s">
        <v>2065</v>
      </c>
      <c r="J104" s="477" t="s">
        <v>582</v>
      </c>
      <c r="K104" s="477" t="s">
        <v>1792</v>
      </c>
      <c r="L104" s="475" t="s">
        <v>2258</v>
      </c>
      <c r="M104" s="1270">
        <v>46081</v>
      </c>
      <c r="N104" s="476">
        <v>46110</v>
      </c>
      <c r="O104" s="476" t="s">
        <v>2065</v>
      </c>
      <c r="P104" s="867" t="s">
        <v>215</v>
      </c>
      <c r="Q104" s="738">
        <v>13744</v>
      </c>
      <c r="R104" s="487">
        <v>0</v>
      </c>
      <c r="S104" s="487">
        <v>0</v>
      </c>
      <c r="T104" s="1169">
        <f>SUM(mFEV17[[#This Row],[PRINCIPAL]:[JUROS]])</f>
        <v>13744</v>
      </c>
    </row>
    <row r="105" spans="2:22" ht="21" customHeight="1">
      <c r="B105" s="1167" t="str">
        <f t="shared" si="3"/>
        <v>3/26</v>
      </c>
      <c r="C105" s="731" t="str">
        <f>VLOOKUP(mFEV17[[#This Row],[CÓDIGO CONTABIL]],Contas_Gerencial[#All],3,FALSE)</f>
        <v>ENCARGOS</v>
      </c>
      <c r="D105" s="1165" t="str">
        <f>VLOOKUP(mFEV17[[#This Row],[DESCRIÇÃO CONTABIL]],Contas_Gerencial[[#All],[DESCRIÇÃO DA CONTA - NÃO UTILIZAR]:[Código2]],2,FALSE)</f>
        <v>20.04.004</v>
      </c>
      <c r="E105" s="712" t="s">
        <v>2651</v>
      </c>
      <c r="F105" s="712" t="s">
        <v>582</v>
      </c>
      <c r="G105" s="733" t="s">
        <v>583</v>
      </c>
      <c r="H105" s="712" t="s">
        <v>1788</v>
      </c>
      <c r="I105" s="716" t="s">
        <v>2065</v>
      </c>
      <c r="J105" s="711" t="s">
        <v>264</v>
      </c>
      <c r="K105" s="711" t="s">
        <v>2113</v>
      </c>
      <c r="L105" s="714" t="s">
        <v>2258</v>
      </c>
      <c r="M105" s="1271">
        <v>46081</v>
      </c>
      <c r="N105" s="715">
        <v>46101</v>
      </c>
      <c r="O105" s="715" t="s">
        <v>2065</v>
      </c>
      <c r="P105" s="711" t="s">
        <v>214</v>
      </c>
      <c r="Q105" s="862">
        <v>684.59</v>
      </c>
      <c r="R105" s="735">
        <v>0</v>
      </c>
      <c r="S105" s="735">
        <v>0</v>
      </c>
      <c r="T105" s="115">
        <f>SUM(mFEV17[[#This Row],[PRINCIPAL]:[JUROS]])</f>
        <v>684.59</v>
      </c>
      <c r="V105" s="115"/>
    </row>
    <row r="106" spans="2:22" ht="21" customHeight="1">
      <c r="B106" s="1167" t="str">
        <f t="shared" si="3"/>
        <v>3/26</v>
      </c>
      <c r="C106" s="731" t="str">
        <f>VLOOKUP(mFEV17[[#This Row],[CÓDIGO CONTABIL]],Contas_Gerencial[#All],3,FALSE)</f>
        <v>TRIBUTOS</v>
      </c>
      <c r="D106" s="1165" t="str">
        <f>VLOOKUP(mFEV17[[#This Row],[DESCRIÇÃO CONTABIL]],Contas_Gerencial[[#All],[DESCRIÇÃO DA CONTA - NÃO UTILIZAR]:[Código2]],2,FALSE)</f>
        <v>20.08.004</v>
      </c>
      <c r="E106" s="712" t="s">
        <v>2648</v>
      </c>
      <c r="F106" s="712" t="s">
        <v>582</v>
      </c>
      <c r="G106" s="733" t="s">
        <v>583</v>
      </c>
      <c r="H106" s="712" t="s">
        <v>1788</v>
      </c>
      <c r="I106" s="716" t="s">
        <v>2065</v>
      </c>
      <c r="J106" s="711" t="s">
        <v>654</v>
      </c>
      <c r="K106" s="711" t="s">
        <v>2114</v>
      </c>
      <c r="L106" s="714" t="s">
        <v>2258</v>
      </c>
      <c r="M106" s="1271">
        <v>46081</v>
      </c>
      <c r="N106" s="715">
        <v>46101</v>
      </c>
      <c r="O106" s="1271">
        <v>46081</v>
      </c>
      <c r="P106" s="711" t="s">
        <v>214</v>
      </c>
      <c r="Q106" s="734">
        <v>456.3</v>
      </c>
      <c r="R106" s="735">
        <v>0</v>
      </c>
      <c r="S106" s="735">
        <v>0</v>
      </c>
      <c r="T106" s="115">
        <f>SUM(mFEV17[[#This Row],[PRINCIPAL]:[JUROS]])</f>
        <v>456.3</v>
      </c>
    </row>
    <row r="107" spans="2:22" ht="21" customHeight="1">
      <c r="B107" s="1167" t="str">
        <f t="shared" si="3"/>
        <v>3/26</v>
      </c>
      <c r="C107" s="731" t="str">
        <f>VLOOKUP(mFEV17[[#This Row],[CÓDIGO CONTABIL]],Contas_Gerencial[#All],3,FALSE)</f>
        <v>TRIBUTOS</v>
      </c>
      <c r="D107" s="1165" t="str">
        <f>VLOOKUP(mFEV17[[#This Row],[DESCRIÇÃO CONTABIL]],Contas_Gerencial[[#All],[DESCRIÇÃO DA CONTA - NÃO UTILIZAR]:[Código2]],2,FALSE)</f>
        <v>20.08.001</v>
      </c>
      <c r="E107" s="712" t="s">
        <v>2112</v>
      </c>
      <c r="F107" s="712" t="s">
        <v>582</v>
      </c>
      <c r="G107" s="733" t="s">
        <v>583</v>
      </c>
      <c r="H107" s="712" t="s">
        <v>1788</v>
      </c>
      <c r="I107" s="716" t="s">
        <v>2065</v>
      </c>
      <c r="J107" s="711" t="s">
        <v>654</v>
      </c>
      <c r="K107" s="711" t="s">
        <v>1907</v>
      </c>
      <c r="L107" s="714" t="s">
        <v>2258</v>
      </c>
      <c r="M107" s="1271">
        <v>46081</v>
      </c>
      <c r="N107" s="715">
        <v>46101</v>
      </c>
      <c r="O107" s="1271">
        <v>46081</v>
      </c>
      <c r="P107" s="711" t="s">
        <v>214</v>
      </c>
      <c r="Q107" s="734">
        <v>0</v>
      </c>
      <c r="R107" s="735">
        <v>0</v>
      </c>
      <c r="S107" s="735">
        <v>0</v>
      </c>
      <c r="T107" s="115">
        <f>SUM(mFEV17[[#This Row],[PRINCIPAL]:[JUROS]])</f>
        <v>0</v>
      </c>
    </row>
    <row r="108" spans="2:22" ht="21" customHeight="1">
      <c r="B108" s="1167" t="str">
        <f t="shared" si="3"/>
        <v>3/26</v>
      </c>
      <c r="C108" s="731" t="str">
        <f>VLOOKUP(mFEV17[[#This Row],[CÓDIGO CONTABIL]],Contas_Gerencial[#All],3,FALSE)</f>
        <v>TRIBUTOS</v>
      </c>
      <c r="D108" s="1165" t="str">
        <f>VLOOKUP(mFEV17[[#This Row],[DESCRIÇÃO CONTABIL]],Contas_Gerencial[[#All],[DESCRIÇÃO DA CONTA - NÃO UTILIZAR]:[Código2]],2,FALSE)</f>
        <v>20.08.002</v>
      </c>
      <c r="E108" s="712" t="s">
        <v>589</v>
      </c>
      <c r="F108" s="712" t="s">
        <v>582</v>
      </c>
      <c r="G108" s="733" t="s">
        <v>583</v>
      </c>
      <c r="H108" s="712" t="s">
        <v>1788</v>
      </c>
      <c r="I108" s="716" t="s">
        <v>2065</v>
      </c>
      <c r="J108" s="711" t="s">
        <v>654</v>
      </c>
      <c r="K108" s="711" t="s">
        <v>1907</v>
      </c>
      <c r="L108" s="714" t="s">
        <v>2258</v>
      </c>
      <c r="M108" s="1271">
        <v>46081</v>
      </c>
      <c r="N108" s="715">
        <v>46101</v>
      </c>
      <c r="O108" s="715" t="s">
        <v>2065</v>
      </c>
      <c r="P108" s="711" t="s">
        <v>1</v>
      </c>
      <c r="Q108" s="861">
        <v>681.03210890250386</v>
      </c>
      <c r="R108" s="735">
        <v>0</v>
      </c>
      <c r="S108" s="735">
        <v>0</v>
      </c>
      <c r="T108" s="115">
        <f>SUM(mFEV17[[#This Row],[PRINCIPAL]:[JUROS]])</f>
        <v>681.03210890250386</v>
      </c>
    </row>
    <row r="109" spans="2:22" ht="21" customHeight="1">
      <c r="B109" s="1167" t="str">
        <f t="shared" si="3"/>
        <v>3/26</v>
      </c>
      <c r="C109" s="731" t="str">
        <f>VLOOKUP(mFEV17[[#This Row],[CÓDIGO CONTABIL]],Contas_Gerencial[#All],3,FALSE)</f>
        <v>FOLHA DE PAGAMENTO</v>
      </c>
      <c r="D109" s="1165" t="str">
        <f>VLOOKUP(mFEV17[[#This Row],[DESCRIÇÃO CONTABIL]],Contas_Gerencial[[#All],[DESCRIÇÃO DA CONTA - NÃO UTILIZAR]:[Código2]],2,FALSE)</f>
        <v>20.05.021</v>
      </c>
      <c r="E109" s="712" t="s">
        <v>59</v>
      </c>
      <c r="F109" s="711" t="s">
        <v>582</v>
      </c>
      <c r="G109" s="733" t="s">
        <v>583</v>
      </c>
      <c r="H109" s="712" t="s">
        <v>1791</v>
      </c>
      <c r="I109" s="716" t="s">
        <v>2065</v>
      </c>
      <c r="J109" s="711" t="s">
        <v>582</v>
      </c>
      <c r="K109" s="712" t="s">
        <v>1793</v>
      </c>
      <c r="L109" s="714" t="s">
        <v>2258</v>
      </c>
      <c r="M109" s="1271">
        <v>46081</v>
      </c>
      <c r="N109" s="715">
        <v>46086</v>
      </c>
      <c r="O109" s="715" t="s">
        <v>2065</v>
      </c>
      <c r="P109" s="711" t="s">
        <v>1</v>
      </c>
      <c r="Q109" s="1222">
        <v>3379.07</v>
      </c>
      <c r="R109" s="735">
        <v>0</v>
      </c>
      <c r="S109" s="735">
        <v>0</v>
      </c>
      <c r="T109" s="115">
        <f>SUM(mFEV17[[#This Row],[PRINCIPAL]:[JUROS]])</f>
        <v>3379.07</v>
      </c>
      <c r="V109" s="115"/>
    </row>
    <row r="110" spans="2:22" ht="21" customHeight="1">
      <c r="B110" s="1167" t="str">
        <f t="shared" si="3"/>
        <v>3/26</v>
      </c>
      <c r="C110" s="731" t="str">
        <f>VLOOKUP(mFEV17[[#This Row],[CÓDIGO CONTABIL]],Contas_Gerencial[#All],3,FALSE)</f>
        <v>ENCARGOS</v>
      </c>
      <c r="D110" s="1165" t="str">
        <f>VLOOKUP(mFEV17[[#This Row],[DESCRIÇÃO CONTABIL]],Contas_Gerencial[[#All],[DESCRIÇÃO DA CONTA - NÃO UTILIZAR]:[Código2]],2,FALSE)</f>
        <v>20.04.006</v>
      </c>
      <c r="E110" s="712" t="s">
        <v>1180</v>
      </c>
      <c r="F110" s="712" t="s">
        <v>582</v>
      </c>
      <c r="G110" s="733" t="s">
        <v>583</v>
      </c>
      <c r="H110" s="712" t="s">
        <v>1180</v>
      </c>
      <c r="I110" s="716" t="s">
        <v>2065</v>
      </c>
      <c r="J110" s="711" t="s">
        <v>384</v>
      </c>
      <c r="K110" s="711" t="s">
        <v>1180</v>
      </c>
      <c r="L110" s="714" t="s">
        <v>2258</v>
      </c>
      <c r="M110" s="1271">
        <v>46081</v>
      </c>
      <c r="N110" s="715">
        <v>46101</v>
      </c>
      <c r="O110" s="715" t="s">
        <v>2065</v>
      </c>
      <c r="P110" s="711" t="s">
        <v>1</v>
      </c>
      <c r="Q110" s="1222">
        <v>342.74</v>
      </c>
      <c r="R110" s="735">
        <v>0</v>
      </c>
      <c r="S110" s="735">
        <v>0</v>
      </c>
      <c r="T110" s="115">
        <f>SUM(mFEV17[[#This Row],[PRINCIPAL]:[JUROS]])</f>
        <v>342.74</v>
      </c>
    </row>
    <row r="111" spans="2:22" ht="21" customHeight="1">
      <c r="B111" s="1167" t="str">
        <f t="shared" si="3"/>
        <v>3/26</v>
      </c>
      <c r="C111" s="731" t="str">
        <f>VLOOKUP(mFEV17[[#This Row],[CÓDIGO CONTABIL]],Contas_Gerencial[#All],3,FALSE)</f>
        <v>ENCARGOS</v>
      </c>
      <c r="D111" s="1165" t="str">
        <f>VLOOKUP(mFEV17[[#This Row],[DESCRIÇÃO CONTABIL]],Contas_Gerencial[[#All],[DESCRIÇÃO DA CONTA - NÃO UTILIZAR]:[Código2]],2,FALSE)</f>
        <v>20.04.001</v>
      </c>
      <c r="E111" s="712" t="s">
        <v>2659</v>
      </c>
      <c r="F111" s="712" t="s">
        <v>582</v>
      </c>
      <c r="G111" s="712" t="s">
        <v>583</v>
      </c>
      <c r="H111" s="712" t="s">
        <v>1788</v>
      </c>
      <c r="I111" s="716" t="s">
        <v>2065</v>
      </c>
      <c r="J111" s="711" t="s">
        <v>757</v>
      </c>
      <c r="K111" s="711" t="s">
        <v>2089</v>
      </c>
      <c r="L111" s="714" t="s">
        <v>2258</v>
      </c>
      <c r="M111" s="1271">
        <v>46081</v>
      </c>
      <c r="N111" s="715">
        <v>46101</v>
      </c>
      <c r="O111" s="715" t="s">
        <v>2065</v>
      </c>
      <c r="P111" s="960" t="s">
        <v>1</v>
      </c>
      <c r="Q111" s="1281">
        <f>171.47+168.58</f>
        <v>340.05</v>
      </c>
      <c r="R111" s="735">
        <v>0</v>
      </c>
      <c r="S111" s="735">
        <v>0</v>
      </c>
      <c r="T111" s="115">
        <f>SUM(mFEV17[[#This Row],[PRINCIPAL]:[JUROS]])</f>
        <v>340.05</v>
      </c>
    </row>
    <row r="112" spans="2:22" ht="21" customHeight="1">
      <c r="B112" s="1167" t="str">
        <f t="shared" si="3"/>
        <v>3/26</v>
      </c>
      <c r="C112" s="731" t="str">
        <f>VLOOKUP(mFEV17[[#This Row],[CÓDIGO CONTABIL]],Contas_Gerencial[#All],3,FALSE)</f>
        <v>BENEFICIO</v>
      </c>
      <c r="D112" s="1165" t="str">
        <f>VLOOKUP(mFEV17[[#This Row],[DESCRIÇÃO CONTABIL]],Contas_Gerencial[[#All],[DESCRIÇÃO DA CONTA - NÃO UTILIZAR]:[Código2]],2,FALSE)</f>
        <v>20.05.006</v>
      </c>
      <c r="E112" s="733" t="s">
        <v>24</v>
      </c>
      <c r="F112" s="712" t="s">
        <v>582</v>
      </c>
      <c r="G112" s="712" t="s">
        <v>583</v>
      </c>
      <c r="H112" s="712" t="s">
        <v>1791</v>
      </c>
      <c r="I112" s="716" t="s">
        <v>2065</v>
      </c>
      <c r="J112" s="711" t="s">
        <v>582</v>
      </c>
      <c r="K112" s="711" t="s">
        <v>2590</v>
      </c>
      <c r="L112" s="729" t="s">
        <v>2591</v>
      </c>
      <c r="M112" s="1271">
        <v>46101</v>
      </c>
      <c r="N112" s="715">
        <v>46101</v>
      </c>
      <c r="O112" s="715" t="s">
        <v>2065</v>
      </c>
      <c r="P112" s="712" t="s">
        <v>1</v>
      </c>
      <c r="Q112" s="730">
        <v>2179.86</v>
      </c>
      <c r="R112" s="730">
        <v>0</v>
      </c>
      <c r="S112" s="730">
        <v>0</v>
      </c>
      <c r="T112" s="115">
        <f>SUM(mFEV17[[#This Row],[PRINCIPAL]:[JUROS]])</f>
        <v>2179.86</v>
      </c>
    </row>
    <row r="113" spans="2:22" ht="21" customHeight="1">
      <c r="B113" s="1167" t="str">
        <f t="shared" si="3"/>
        <v>3/26</v>
      </c>
      <c r="C113" s="731" t="str">
        <f>VLOOKUP(mFEV17[[#This Row],[CÓDIGO CONTABIL]],Contas_Gerencial[#All],3,FALSE)</f>
        <v>BENEFICIO</v>
      </c>
      <c r="D113" s="1165" t="str">
        <f>VLOOKUP(mFEV17[[#This Row],[DESCRIÇÃO CONTABIL]],Contas_Gerencial[[#All],[DESCRIÇÃO DA CONTA - NÃO UTILIZAR]:[Código2]],2,FALSE)</f>
        <v>20.05.007</v>
      </c>
      <c r="E113" s="733" t="s">
        <v>25</v>
      </c>
      <c r="F113" s="712" t="s">
        <v>582</v>
      </c>
      <c r="G113" s="712" t="s">
        <v>583</v>
      </c>
      <c r="H113" s="712" t="s">
        <v>1791</v>
      </c>
      <c r="I113" s="716" t="s">
        <v>2065</v>
      </c>
      <c r="J113" s="711" t="s">
        <v>582</v>
      </c>
      <c r="K113" s="711" t="s">
        <v>2590</v>
      </c>
      <c r="L113" s="729" t="s">
        <v>2591</v>
      </c>
      <c r="M113" s="1271">
        <v>46101</v>
      </c>
      <c r="N113" s="715">
        <v>46101</v>
      </c>
      <c r="O113" s="715" t="s">
        <v>2065</v>
      </c>
      <c r="P113" s="712" t="s">
        <v>1</v>
      </c>
      <c r="Q113" s="730">
        <v>517</v>
      </c>
      <c r="R113" s="730">
        <v>0</v>
      </c>
      <c r="S113" s="730">
        <v>0</v>
      </c>
      <c r="T113" s="115">
        <f>SUM(mFEV17[[#This Row],[PRINCIPAL]:[JUROS]])</f>
        <v>517</v>
      </c>
    </row>
    <row r="114" spans="2:22" ht="21" customHeight="1">
      <c r="B114" s="1168" t="str">
        <f t="shared" si="3"/>
        <v>3/26</v>
      </c>
      <c r="C114" s="472" t="str">
        <f>VLOOKUP(mFEV17[[#This Row],[CÓDIGO CONTABIL]],Contas_Gerencial[#All],3,FALSE)</f>
        <v>RECEITA SUBCONTA</v>
      </c>
      <c r="D114" s="445" t="str">
        <f>VLOOKUP(mFEV17[[#This Row],[DESCRIÇÃO CONTABIL]],Contas_Gerencial[[#All],[DESCRIÇÃO DA CONTA - NÃO UTILIZAR]:[Código2]],2,FALSE)</f>
        <v>10.01.001</v>
      </c>
      <c r="E114" s="485" t="s">
        <v>90</v>
      </c>
      <c r="F114" s="485" t="s">
        <v>582</v>
      </c>
      <c r="G114" s="486" t="s">
        <v>638</v>
      </c>
      <c r="H114" s="485" t="s">
        <v>1788</v>
      </c>
      <c r="I114" s="474" t="s">
        <v>2065</v>
      </c>
      <c r="J114" s="477" t="s">
        <v>582</v>
      </c>
      <c r="K114" s="477" t="s">
        <v>1792</v>
      </c>
      <c r="L114" s="475" t="s">
        <v>2258</v>
      </c>
      <c r="M114" s="1270">
        <v>46081</v>
      </c>
      <c r="N114" s="476">
        <v>46086</v>
      </c>
      <c r="O114" s="476" t="s">
        <v>2065</v>
      </c>
      <c r="P114" s="867" t="s">
        <v>215</v>
      </c>
      <c r="Q114" s="738">
        <v>6301</v>
      </c>
      <c r="R114" s="487">
        <v>0</v>
      </c>
      <c r="S114" s="487">
        <v>0</v>
      </c>
      <c r="T114" s="1169">
        <f>SUM(mFEV17[[#This Row],[PRINCIPAL]:[JUROS]])</f>
        <v>6301</v>
      </c>
    </row>
    <row r="115" spans="2:22" ht="21" customHeight="1">
      <c r="B115" s="1167" t="str">
        <f t="shared" si="3"/>
        <v>3/26</v>
      </c>
      <c r="C115" s="731" t="str">
        <f>VLOOKUP(mFEV17[[#This Row],[CÓDIGO CONTABIL]],Contas_Gerencial[#All],3,FALSE)</f>
        <v>ENCARGOS</v>
      </c>
      <c r="D115" s="1165" t="str">
        <f>VLOOKUP(mFEV17[[#This Row],[DESCRIÇÃO CONTABIL]],Contas_Gerencial[[#All],[DESCRIÇÃO DA CONTA - NÃO UTILIZAR]:[Código2]],2,FALSE)</f>
        <v>20.04.004</v>
      </c>
      <c r="E115" s="712" t="s">
        <v>2651</v>
      </c>
      <c r="F115" s="712" t="s">
        <v>582</v>
      </c>
      <c r="G115" s="733" t="s">
        <v>638</v>
      </c>
      <c r="H115" s="712" t="s">
        <v>1788</v>
      </c>
      <c r="I115" s="716" t="s">
        <v>2065</v>
      </c>
      <c r="J115" s="711" t="s">
        <v>264</v>
      </c>
      <c r="K115" s="711" t="s">
        <v>2113</v>
      </c>
      <c r="L115" s="714" t="s">
        <v>2258</v>
      </c>
      <c r="M115" s="1271">
        <v>46081</v>
      </c>
      <c r="N115" s="715">
        <v>46101</v>
      </c>
      <c r="O115" s="715" t="s">
        <v>2065</v>
      </c>
      <c r="P115" s="711" t="s">
        <v>214</v>
      </c>
      <c r="Q115" s="862">
        <v>491.83</v>
      </c>
      <c r="R115" s="735">
        <v>0</v>
      </c>
      <c r="S115" s="735">
        <v>0</v>
      </c>
      <c r="T115" s="115">
        <f>SUM(mFEV17[[#This Row],[PRINCIPAL]:[JUROS]])</f>
        <v>491.83</v>
      </c>
      <c r="V115" s="115"/>
    </row>
    <row r="116" spans="2:22" ht="21" customHeight="1">
      <c r="B116" s="1167" t="str">
        <f t="shared" si="3"/>
        <v>3/26</v>
      </c>
      <c r="C116" s="731" t="str">
        <f>VLOOKUP(mFEV17[[#This Row],[CÓDIGO CONTABIL]],Contas_Gerencial[#All],3,FALSE)</f>
        <v>TRIBUTOS</v>
      </c>
      <c r="D116" s="1165" t="str">
        <f>VLOOKUP(mFEV17[[#This Row],[DESCRIÇÃO CONTABIL]],Contas_Gerencial[[#All],[DESCRIÇÃO DA CONTA - NÃO UTILIZAR]:[Código2]],2,FALSE)</f>
        <v>20.08.004</v>
      </c>
      <c r="E116" s="712" t="s">
        <v>2648</v>
      </c>
      <c r="F116" s="712" t="s">
        <v>582</v>
      </c>
      <c r="G116" s="733" t="s">
        <v>638</v>
      </c>
      <c r="H116" s="712" t="s">
        <v>1788</v>
      </c>
      <c r="I116" s="716" t="s">
        <v>2065</v>
      </c>
      <c r="J116" s="711" t="s">
        <v>654</v>
      </c>
      <c r="K116" s="711" t="s">
        <v>2114</v>
      </c>
      <c r="L116" s="714" t="s">
        <v>2258</v>
      </c>
      <c r="M116" s="1271">
        <v>46081</v>
      </c>
      <c r="N116" s="715">
        <v>46101</v>
      </c>
      <c r="O116" s="1271">
        <v>46081</v>
      </c>
      <c r="P116" s="711" t="s">
        <v>214</v>
      </c>
      <c r="Q116" s="734">
        <v>209.19</v>
      </c>
      <c r="R116" s="735">
        <v>0</v>
      </c>
      <c r="S116" s="735">
        <v>0</v>
      </c>
      <c r="T116" s="115">
        <f>SUM(mFEV17[[#This Row],[PRINCIPAL]:[JUROS]])</f>
        <v>209.19</v>
      </c>
    </row>
    <row r="117" spans="2:22" ht="21" customHeight="1">
      <c r="B117" s="1167" t="str">
        <f t="shared" si="3"/>
        <v>3/26</v>
      </c>
      <c r="C117" s="731" t="str">
        <f>VLOOKUP(mFEV17[[#This Row],[CÓDIGO CONTABIL]],Contas_Gerencial[#All],3,FALSE)</f>
        <v>TRIBUTOS</v>
      </c>
      <c r="D117" s="1165" t="str">
        <f>VLOOKUP(mFEV17[[#This Row],[DESCRIÇÃO CONTABIL]],Contas_Gerencial[[#All],[DESCRIÇÃO DA CONTA - NÃO UTILIZAR]:[Código2]],2,FALSE)</f>
        <v>20.08.001</v>
      </c>
      <c r="E117" s="712" t="s">
        <v>2112</v>
      </c>
      <c r="F117" s="712" t="s">
        <v>582</v>
      </c>
      <c r="G117" s="733" t="s">
        <v>638</v>
      </c>
      <c r="H117" s="712" t="s">
        <v>1788</v>
      </c>
      <c r="I117" s="716" t="s">
        <v>2065</v>
      </c>
      <c r="J117" s="711" t="s">
        <v>654</v>
      </c>
      <c r="K117" s="711" t="s">
        <v>1907</v>
      </c>
      <c r="L117" s="714" t="s">
        <v>2258</v>
      </c>
      <c r="M117" s="1271">
        <v>46081</v>
      </c>
      <c r="N117" s="715">
        <v>46101</v>
      </c>
      <c r="O117" s="1271">
        <v>46081</v>
      </c>
      <c r="P117" s="711" t="s">
        <v>214</v>
      </c>
      <c r="Q117" s="734">
        <v>0</v>
      </c>
      <c r="R117" s="735">
        <v>0</v>
      </c>
      <c r="S117" s="735">
        <v>0</v>
      </c>
      <c r="T117" s="115">
        <f>SUM(mFEV17[[#This Row],[PRINCIPAL]:[JUROS]])</f>
        <v>0</v>
      </c>
    </row>
    <row r="118" spans="2:22" ht="21" customHeight="1">
      <c r="B118" s="1167" t="str">
        <f t="shared" si="3"/>
        <v>3/26</v>
      </c>
      <c r="C118" s="731" t="str">
        <f>VLOOKUP(mFEV17[[#This Row],[CÓDIGO CONTABIL]],Contas_Gerencial[#All],3,FALSE)</f>
        <v>TRIBUTOS</v>
      </c>
      <c r="D118" s="1165" t="str">
        <f>VLOOKUP(mFEV17[[#This Row],[DESCRIÇÃO CONTABIL]],Contas_Gerencial[[#All],[DESCRIÇÃO DA CONTA - NÃO UTILIZAR]:[Código2]],2,FALSE)</f>
        <v>20.08.002</v>
      </c>
      <c r="E118" s="712" t="s">
        <v>589</v>
      </c>
      <c r="F118" s="712" t="s">
        <v>582</v>
      </c>
      <c r="G118" s="733" t="s">
        <v>638</v>
      </c>
      <c r="H118" s="712" t="s">
        <v>1788</v>
      </c>
      <c r="I118" s="716" t="s">
        <v>2065</v>
      </c>
      <c r="J118" s="711" t="s">
        <v>654</v>
      </c>
      <c r="K118" s="711" t="s">
        <v>1907</v>
      </c>
      <c r="L118" s="714" t="s">
        <v>2258</v>
      </c>
      <c r="M118" s="1271">
        <v>46081</v>
      </c>
      <c r="N118" s="715">
        <v>46101</v>
      </c>
      <c r="O118" s="715" t="s">
        <v>2065</v>
      </c>
      <c r="P118" s="711" t="s">
        <v>1</v>
      </c>
      <c r="Q118" s="861">
        <v>312.22230196410635</v>
      </c>
      <c r="R118" s="735">
        <v>0</v>
      </c>
      <c r="S118" s="735">
        <v>0</v>
      </c>
      <c r="T118" s="115">
        <f>SUM(mFEV17[[#This Row],[PRINCIPAL]:[JUROS]])</f>
        <v>312.22230196410635</v>
      </c>
    </row>
    <row r="119" spans="2:22" ht="21" customHeight="1">
      <c r="B119" s="1167" t="str">
        <f t="shared" si="3"/>
        <v>3/26</v>
      </c>
      <c r="C119" s="731" t="str">
        <f>VLOOKUP(mFEV17[[#This Row],[CÓDIGO CONTABIL]],Contas_Gerencial[#All],3,FALSE)</f>
        <v>FOLHA DE PAGAMENTO</v>
      </c>
      <c r="D119" s="1165" t="str">
        <f>VLOOKUP(mFEV17[[#This Row],[DESCRIÇÃO CONTABIL]],Contas_Gerencial[[#All],[DESCRIÇÃO DA CONTA - NÃO UTILIZAR]:[Código2]],2,FALSE)</f>
        <v>20.05.021</v>
      </c>
      <c r="E119" s="712" t="s">
        <v>59</v>
      </c>
      <c r="F119" s="711" t="s">
        <v>582</v>
      </c>
      <c r="G119" s="733" t="s">
        <v>638</v>
      </c>
      <c r="H119" s="712" t="s">
        <v>1791</v>
      </c>
      <c r="I119" s="716" t="s">
        <v>2065</v>
      </c>
      <c r="J119" s="711" t="s">
        <v>582</v>
      </c>
      <c r="K119" s="712" t="s">
        <v>1790</v>
      </c>
      <c r="L119" s="714" t="s">
        <v>2258</v>
      </c>
      <c r="M119" s="1271">
        <v>46081</v>
      </c>
      <c r="N119" s="715">
        <v>46086</v>
      </c>
      <c r="O119" s="715" t="s">
        <v>2065</v>
      </c>
      <c r="P119" s="711" t="s">
        <v>1</v>
      </c>
      <c r="Q119" s="734">
        <v>1804.14</v>
      </c>
      <c r="R119" s="735">
        <v>0</v>
      </c>
      <c r="S119" s="735">
        <v>0</v>
      </c>
      <c r="T119" s="115">
        <f>SUM(mFEV17[[#This Row],[PRINCIPAL]:[JUROS]])</f>
        <v>1804.14</v>
      </c>
      <c r="V119" s="115"/>
    </row>
    <row r="120" spans="2:22" ht="21" customHeight="1">
      <c r="B120" s="1167" t="str">
        <f t="shared" si="3"/>
        <v>3/26</v>
      </c>
      <c r="C120" s="731" t="str">
        <f>VLOOKUP(mFEV17[[#This Row],[CÓDIGO CONTABIL]],Contas_Gerencial[#All],3,FALSE)</f>
        <v>ENCARGOS</v>
      </c>
      <c r="D120" s="1165" t="str">
        <f>VLOOKUP(mFEV17[[#This Row],[DESCRIÇÃO CONTABIL]],Contas_Gerencial[[#All],[DESCRIÇÃO DA CONTA - NÃO UTILIZAR]:[Código2]],2,FALSE)</f>
        <v>20.04.006</v>
      </c>
      <c r="E120" s="712" t="s">
        <v>1180</v>
      </c>
      <c r="F120" s="712" t="s">
        <v>582</v>
      </c>
      <c r="G120" s="733" t="s">
        <v>638</v>
      </c>
      <c r="H120" s="712" t="s">
        <v>1180</v>
      </c>
      <c r="I120" s="716" t="s">
        <v>2065</v>
      </c>
      <c r="J120" s="711" t="s">
        <v>384</v>
      </c>
      <c r="K120" s="711" t="s">
        <v>1180</v>
      </c>
      <c r="L120" s="714" t="s">
        <v>2258</v>
      </c>
      <c r="M120" s="1271">
        <v>46081</v>
      </c>
      <c r="N120" s="715">
        <v>46101</v>
      </c>
      <c r="O120" s="715" t="s">
        <v>2065</v>
      </c>
      <c r="P120" s="711" t="s">
        <v>1</v>
      </c>
      <c r="Q120" s="734">
        <v>172.65</v>
      </c>
      <c r="R120" s="735">
        <v>0</v>
      </c>
      <c r="S120" s="735">
        <v>0</v>
      </c>
      <c r="T120" s="115">
        <f>SUM(mFEV17[[#This Row],[PRINCIPAL]:[JUROS]])</f>
        <v>172.65</v>
      </c>
    </row>
    <row r="121" spans="2:22" ht="21" customHeight="1">
      <c r="B121" s="1167" t="str">
        <f t="shared" si="3"/>
        <v>3/26</v>
      </c>
      <c r="C121" s="731" t="str">
        <f>VLOOKUP(mFEV17[[#This Row],[CÓDIGO CONTABIL]],Contas_Gerencial[#All],3,FALSE)</f>
        <v>ENCARGOS</v>
      </c>
      <c r="D121" s="1165" t="str">
        <f>VLOOKUP(mFEV17[[#This Row],[DESCRIÇÃO CONTABIL]],Contas_Gerencial[[#All],[DESCRIÇÃO DA CONTA - NÃO UTILIZAR]:[Código2]],2,FALSE)</f>
        <v>20.04.001</v>
      </c>
      <c r="E121" s="712" t="s">
        <v>2659</v>
      </c>
      <c r="F121" s="712" t="s">
        <v>582</v>
      </c>
      <c r="G121" s="712" t="s">
        <v>638</v>
      </c>
      <c r="H121" s="712" t="s">
        <v>1788</v>
      </c>
      <c r="I121" s="716" t="s">
        <v>2065</v>
      </c>
      <c r="J121" s="711" t="s">
        <v>757</v>
      </c>
      <c r="K121" s="711" t="s">
        <v>2089</v>
      </c>
      <c r="L121" s="714" t="s">
        <v>2258</v>
      </c>
      <c r="M121" s="1271">
        <v>46081</v>
      </c>
      <c r="N121" s="715">
        <v>46101</v>
      </c>
      <c r="O121" s="715" t="s">
        <v>2065</v>
      </c>
      <c r="P121" s="960" t="s">
        <v>1</v>
      </c>
      <c r="Q121" s="737">
        <v>171.47</v>
      </c>
      <c r="R121" s="735">
        <v>0</v>
      </c>
      <c r="S121" s="735">
        <v>0</v>
      </c>
      <c r="T121" s="115">
        <f>SUM(mFEV17[[#This Row],[PRINCIPAL]:[JUROS]])</f>
        <v>171.47</v>
      </c>
    </row>
    <row r="122" spans="2:22" ht="21" customHeight="1">
      <c r="B122" s="1167" t="str">
        <f t="shared" si="3"/>
        <v>3/26</v>
      </c>
      <c r="C122" s="731" t="str">
        <f>VLOOKUP(mFEV17[[#This Row],[CÓDIGO CONTABIL]],Contas_Gerencial[#All],3,FALSE)</f>
        <v>BENEFICIO</v>
      </c>
      <c r="D122" s="1165" t="str">
        <f>VLOOKUP(mFEV17[[#This Row],[DESCRIÇÃO CONTABIL]],Contas_Gerencial[[#All],[DESCRIÇÃO DA CONTA - NÃO UTILIZAR]:[Código2]],2,FALSE)</f>
        <v>20.05.006</v>
      </c>
      <c r="E122" s="733" t="s">
        <v>24</v>
      </c>
      <c r="F122" s="712" t="s">
        <v>582</v>
      </c>
      <c r="G122" s="712" t="s">
        <v>638</v>
      </c>
      <c r="H122" s="712" t="s">
        <v>1791</v>
      </c>
      <c r="I122" s="716" t="s">
        <v>2065</v>
      </c>
      <c r="J122" s="711" t="s">
        <v>582</v>
      </c>
      <c r="K122" s="711" t="s">
        <v>2590</v>
      </c>
      <c r="L122" s="729" t="s">
        <v>2591</v>
      </c>
      <c r="M122" s="1271">
        <v>46101</v>
      </c>
      <c r="N122" s="715">
        <v>46101</v>
      </c>
      <c r="O122" s="715" t="s">
        <v>2065</v>
      </c>
      <c r="P122" s="712" t="s">
        <v>1</v>
      </c>
      <c r="Q122" s="730">
        <v>1113.1200000000001</v>
      </c>
      <c r="R122" s="730">
        <v>0</v>
      </c>
      <c r="S122" s="730">
        <v>0</v>
      </c>
      <c r="T122" s="115">
        <f>SUM(mFEV17[[#This Row],[PRINCIPAL]:[JUROS]])</f>
        <v>1113.1200000000001</v>
      </c>
    </row>
    <row r="123" spans="2:22" ht="21" customHeight="1">
      <c r="B123" s="1167" t="str">
        <f t="shared" si="3"/>
        <v>3/26</v>
      </c>
      <c r="C123" s="731" t="str">
        <f>VLOOKUP(mFEV17[[#This Row],[CÓDIGO CONTABIL]],Contas_Gerencial[#All],3,FALSE)</f>
        <v>BENEFICIO</v>
      </c>
      <c r="D123" s="1165" t="str">
        <f>VLOOKUP(mFEV17[[#This Row],[DESCRIÇÃO CONTABIL]],Contas_Gerencial[[#All],[DESCRIÇÃO DA CONTA - NÃO UTILIZAR]:[Código2]],2,FALSE)</f>
        <v>20.05.007</v>
      </c>
      <c r="E123" s="733" t="s">
        <v>25</v>
      </c>
      <c r="F123" s="712" t="s">
        <v>582</v>
      </c>
      <c r="G123" s="712" t="s">
        <v>638</v>
      </c>
      <c r="H123" s="712" t="s">
        <v>1791</v>
      </c>
      <c r="I123" s="716" t="s">
        <v>2065</v>
      </c>
      <c r="J123" s="711" t="s">
        <v>582</v>
      </c>
      <c r="K123" s="711" t="s">
        <v>2590</v>
      </c>
      <c r="L123" s="729" t="s">
        <v>2591</v>
      </c>
      <c r="M123" s="1271">
        <v>46101</v>
      </c>
      <c r="N123" s="715">
        <v>46101</v>
      </c>
      <c r="O123" s="715" t="s">
        <v>2065</v>
      </c>
      <c r="P123" s="712" t="s">
        <v>1</v>
      </c>
      <c r="Q123" s="730">
        <v>264</v>
      </c>
      <c r="R123" s="730">
        <v>0</v>
      </c>
      <c r="S123" s="730">
        <v>0</v>
      </c>
      <c r="T123" s="115">
        <f>SUM(mFEV17[[#This Row],[PRINCIPAL]:[JUROS]])</f>
        <v>264</v>
      </c>
    </row>
    <row r="124" spans="2:22" ht="21" customHeight="1">
      <c r="B124" s="1168" t="str">
        <f t="shared" si="3"/>
        <v>3/26</v>
      </c>
      <c r="C124" s="472" t="str">
        <f>VLOOKUP(mFEV17[[#This Row],[CÓDIGO CONTABIL]],Contas_Gerencial[#All],3,FALSE)</f>
        <v>RECEITA SUBCONTA</v>
      </c>
      <c r="D124" s="445" t="str">
        <f>VLOOKUP(mFEV17[[#This Row],[DESCRIÇÃO CONTABIL]],Contas_Gerencial[[#All],[DESCRIÇÃO DA CONTA - NÃO UTILIZAR]:[Código2]],2,FALSE)</f>
        <v>10.01.001</v>
      </c>
      <c r="E124" s="485" t="s">
        <v>90</v>
      </c>
      <c r="F124" s="485" t="s">
        <v>582</v>
      </c>
      <c r="G124" s="486" t="s">
        <v>1082</v>
      </c>
      <c r="H124" s="485" t="s">
        <v>1788</v>
      </c>
      <c r="I124" s="474" t="s">
        <v>2065</v>
      </c>
      <c r="J124" s="477" t="s">
        <v>582</v>
      </c>
      <c r="K124" s="477" t="s">
        <v>1792</v>
      </c>
      <c r="L124" s="475" t="s">
        <v>2258</v>
      </c>
      <c r="M124" s="1270">
        <v>46081</v>
      </c>
      <c r="N124" s="476">
        <v>46096</v>
      </c>
      <c r="O124" s="476" t="s">
        <v>2065</v>
      </c>
      <c r="P124" s="867" t="s">
        <v>215</v>
      </c>
      <c r="Q124" s="488">
        <v>6486</v>
      </c>
      <c r="R124" s="487">
        <v>0</v>
      </c>
      <c r="S124" s="487">
        <v>0</v>
      </c>
      <c r="T124" s="1169">
        <f>SUM(mFEV17[[#This Row],[PRINCIPAL]:[JUROS]])</f>
        <v>6486</v>
      </c>
    </row>
    <row r="125" spans="2:22" ht="21" customHeight="1">
      <c r="B125" s="1167" t="str">
        <f t="shared" si="3"/>
        <v>3/26</v>
      </c>
      <c r="C125" s="731" t="str">
        <f>VLOOKUP(mFEV17[[#This Row],[CÓDIGO CONTABIL]],Contas_Gerencial[#All],3,FALSE)</f>
        <v>ENCARGOS</v>
      </c>
      <c r="D125" s="1165" t="str">
        <f>VLOOKUP(mFEV17[[#This Row],[DESCRIÇÃO CONTABIL]],Contas_Gerencial[[#All],[DESCRIÇÃO DA CONTA - NÃO UTILIZAR]:[Código2]],2,FALSE)</f>
        <v>20.04.004</v>
      </c>
      <c r="E125" s="712" t="s">
        <v>2651</v>
      </c>
      <c r="F125" s="712" t="s">
        <v>582</v>
      </c>
      <c r="G125" s="733" t="s">
        <v>1082</v>
      </c>
      <c r="H125" s="712" t="s">
        <v>1788</v>
      </c>
      <c r="I125" s="716" t="s">
        <v>2065</v>
      </c>
      <c r="J125" s="711" t="s">
        <v>264</v>
      </c>
      <c r="K125" s="711" t="s">
        <v>2113</v>
      </c>
      <c r="L125" s="714" t="s">
        <v>2258</v>
      </c>
      <c r="M125" s="1271">
        <v>46081</v>
      </c>
      <c r="N125" s="715">
        <v>46101</v>
      </c>
      <c r="O125" s="715" t="s">
        <v>2065</v>
      </c>
      <c r="P125" s="711" t="s">
        <v>214</v>
      </c>
      <c r="Q125" s="862">
        <v>349.09</v>
      </c>
      <c r="R125" s="735">
        <v>0</v>
      </c>
      <c r="S125" s="735">
        <v>0</v>
      </c>
      <c r="T125" s="115">
        <f>SUM(mFEV17[[#This Row],[PRINCIPAL]:[JUROS]])</f>
        <v>349.09</v>
      </c>
      <c r="V125" s="115"/>
    </row>
    <row r="126" spans="2:22" ht="21" customHeight="1">
      <c r="B126" s="1167" t="str">
        <f t="shared" si="3"/>
        <v>3/26</v>
      </c>
      <c r="C126" s="731" t="str">
        <f>VLOOKUP(mFEV17[[#This Row],[CÓDIGO CONTABIL]],Contas_Gerencial[#All],3,FALSE)</f>
        <v>TRIBUTOS</v>
      </c>
      <c r="D126" s="1165" t="str">
        <f>VLOOKUP(mFEV17[[#This Row],[DESCRIÇÃO CONTABIL]],Contas_Gerencial[[#All],[DESCRIÇÃO DA CONTA - NÃO UTILIZAR]:[Código2]],2,FALSE)</f>
        <v>20.08.004</v>
      </c>
      <c r="E126" s="712" t="s">
        <v>2648</v>
      </c>
      <c r="F126" s="712" t="s">
        <v>582</v>
      </c>
      <c r="G126" s="733" t="s">
        <v>1082</v>
      </c>
      <c r="H126" s="712" t="s">
        <v>1788</v>
      </c>
      <c r="I126" s="716" t="s">
        <v>2065</v>
      </c>
      <c r="J126" s="711" t="s">
        <v>654</v>
      </c>
      <c r="K126" s="711" t="s">
        <v>2114</v>
      </c>
      <c r="L126" s="714" t="s">
        <v>2258</v>
      </c>
      <c r="M126" s="1271">
        <v>46081</v>
      </c>
      <c r="N126" s="715">
        <v>46101</v>
      </c>
      <c r="O126" s="1271">
        <v>46081</v>
      </c>
      <c r="P126" s="711" t="s">
        <v>214</v>
      </c>
      <c r="Q126" s="734">
        <v>215.34</v>
      </c>
      <c r="R126" s="735">
        <v>0</v>
      </c>
      <c r="S126" s="735">
        <v>0</v>
      </c>
      <c r="T126" s="115">
        <f>SUM(mFEV17[[#This Row],[PRINCIPAL]:[JUROS]])</f>
        <v>215.34</v>
      </c>
    </row>
    <row r="127" spans="2:22" ht="21" customHeight="1">
      <c r="B127" s="1167" t="str">
        <f t="shared" si="3"/>
        <v>3/26</v>
      </c>
      <c r="C127" s="731" t="str">
        <f>VLOOKUP(mFEV17[[#This Row],[CÓDIGO CONTABIL]],Contas_Gerencial[#All],3,FALSE)</f>
        <v>TRIBUTOS</v>
      </c>
      <c r="D127" s="1165" t="str">
        <f>VLOOKUP(mFEV17[[#This Row],[DESCRIÇÃO CONTABIL]],Contas_Gerencial[[#All],[DESCRIÇÃO DA CONTA - NÃO UTILIZAR]:[Código2]],2,FALSE)</f>
        <v>20.08.001</v>
      </c>
      <c r="E127" s="712" t="s">
        <v>2112</v>
      </c>
      <c r="F127" s="712" t="s">
        <v>582</v>
      </c>
      <c r="G127" s="733" t="s">
        <v>1082</v>
      </c>
      <c r="H127" s="712" t="s">
        <v>1788</v>
      </c>
      <c r="I127" s="716" t="s">
        <v>2065</v>
      </c>
      <c r="J127" s="711" t="s">
        <v>654</v>
      </c>
      <c r="K127" s="711" t="s">
        <v>1907</v>
      </c>
      <c r="L127" s="714" t="s">
        <v>2258</v>
      </c>
      <c r="M127" s="1271">
        <v>46081</v>
      </c>
      <c r="N127" s="715">
        <v>46101</v>
      </c>
      <c r="O127" s="1271">
        <v>46081</v>
      </c>
      <c r="P127" s="711" t="s">
        <v>214</v>
      </c>
      <c r="Q127" s="734">
        <v>0</v>
      </c>
      <c r="R127" s="735">
        <v>0</v>
      </c>
      <c r="S127" s="735">
        <v>0</v>
      </c>
      <c r="T127" s="115">
        <f>SUM(mFEV17[[#This Row],[PRINCIPAL]:[JUROS]])</f>
        <v>0</v>
      </c>
    </row>
    <row r="128" spans="2:22" ht="21" customHeight="1">
      <c r="B128" s="1167" t="str">
        <f t="shared" si="3"/>
        <v>3/26</v>
      </c>
      <c r="C128" s="731" t="str">
        <f>VLOOKUP(mFEV17[[#This Row],[CÓDIGO CONTABIL]],Contas_Gerencial[#All],3,FALSE)</f>
        <v>TRIBUTOS</v>
      </c>
      <c r="D128" s="1165" t="str">
        <f>VLOOKUP(mFEV17[[#This Row],[DESCRIÇÃO CONTABIL]],Contas_Gerencial[[#All],[DESCRIÇÃO DA CONTA - NÃO UTILIZAR]:[Código2]],2,FALSE)</f>
        <v>20.08.002</v>
      </c>
      <c r="E128" s="712" t="s">
        <v>589</v>
      </c>
      <c r="F128" s="712" t="s">
        <v>582</v>
      </c>
      <c r="G128" s="733" t="s">
        <v>1082</v>
      </c>
      <c r="H128" s="712" t="s">
        <v>1788</v>
      </c>
      <c r="I128" s="716" t="s">
        <v>2065</v>
      </c>
      <c r="J128" s="711" t="s">
        <v>654</v>
      </c>
      <c r="K128" s="711" t="s">
        <v>1907</v>
      </c>
      <c r="L128" s="714" t="s">
        <v>2258</v>
      </c>
      <c r="M128" s="1271">
        <v>46081</v>
      </c>
      <c r="N128" s="715">
        <v>46101</v>
      </c>
      <c r="O128" s="715" t="s">
        <v>2065</v>
      </c>
      <c r="P128" s="711" t="s">
        <v>1</v>
      </c>
      <c r="Q128" s="861">
        <v>321.38927956502039</v>
      </c>
      <c r="R128" s="735">
        <v>0</v>
      </c>
      <c r="S128" s="735">
        <v>0</v>
      </c>
      <c r="T128" s="115">
        <f>SUM(mFEV17[[#This Row],[PRINCIPAL]:[JUROS]])</f>
        <v>321.38927956502039</v>
      </c>
    </row>
    <row r="129" spans="2:22" ht="21" customHeight="1">
      <c r="B129" s="1167" t="str">
        <f t="shared" si="3"/>
        <v>3/26</v>
      </c>
      <c r="C129" s="731" t="str">
        <f>VLOOKUP(mFEV17[[#This Row],[CÓDIGO CONTABIL]],Contas_Gerencial[#All],3,FALSE)</f>
        <v>FOLHA DE PAGAMENTO</v>
      </c>
      <c r="D129" s="1165" t="str">
        <f>VLOOKUP(mFEV17[[#This Row],[DESCRIÇÃO CONTABIL]],Contas_Gerencial[[#All],[DESCRIÇÃO DA CONTA - NÃO UTILIZAR]:[Código2]],2,FALSE)</f>
        <v>20.05.021</v>
      </c>
      <c r="E129" s="712" t="s">
        <v>59</v>
      </c>
      <c r="F129" s="711" t="s">
        <v>582</v>
      </c>
      <c r="G129" s="733" t="s">
        <v>1082</v>
      </c>
      <c r="H129" s="712" t="s">
        <v>1791</v>
      </c>
      <c r="I129" s="716" t="s">
        <v>2065</v>
      </c>
      <c r="J129" s="711" t="s">
        <v>582</v>
      </c>
      <c r="K129" s="712" t="s">
        <v>2063</v>
      </c>
      <c r="L129" s="714" t="s">
        <v>2258</v>
      </c>
      <c r="M129" s="1271">
        <v>46081</v>
      </c>
      <c r="N129" s="715">
        <v>46086</v>
      </c>
      <c r="O129" s="715" t="s">
        <v>2065</v>
      </c>
      <c r="P129" s="711" t="s">
        <v>1</v>
      </c>
      <c r="Q129" s="734">
        <v>1804.14</v>
      </c>
      <c r="R129" s="735">
        <v>0</v>
      </c>
      <c r="S129" s="735">
        <v>0</v>
      </c>
      <c r="T129" s="115">
        <f>SUM(mFEV17[[#This Row],[PRINCIPAL]:[JUROS]])</f>
        <v>1804.14</v>
      </c>
      <c r="V129" s="115"/>
    </row>
    <row r="130" spans="2:22" ht="21" customHeight="1">
      <c r="B130" s="1167" t="str">
        <f t="shared" si="3"/>
        <v>3/26</v>
      </c>
      <c r="C130" s="731" t="str">
        <f>VLOOKUP(mFEV17[[#This Row],[CÓDIGO CONTABIL]],Contas_Gerencial[#All],3,FALSE)</f>
        <v>ENCARGOS</v>
      </c>
      <c r="D130" s="1165" t="str">
        <f>VLOOKUP(mFEV17[[#This Row],[DESCRIÇÃO CONTABIL]],Contas_Gerencial[[#All],[DESCRIÇÃO DA CONTA - NÃO UTILIZAR]:[Código2]],2,FALSE)</f>
        <v>20.04.006</v>
      </c>
      <c r="E130" s="712" t="s">
        <v>1180</v>
      </c>
      <c r="F130" s="712" t="s">
        <v>582</v>
      </c>
      <c r="G130" s="733" t="s">
        <v>1082</v>
      </c>
      <c r="H130" s="712" t="s">
        <v>1180</v>
      </c>
      <c r="I130" s="716" t="s">
        <v>2065</v>
      </c>
      <c r="J130" s="711" t="s">
        <v>384</v>
      </c>
      <c r="K130" s="711" t="s">
        <v>1180</v>
      </c>
      <c r="L130" s="714" t="s">
        <v>2258</v>
      </c>
      <c r="M130" s="1271">
        <v>46081</v>
      </c>
      <c r="N130" s="715">
        <v>46101</v>
      </c>
      <c r="O130" s="715" t="s">
        <v>2065</v>
      </c>
      <c r="P130" s="711" t="s">
        <v>1</v>
      </c>
      <c r="Q130" s="734">
        <v>172.65</v>
      </c>
      <c r="R130" s="735">
        <v>0</v>
      </c>
      <c r="S130" s="735">
        <v>0</v>
      </c>
      <c r="T130" s="115">
        <f>SUM(mFEV17[[#This Row],[PRINCIPAL]:[JUROS]])</f>
        <v>172.65</v>
      </c>
    </row>
    <row r="131" spans="2:22" ht="21" customHeight="1">
      <c r="B131" s="1167" t="str">
        <f t="shared" si="3"/>
        <v>3/26</v>
      </c>
      <c r="C131" s="731" t="str">
        <f>VLOOKUP(mFEV17[[#This Row],[CÓDIGO CONTABIL]],Contas_Gerencial[#All],3,FALSE)</f>
        <v>ENCARGOS</v>
      </c>
      <c r="D131" s="1165" t="str">
        <f>VLOOKUP(mFEV17[[#This Row],[DESCRIÇÃO CONTABIL]],Contas_Gerencial[[#All],[DESCRIÇÃO DA CONTA - NÃO UTILIZAR]:[Código2]],2,FALSE)</f>
        <v>20.04.001</v>
      </c>
      <c r="E131" s="712" t="s">
        <v>2659</v>
      </c>
      <c r="F131" s="712" t="s">
        <v>582</v>
      </c>
      <c r="G131" s="712" t="s">
        <v>1082</v>
      </c>
      <c r="H131" s="712" t="s">
        <v>1788</v>
      </c>
      <c r="I131" s="716" t="s">
        <v>2065</v>
      </c>
      <c r="J131" s="711" t="s">
        <v>757</v>
      </c>
      <c r="K131" s="711" t="s">
        <v>2089</v>
      </c>
      <c r="L131" s="714" t="s">
        <v>2258</v>
      </c>
      <c r="M131" s="1271">
        <v>46081</v>
      </c>
      <c r="N131" s="715">
        <v>46101</v>
      </c>
      <c r="O131" s="715" t="s">
        <v>2065</v>
      </c>
      <c r="P131" s="960" t="s">
        <v>1</v>
      </c>
      <c r="Q131" s="737">
        <v>171.47</v>
      </c>
      <c r="R131" s="735">
        <v>0</v>
      </c>
      <c r="S131" s="735">
        <v>0</v>
      </c>
      <c r="T131" s="115">
        <f>SUM(mFEV17[[#This Row],[PRINCIPAL]:[JUROS]])</f>
        <v>171.47</v>
      </c>
    </row>
    <row r="132" spans="2:22" ht="21" customHeight="1">
      <c r="B132" s="1167" t="str">
        <f t="shared" si="3"/>
        <v>3/26</v>
      </c>
      <c r="C132" s="731" t="str">
        <f>VLOOKUP(mFEV17[[#This Row],[CÓDIGO CONTABIL]],Contas_Gerencial[#All],3,FALSE)</f>
        <v>BENEFICIO</v>
      </c>
      <c r="D132" s="1165" t="str">
        <f>VLOOKUP(mFEV17[[#This Row],[DESCRIÇÃO CONTABIL]],Contas_Gerencial[[#All],[DESCRIÇÃO DA CONTA - NÃO UTILIZAR]:[Código2]],2,FALSE)</f>
        <v>20.05.006</v>
      </c>
      <c r="E132" s="733" t="s">
        <v>24</v>
      </c>
      <c r="F132" s="712" t="s">
        <v>582</v>
      </c>
      <c r="G132" s="733" t="s">
        <v>1082</v>
      </c>
      <c r="H132" s="712" t="s">
        <v>1791</v>
      </c>
      <c r="I132" s="716" t="s">
        <v>2065</v>
      </c>
      <c r="J132" s="711" t="s">
        <v>581</v>
      </c>
      <c r="K132" s="711" t="s">
        <v>2590</v>
      </c>
      <c r="L132" s="729" t="s">
        <v>2591</v>
      </c>
      <c r="M132" s="1271">
        <v>46101</v>
      </c>
      <c r="N132" s="715">
        <v>46101</v>
      </c>
      <c r="O132" s="715" t="s">
        <v>2065</v>
      </c>
      <c r="P132" s="712" t="s">
        <v>1</v>
      </c>
      <c r="Q132" s="730">
        <v>1066.74</v>
      </c>
      <c r="R132" s="730">
        <v>0</v>
      </c>
      <c r="S132" s="730">
        <v>0</v>
      </c>
      <c r="T132" s="115">
        <f>SUM(mFEV17[[#This Row],[PRINCIPAL]:[JUROS]])</f>
        <v>1066.74</v>
      </c>
    </row>
    <row r="133" spans="2:22" ht="21" customHeight="1">
      <c r="B133" s="1167" t="str">
        <f t="shared" si="3"/>
        <v>3/26</v>
      </c>
      <c r="C133" s="731" t="str">
        <f>VLOOKUP(mFEV17[[#This Row],[CÓDIGO CONTABIL]],Contas_Gerencial[#All],3,FALSE)</f>
        <v>BENEFICIO</v>
      </c>
      <c r="D133" s="1165" t="str">
        <f>VLOOKUP(mFEV17[[#This Row],[DESCRIÇÃO CONTABIL]],Contas_Gerencial[[#All],[DESCRIÇÃO DA CONTA - NÃO UTILIZAR]:[Código2]],2,FALSE)</f>
        <v>20.05.007</v>
      </c>
      <c r="E133" s="733" t="s">
        <v>25</v>
      </c>
      <c r="F133" s="712" t="s">
        <v>582</v>
      </c>
      <c r="G133" s="733" t="s">
        <v>1082</v>
      </c>
      <c r="H133" s="712" t="s">
        <v>1791</v>
      </c>
      <c r="I133" s="716" t="s">
        <v>2065</v>
      </c>
      <c r="J133" s="711" t="s">
        <v>581</v>
      </c>
      <c r="K133" s="711" t="s">
        <v>2590</v>
      </c>
      <c r="L133" s="729" t="s">
        <v>2591</v>
      </c>
      <c r="M133" s="1271">
        <v>46101</v>
      </c>
      <c r="N133" s="715">
        <v>46101</v>
      </c>
      <c r="O133" s="715" t="s">
        <v>2065</v>
      </c>
      <c r="P133" s="712" t="s">
        <v>1</v>
      </c>
      <c r="Q133" s="730">
        <v>453.09999999999985</v>
      </c>
      <c r="R133" s="730">
        <v>0</v>
      </c>
      <c r="S133" s="730">
        <v>0</v>
      </c>
      <c r="T133" s="115">
        <f>SUM(mFEV17[[#This Row],[PRINCIPAL]:[JUROS]])</f>
        <v>453.09999999999985</v>
      </c>
    </row>
    <row r="134" spans="2:22" ht="21" customHeight="1">
      <c r="B134" s="1168" t="str">
        <f t="shared" si="3"/>
        <v>3/26</v>
      </c>
      <c r="C134" s="472" t="str">
        <f>VLOOKUP(mFEV17[[#This Row],[CÓDIGO CONTABIL]],Contas_Gerencial[#All],3,FALSE)</f>
        <v>RECEITA SUBCONTA</v>
      </c>
      <c r="D134" s="445" t="str">
        <f>VLOOKUP(mFEV17[[#This Row],[DESCRIÇÃO CONTABIL]],Contas_Gerencial[[#All],[DESCRIÇÃO DA CONTA - NÃO UTILIZAR]:[Código2]],2,FALSE)</f>
        <v>10.01.001</v>
      </c>
      <c r="E134" s="485" t="s">
        <v>90</v>
      </c>
      <c r="F134" s="485" t="s">
        <v>581</v>
      </c>
      <c r="G134" s="486" t="s">
        <v>595</v>
      </c>
      <c r="H134" s="485" t="s">
        <v>1788</v>
      </c>
      <c r="I134" s="474">
        <v>0</v>
      </c>
      <c r="J134" s="477" t="s">
        <v>581</v>
      </c>
      <c r="K134" s="477" t="s">
        <v>1792</v>
      </c>
      <c r="L134" s="475" t="s">
        <v>2258</v>
      </c>
      <c r="M134" s="1270">
        <v>46081</v>
      </c>
      <c r="N134" s="476">
        <v>46086</v>
      </c>
      <c r="O134" s="476" t="s">
        <v>2065</v>
      </c>
      <c r="P134" s="452" t="s">
        <v>215</v>
      </c>
      <c r="Q134" s="488">
        <v>0</v>
      </c>
      <c r="R134" s="487">
        <v>0</v>
      </c>
      <c r="S134" s="487">
        <v>0</v>
      </c>
      <c r="T134" s="1169">
        <f>SUM(mFEV17[[#This Row],[PRINCIPAL]:[JUROS]])</f>
        <v>0</v>
      </c>
      <c r="V134" s="115"/>
    </row>
    <row r="135" spans="2:22" ht="21" customHeight="1">
      <c r="B135" s="1167" t="str">
        <f t="shared" si="3"/>
        <v>3/26</v>
      </c>
      <c r="C135" s="731" t="str">
        <f>VLOOKUP(mFEV17[[#This Row],[CÓDIGO CONTABIL]],Contas_Gerencial[#All],3,FALSE)</f>
        <v>FOLHA DE PAGAMENTO</v>
      </c>
      <c r="D135" s="1165" t="str">
        <f>VLOOKUP(mFEV17[[#This Row],[DESCRIÇÃO CONTABIL]],Contas_Gerencial[[#All],[DESCRIÇÃO DA CONTA - NÃO UTILIZAR]:[Código2]],2,FALSE)</f>
        <v>20.05.021</v>
      </c>
      <c r="E135" s="712" t="s">
        <v>59</v>
      </c>
      <c r="F135" s="712" t="s">
        <v>581</v>
      </c>
      <c r="G135" s="733" t="s">
        <v>595</v>
      </c>
      <c r="H135" s="712" t="s">
        <v>1791</v>
      </c>
      <c r="I135" s="716">
        <v>0</v>
      </c>
      <c r="J135" s="711" t="s">
        <v>581</v>
      </c>
      <c r="K135" s="711" t="s">
        <v>1973</v>
      </c>
      <c r="L135" s="714" t="s">
        <v>2258</v>
      </c>
      <c r="M135" s="1271">
        <v>46081</v>
      </c>
      <c r="N135" s="715">
        <v>46086</v>
      </c>
      <c r="O135" s="715">
        <v>46086</v>
      </c>
      <c r="P135" s="711" t="s">
        <v>1</v>
      </c>
      <c r="Q135" s="861">
        <v>4705.1899999999996</v>
      </c>
      <c r="R135" s="735">
        <v>0</v>
      </c>
      <c r="S135" s="735">
        <v>0</v>
      </c>
      <c r="T135" s="115">
        <f>SUM(mFEV17[[#This Row],[PRINCIPAL]:[JUROS]])</f>
        <v>4705.1899999999996</v>
      </c>
      <c r="V135" s="115"/>
    </row>
    <row r="136" spans="2:22" ht="21" customHeight="1">
      <c r="B136" s="1167" t="str">
        <f t="shared" si="3"/>
        <v>3/26</v>
      </c>
      <c r="C136" s="731" t="str">
        <f>VLOOKUP(mFEV17[[#This Row],[CÓDIGO CONTABIL]],Contas_Gerencial[#All],3,FALSE)</f>
        <v>ENCARGOS</v>
      </c>
      <c r="D136" s="1165" t="str">
        <f>VLOOKUP(mFEV17[[#This Row],[DESCRIÇÃO CONTABIL]],Contas_Gerencial[[#All],[DESCRIÇÃO DA CONTA - NÃO UTILIZAR]:[Código2]],2,FALSE)</f>
        <v>20.04.006</v>
      </c>
      <c r="E136" s="712" t="s">
        <v>1180</v>
      </c>
      <c r="F136" s="711" t="s">
        <v>581</v>
      </c>
      <c r="G136" s="733" t="s">
        <v>595</v>
      </c>
      <c r="H136" s="712" t="s">
        <v>1180</v>
      </c>
      <c r="I136" s="716">
        <v>0</v>
      </c>
      <c r="J136" s="711" t="s">
        <v>384</v>
      </c>
      <c r="K136" s="712" t="s">
        <v>1180</v>
      </c>
      <c r="L136" s="714" t="s">
        <v>2258</v>
      </c>
      <c r="M136" s="1271">
        <v>46081</v>
      </c>
      <c r="N136" s="715">
        <v>46101</v>
      </c>
      <c r="O136" s="715" t="s">
        <v>2065</v>
      </c>
      <c r="P136" s="711" t="s">
        <v>1</v>
      </c>
      <c r="Q136" s="734">
        <v>296.12</v>
      </c>
      <c r="R136" s="735">
        <v>0</v>
      </c>
      <c r="S136" s="735">
        <v>0</v>
      </c>
      <c r="T136" s="115">
        <f>SUM(mFEV17[[#This Row],[PRINCIPAL]:[JUROS]])</f>
        <v>296.12</v>
      </c>
    </row>
    <row r="137" spans="2:22" ht="21" customHeight="1">
      <c r="B137" s="1167" t="str">
        <f t="shared" si="3"/>
        <v>3/26</v>
      </c>
      <c r="C137" s="731" t="str">
        <f>VLOOKUP(mFEV17[[#This Row],[CÓDIGO CONTABIL]],Contas_Gerencial[#All],3,FALSE)</f>
        <v>ENCARGOS</v>
      </c>
      <c r="D137" s="1165" t="str">
        <f>VLOOKUP(mFEV17[[#This Row],[DESCRIÇÃO CONTABIL]],Contas_Gerencial[[#All],[DESCRIÇÃO DA CONTA - NÃO UTILIZAR]:[Código2]],2,FALSE)</f>
        <v>20.04.001</v>
      </c>
      <c r="E137" s="712" t="s">
        <v>2659</v>
      </c>
      <c r="F137" s="712" t="s">
        <v>581</v>
      </c>
      <c r="G137" s="733" t="s">
        <v>595</v>
      </c>
      <c r="H137" s="712" t="s">
        <v>1788</v>
      </c>
      <c r="I137" s="716">
        <v>0</v>
      </c>
      <c r="J137" s="711" t="s">
        <v>757</v>
      </c>
      <c r="K137" s="711" t="s">
        <v>2089</v>
      </c>
      <c r="L137" s="714" t="s">
        <v>2258</v>
      </c>
      <c r="M137" s="1271">
        <v>46081</v>
      </c>
      <c r="N137" s="715">
        <v>46101</v>
      </c>
      <c r="O137" s="715" t="s">
        <v>2065</v>
      </c>
      <c r="P137" s="712" t="s">
        <v>1</v>
      </c>
      <c r="Q137" s="734">
        <v>511.08</v>
      </c>
      <c r="R137" s="735">
        <v>0</v>
      </c>
      <c r="S137" s="735">
        <v>0</v>
      </c>
      <c r="T137" s="115">
        <f>SUM(mFEV17[[#This Row],[PRINCIPAL]:[JUROS]])</f>
        <v>511.08</v>
      </c>
    </row>
    <row r="138" spans="2:22" ht="21" customHeight="1">
      <c r="B138" s="1167" t="str">
        <f t="shared" si="3"/>
        <v>3/26</v>
      </c>
      <c r="C138" s="731" t="str">
        <f>VLOOKUP(mFEV17[[#This Row],[CÓDIGO CONTABIL]],Contas_Gerencial[#All],3,FALSE)</f>
        <v>BENEFICIO</v>
      </c>
      <c r="D138" s="1165" t="str">
        <f>VLOOKUP(mFEV17[[#This Row],[DESCRIÇÃO CONTABIL]],Contas_Gerencial[[#All],[DESCRIÇÃO DA CONTA - NÃO UTILIZAR]:[Código2]],2,FALSE)</f>
        <v>20.05.006</v>
      </c>
      <c r="E138" s="733" t="s">
        <v>24</v>
      </c>
      <c r="F138" s="712" t="s">
        <v>581</v>
      </c>
      <c r="G138" s="733" t="s">
        <v>595</v>
      </c>
      <c r="H138" s="712" t="s">
        <v>1791</v>
      </c>
      <c r="I138" s="716" t="s">
        <v>2065</v>
      </c>
      <c r="J138" s="711" t="s">
        <v>581</v>
      </c>
      <c r="K138" s="711" t="s">
        <v>2590</v>
      </c>
      <c r="L138" s="729" t="s">
        <v>2591</v>
      </c>
      <c r="M138" s="1271">
        <v>46101</v>
      </c>
      <c r="N138" s="715">
        <v>46101</v>
      </c>
      <c r="O138" s="715" t="s">
        <v>2065</v>
      </c>
      <c r="P138" s="712" t="s">
        <v>1</v>
      </c>
      <c r="Q138" s="730">
        <v>2226.2400000000002</v>
      </c>
      <c r="R138" s="730">
        <v>0</v>
      </c>
      <c r="S138" s="730">
        <v>0</v>
      </c>
      <c r="T138" s="115">
        <f>SUM(mFEV17[[#This Row],[PRINCIPAL]:[JUROS]])</f>
        <v>2226.2400000000002</v>
      </c>
    </row>
    <row r="139" spans="2:22" ht="21" customHeight="1">
      <c r="B139" s="1167" t="str">
        <f t="shared" si="3"/>
        <v>3/26</v>
      </c>
      <c r="C139" s="731" t="str">
        <f>VLOOKUP(mFEV17[[#This Row],[CÓDIGO CONTABIL]],Contas_Gerencial[#All],3,FALSE)</f>
        <v>BENEFICIO</v>
      </c>
      <c r="D139" s="1165" t="str">
        <f>VLOOKUP(mFEV17[[#This Row],[DESCRIÇÃO CONTABIL]],Contas_Gerencial[[#All],[DESCRIÇÃO DA CONTA - NÃO UTILIZAR]:[Código2]],2,FALSE)</f>
        <v>20.05.007</v>
      </c>
      <c r="E139" s="733" t="s">
        <v>25</v>
      </c>
      <c r="F139" s="712" t="s">
        <v>581</v>
      </c>
      <c r="G139" s="733" t="s">
        <v>595</v>
      </c>
      <c r="H139" s="712" t="s">
        <v>1791</v>
      </c>
      <c r="I139" s="716" t="s">
        <v>2065</v>
      </c>
      <c r="J139" s="711" t="s">
        <v>581</v>
      </c>
      <c r="K139" s="711" t="s">
        <v>2590</v>
      </c>
      <c r="L139" s="729" t="s">
        <v>2591</v>
      </c>
      <c r="M139" s="1271">
        <v>46101</v>
      </c>
      <c r="N139" s="715">
        <v>46101</v>
      </c>
      <c r="O139" s="715" t="s">
        <v>2065</v>
      </c>
      <c r="P139" s="712" t="s">
        <v>1</v>
      </c>
      <c r="Q139" s="730">
        <v>528</v>
      </c>
      <c r="R139" s="730">
        <v>0</v>
      </c>
      <c r="S139" s="730">
        <v>0</v>
      </c>
      <c r="T139" s="115">
        <f>SUM(mFEV17[[#This Row],[PRINCIPAL]:[JUROS]])</f>
        <v>528</v>
      </c>
    </row>
    <row r="140" spans="2:22" ht="21" customHeight="1">
      <c r="B140" s="1168" t="str">
        <f t="shared" si="3"/>
        <v>3/26</v>
      </c>
      <c r="C140" s="472" t="str">
        <f>VLOOKUP(mFEV17[[#This Row],[CÓDIGO CONTABIL]],Contas_Gerencial[#All],3,FALSE)</f>
        <v>RECEITA SUBCONTA</v>
      </c>
      <c r="D140" s="445" t="str">
        <f>VLOOKUP(mFEV17[[#This Row],[DESCRIÇÃO CONTABIL]],Contas_Gerencial[[#All],[DESCRIÇÃO DA CONTA - NÃO UTILIZAR]:[Código2]],2,FALSE)</f>
        <v>10.01.001</v>
      </c>
      <c r="E140" s="485" t="s">
        <v>90</v>
      </c>
      <c r="F140" s="485" t="s">
        <v>581</v>
      </c>
      <c r="G140" s="486" t="s">
        <v>1130</v>
      </c>
      <c r="H140" s="485" t="s">
        <v>1788</v>
      </c>
      <c r="I140" s="474" t="s">
        <v>2065</v>
      </c>
      <c r="J140" s="477" t="s">
        <v>581</v>
      </c>
      <c r="K140" s="477" t="s">
        <v>1792</v>
      </c>
      <c r="L140" s="475" t="s">
        <v>2258</v>
      </c>
      <c r="M140" s="1270">
        <v>46081</v>
      </c>
      <c r="N140" s="476">
        <v>46086</v>
      </c>
      <c r="O140" s="476" t="s">
        <v>2065</v>
      </c>
      <c r="P140" s="452" t="s">
        <v>215</v>
      </c>
      <c r="Q140" s="488">
        <v>0</v>
      </c>
      <c r="R140" s="487">
        <v>0</v>
      </c>
      <c r="S140" s="487">
        <v>0</v>
      </c>
      <c r="T140" s="1169">
        <f>SUM(mFEV17[[#This Row],[PRINCIPAL]:[JUROS]])</f>
        <v>0</v>
      </c>
      <c r="V140" s="115"/>
    </row>
    <row r="141" spans="2:22" ht="21" customHeight="1">
      <c r="B141" s="1167" t="str">
        <f t="shared" si="3"/>
        <v>3/26</v>
      </c>
      <c r="C141" s="731" t="str">
        <f>VLOOKUP(mFEV17[[#This Row],[CÓDIGO CONTABIL]],Contas_Gerencial[#All],3,FALSE)</f>
        <v>FOLHA DE PAGAMENTO</v>
      </c>
      <c r="D141" s="1165" t="str">
        <f>VLOOKUP(mFEV17[[#This Row],[DESCRIÇÃO CONTABIL]],Contas_Gerencial[[#All],[DESCRIÇÃO DA CONTA - NÃO UTILIZAR]:[Código2]],2,FALSE)</f>
        <v>20.05.021</v>
      </c>
      <c r="E141" s="712" t="s">
        <v>59</v>
      </c>
      <c r="F141" s="711" t="s">
        <v>581</v>
      </c>
      <c r="G141" s="711" t="s">
        <v>1130</v>
      </c>
      <c r="H141" s="711" t="s">
        <v>1791</v>
      </c>
      <c r="I141" s="716" t="s">
        <v>2065</v>
      </c>
      <c r="J141" s="711" t="s">
        <v>581</v>
      </c>
      <c r="K141" s="922" t="s">
        <v>2152</v>
      </c>
      <c r="L141" s="714" t="s">
        <v>2258</v>
      </c>
      <c r="M141" s="1271">
        <v>46081</v>
      </c>
      <c r="N141" s="715">
        <v>46086</v>
      </c>
      <c r="O141" s="715">
        <v>46086</v>
      </c>
      <c r="P141" s="711" t="s">
        <v>1</v>
      </c>
      <c r="Q141" s="861">
        <v>3931.23</v>
      </c>
      <c r="R141" s="735">
        <v>0</v>
      </c>
      <c r="S141" s="735">
        <v>0</v>
      </c>
      <c r="T141" s="115">
        <f>SUM(mFEV17[[#This Row],[PRINCIPAL]:[JUROS]])</f>
        <v>3931.23</v>
      </c>
      <c r="V141" s="115"/>
    </row>
    <row r="142" spans="2:22" ht="21" customHeight="1">
      <c r="B142" s="1167" t="str">
        <f t="shared" si="3"/>
        <v>3/26</v>
      </c>
      <c r="C142" s="731" t="str">
        <f>VLOOKUP(mFEV17[[#This Row],[CÓDIGO CONTABIL]],Contas_Gerencial[#All],3,FALSE)</f>
        <v>ENCARGOS</v>
      </c>
      <c r="D142" s="1165" t="str">
        <f>VLOOKUP(mFEV17[[#This Row],[DESCRIÇÃO CONTABIL]],Contas_Gerencial[[#All],[DESCRIÇÃO DA CONTA - NÃO UTILIZAR]:[Código2]],2,FALSE)</f>
        <v>20.04.006</v>
      </c>
      <c r="E142" s="712" t="s">
        <v>1180</v>
      </c>
      <c r="F142" s="711" t="s">
        <v>581</v>
      </c>
      <c r="G142" s="711" t="s">
        <v>1130</v>
      </c>
      <c r="H142" s="712" t="s">
        <v>1180</v>
      </c>
      <c r="I142" s="716" t="s">
        <v>2065</v>
      </c>
      <c r="J142" s="711" t="s">
        <v>384</v>
      </c>
      <c r="K142" s="712" t="s">
        <v>1180</v>
      </c>
      <c r="L142" s="714" t="s">
        <v>2258</v>
      </c>
      <c r="M142" s="1271">
        <v>46081</v>
      </c>
      <c r="N142" s="715">
        <v>46101</v>
      </c>
      <c r="O142" s="715" t="s">
        <v>2065</v>
      </c>
      <c r="P142" s="711" t="s">
        <v>1</v>
      </c>
      <c r="Q142" s="861">
        <v>542.22</v>
      </c>
      <c r="R142" s="735">
        <v>0</v>
      </c>
      <c r="S142" s="735">
        <v>0</v>
      </c>
      <c r="T142" s="115">
        <f>SUM(mFEV17[[#This Row],[PRINCIPAL]:[JUROS]])</f>
        <v>542.22</v>
      </c>
    </row>
    <row r="143" spans="2:22" ht="21" customHeight="1">
      <c r="B143" s="1167" t="str">
        <f t="shared" si="3"/>
        <v>3/26</v>
      </c>
      <c r="C143" s="731" t="str">
        <f>VLOOKUP(mFEV17[[#This Row],[CÓDIGO CONTABIL]],Contas_Gerencial[#All],3,FALSE)</f>
        <v>ENCARGOS</v>
      </c>
      <c r="D143" s="1165" t="str">
        <f>VLOOKUP(mFEV17[[#This Row],[DESCRIÇÃO CONTABIL]],Contas_Gerencial[[#All],[DESCRIÇÃO DA CONTA - NÃO UTILIZAR]:[Código2]],2,FALSE)</f>
        <v>20.04.001</v>
      </c>
      <c r="E143" s="712" t="s">
        <v>2659</v>
      </c>
      <c r="F143" s="712" t="s">
        <v>581</v>
      </c>
      <c r="G143" s="711" t="s">
        <v>1130</v>
      </c>
      <c r="H143" s="712" t="s">
        <v>1788</v>
      </c>
      <c r="I143" s="716" t="s">
        <v>2065</v>
      </c>
      <c r="J143" s="711" t="s">
        <v>757</v>
      </c>
      <c r="K143" s="711" t="s">
        <v>2089</v>
      </c>
      <c r="L143" s="714" t="s">
        <v>2258</v>
      </c>
      <c r="M143" s="1271">
        <v>46081</v>
      </c>
      <c r="N143" s="715">
        <v>46101</v>
      </c>
      <c r="O143" s="715" t="s">
        <v>2065</v>
      </c>
      <c r="P143" s="712" t="s">
        <v>1</v>
      </c>
      <c r="Q143" s="734">
        <f>497.91-67.54</f>
        <v>430.37</v>
      </c>
      <c r="R143" s="735">
        <v>0</v>
      </c>
      <c r="S143" s="735">
        <v>0</v>
      </c>
      <c r="T143" s="115">
        <f>SUM(mFEV17[[#This Row],[PRINCIPAL]:[JUROS]])</f>
        <v>430.37</v>
      </c>
    </row>
    <row r="144" spans="2:22" ht="21" customHeight="1">
      <c r="B144" s="1167" t="str">
        <f t="shared" si="3"/>
        <v>3/26</v>
      </c>
      <c r="C144" s="731" t="str">
        <f>VLOOKUP(mFEV17[[#This Row],[CÓDIGO CONTABIL]],Contas_Gerencial[#All],3,FALSE)</f>
        <v>BENEFICIO</v>
      </c>
      <c r="D144" s="1165" t="str">
        <f>VLOOKUP(mFEV17[[#This Row],[DESCRIÇÃO CONTABIL]],Contas_Gerencial[[#All],[DESCRIÇÃO DA CONTA - NÃO UTILIZAR]:[Código2]],2,FALSE)</f>
        <v>20.05.006</v>
      </c>
      <c r="E144" s="733" t="s">
        <v>24</v>
      </c>
      <c r="F144" s="712" t="s">
        <v>581</v>
      </c>
      <c r="G144" s="733" t="s">
        <v>1130</v>
      </c>
      <c r="H144" s="712" t="s">
        <v>1791</v>
      </c>
      <c r="I144" s="716" t="s">
        <v>2065</v>
      </c>
      <c r="J144" s="711" t="s">
        <v>581</v>
      </c>
      <c r="K144" s="711" t="s">
        <v>2590</v>
      </c>
      <c r="L144" s="729" t="s">
        <v>2591</v>
      </c>
      <c r="M144" s="1271">
        <v>46101</v>
      </c>
      <c r="N144" s="715">
        <v>46101</v>
      </c>
      <c r="O144" s="715" t="s">
        <v>2065</v>
      </c>
      <c r="P144" s="712" t="s">
        <v>1</v>
      </c>
      <c r="Q144" s="730">
        <v>1994.3400000000001</v>
      </c>
      <c r="R144" s="730">
        <v>0</v>
      </c>
      <c r="S144" s="730">
        <v>0</v>
      </c>
      <c r="T144" s="115">
        <f>SUM(mFEV17[[#This Row],[PRINCIPAL]:[JUROS]])</f>
        <v>1994.3400000000001</v>
      </c>
    </row>
    <row r="145" spans="2:22" ht="21" customHeight="1">
      <c r="B145" s="1167" t="str">
        <f t="shared" si="3"/>
        <v>3/26</v>
      </c>
      <c r="C145" s="731" t="str">
        <f>VLOOKUP(mFEV17[[#This Row],[CÓDIGO CONTABIL]],Contas_Gerencial[#All],3,FALSE)</f>
        <v>BENEFICIO</v>
      </c>
      <c r="D145" s="1165" t="str">
        <f>VLOOKUP(mFEV17[[#This Row],[DESCRIÇÃO CONTABIL]],Contas_Gerencial[[#All],[DESCRIÇÃO DA CONTA - NÃO UTILIZAR]:[Código2]],2,FALSE)</f>
        <v>20.05.007</v>
      </c>
      <c r="E145" s="733" t="s">
        <v>25</v>
      </c>
      <c r="F145" s="712" t="s">
        <v>581</v>
      </c>
      <c r="G145" s="733" t="s">
        <v>1130</v>
      </c>
      <c r="H145" s="712" t="s">
        <v>1791</v>
      </c>
      <c r="I145" s="716" t="s">
        <v>2065</v>
      </c>
      <c r="J145" s="711" t="s">
        <v>581</v>
      </c>
      <c r="K145" s="711" t="s">
        <v>2590</v>
      </c>
      <c r="L145" s="729" t="s">
        <v>2591</v>
      </c>
      <c r="M145" s="1271">
        <v>46101</v>
      </c>
      <c r="N145" s="715">
        <v>46101</v>
      </c>
      <c r="O145" s="715" t="s">
        <v>2065</v>
      </c>
      <c r="P145" s="712" t="s">
        <v>1</v>
      </c>
      <c r="Q145" s="730">
        <v>451</v>
      </c>
      <c r="R145" s="730">
        <v>0</v>
      </c>
      <c r="S145" s="730">
        <v>0</v>
      </c>
      <c r="T145" s="115">
        <f>SUM(mFEV17[[#This Row],[PRINCIPAL]:[JUROS]])</f>
        <v>451</v>
      </c>
    </row>
    <row r="146" spans="2:22" ht="21" customHeight="1">
      <c r="B146" s="1168" t="str">
        <f>B145</f>
        <v>3/26</v>
      </c>
      <c r="C146" s="472" t="str">
        <f>VLOOKUP(mFEV17[[#This Row],[CÓDIGO CONTABIL]],Contas_Gerencial[#All],3,FALSE)</f>
        <v>RECEITA SUBCONTA</v>
      </c>
      <c r="D146" s="445" t="str">
        <f>VLOOKUP(mFEV17[[#This Row],[DESCRIÇÃO CONTABIL]],Contas_Gerencial[[#All],[DESCRIÇÃO DA CONTA - NÃO UTILIZAR]:[Código2]],2,FALSE)</f>
        <v>10.01.001</v>
      </c>
      <c r="E146" s="485" t="s">
        <v>90</v>
      </c>
      <c r="F146" s="485" t="s">
        <v>581</v>
      </c>
      <c r="G146" s="486" t="s">
        <v>1834</v>
      </c>
      <c r="H146" s="485" t="s">
        <v>1788</v>
      </c>
      <c r="I146" s="474" t="s">
        <v>2065</v>
      </c>
      <c r="J146" s="477" t="s">
        <v>581</v>
      </c>
      <c r="K146" s="477" t="s">
        <v>1792</v>
      </c>
      <c r="L146" s="475" t="s">
        <v>2258</v>
      </c>
      <c r="M146" s="1270">
        <v>46081</v>
      </c>
      <c r="N146" s="476">
        <v>46091</v>
      </c>
      <c r="O146" s="476" t="s">
        <v>2065</v>
      </c>
      <c r="P146" s="452" t="s">
        <v>215</v>
      </c>
      <c r="Q146" s="488">
        <v>6699</v>
      </c>
      <c r="R146" s="487">
        <v>0</v>
      </c>
      <c r="S146" s="487">
        <v>0</v>
      </c>
      <c r="T146" s="1169">
        <f>SUM(mFEV17[[#This Row],[PRINCIPAL]:[JUROS]])</f>
        <v>6699</v>
      </c>
      <c r="V146" s="115"/>
    </row>
    <row r="147" spans="2:22" ht="21" customHeight="1">
      <c r="B147" s="1167" t="str">
        <f t="shared" si="3"/>
        <v>3/26</v>
      </c>
      <c r="C147" s="731" t="str">
        <f>VLOOKUP(mFEV17[[#This Row],[CÓDIGO CONTABIL]],Contas_Gerencial[#All],3,FALSE)</f>
        <v>ENCARGOS</v>
      </c>
      <c r="D147" s="445" t="str">
        <f>VLOOKUP(mFEV17[[#This Row],[DESCRIÇÃO CONTABIL]],Contas_Gerencial[[#All],[DESCRIÇÃO DA CONTA - NÃO UTILIZAR]:[Código2]],2,FALSE)</f>
        <v>20.04.004</v>
      </c>
      <c r="E147" s="712" t="s">
        <v>2651</v>
      </c>
      <c r="F147" s="712" t="s">
        <v>581</v>
      </c>
      <c r="G147" s="733" t="s">
        <v>1834</v>
      </c>
      <c r="H147" s="712" t="s">
        <v>1788</v>
      </c>
      <c r="I147" s="716" t="s">
        <v>2065</v>
      </c>
      <c r="J147" s="711" t="s">
        <v>264</v>
      </c>
      <c r="K147" s="711" t="s">
        <v>2113</v>
      </c>
      <c r="L147" s="714" t="s">
        <v>2137</v>
      </c>
      <c r="M147" s="1271">
        <v>46052</v>
      </c>
      <c r="N147" s="715">
        <v>46073</v>
      </c>
      <c r="O147" s="715">
        <v>46073</v>
      </c>
      <c r="P147" s="711" t="s">
        <v>214</v>
      </c>
      <c r="Q147" s="862">
        <v>313.02999999999997</v>
      </c>
      <c r="R147" s="735">
        <v>0</v>
      </c>
      <c r="S147" s="735">
        <v>0</v>
      </c>
      <c r="T147" s="115">
        <f>SUM(mFEV17[[#This Row],[PRINCIPAL]:[JUROS]])</f>
        <v>313.02999999999997</v>
      </c>
      <c r="V147" s="115"/>
    </row>
    <row r="148" spans="2:22" ht="21" customHeight="1">
      <c r="B148" s="1167" t="str">
        <f t="shared" si="3"/>
        <v>3/26</v>
      </c>
      <c r="C148" s="731" t="str">
        <f>VLOOKUP(mFEV17[[#This Row],[CÓDIGO CONTABIL]],Contas_Gerencial[#All],3,FALSE)</f>
        <v>TRIBUTOS</v>
      </c>
      <c r="D148" s="445" t="str">
        <f>VLOOKUP(mFEV17[[#This Row],[DESCRIÇÃO CONTABIL]],Contas_Gerencial[[#All],[DESCRIÇÃO DA CONTA - NÃO UTILIZAR]:[Código2]],2,FALSE)</f>
        <v>20.08.004</v>
      </c>
      <c r="E148" s="712" t="s">
        <v>2648</v>
      </c>
      <c r="F148" s="712" t="s">
        <v>581</v>
      </c>
      <c r="G148" s="733" t="s">
        <v>1834</v>
      </c>
      <c r="H148" s="712" t="s">
        <v>1788</v>
      </c>
      <c r="I148" s="716" t="s">
        <v>2065</v>
      </c>
      <c r="J148" s="711" t="s">
        <v>654</v>
      </c>
      <c r="K148" s="711" t="s">
        <v>2114</v>
      </c>
      <c r="L148" s="714" t="s">
        <v>2258</v>
      </c>
      <c r="M148" s="1271">
        <v>46081</v>
      </c>
      <c r="N148" s="715">
        <v>46101</v>
      </c>
      <c r="O148" s="1271">
        <v>46081</v>
      </c>
      <c r="P148" s="711" t="s">
        <v>214</v>
      </c>
      <c r="Q148" s="734">
        <v>289.3914084507042</v>
      </c>
      <c r="R148" s="735">
        <v>0</v>
      </c>
      <c r="S148" s="735">
        <v>0</v>
      </c>
      <c r="T148" s="115">
        <f>SUM(mFEV17[[#This Row],[PRINCIPAL]:[JUROS]])</f>
        <v>289.3914084507042</v>
      </c>
    </row>
    <row r="149" spans="2:22" ht="21" customHeight="1">
      <c r="B149" s="1167" t="str">
        <f t="shared" si="3"/>
        <v>3/26</v>
      </c>
      <c r="C149" s="731" t="str">
        <f>VLOOKUP(mFEV17[[#This Row],[CÓDIGO CONTABIL]],Contas_Gerencial[#All],3,FALSE)</f>
        <v>TRIBUTOS</v>
      </c>
      <c r="D149" s="445" t="str">
        <f>VLOOKUP(mFEV17[[#This Row],[DESCRIÇÃO CONTABIL]],Contas_Gerencial[[#All],[DESCRIÇÃO DA CONTA - NÃO UTILIZAR]:[Código2]],2,FALSE)</f>
        <v>20.08.001</v>
      </c>
      <c r="E149" s="712" t="s">
        <v>2112</v>
      </c>
      <c r="F149" s="712" t="s">
        <v>581</v>
      </c>
      <c r="G149" s="733" t="s">
        <v>1834</v>
      </c>
      <c r="H149" s="712" t="s">
        <v>1788</v>
      </c>
      <c r="I149" s="716" t="s">
        <v>2065</v>
      </c>
      <c r="J149" s="711" t="s">
        <v>654</v>
      </c>
      <c r="K149" s="711" t="s">
        <v>1907</v>
      </c>
      <c r="L149" s="714" t="s">
        <v>2258</v>
      </c>
      <c r="M149" s="1271">
        <v>46081</v>
      </c>
      <c r="N149" s="715">
        <v>46101</v>
      </c>
      <c r="O149" s="1271">
        <v>46081</v>
      </c>
      <c r="P149" s="711" t="s">
        <v>214</v>
      </c>
      <c r="Q149" s="734">
        <v>0</v>
      </c>
      <c r="R149" s="735">
        <v>0</v>
      </c>
      <c r="S149" s="735">
        <v>0</v>
      </c>
      <c r="T149" s="115">
        <f>SUM(mFEV17[[#This Row],[PRINCIPAL]:[JUROS]])</f>
        <v>0</v>
      </c>
    </row>
    <row r="150" spans="2:22" ht="21" customHeight="1">
      <c r="B150" s="1167" t="str">
        <f t="shared" si="3"/>
        <v>3/26</v>
      </c>
      <c r="C150" s="731" t="str">
        <f>VLOOKUP(mFEV17[[#This Row],[CÓDIGO CONTABIL]],Contas_Gerencial[#All],3,FALSE)</f>
        <v>TRIBUTOS</v>
      </c>
      <c r="D150" s="445" t="str">
        <f>VLOOKUP(mFEV17[[#This Row],[DESCRIÇÃO CONTABIL]],Contas_Gerencial[[#All],[DESCRIÇÃO DA CONTA - NÃO UTILIZAR]:[Código2]],2,FALSE)</f>
        <v>20.08.002</v>
      </c>
      <c r="E150" s="712" t="s">
        <v>589</v>
      </c>
      <c r="F150" s="712" t="s">
        <v>581</v>
      </c>
      <c r="G150" s="733" t="s">
        <v>1834</v>
      </c>
      <c r="H150" s="712" t="s">
        <v>1788</v>
      </c>
      <c r="I150" s="716" t="s">
        <v>2065</v>
      </c>
      <c r="J150" s="711" t="s">
        <v>654</v>
      </c>
      <c r="K150" s="711" t="s">
        <v>1907</v>
      </c>
      <c r="L150" s="714" t="s">
        <v>2137</v>
      </c>
      <c r="M150" s="1271">
        <v>46052</v>
      </c>
      <c r="N150" s="715">
        <v>46073</v>
      </c>
      <c r="O150" s="715">
        <v>46072</v>
      </c>
      <c r="P150" s="711" t="s">
        <v>1</v>
      </c>
      <c r="Q150" s="861">
        <v>433.51792066364999</v>
      </c>
      <c r="R150" s="735">
        <v>0</v>
      </c>
      <c r="S150" s="735">
        <v>0</v>
      </c>
      <c r="T150" s="115">
        <f>SUM(mFEV17[[#This Row],[PRINCIPAL]:[JUROS]])</f>
        <v>433.51792066364999</v>
      </c>
    </row>
    <row r="151" spans="2:22" ht="21" customHeight="1">
      <c r="B151" s="1167" t="str">
        <f t="shared" si="3"/>
        <v>3/26</v>
      </c>
      <c r="C151" s="731" t="str">
        <f>VLOOKUP(mFEV17[[#This Row],[CÓDIGO CONTABIL]],Contas_Gerencial[#All],3,FALSE)</f>
        <v>FOLHA DE PAGAMENTO</v>
      </c>
      <c r="D151" s="445" t="str">
        <f>VLOOKUP(mFEV17[[#This Row],[DESCRIÇÃO CONTABIL]],Contas_Gerencial[[#All],[DESCRIÇÃO DA CONTA - NÃO UTILIZAR]:[Código2]],2,FALSE)</f>
        <v>20.05.021</v>
      </c>
      <c r="E151" s="712" t="s">
        <v>59</v>
      </c>
      <c r="F151" s="711" t="s">
        <v>581</v>
      </c>
      <c r="G151" s="733" t="s">
        <v>1834</v>
      </c>
      <c r="H151" s="712" t="s">
        <v>1791</v>
      </c>
      <c r="I151" s="716" t="s">
        <v>2065</v>
      </c>
      <c r="J151" s="711" t="s">
        <v>581</v>
      </c>
      <c r="K151" s="712" t="s">
        <v>2153</v>
      </c>
      <c r="L151" s="714" t="s">
        <v>2137</v>
      </c>
      <c r="M151" s="1271">
        <v>46081</v>
      </c>
      <c r="N151" s="715">
        <v>46086</v>
      </c>
      <c r="O151" s="715">
        <v>46086</v>
      </c>
      <c r="P151" s="711" t="s">
        <v>1</v>
      </c>
      <c r="Q151" s="734">
        <v>1832.2</v>
      </c>
      <c r="R151" s="735">
        <v>0</v>
      </c>
      <c r="S151" s="735">
        <v>0</v>
      </c>
      <c r="T151" s="115">
        <f>SUM(mFEV17[[#This Row],[PRINCIPAL]:[JUROS]])</f>
        <v>1832.2</v>
      </c>
      <c r="V151" s="115"/>
    </row>
    <row r="152" spans="2:22" ht="21" customHeight="1">
      <c r="B152" s="1167" t="str">
        <f t="shared" si="3"/>
        <v>3/26</v>
      </c>
      <c r="C152" s="731" t="str">
        <f>VLOOKUP(mFEV17[[#This Row],[CÓDIGO CONTABIL]],Contas_Gerencial[#All],3,FALSE)</f>
        <v>ENCARGOS</v>
      </c>
      <c r="D152" s="445" t="str">
        <f>VLOOKUP(mFEV17[[#This Row],[DESCRIÇÃO CONTABIL]],Contas_Gerencial[[#All],[DESCRIÇÃO DA CONTA - NÃO UTILIZAR]:[Código2]],2,FALSE)</f>
        <v>20.04.006</v>
      </c>
      <c r="E152" s="712" t="s">
        <v>1180</v>
      </c>
      <c r="F152" s="712" t="s">
        <v>581</v>
      </c>
      <c r="G152" s="733" t="s">
        <v>1834</v>
      </c>
      <c r="H152" s="712" t="s">
        <v>1180</v>
      </c>
      <c r="I152" s="716" t="s">
        <v>2065</v>
      </c>
      <c r="J152" s="711" t="s">
        <v>384</v>
      </c>
      <c r="K152" s="711" t="s">
        <v>1180</v>
      </c>
      <c r="L152" s="714" t="s">
        <v>2137</v>
      </c>
      <c r="M152" s="1271">
        <v>46055</v>
      </c>
      <c r="N152" s="715">
        <v>46073</v>
      </c>
      <c r="O152" s="715">
        <v>46072</v>
      </c>
      <c r="P152" s="711" t="s">
        <v>1</v>
      </c>
      <c r="Q152" s="734">
        <v>155.26</v>
      </c>
      <c r="R152" s="735">
        <v>0</v>
      </c>
      <c r="S152" s="735">
        <v>0</v>
      </c>
      <c r="T152" s="115">
        <f>SUM(mFEV17[[#This Row],[PRINCIPAL]:[JUROS]])</f>
        <v>155.26</v>
      </c>
    </row>
    <row r="153" spans="2:22" ht="21" customHeight="1">
      <c r="B153" s="1167" t="str">
        <f t="shared" si="3"/>
        <v>3/26</v>
      </c>
      <c r="C153" s="731" t="str">
        <f>VLOOKUP(mFEV17[[#This Row],[CÓDIGO CONTABIL]],Contas_Gerencial[#All],3,FALSE)</f>
        <v>ENCARGOS</v>
      </c>
      <c r="D153" s="445" t="str">
        <f>VLOOKUP(mFEV17[[#This Row],[DESCRIÇÃO CONTABIL]],Contas_Gerencial[[#All],[DESCRIÇÃO DA CONTA - NÃO UTILIZAR]:[Código2]],2,FALSE)</f>
        <v>20.04.001</v>
      </c>
      <c r="E153" s="712" t="s">
        <v>2659</v>
      </c>
      <c r="F153" s="712" t="s">
        <v>581</v>
      </c>
      <c r="G153" s="712" t="s">
        <v>1834</v>
      </c>
      <c r="H153" s="712" t="s">
        <v>1788</v>
      </c>
      <c r="I153" s="716" t="s">
        <v>2065</v>
      </c>
      <c r="J153" s="711" t="s">
        <v>757</v>
      </c>
      <c r="K153" s="711" t="s">
        <v>2089</v>
      </c>
      <c r="L153" s="714" t="s">
        <v>2137</v>
      </c>
      <c r="M153" s="1271">
        <v>46055</v>
      </c>
      <c r="N153" s="715">
        <v>46073</v>
      </c>
      <c r="O153" s="715" t="s">
        <v>2065</v>
      </c>
      <c r="P153" s="960" t="s">
        <v>1</v>
      </c>
      <c r="Q153" s="1268">
        <f>137.31-202.62</f>
        <v>-65.31</v>
      </c>
      <c r="R153" s="735">
        <v>0</v>
      </c>
      <c r="S153" s="735">
        <v>0</v>
      </c>
      <c r="T153" s="115">
        <f>SUM(mFEV17[[#This Row],[PRINCIPAL]:[JUROS]])</f>
        <v>-65.31</v>
      </c>
    </row>
    <row r="154" spans="2:22" ht="21" customHeight="1">
      <c r="B154" s="1167" t="str">
        <f t="shared" si="3"/>
        <v>3/26</v>
      </c>
      <c r="C154" s="731" t="str">
        <f>VLOOKUP(mFEV17[[#This Row],[CÓDIGO CONTABIL]],Contas_Gerencial[#All],3,FALSE)</f>
        <v>BENEFICIO</v>
      </c>
      <c r="D154" s="445" t="str">
        <f>VLOOKUP(mFEV17[[#This Row],[DESCRIÇÃO CONTABIL]],Contas_Gerencial[[#All],[DESCRIÇÃO DA CONTA - NÃO UTILIZAR]:[Código2]],2,FALSE)</f>
        <v>20.05.006</v>
      </c>
      <c r="E154" s="733" t="s">
        <v>24</v>
      </c>
      <c r="F154" s="712" t="s">
        <v>581</v>
      </c>
      <c r="G154" s="733" t="s">
        <v>1834</v>
      </c>
      <c r="H154" s="712" t="s">
        <v>1791</v>
      </c>
      <c r="I154" s="716" t="s">
        <v>2065</v>
      </c>
      <c r="J154" s="711" t="s">
        <v>581</v>
      </c>
      <c r="K154" s="711" t="s">
        <v>2590</v>
      </c>
      <c r="L154" s="729" t="s">
        <v>2591</v>
      </c>
      <c r="M154" s="1271">
        <v>46101</v>
      </c>
      <c r="N154" s="715">
        <v>46101</v>
      </c>
      <c r="O154" s="715" t="s">
        <v>2065</v>
      </c>
      <c r="P154" s="712" t="s">
        <v>1</v>
      </c>
      <c r="Q154" s="730">
        <v>950.69</v>
      </c>
      <c r="R154" s="730">
        <v>0</v>
      </c>
      <c r="S154" s="730">
        <v>0</v>
      </c>
      <c r="T154" s="115">
        <f>SUM(mFEV17[[#This Row],[PRINCIPAL]:[JUROS]])</f>
        <v>950.69</v>
      </c>
    </row>
    <row r="155" spans="2:22" ht="21" customHeight="1">
      <c r="B155" s="1167" t="str">
        <f t="shared" si="3"/>
        <v>3/26</v>
      </c>
      <c r="C155" s="731" t="str">
        <f>VLOOKUP(mFEV17[[#This Row],[CÓDIGO CONTABIL]],Contas_Gerencial[#All],3,FALSE)</f>
        <v>BENEFICIO</v>
      </c>
      <c r="D155" s="445" t="str">
        <f>VLOOKUP(mFEV17[[#This Row],[DESCRIÇÃO CONTABIL]],Contas_Gerencial[[#All],[DESCRIÇÃO DA CONTA - NÃO UTILIZAR]:[Código2]],2,FALSE)</f>
        <v>20.05.007</v>
      </c>
      <c r="E155" s="733" t="s">
        <v>25</v>
      </c>
      <c r="F155" s="712" t="s">
        <v>581</v>
      </c>
      <c r="G155" s="733" t="s">
        <v>1834</v>
      </c>
      <c r="H155" s="712" t="s">
        <v>1791</v>
      </c>
      <c r="I155" s="716" t="s">
        <v>2065</v>
      </c>
      <c r="J155" s="711" t="s">
        <v>581</v>
      </c>
      <c r="K155" s="711" t="s">
        <v>2590</v>
      </c>
      <c r="L155" s="729" t="s">
        <v>2591</v>
      </c>
      <c r="M155" s="1271">
        <v>46101</v>
      </c>
      <c r="N155" s="715">
        <v>46101</v>
      </c>
      <c r="O155" s="715" t="s">
        <v>2065</v>
      </c>
      <c r="P155" s="712" t="s">
        <v>1</v>
      </c>
      <c r="Q155" s="730">
        <v>223.67000000000002</v>
      </c>
      <c r="R155" s="730">
        <v>0</v>
      </c>
      <c r="S155" s="730">
        <v>0</v>
      </c>
      <c r="T155" s="115">
        <f>SUM(mFEV17[[#This Row],[PRINCIPAL]:[JUROS]])</f>
        <v>223.67000000000002</v>
      </c>
    </row>
    <row r="156" spans="2:22" ht="21" customHeight="1">
      <c r="B156" s="1168" t="str">
        <f t="shared" si="3"/>
        <v>3/26</v>
      </c>
      <c r="C156" s="472" t="str">
        <f>VLOOKUP(mFEV17[[#This Row],[CÓDIGO CONTABIL]],Contas_Gerencial[#All],3,FALSE)</f>
        <v>RECEITA SUBCONTA</v>
      </c>
      <c r="D156" s="445" t="str">
        <f>VLOOKUP(mFEV17[[#This Row],[DESCRIÇÃO CONTABIL]],Contas_Gerencial[[#All],[DESCRIÇÃO DA CONTA - NÃO UTILIZAR]:[Código2]],2,FALSE)</f>
        <v>10.01.001</v>
      </c>
      <c r="E156" s="473" t="s">
        <v>90</v>
      </c>
      <c r="F156" s="485" t="s">
        <v>581</v>
      </c>
      <c r="G156" s="473" t="s">
        <v>1137</v>
      </c>
      <c r="H156" s="473" t="s">
        <v>2496</v>
      </c>
      <c r="I156" s="474" t="s">
        <v>2065</v>
      </c>
      <c r="J156" s="472" t="s">
        <v>581</v>
      </c>
      <c r="K156" s="472" t="s">
        <v>1792</v>
      </c>
      <c r="L156" s="475" t="s">
        <v>2258</v>
      </c>
      <c r="M156" s="1270">
        <v>46081</v>
      </c>
      <c r="N156" s="476">
        <v>46096</v>
      </c>
      <c r="O156" s="476" t="s">
        <v>2065</v>
      </c>
      <c r="P156" s="452" t="s">
        <v>215</v>
      </c>
      <c r="Q156" s="478">
        <v>37739</v>
      </c>
      <c r="R156" s="479">
        <v>0</v>
      </c>
      <c r="S156" s="479">
        <v>0</v>
      </c>
      <c r="T156" s="1169">
        <f>SUM(mFEV17[[#This Row],[PRINCIPAL]:[JUROS]])</f>
        <v>37739</v>
      </c>
      <c r="V156" s="115"/>
    </row>
    <row r="157" spans="2:22" ht="21" customHeight="1">
      <c r="B157" s="1167" t="str">
        <f>B156</f>
        <v>3/26</v>
      </c>
      <c r="C157" s="731" t="str">
        <f>VLOOKUP(mFEV17[[#This Row],[CÓDIGO CONTABIL]],Contas_Gerencial[#All],3,FALSE)</f>
        <v>ENCARGOS</v>
      </c>
      <c r="D157" s="1165" t="str">
        <f>VLOOKUP(mFEV17[[#This Row],[DESCRIÇÃO CONTABIL]],Contas_Gerencial[[#All],[DESCRIÇÃO DA CONTA - NÃO UTILIZAR]:[Código2]],2,FALSE)</f>
        <v>20.04.004</v>
      </c>
      <c r="E157" s="712" t="s">
        <v>2651</v>
      </c>
      <c r="F157" s="712" t="s">
        <v>581</v>
      </c>
      <c r="G157" s="733" t="s">
        <v>1137</v>
      </c>
      <c r="H157" s="712" t="s">
        <v>1788</v>
      </c>
      <c r="I157" s="716" t="s">
        <v>2065</v>
      </c>
      <c r="J157" s="711" t="s">
        <v>264</v>
      </c>
      <c r="K157" s="711" t="s">
        <v>2113</v>
      </c>
      <c r="L157" s="714" t="s">
        <v>2258</v>
      </c>
      <c r="M157" s="1271">
        <v>46081</v>
      </c>
      <c r="N157" s="715">
        <v>46101</v>
      </c>
      <c r="O157" s="715" t="s">
        <v>2065</v>
      </c>
      <c r="P157" s="711" t="s">
        <v>214</v>
      </c>
      <c r="Q157" s="734">
        <v>2467.87</v>
      </c>
      <c r="R157" s="735">
        <v>0</v>
      </c>
      <c r="S157" s="735">
        <v>0</v>
      </c>
      <c r="T157" s="115">
        <f>SUM(mFEV17[[#This Row],[PRINCIPAL]:[JUROS]])</f>
        <v>2467.87</v>
      </c>
      <c r="V157" s="115"/>
    </row>
    <row r="158" spans="2:22" ht="21" customHeight="1">
      <c r="B158" s="1167" t="str">
        <f t="shared" ref="B158:B165" si="4">B157</f>
        <v>3/26</v>
      </c>
      <c r="C158" s="731" t="str">
        <f>VLOOKUP(mFEV17[[#This Row],[CÓDIGO CONTABIL]],Contas_Gerencial[#All],3,FALSE)</f>
        <v>TRIBUTOS</v>
      </c>
      <c r="D158" s="1165" t="str">
        <f>VLOOKUP(mFEV17[[#This Row],[DESCRIÇÃO CONTABIL]],Contas_Gerencial[[#All],[DESCRIÇÃO DA CONTA - NÃO UTILIZAR]:[Código2]],2,FALSE)</f>
        <v>20.08.004</v>
      </c>
      <c r="E158" s="712" t="s">
        <v>2648</v>
      </c>
      <c r="F158" s="712" t="s">
        <v>581</v>
      </c>
      <c r="G158" s="733" t="s">
        <v>1137</v>
      </c>
      <c r="H158" s="712" t="s">
        <v>1788</v>
      </c>
      <c r="I158" s="716" t="s">
        <v>2065</v>
      </c>
      <c r="J158" s="711" t="s">
        <v>654</v>
      </c>
      <c r="K158" s="711" t="s">
        <v>2114</v>
      </c>
      <c r="L158" s="714" t="s">
        <v>2258</v>
      </c>
      <c r="M158" s="1271">
        <v>46081</v>
      </c>
      <c r="N158" s="715">
        <v>46101</v>
      </c>
      <c r="O158" s="1271">
        <v>46081</v>
      </c>
      <c r="P158" s="711" t="s">
        <v>214</v>
      </c>
      <c r="Q158" s="734">
        <v>0</v>
      </c>
      <c r="R158" s="735">
        <v>0</v>
      </c>
      <c r="S158" s="735">
        <v>0</v>
      </c>
      <c r="T158" s="115">
        <f>SUM(mFEV17[[#This Row],[PRINCIPAL]:[JUROS]])</f>
        <v>0</v>
      </c>
    </row>
    <row r="159" spans="2:22" ht="21" customHeight="1">
      <c r="B159" s="1167" t="str">
        <f t="shared" si="4"/>
        <v>3/26</v>
      </c>
      <c r="C159" s="731" t="str">
        <f>VLOOKUP(mFEV17[[#This Row],[CÓDIGO CONTABIL]],Contas_Gerencial[#All],3,FALSE)</f>
        <v>TRIBUTOS</v>
      </c>
      <c r="D159" s="1165" t="str">
        <f>VLOOKUP(mFEV17[[#This Row],[DESCRIÇÃO CONTABIL]],Contas_Gerencial[[#All],[DESCRIÇÃO DA CONTA - NÃO UTILIZAR]:[Código2]],2,FALSE)</f>
        <v>20.08.001</v>
      </c>
      <c r="E159" s="712" t="s">
        <v>2112</v>
      </c>
      <c r="F159" s="712" t="s">
        <v>581</v>
      </c>
      <c r="G159" s="733" t="s">
        <v>1137</v>
      </c>
      <c r="H159" s="712" t="s">
        <v>1788</v>
      </c>
      <c r="I159" s="716" t="s">
        <v>2065</v>
      </c>
      <c r="J159" s="711" t="s">
        <v>654</v>
      </c>
      <c r="K159" s="711" t="s">
        <v>1907</v>
      </c>
      <c r="L159" s="714" t="s">
        <v>2258</v>
      </c>
      <c r="M159" s="1271">
        <v>46081</v>
      </c>
      <c r="N159" s="715">
        <v>46101</v>
      </c>
      <c r="O159" s="715" t="s">
        <v>2065</v>
      </c>
      <c r="P159" s="711" t="s">
        <v>1</v>
      </c>
      <c r="Q159" s="734">
        <v>1630.32</v>
      </c>
      <c r="R159" s="735">
        <v>0</v>
      </c>
      <c r="S159" s="735">
        <v>0</v>
      </c>
      <c r="T159" s="115">
        <f>SUM(mFEV17[[#This Row],[PRINCIPAL]:[JUROS]])</f>
        <v>1630.32</v>
      </c>
    </row>
    <row r="160" spans="2:22" ht="21" customHeight="1">
      <c r="B160" s="1167" t="str">
        <f t="shared" si="4"/>
        <v>3/26</v>
      </c>
      <c r="C160" s="731" t="str">
        <f>VLOOKUP(mFEV17[[#This Row],[CÓDIGO CONTABIL]],Contas_Gerencial[#All],3,FALSE)</f>
        <v>TRIBUTOS</v>
      </c>
      <c r="D160" s="1165" t="str">
        <f>VLOOKUP(mFEV17[[#This Row],[DESCRIÇÃO CONTABIL]],Contas_Gerencial[[#All],[DESCRIÇÃO DA CONTA - NÃO UTILIZAR]:[Código2]],2,FALSE)</f>
        <v>20.08.002</v>
      </c>
      <c r="E160" s="712" t="s">
        <v>589</v>
      </c>
      <c r="F160" s="712" t="s">
        <v>581</v>
      </c>
      <c r="G160" s="733" t="s">
        <v>1137</v>
      </c>
      <c r="H160" s="712" t="s">
        <v>1788</v>
      </c>
      <c r="I160" s="716" t="s">
        <v>2065</v>
      </c>
      <c r="J160" s="711" t="s">
        <v>654</v>
      </c>
      <c r="K160" s="711" t="s">
        <v>1907</v>
      </c>
      <c r="L160" s="714" t="s">
        <v>2258</v>
      </c>
      <c r="M160" s="1271">
        <v>46081</v>
      </c>
      <c r="N160" s="715">
        <v>46101</v>
      </c>
      <c r="O160" s="715" t="s">
        <v>2065</v>
      </c>
      <c r="P160" s="711" t="s">
        <v>1</v>
      </c>
      <c r="Q160" s="1192">
        <v>2312.8721427853188</v>
      </c>
      <c r="R160" s="735">
        <v>0</v>
      </c>
      <c r="S160" s="735">
        <v>0</v>
      </c>
      <c r="T160" s="115">
        <f>SUM(mFEV17[[#This Row],[PRINCIPAL]:[JUROS]])</f>
        <v>2312.8721427853188</v>
      </c>
    </row>
    <row r="161" spans="2:22" ht="21" customHeight="1">
      <c r="B161" s="1167" t="str">
        <f t="shared" si="4"/>
        <v>3/26</v>
      </c>
      <c r="C161" s="731" t="str">
        <f>VLOOKUP(mFEV17[[#This Row],[CÓDIGO CONTABIL]],Contas_Gerencial[#All],3,FALSE)</f>
        <v>FOLHA DE PAGAMENTO</v>
      </c>
      <c r="D161" s="1165" t="str">
        <f>VLOOKUP(mFEV17[[#This Row],[DESCRIÇÃO CONTABIL]],Contas_Gerencial[[#All],[DESCRIÇÃO DA CONTA - NÃO UTILIZAR]:[Código2]],2,FALSE)</f>
        <v>20.05.021</v>
      </c>
      <c r="E161" s="712" t="s">
        <v>59</v>
      </c>
      <c r="F161" s="711" t="s">
        <v>581</v>
      </c>
      <c r="G161" s="733" t="s">
        <v>1137</v>
      </c>
      <c r="H161" s="712" t="s">
        <v>1791</v>
      </c>
      <c r="I161" s="716" t="s">
        <v>2065</v>
      </c>
      <c r="J161" s="711" t="s">
        <v>581</v>
      </c>
      <c r="K161" s="712" t="s">
        <v>2146</v>
      </c>
      <c r="L161" s="714" t="s">
        <v>2258</v>
      </c>
      <c r="M161" s="1271">
        <v>46081</v>
      </c>
      <c r="N161" s="715">
        <v>46086</v>
      </c>
      <c r="O161" s="715">
        <v>46086</v>
      </c>
      <c r="P161" s="711" t="s">
        <v>1</v>
      </c>
      <c r="Q161" s="734">
        <v>7923.11</v>
      </c>
      <c r="R161" s="735">
        <v>0</v>
      </c>
      <c r="S161" s="735">
        <v>0</v>
      </c>
      <c r="T161" s="115">
        <f>SUM(mFEV17[[#This Row],[PRINCIPAL]:[JUROS]])</f>
        <v>7923.11</v>
      </c>
      <c r="V161" s="115"/>
    </row>
    <row r="162" spans="2:22" ht="21" customHeight="1">
      <c r="B162" s="1167" t="str">
        <f t="shared" si="4"/>
        <v>3/26</v>
      </c>
      <c r="C162" s="731" t="str">
        <f>VLOOKUP(mFEV17[[#This Row],[CÓDIGO CONTABIL]],Contas_Gerencial[#All],3,FALSE)</f>
        <v>ENCARGOS</v>
      </c>
      <c r="D162" s="1165" t="str">
        <f>VLOOKUP(mFEV17[[#This Row],[DESCRIÇÃO CONTABIL]],Contas_Gerencial[[#All],[DESCRIÇÃO DA CONTA - NÃO UTILIZAR]:[Código2]],2,FALSE)</f>
        <v>20.04.006</v>
      </c>
      <c r="E162" s="712" t="s">
        <v>1180</v>
      </c>
      <c r="F162" s="712" t="s">
        <v>581</v>
      </c>
      <c r="G162" s="733" t="s">
        <v>1137</v>
      </c>
      <c r="H162" s="712" t="s">
        <v>1180</v>
      </c>
      <c r="I162" s="716" t="s">
        <v>2065</v>
      </c>
      <c r="J162" s="711" t="s">
        <v>384</v>
      </c>
      <c r="K162" s="711" t="s">
        <v>1180</v>
      </c>
      <c r="L162" s="714" t="s">
        <v>2258</v>
      </c>
      <c r="M162" s="1271">
        <v>46081</v>
      </c>
      <c r="N162" s="715">
        <v>46101</v>
      </c>
      <c r="O162" s="715" t="s">
        <v>2065</v>
      </c>
      <c r="P162" s="711" t="s">
        <v>1</v>
      </c>
      <c r="Q162" s="734">
        <v>728</v>
      </c>
      <c r="R162" s="735">
        <v>0</v>
      </c>
      <c r="S162" s="735">
        <v>0</v>
      </c>
      <c r="T162" s="115">
        <f>SUM(mFEV17[[#This Row],[PRINCIPAL]:[JUROS]])</f>
        <v>728</v>
      </c>
    </row>
    <row r="163" spans="2:22" ht="21" customHeight="1">
      <c r="B163" s="1167" t="str">
        <f t="shared" si="4"/>
        <v>3/26</v>
      </c>
      <c r="C163" s="731" t="str">
        <f>VLOOKUP(mFEV17[[#This Row],[CÓDIGO CONTABIL]],Contas_Gerencial[#All],3,FALSE)</f>
        <v>ENCARGOS</v>
      </c>
      <c r="D163" s="1165" t="str">
        <f>VLOOKUP(mFEV17[[#This Row],[DESCRIÇÃO CONTABIL]],Contas_Gerencial[[#All],[DESCRIÇÃO DA CONTA - NÃO UTILIZAR]:[Código2]],2,FALSE)</f>
        <v>20.04.001</v>
      </c>
      <c r="E163" s="712" t="s">
        <v>2659</v>
      </c>
      <c r="F163" s="712" t="s">
        <v>581</v>
      </c>
      <c r="G163" s="712" t="s">
        <v>1137</v>
      </c>
      <c r="H163" s="712" t="s">
        <v>1788</v>
      </c>
      <c r="I163" s="716" t="s">
        <v>2065</v>
      </c>
      <c r="J163" s="711" t="s">
        <v>757</v>
      </c>
      <c r="K163" s="711" t="s">
        <v>2089</v>
      </c>
      <c r="L163" s="714" t="s">
        <v>2258</v>
      </c>
      <c r="M163" s="1271">
        <v>46081</v>
      </c>
      <c r="N163" s="715">
        <v>46101</v>
      </c>
      <c r="O163" s="715" t="s">
        <v>2065</v>
      </c>
      <c r="P163" s="960" t="s">
        <v>1</v>
      </c>
      <c r="Q163" s="737">
        <f>715.61-67.54</f>
        <v>648.07000000000005</v>
      </c>
      <c r="R163" s="735">
        <v>0</v>
      </c>
      <c r="S163" s="735">
        <v>0</v>
      </c>
      <c r="T163" s="115">
        <f>SUM(mFEV17[[#This Row],[PRINCIPAL]:[JUROS]])</f>
        <v>648.07000000000005</v>
      </c>
    </row>
    <row r="164" spans="2:22" ht="21" customHeight="1">
      <c r="B164" s="1167" t="str">
        <f t="shared" si="4"/>
        <v>3/26</v>
      </c>
      <c r="C164" s="731" t="str">
        <f>VLOOKUP(mFEV17[[#This Row],[CÓDIGO CONTABIL]],Contas_Gerencial[#All],3,FALSE)</f>
        <v>BENEFICIO</v>
      </c>
      <c r="D164" s="1165" t="str">
        <f>VLOOKUP(mFEV17[[#This Row],[DESCRIÇÃO CONTABIL]],Contas_Gerencial[[#All],[DESCRIÇÃO DA CONTA - NÃO UTILIZAR]:[Código2]],2,FALSE)</f>
        <v>20.05.006</v>
      </c>
      <c r="E164" s="733" t="s">
        <v>24</v>
      </c>
      <c r="F164" s="712" t="s">
        <v>581</v>
      </c>
      <c r="G164" s="733" t="s">
        <v>1137</v>
      </c>
      <c r="H164" s="712" t="s">
        <v>1791</v>
      </c>
      <c r="I164" s="716" t="s">
        <v>2065</v>
      </c>
      <c r="J164" s="711" t="s">
        <v>581</v>
      </c>
      <c r="K164" s="711" t="s">
        <v>2590</v>
      </c>
      <c r="L164" s="729" t="s">
        <v>2591</v>
      </c>
      <c r="M164" s="1271">
        <v>46101</v>
      </c>
      <c r="N164" s="715">
        <v>46101</v>
      </c>
      <c r="O164" s="715" t="s">
        <v>2065</v>
      </c>
      <c r="P164" s="712" t="s">
        <v>1</v>
      </c>
      <c r="Q164" s="730">
        <v>2080</v>
      </c>
      <c r="R164" s="730">
        <v>0</v>
      </c>
      <c r="S164" s="730">
        <v>0</v>
      </c>
      <c r="T164" s="115">
        <f>SUM(mFEV17[[#This Row],[PRINCIPAL]:[JUROS]])</f>
        <v>2080</v>
      </c>
    </row>
    <row r="165" spans="2:22" ht="21" customHeight="1">
      <c r="B165" s="1167" t="str">
        <f t="shared" si="4"/>
        <v>3/26</v>
      </c>
      <c r="C165" s="731" t="str">
        <f>VLOOKUP(mFEV17[[#This Row],[CÓDIGO CONTABIL]],Contas_Gerencial[#All],3,FALSE)</f>
        <v>BENEFICIO</v>
      </c>
      <c r="D165" s="1165" t="str">
        <f>VLOOKUP(mFEV17[[#This Row],[DESCRIÇÃO CONTABIL]],Contas_Gerencial[[#All],[DESCRIÇÃO DA CONTA - NÃO UTILIZAR]:[Código2]],2,FALSE)</f>
        <v>20.05.007</v>
      </c>
      <c r="E165" s="733" t="s">
        <v>25</v>
      </c>
      <c r="F165" s="712" t="s">
        <v>581</v>
      </c>
      <c r="G165" s="733" t="s">
        <v>1137</v>
      </c>
      <c r="H165" s="712" t="s">
        <v>1791</v>
      </c>
      <c r="I165" s="716" t="s">
        <v>2065</v>
      </c>
      <c r="J165" s="711" t="s">
        <v>581</v>
      </c>
      <c r="K165" s="711" t="s">
        <v>2590</v>
      </c>
      <c r="L165" s="729" t="s">
        <v>2591</v>
      </c>
      <c r="M165" s="1271">
        <v>46101</v>
      </c>
      <c r="N165" s="715">
        <v>46101</v>
      </c>
      <c r="O165" s="715" t="s">
        <v>2065</v>
      </c>
      <c r="P165" s="712" t="s">
        <v>1</v>
      </c>
      <c r="Q165" s="730">
        <v>0</v>
      </c>
      <c r="R165" s="730">
        <v>0</v>
      </c>
      <c r="S165" s="730">
        <v>0</v>
      </c>
      <c r="T165" s="115">
        <f>SUM(mFEV17[[#This Row],[PRINCIPAL]:[JUROS]])</f>
        <v>0</v>
      </c>
    </row>
    <row r="166" spans="2:22" ht="21" customHeight="1">
      <c r="B166" s="1168" t="str">
        <f t="shared" ref="B166:B223" si="5">B165</f>
        <v>3/26</v>
      </c>
      <c r="C166" s="472" t="str">
        <f>VLOOKUP(mFEV17[[#This Row],[CÓDIGO CONTABIL]],Contas_Gerencial[#All],3,FALSE)</f>
        <v>RECEITA SUBCONTA</v>
      </c>
      <c r="D166" s="445" t="str">
        <f>VLOOKUP(mFEV17[[#This Row],[DESCRIÇÃO CONTABIL]],Contas_Gerencial[[#All],[DESCRIÇÃO DA CONTA - NÃO UTILIZAR]:[Código2]],2,FALSE)</f>
        <v>10.01.001</v>
      </c>
      <c r="E166" s="473" t="s">
        <v>90</v>
      </c>
      <c r="F166" s="485" t="s">
        <v>581</v>
      </c>
      <c r="G166" s="473" t="s">
        <v>1508</v>
      </c>
      <c r="H166" s="473" t="s">
        <v>1788</v>
      </c>
      <c r="I166" s="474" t="s">
        <v>2065</v>
      </c>
      <c r="J166" s="472" t="s">
        <v>581</v>
      </c>
      <c r="K166" s="472" t="s">
        <v>1792</v>
      </c>
      <c r="L166" s="475" t="s">
        <v>2258</v>
      </c>
      <c r="M166" s="1270">
        <v>46081</v>
      </c>
      <c r="N166" s="476">
        <v>46091</v>
      </c>
      <c r="O166" s="476" t="s">
        <v>2065</v>
      </c>
      <c r="P166" s="452" t="s">
        <v>215</v>
      </c>
      <c r="Q166" s="1170">
        <v>1562</v>
      </c>
      <c r="R166" s="479">
        <v>0</v>
      </c>
      <c r="S166" s="479">
        <v>0</v>
      </c>
      <c r="T166" s="1169">
        <f>SUM(mFEV17[[#This Row],[PRINCIPAL]:[JUROS]])</f>
        <v>1562</v>
      </c>
      <c r="V166" s="115"/>
    </row>
    <row r="167" spans="2:22" ht="21" customHeight="1">
      <c r="B167" s="1167" t="str">
        <f t="shared" si="5"/>
        <v>3/26</v>
      </c>
      <c r="C167" s="731" t="str">
        <f>VLOOKUP(mFEV17[[#This Row],[CÓDIGO CONTABIL]],Contas_Gerencial[#All],3,FALSE)</f>
        <v>ENCARGOS</v>
      </c>
      <c r="D167" s="1165" t="str">
        <f>VLOOKUP(mFEV17[[#This Row],[DESCRIÇÃO CONTABIL]],Contas_Gerencial[[#All],[DESCRIÇÃO DA CONTA - NÃO UTILIZAR]:[Código2]],2,FALSE)</f>
        <v>20.04.004</v>
      </c>
      <c r="E167" s="712" t="s">
        <v>2651</v>
      </c>
      <c r="F167" s="712" t="s">
        <v>581</v>
      </c>
      <c r="G167" s="733" t="s">
        <v>1508</v>
      </c>
      <c r="H167" s="712" t="s">
        <v>1788</v>
      </c>
      <c r="I167" s="716" t="s">
        <v>2065</v>
      </c>
      <c r="J167" s="711" t="s">
        <v>264</v>
      </c>
      <c r="K167" s="711" t="s">
        <v>2113</v>
      </c>
      <c r="L167" s="714" t="s">
        <v>2258</v>
      </c>
      <c r="M167" s="1271">
        <v>46081</v>
      </c>
      <c r="N167" s="715">
        <v>46101</v>
      </c>
      <c r="O167" s="715" t="s">
        <v>2065</v>
      </c>
      <c r="P167" s="711" t="s">
        <v>214</v>
      </c>
      <c r="Q167" s="734">
        <v>87.48</v>
      </c>
      <c r="R167" s="735">
        <v>0</v>
      </c>
      <c r="S167" s="735">
        <v>0</v>
      </c>
      <c r="T167" s="115">
        <f>SUM(mFEV17[[#This Row],[PRINCIPAL]:[JUROS]])</f>
        <v>87.48</v>
      </c>
      <c r="V167" s="115"/>
    </row>
    <row r="168" spans="2:22" ht="21" customHeight="1">
      <c r="B168" s="1167" t="str">
        <f t="shared" si="5"/>
        <v>3/26</v>
      </c>
      <c r="C168" s="731" t="str">
        <f>VLOOKUP(mFEV17[[#This Row],[CÓDIGO CONTABIL]],Contas_Gerencial[#All],3,FALSE)</f>
        <v>TRIBUTOS</v>
      </c>
      <c r="D168" s="1165" t="str">
        <f>VLOOKUP(mFEV17[[#This Row],[DESCRIÇÃO CONTABIL]],Contas_Gerencial[[#All],[DESCRIÇÃO DA CONTA - NÃO UTILIZAR]:[Código2]],2,FALSE)</f>
        <v>20.08.004</v>
      </c>
      <c r="E168" s="712" t="s">
        <v>2648</v>
      </c>
      <c r="F168" s="712" t="s">
        <v>581</v>
      </c>
      <c r="G168" s="733" t="s">
        <v>1508</v>
      </c>
      <c r="H168" s="712" t="s">
        <v>1788</v>
      </c>
      <c r="I168" s="716" t="s">
        <v>2065</v>
      </c>
      <c r="J168" s="711" t="s">
        <v>654</v>
      </c>
      <c r="K168" s="711" t="s">
        <v>2114</v>
      </c>
      <c r="L168" s="714" t="s">
        <v>2258</v>
      </c>
      <c r="M168" s="1271">
        <v>46081</v>
      </c>
      <c r="N168" s="715">
        <v>46101</v>
      </c>
      <c r="O168" s="1271">
        <v>46081</v>
      </c>
      <c r="P168" s="711" t="s">
        <v>214</v>
      </c>
      <c r="Q168" s="734">
        <v>0</v>
      </c>
      <c r="R168" s="735">
        <v>0</v>
      </c>
      <c r="S168" s="735">
        <v>0</v>
      </c>
      <c r="T168" s="115">
        <f>SUM(mFEV17[[#This Row],[PRINCIPAL]:[JUROS]])</f>
        <v>0</v>
      </c>
    </row>
    <row r="169" spans="2:22" ht="21" customHeight="1">
      <c r="B169" s="1167" t="str">
        <f t="shared" si="5"/>
        <v>3/26</v>
      </c>
      <c r="C169" s="731" t="str">
        <f>VLOOKUP(mFEV17[[#This Row],[CÓDIGO CONTABIL]],Contas_Gerencial[#All],3,FALSE)</f>
        <v>TRIBUTOS</v>
      </c>
      <c r="D169" s="1165" t="str">
        <f>VLOOKUP(mFEV17[[#This Row],[DESCRIÇÃO CONTABIL]],Contas_Gerencial[[#All],[DESCRIÇÃO DA CONTA - NÃO UTILIZAR]:[Código2]],2,FALSE)</f>
        <v>20.08.001</v>
      </c>
      <c r="E169" s="712" t="s">
        <v>2112</v>
      </c>
      <c r="F169" s="712" t="s">
        <v>581</v>
      </c>
      <c r="G169" s="733" t="s">
        <v>1508</v>
      </c>
      <c r="H169" s="712" t="s">
        <v>1788</v>
      </c>
      <c r="I169" s="716" t="s">
        <v>2065</v>
      </c>
      <c r="J169" s="711" t="s">
        <v>654</v>
      </c>
      <c r="K169" s="711" t="s">
        <v>1907</v>
      </c>
      <c r="L169" s="714" t="s">
        <v>2258</v>
      </c>
      <c r="M169" s="1271">
        <v>46081</v>
      </c>
      <c r="N169" s="715">
        <v>46101</v>
      </c>
      <c r="O169" s="715" t="s">
        <v>2065</v>
      </c>
      <c r="P169" s="711" t="s">
        <v>1</v>
      </c>
      <c r="Q169" s="734">
        <v>67.48</v>
      </c>
      <c r="R169" s="735">
        <v>0</v>
      </c>
      <c r="S169" s="735">
        <v>0</v>
      </c>
      <c r="T169" s="115">
        <f>SUM(mFEV17[[#This Row],[PRINCIPAL]:[JUROS]])</f>
        <v>67.48</v>
      </c>
    </row>
    <row r="170" spans="2:22" ht="21" customHeight="1">
      <c r="B170" s="1167" t="str">
        <f t="shared" si="5"/>
        <v>3/26</v>
      </c>
      <c r="C170" s="731" t="str">
        <f>VLOOKUP(mFEV17[[#This Row],[CÓDIGO CONTABIL]],Contas_Gerencial[#All],3,FALSE)</f>
        <v>TRIBUTOS</v>
      </c>
      <c r="D170" s="1165" t="str">
        <f>VLOOKUP(mFEV17[[#This Row],[DESCRIÇÃO CONTABIL]],Contas_Gerencial[[#All],[DESCRIÇÃO DA CONTA - NÃO UTILIZAR]:[Código2]],2,FALSE)</f>
        <v>20.08.002</v>
      </c>
      <c r="E170" s="712" t="s">
        <v>589</v>
      </c>
      <c r="F170" s="712" t="s">
        <v>581</v>
      </c>
      <c r="G170" s="712" t="s">
        <v>1508</v>
      </c>
      <c r="H170" s="712" t="s">
        <v>1788</v>
      </c>
      <c r="I170" s="716" t="s">
        <v>2065</v>
      </c>
      <c r="J170" s="711" t="s">
        <v>654</v>
      </c>
      <c r="K170" s="711" t="s">
        <v>1907</v>
      </c>
      <c r="L170" s="714" t="s">
        <v>2258</v>
      </c>
      <c r="M170" s="1271">
        <v>46081</v>
      </c>
      <c r="N170" s="715">
        <v>46101</v>
      </c>
      <c r="O170" s="715" t="s">
        <v>2065</v>
      </c>
      <c r="P170" s="711" t="s">
        <v>1</v>
      </c>
      <c r="Q170" s="737">
        <v>101.08299627953745</v>
      </c>
      <c r="R170" s="735">
        <v>0</v>
      </c>
      <c r="S170" s="735">
        <v>0</v>
      </c>
      <c r="T170" s="115">
        <f>SUM(mFEV17[[#This Row],[PRINCIPAL]:[JUROS]])</f>
        <v>101.08299627953745</v>
      </c>
    </row>
    <row r="171" spans="2:22" ht="21" customHeight="1">
      <c r="B171" s="1168" t="str">
        <f t="shared" si="5"/>
        <v>3/26</v>
      </c>
      <c r="C171" s="472" t="str">
        <f>VLOOKUP(mFEV17[[#This Row],[CÓDIGO CONTABIL]],Contas_Gerencial[#All],3,FALSE)</f>
        <v>RECEITA SUBCONTA</v>
      </c>
      <c r="D171" s="445" t="str">
        <f>VLOOKUP(mFEV17[[#This Row],[DESCRIÇÃO CONTABIL]],Contas_Gerencial[[#All],[DESCRIÇÃO DA CONTA - NÃO UTILIZAR]:[Código2]],2,FALSE)</f>
        <v>10.01.001</v>
      </c>
      <c r="E171" s="473" t="s">
        <v>90</v>
      </c>
      <c r="F171" s="485" t="s">
        <v>581</v>
      </c>
      <c r="G171" s="473" t="s">
        <v>1630</v>
      </c>
      <c r="H171" s="473" t="s">
        <v>1788</v>
      </c>
      <c r="I171" s="474" t="s">
        <v>2065</v>
      </c>
      <c r="J171" s="472" t="s">
        <v>581</v>
      </c>
      <c r="K171" s="472" t="s">
        <v>1792</v>
      </c>
      <c r="L171" s="475" t="s">
        <v>2258</v>
      </c>
      <c r="M171" s="1270">
        <v>46081</v>
      </c>
      <c r="N171" s="476">
        <v>46086</v>
      </c>
      <c r="O171" s="476" t="s">
        <v>2065</v>
      </c>
      <c r="P171" s="452" t="s">
        <v>215</v>
      </c>
      <c r="Q171" s="479">
        <v>11996</v>
      </c>
      <c r="R171" s="479">
        <v>0</v>
      </c>
      <c r="S171" s="479">
        <v>0</v>
      </c>
      <c r="T171" s="1169">
        <f>SUM(mFEV17[[#This Row],[PRINCIPAL]:[JUROS]])</f>
        <v>11996</v>
      </c>
      <c r="V171" s="115"/>
    </row>
    <row r="172" spans="2:22" ht="21" customHeight="1">
      <c r="B172" s="1167" t="str">
        <f t="shared" si="5"/>
        <v>3/26</v>
      </c>
      <c r="C172" s="731" t="str">
        <f>VLOOKUP(mFEV17[[#This Row],[CÓDIGO CONTABIL]],Contas_Gerencial[#All],3,FALSE)</f>
        <v>ENCARGOS</v>
      </c>
      <c r="D172" s="1165" t="str">
        <f>VLOOKUP(mFEV17[[#This Row],[DESCRIÇÃO CONTABIL]],Contas_Gerencial[[#All],[DESCRIÇÃO DA CONTA - NÃO UTILIZAR]:[Código2]],2,FALSE)</f>
        <v>20.04.004</v>
      </c>
      <c r="E172" s="712" t="s">
        <v>2651</v>
      </c>
      <c r="F172" s="712" t="s">
        <v>581</v>
      </c>
      <c r="G172" s="733" t="s">
        <v>1630</v>
      </c>
      <c r="H172" s="712" t="s">
        <v>1788</v>
      </c>
      <c r="I172" s="716" t="s">
        <v>2065</v>
      </c>
      <c r="J172" s="711" t="s">
        <v>264</v>
      </c>
      <c r="K172" s="711" t="s">
        <v>2113</v>
      </c>
      <c r="L172" s="714" t="s">
        <v>2258</v>
      </c>
      <c r="M172" s="1271">
        <v>46081</v>
      </c>
      <c r="N172" s="715">
        <v>46101</v>
      </c>
      <c r="O172" s="715" t="s">
        <v>2065</v>
      </c>
      <c r="P172" s="711" t="s">
        <v>214</v>
      </c>
      <c r="Q172" s="734">
        <v>1319.56</v>
      </c>
      <c r="R172" s="735">
        <v>0</v>
      </c>
      <c r="S172" s="735">
        <v>0</v>
      </c>
      <c r="T172" s="115">
        <f>SUM(mFEV17[[#This Row],[PRINCIPAL]:[JUROS]])</f>
        <v>1319.56</v>
      </c>
      <c r="V172" s="115"/>
    </row>
    <row r="173" spans="2:22" ht="21" customHeight="1">
      <c r="B173" s="1167" t="str">
        <f t="shared" si="5"/>
        <v>3/26</v>
      </c>
      <c r="C173" s="731" t="str">
        <f>VLOOKUP(mFEV17[[#This Row],[CÓDIGO CONTABIL]],Contas_Gerencial[#All],3,FALSE)</f>
        <v>TRIBUTOS</v>
      </c>
      <c r="D173" s="1165" t="str">
        <f>VLOOKUP(mFEV17[[#This Row],[DESCRIÇÃO CONTABIL]],Contas_Gerencial[[#All],[DESCRIÇÃO DA CONTA - NÃO UTILIZAR]:[Código2]],2,FALSE)</f>
        <v>20.08.004</v>
      </c>
      <c r="E173" s="712" t="s">
        <v>2648</v>
      </c>
      <c r="F173" s="712" t="s">
        <v>581</v>
      </c>
      <c r="G173" s="733" t="s">
        <v>1630</v>
      </c>
      <c r="H173" s="712" t="s">
        <v>1788</v>
      </c>
      <c r="I173" s="716" t="s">
        <v>2065</v>
      </c>
      <c r="J173" s="711" t="s">
        <v>654</v>
      </c>
      <c r="K173" s="711" t="s">
        <v>2114</v>
      </c>
      <c r="L173" s="714" t="s">
        <v>2258</v>
      </c>
      <c r="M173" s="1271">
        <v>46081</v>
      </c>
      <c r="N173" s="715">
        <v>46101</v>
      </c>
      <c r="O173" s="1271">
        <v>46081</v>
      </c>
      <c r="P173" s="711" t="s">
        <v>214</v>
      </c>
      <c r="Q173" s="734">
        <v>0</v>
      </c>
      <c r="R173" s="735">
        <v>0</v>
      </c>
      <c r="S173" s="735">
        <v>0</v>
      </c>
      <c r="T173" s="115">
        <f>SUM(mFEV17[[#This Row],[PRINCIPAL]:[JUROS]])</f>
        <v>0</v>
      </c>
    </row>
    <row r="174" spans="2:22" ht="21" customHeight="1">
      <c r="B174" s="1167" t="str">
        <f t="shared" si="5"/>
        <v>3/26</v>
      </c>
      <c r="C174" s="731" t="str">
        <f>VLOOKUP(mFEV17[[#This Row],[CÓDIGO CONTABIL]],Contas_Gerencial[#All],3,FALSE)</f>
        <v>TRIBUTOS</v>
      </c>
      <c r="D174" s="1165" t="str">
        <f>VLOOKUP(mFEV17[[#This Row],[DESCRIÇÃO CONTABIL]],Contas_Gerencial[[#All],[DESCRIÇÃO DA CONTA - NÃO UTILIZAR]:[Código2]],2,FALSE)</f>
        <v>20.08.001</v>
      </c>
      <c r="E174" s="712" t="s">
        <v>2112</v>
      </c>
      <c r="F174" s="712" t="s">
        <v>581</v>
      </c>
      <c r="G174" s="733" t="s">
        <v>1630</v>
      </c>
      <c r="H174" s="712" t="s">
        <v>1788</v>
      </c>
      <c r="I174" s="716" t="s">
        <v>2065</v>
      </c>
      <c r="J174" s="711" t="s">
        <v>654</v>
      </c>
      <c r="K174" s="711" t="s">
        <v>1907</v>
      </c>
      <c r="L174" s="714" t="s">
        <v>2258</v>
      </c>
      <c r="M174" s="1271">
        <v>46081</v>
      </c>
      <c r="N174" s="715">
        <v>46101</v>
      </c>
      <c r="O174" s="715" t="s">
        <v>2065</v>
      </c>
      <c r="P174" s="711" t="s">
        <v>1</v>
      </c>
      <c r="Q174" s="734">
        <v>518.22</v>
      </c>
      <c r="R174" s="735">
        <v>0</v>
      </c>
      <c r="S174" s="735">
        <v>0</v>
      </c>
      <c r="T174" s="115">
        <f>SUM(mFEV17[[#This Row],[PRINCIPAL]:[JUROS]])</f>
        <v>518.22</v>
      </c>
    </row>
    <row r="175" spans="2:22" ht="21" customHeight="1">
      <c r="B175" s="1167" t="str">
        <f t="shared" si="5"/>
        <v>3/26</v>
      </c>
      <c r="C175" s="731" t="str">
        <f>VLOOKUP(mFEV17[[#This Row],[CÓDIGO CONTABIL]],Contas_Gerencial[#All],3,FALSE)</f>
        <v>TRIBUTOS</v>
      </c>
      <c r="D175" s="1165" t="str">
        <f>VLOOKUP(mFEV17[[#This Row],[DESCRIÇÃO CONTABIL]],Contas_Gerencial[[#All],[DESCRIÇÃO DA CONTA - NÃO UTILIZAR]:[Código2]],2,FALSE)</f>
        <v>20.08.002</v>
      </c>
      <c r="E175" s="712" t="s">
        <v>589</v>
      </c>
      <c r="F175" s="712" t="s">
        <v>581</v>
      </c>
      <c r="G175" s="733" t="s">
        <v>1630</v>
      </c>
      <c r="H175" s="712" t="s">
        <v>1788</v>
      </c>
      <c r="I175" s="716" t="s">
        <v>2065</v>
      </c>
      <c r="J175" s="711" t="s">
        <v>654</v>
      </c>
      <c r="K175" s="711" t="s">
        <v>1907</v>
      </c>
      <c r="L175" s="714" t="s">
        <v>2258</v>
      </c>
      <c r="M175" s="1271">
        <v>46081</v>
      </c>
      <c r="N175" s="715">
        <v>46101</v>
      </c>
      <c r="O175" s="715" t="s">
        <v>2065</v>
      </c>
      <c r="P175" s="711" t="s">
        <v>1</v>
      </c>
      <c r="Q175" s="861">
        <v>776.30705721468064</v>
      </c>
      <c r="R175" s="735">
        <v>0</v>
      </c>
      <c r="S175" s="735">
        <v>0</v>
      </c>
      <c r="T175" s="115">
        <f>SUM(mFEV17[[#This Row],[PRINCIPAL]:[JUROS]])</f>
        <v>776.30705721468064</v>
      </c>
    </row>
    <row r="176" spans="2:22" ht="21" customHeight="1">
      <c r="B176" s="1167" t="str">
        <f t="shared" si="5"/>
        <v>3/26</v>
      </c>
      <c r="C176" s="731" t="str">
        <f>VLOOKUP(mFEV17[[#This Row],[CÓDIGO CONTABIL]],Contas_Gerencial[#All],3,FALSE)</f>
        <v>FOLHA DE PAGAMENTO</v>
      </c>
      <c r="D176" s="1165" t="str">
        <f>VLOOKUP(mFEV17[[#This Row],[DESCRIÇÃO CONTABIL]],Contas_Gerencial[[#All],[DESCRIÇÃO DA CONTA - NÃO UTILIZAR]:[Código2]],2,FALSE)</f>
        <v>20.05.021</v>
      </c>
      <c r="E176" s="712" t="s">
        <v>59</v>
      </c>
      <c r="F176" s="711" t="s">
        <v>581</v>
      </c>
      <c r="G176" s="986" t="s">
        <v>1630</v>
      </c>
      <c r="H176" s="712" t="s">
        <v>1791</v>
      </c>
      <c r="I176" s="716" t="s">
        <v>2065</v>
      </c>
      <c r="J176" s="711" t="s">
        <v>581</v>
      </c>
      <c r="K176" s="712" t="s">
        <v>1793</v>
      </c>
      <c r="L176" s="714" t="s">
        <v>2258</v>
      </c>
      <c r="M176" s="1271">
        <v>46081</v>
      </c>
      <c r="N176" s="715">
        <v>46086</v>
      </c>
      <c r="O176" s="715">
        <v>46086</v>
      </c>
      <c r="P176" s="711" t="s">
        <v>1</v>
      </c>
      <c r="Q176" s="993">
        <v>3349.62</v>
      </c>
      <c r="R176" s="735">
        <v>0</v>
      </c>
      <c r="S176" s="735">
        <v>0</v>
      </c>
      <c r="T176" s="115">
        <f>SUM(mFEV17[[#This Row],[PRINCIPAL]:[JUROS]])</f>
        <v>3349.62</v>
      </c>
      <c r="V176" s="115"/>
    </row>
    <row r="177" spans="2:22" ht="21" customHeight="1">
      <c r="B177" s="1167" t="str">
        <f t="shared" si="5"/>
        <v>3/26</v>
      </c>
      <c r="C177" s="731" t="str">
        <f>VLOOKUP(mFEV17[[#This Row],[CÓDIGO CONTABIL]],Contas_Gerencial[#All],3,FALSE)</f>
        <v>ENCARGOS</v>
      </c>
      <c r="D177" s="1165" t="str">
        <f>VLOOKUP(mFEV17[[#This Row],[DESCRIÇÃO CONTABIL]],Contas_Gerencial[[#All],[DESCRIÇÃO DA CONTA - NÃO UTILIZAR]:[Código2]],2,FALSE)</f>
        <v>20.04.006</v>
      </c>
      <c r="E177" s="712" t="s">
        <v>1180</v>
      </c>
      <c r="F177" s="712" t="s">
        <v>581</v>
      </c>
      <c r="G177" s="733" t="s">
        <v>1630</v>
      </c>
      <c r="H177" s="712" t="s">
        <v>1180</v>
      </c>
      <c r="I177" s="716" t="s">
        <v>2065</v>
      </c>
      <c r="J177" s="711" t="s">
        <v>384</v>
      </c>
      <c r="K177" s="711" t="s">
        <v>1180</v>
      </c>
      <c r="L177" s="714" t="s">
        <v>2258</v>
      </c>
      <c r="M177" s="1271">
        <v>46081</v>
      </c>
      <c r="N177" s="715">
        <v>46101</v>
      </c>
      <c r="O177" s="715" t="s">
        <v>2065</v>
      </c>
      <c r="P177" s="711" t="s">
        <v>1</v>
      </c>
      <c r="Q177" s="734">
        <v>291.26</v>
      </c>
      <c r="R177" s="735">
        <v>0</v>
      </c>
      <c r="S177" s="735">
        <v>0</v>
      </c>
      <c r="T177" s="115">
        <f>SUM(mFEV17[[#This Row],[PRINCIPAL]:[JUROS]])</f>
        <v>291.26</v>
      </c>
    </row>
    <row r="178" spans="2:22" ht="21" customHeight="1">
      <c r="B178" s="1167" t="str">
        <f t="shared" si="5"/>
        <v>3/26</v>
      </c>
      <c r="C178" s="731" t="str">
        <f>VLOOKUP(mFEV17[[#This Row],[CÓDIGO CONTABIL]],Contas_Gerencial[#All],3,FALSE)</f>
        <v>ENCARGOS</v>
      </c>
      <c r="D178" s="1165" t="str">
        <f>VLOOKUP(mFEV17[[#This Row],[DESCRIÇÃO CONTABIL]],Contas_Gerencial[[#All],[DESCRIÇÃO DA CONTA - NÃO UTILIZAR]:[Código2]],2,FALSE)</f>
        <v>20.04.001</v>
      </c>
      <c r="E178" s="712" t="s">
        <v>2659</v>
      </c>
      <c r="F178" s="712" t="s">
        <v>581</v>
      </c>
      <c r="G178" s="712" t="s">
        <v>1630</v>
      </c>
      <c r="H178" s="712" t="s">
        <v>1788</v>
      </c>
      <c r="I178" s="716" t="s">
        <v>2065</v>
      </c>
      <c r="J178" s="711" t="s">
        <v>757</v>
      </c>
      <c r="K178" s="711" t="s">
        <v>2089</v>
      </c>
      <c r="L178" s="714" t="s">
        <v>2258</v>
      </c>
      <c r="M178" s="1271">
        <v>46081</v>
      </c>
      <c r="N178" s="715">
        <v>46101</v>
      </c>
      <c r="O178" s="715" t="s">
        <v>2065</v>
      </c>
      <c r="P178" s="960" t="s">
        <v>1</v>
      </c>
      <c r="Q178" s="737">
        <f>279.04-67.54</f>
        <v>211.5</v>
      </c>
      <c r="R178" s="735">
        <v>0</v>
      </c>
      <c r="S178" s="735">
        <v>0</v>
      </c>
      <c r="T178" s="115">
        <f>SUM(mFEV17[[#This Row],[PRINCIPAL]:[JUROS]])</f>
        <v>211.5</v>
      </c>
    </row>
    <row r="179" spans="2:22" ht="21" customHeight="1">
      <c r="B179" s="1167" t="str">
        <f t="shared" si="5"/>
        <v>3/26</v>
      </c>
      <c r="C179" s="731" t="str">
        <f>VLOOKUP(mFEV17[[#This Row],[CÓDIGO CONTABIL]],Contas_Gerencial[#All],3,FALSE)</f>
        <v>BENEFICIO</v>
      </c>
      <c r="D179" s="1165" t="str">
        <f>VLOOKUP(mFEV17[[#This Row],[DESCRIÇÃO CONTABIL]],Contas_Gerencial[[#All],[DESCRIÇÃO DA CONTA - NÃO UTILIZAR]:[Código2]],2,FALSE)</f>
        <v>20.05.006</v>
      </c>
      <c r="E179" s="733" t="s">
        <v>24</v>
      </c>
      <c r="F179" s="712" t="s">
        <v>581</v>
      </c>
      <c r="G179" s="733" t="s">
        <v>1630</v>
      </c>
      <c r="H179" s="712" t="s">
        <v>1791</v>
      </c>
      <c r="I179" s="716" t="s">
        <v>2065</v>
      </c>
      <c r="J179" s="711" t="s">
        <v>581</v>
      </c>
      <c r="K179" s="711" t="s">
        <v>2590</v>
      </c>
      <c r="L179" s="729" t="s">
        <v>2591</v>
      </c>
      <c r="M179" s="1271">
        <v>46101</v>
      </c>
      <c r="N179" s="715">
        <v>46101</v>
      </c>
      <c r="O179" s="715" t="s">
        <v>2065</v>
      </c>
      <c r="P179" s="712" t="s">
        <v>1</v>
      </c>
      <c r="Q179" s="730">
        <v>1040</v>
      </c>
      <c r="R179" s="730">
        <v>0</v>
      </c>
      <c r="S179" s="730">
        <v>0</v>
      </c>
      <c r="T179" s="115">
        <f>SUM(mFEV17[[#This Row],[PRINCIPAL]:[JUROS]])</f>
        <v>1040</v>
      </c>
    </row>
    <row r="180" spans="2:22" ht="21" customHeight="1">
      <c r="B180" s="1167" t="str">
        <f t="shared" si="5"/>
        <v>3/26</v>
      </c>
      <c r="C180" s="731" t="str">
        <f>VLOOKUP(mFEV17[[#This Row],[CÓDIGO CONTABIL]],Contas_Gerencial[#All],3,FALSE)</f>
        <v>BENEFICIO</v>
      </c>
      <c r="D180" s="1165" t="str">
        <f>VLOOKUP(mFEV17[[#This Row],[DESCRIÇÃO CONTABIL]],Contas_Gerencial[[#All],[DESCRIÇÃO DA CONTA - NÃO UTILIZAR]:[Código2]],2,FALSE)</f>
        <v>20.05.007</v>
      </c>
      <c r="E180" s="733" t="s">
        <v>25</v>
      </c>
      <c r="F180" s="712" t="s">
        <v>581</v>
      </c>
      <c r="G180" s="733" t="s">
        <v>1630</v>
      </c>
      <c r="H180" s="712" t="s">
        <v>1791</v>
      </c>
      <c r="I180" s="716" t="s">
        <v>2065</v>
      </c>
      <c r="J180" s="711" t="s">
        <v>581</v>
      </c>
      <c r="K180" s="711" t="s">
        <v>2590</v>
      </c>
      <c r="L180" s="729" t="s">
        <v>2591</v>
      </c>
      <c r="M180" s="1271">
        <v>46101</v>
      </c>
      <c r="N180" s="715">
        <v>46101</v>
      </c>
      <c r="O180" s="715" t="s">
        <v>2065</v>
      </c>
      <c r="P180" s="712" t="s">
        <v>1</v>
      </c>
      <c r="Q180" s="730">
        <v>0</v>
      </c>
      <c r="R180" s="730">
        <v>0</v>
      </c>
      <c r="S180" s="730">
        <v>0</v>
      </c>
      <c r="T180" s="115">
        <f>SUM(mFEV17[[#This Row],[PRINCIPAL]:[JUROS]])</f>
        <v>0</v>
      </c>
    </row>
    <row r="181" spans="2:22" ht="21" customHeight="1">
      <c r="B181" s="1168" t="str">
        <f t="shared" si="5"/>
        <v>3/26</v>
      </c>
      <c r="C181" s="472" t="str">
        <f>VLOOKUP(mFEV17[[#This Row],[CÓDIGO CONTABIL]],Contas_Gerencial[#All],3,FALSE)</f>
        <v>RECEITA SUBCONTA</v>
      </c>
      <c r="D181" s="445" t="str">
        <f>VLOOKUP(mFEV17[[#This Row],[DESCRIÇÃO CONTABIL]],Contas_Gerencial[[#All],[DESCRIÇÃO DA CONTA - NÃO UTILIZAR]:[Código2]],2,FALSE)</f>
        <v>10.01.001</v>
      </c>
      <c r="E181" s="473" t="s">
        <v>90</v>
      </c>
      <c r="F181" s="485" t="s">
        <v>581</v>
      </c>
      <c r="G181" s="473" t="s">
        <v>1634</v>
      </c>
      <c r="H181" s="473" t="s">
        <v>1788</v>
      </c>
      <c r="I181" s="474" t="s">
        <v>2065</v>
      </c>
      <c r="J181" s="472" t="s">
        <v>581</v>
      </c>
      <c r="K181" s="472" t="s">
        <v>1792</v>
      </c>
      <c r="L181" s="475" t="s">
        <v>2258</v>
      </c>
      <c r="M181" s="1270">
        <v>46081</v>
      </c>
      <c r="N181" s="476">
        <v>46083</v>
      </c>
      <c r="O181" s="457">
        <v>46085</v>
      </c>
      <c r="P181" s="452" t="s">
        <v>214</v>
      </c>
      <c r="Q181" s="482">
        <v>6676</v>
      </c>
      <c r="R181" s="479">
        <v>0</v>
      </c>
      <c r="S181" s="479">
        <v>0</v>
      </c>
      <c r="T181" s="1169">
        <f>SUM(mFEV17[[#This Row],[PRINCIPAL]:[JUROS]])</f>
        <v>6676</v>
      </c>
      <c r="V181" s="115"/>
    </row>
    <row r="182" spans="2:22" ht="21" customHeight="1">
      <c r="B182" s="1167" t="str">
        <f t="shared" si="5"/>
        <v>3/26</v>
      </c>
      <c r="C182" s="731" t="str">
        <f>VLOOKUP(mFEV17[[#This Row],[CÓDIGO CONTABIL]],Contas_Gerencial[#All],3,FALSE)</f>
        <v>ENCARGOS</v>
      </c>
      <c r="D182" s="1165" t="str">
        <f>VLOOKUP(mFEV17[[#This Row],[DESCRIÇÃO CONTABIL]],Contas_Gerencial[[#All],[DESCRIÇÃO DA CONTA - NÃO UTILIZAR]:[Código2]],2,FALSE)</f>
        <v>20.04.004</v>
      </c>
      <c r="E182" s="712" t="s">
        <v>2651</v>
      </c>
      <c r="F182" s="712" t="s">
        <v>581</v>
      </c>
      <c r="G182" s="733" t="s">
        <v>1634</v>
      </c>
      <c r="H182" s="712" t="s">
        <v>1788</v>
      </c>
      <c r="I182" s="716" t="s">
        <v>2065</v>
      </c>
      <c r="J182" s="711" t="s">
        <v>264</v>
      </c>
      <c r="K182" s="711" t="s">
        <v>2113</v>
      </c>
      <c r="L182" s="714" t="s">
        <v>2258</v>
      </c>
      <c r="M182" s="1271">
        <v>46081</v>
      </c>
      <c r="N182" s="715">
        <v>46101</v>
      </c>
      <c r="O182" s="715" t="s">
        <v>2065</v>
      </c>
      <c r="P182" s="711" t="s">
        <v>214</v>
      </c>
      <c r="Q182" s="734">
        <v>355.97</v>
      </c>
      <c r="R182" s="735">
        <v>0</v>
      </c>
      <c r="S182" s="735">
        <v>0</v>
      </c>
      <c r="T182" s="115">
        <f>SUM(mFEV17[[#This Row],[PRINCIPAL]:[JUROS]])</f>
        <v>355.97</v>
      </c>
      <c r="V182" s="115"/>
    </row>
    <row r="183" spans="2:22" ht="21" customHeight="1">
      <c r="B183" s="1167" t="str">
        <f t="shared" si="5"/>
        <v>3/26</v>
      </c>
      <c r="C183" s="731" t="str">
        <f>VLOOKUP(mFEV17[[#This Row],[CÓDIGO CONTABIL]],Contas_Gerencial[#All],3,FALSE)</f>
        <v>TRIBUTOS</v>
      </c>
      <c r="D183" s="1165" t="str">
        <f>VLOOKUP(mFEV17[[#This Row],[DESCRIÇÃO CONTABIL]],Contas_Gerencial[[#All],[DESCRIÇÃO DA CONTA - NÃO UTILIZAR]:[Código2]],2,FALSE)</f>
        <v>20.08.004</v>
      </c>
      <c r="E183" s="712" t="s">
        <v>2648</v>
      </c>
      <c r="F183" s="712" t="s">
        <v>581</v>
      </c>
      <c r="G183" s="733" t="s">
        <v>1634</v>
      </c>
      <c r="H183" s="712" t="s">
        <v>1788</v>
      </c>
      <c r="I183" s="716" t="s">
        <v>2065</v>
      </c>
      <c r="J183" s="711" t="s">
        <v>654</v>
      </c>
      <c r="K183" s="711" t="s">
        <v>2114</v>
      </c>
      <c r="L183" s="714" t="s">
        <v>2258</v>
      </c>
      <c r="M183" s="1271">
        <v>46081</v>
      </c>
      <c r="N183" s="715">
        <v>46101</v>
      </c>
      <c r="O183" s="1271">
        <v>46081</v>
      </c>
      <c r="P183" s="711" t="s">
        <v>214</v>
      </c>
      <c r="Q183" s="734">
        <v>288.39999999999998</v>
      </c>
      <c r="R183" s="735">
        <v>0</v>
      </c>
      <c r="S183" s="735">
        <v>0</v>
      </c>
      <c r="T183" s="115">
        <f>SUM(mFEV17[[#This Row],[PRINCIPAL]:[JUROS]])</f>
        <v>288.39999999999998</v>
      </c>
    </row>
    <row r="184" spans="2:22" ht="21" customHeight="1">
      <c r="B184" s="1167" t="str">
        <f t="shared" si="5"/>
        <v>3/26</v>
      </c>
      <c r="C184" s="731" t="str">
        <f>VLOOKUP(mFEV17[[#This Row],[CÓDIGO CONTABIL]],Contas_Gerencial[#All],3,FALSE)</f>
        <v>TRIBUTOS</v>
      </c>
      <c r="D184" s="1165" t="str">
        <f>VLOOKUP(mFEV17[[#This Row],[DESCRIÇÃO CONTABIL]],Contas_Gerencial[[#All],[DESCRIÇÃO DA CONTA - NÃO UTILIZAR]:[Código2]],2,FALSE)</f>
        <v>20.08.001</v>
      </c>
      <c r="E184" s="712" t="s">
        <v>2112</v>
      </c>
      <c r="F184" s="712" t="s">
        <v>581</v>
      </c>
      <c r="G184" s="733" t="s">
        <v>1634</v>
      </c>
      <c r="H184" s="712" t="s">
        <v>1788</v>
      </c>
      <c r="I184" s="716" t="s">
        <v>2065</v>
      </c>
      <c r="J184" s="711" t="s">
        <v>654</v>
      </c>
      <c r="K184" s="711" t="s">
        <v>1907</v>
      </c>
      <c r="L184" s="714" t="s">
        <v>2258</v>
      </c>
      <c r="M184" s="1271">
        <v>46081</v>
      </c>
      <c r="N184" s="715">
        <v>46101</v>
      </c>
      <c r="O184" s="1271">
        <v>46081</v>
      </c>
      <c r="P184" s="711" t="s">
        <v>214</v>
      </c>
      <c r="Q184" s="734">
        <v>0</v>
      </c>
      <c r="R184" s="735">
        <v>0</v>
      </c>
      <c r="S184" s="735">
        <v>0</v>
      </c>
      <c r="T184" s="115">
        <f>SUM(mFEV17[[#This Row],[PRINCIPAL]:[JUROS]])</f>
        <v>0</v>
      </c>
    </row>
    <row r="185" spans="2:22" ht="21" customHeight="1">
      <c r="B185" s="1167" t="str">
        <f t="shared" si="5"/>
        <v>3/26</v>
      </c>
      <c r="C185" s="731" t="str">
        <f>VLOOKUP(mFEV17[[#This Row],[CÓDIGO CONTABIL]],Contas_Gerencial[#All],3,FALSE)</f>
        <v>TRIBUTOS</v>
      </c>
      <c r="D185" s="1165" t="str">
        <f>VLOOKUP(mFEV17[[#This Row],[DESCRIÇÃO CONTABIL]],Contas_Gerencial[[#All],[DESCRIÇÃO DA CONTA - NÃO UTILIZAR]:[Código2]],2,FALSE)</f>
        <v>20.08.002</v>
      </c>
      <c r="E185" s="712" t="s">
        <v>589</v>
      </c>
      <c r="F185" s="712" t="s">
        <v>581</v>
      </c>
      <c r="G185" s="733" t="s">
        <v>1634</v>
      </c>
      <c r="H185" s="712" t="s">
        <v>1788</v>
      </c>
      <c r="I185" s="716" t="s">
        <v>2065</v>
      </c>
      <c r="J185" s="711" t="s">
        <v>654</v>
      </c>
      <c r="K185" s="711" t="s">
        <v>1907</v>
      </c>
      <c r="L185" s="714" t="s">
        <v>2258</v>
      </c>
      <c r="M185" s="1271">
        <v>46081</v>
      </c>
      <c r="N185" s="715">
        <v>46101</v>
      </c>
      <c r="O185" s="715" t="s">
        <v>2065</v>
      </c>
      <c r="P185" s="711" t="s">
        <v>1</v>
      </c>
      <c r="Q185" s="861">
        <v>432.02950266465558</v>
      </c>
      <c r="R185" s="735">
        <v>0</v>
      </c>
      <c r="S185" s="735">
        <v>0</v>
      </c>
      <c r="T185" s="115">
        <f>SUM(mFEV17[[#This Row],[PRINCIPAL]:[JUROS]])</f>
        <v>432.02950266465558</v>
      </c>
    </row>
    <row r="186" spans="2:22" ht="21" customHeight="1">
      <c r="B186" s="1167" t="str">
        <f t="shared" si="5"/>
        <v>3/26</v>
      </c>
      <c r="C186" s="731" t="str">
        <f>VLOOKUP(mFEV17[[#This Row],[CÓDIGO CONTABIL]],Contas_Gerencial[#All],3,FALSE)</f>
        <v>FOLHA DE PAGAMENTO</v>
      </c>
      <c r="D186" s="1165" t="str">
        <f>VLOOKUP(mFEV17[[#This Row],[DESCRIÇÃO CONTABIL]],Contas_Gerencial[[#All],[DESCRIÇÃO DA CONTA - NÃO UTILIZAR]:[Código2]],2,FALSE)</f>
        <v>20.05.021</v>
      </c>
      <c r="E186" s="712" t="s">
        <v>59</v>
      </c>
      <c r="F186" s="711" t="s">
        <v>581</v>
      </c>
      <c r="G186" s="733" t="s">
        <v>1634</v>
      </c>
      <c r="H186" s="712" t="s">
        <v>1791</v>
      </c>
      <c r="I186" s="716" t="s">
        <v>2065</v>
      </c>
      <c r="J186" s="711" t="s">
        <v>581</v>
      </c>
      <c r="K186" s="712" t="s">
        <v>1790</v>
      </c>
      <c r="L186" s="714" t="s">
        <v>2258</v>
      </c>
      <c r="M186" s="1271">
        <v>46081</v>
      </c>
      <c r="N186" s="715">
        <v>46086</v>
      </c>
      <c r="O186" s="715">
        <v>46086</v>
      </c>
      <c r="P186" s="711" t="s">
        <v>1</v>
      </c>
      <c r="Q186" s="734">
        <v>1805.69</v>
      </c>
      <c r="R186" s="735">
        <v>0</v>
      </c>
      <c r="S186" s="735">
        <v>0</v>
      </c>
      <c r="T186" s="115">
        <f>SUM(mFEV17[[#This Row],[PRINCIPAL]:[JUROS]])</f>
        <v>1805.69</v>
      </c>
      <c r="V186" s="115"/>
    </row>
    <row r="187" spans="2:22" ht="21" customHeight="1">
      <c r="B187" s="1167" t="str">
        <f t="shared" si="5"/>
        <v>3/26</v>
      </c>
      <c r="C187" s="731" t="str">
        <f>VLOOKUP(mFEV17[[#This Row],[CÓDIGO CONTABIL]],Contas_Gerencial[#All],3,FALSE)</f>
        <v>ENCARGOS</v>
      </c>
      <c r="D187" s="1165" t="str">
        <f>VLOOKUP(mFEV17[[#This Row],[DESCRIÇÃO CONTABIL]],Contas_Gerencial[[#All],[DESCRIÇÃO DA CONTA - NÃO UTILIZAR]:[Código2]],2,FALSE)</f>
        <v>20.04.006</v>
      </c>
      <c r="E187" s="712" t="s">
        <v>1180</v>
      </c>
      <c r="F187" s="712" t="s">
        <v>581</v>
      </c>
      <c r="G187" s="733" t="s">
        <v>1634</v>
      </c>
      <c r="H187" s="712" t="s">
        <v>1180</v>
      </c>
      <c r="I187" s="716" t="s">
        <v>2065</v>
      </c>
      <c r="J187" s="711" t="s">
        <v>384</v>
      </c>
      <c r="K187" s="711" t="s">
        <v>1180</v>
      </c>
      <c r="L187" s="714" t="s">
        <v>2258</v>
      </c>
      <c r="M187" s="1271">
        <v>46081</v>
      </c>
      <c r="N187" s="715">
        <v>46101</v>
      </c>
      <c r="O187" s="715" t="s">
        <v>2065</v>
      </c>
      <c r="P187" s="711" t="s">
        <v>1</v>
      </c>
      <c r="Q187" s="734">
        <v>172.65</v>
      </c>
      <c r="R187" s="735">
        <v>0</v>
      </c>
      <c r="S187" s="735">
        <v>0</v>
      </c>
      <c r="T187" s="115">
        <f>SUM(mFEV17[[#This Row],[PRINCIPAL]:[JUROS]])</f>
        <v>172.65</v>
      </c>
    </row>
    <row r="188" spans="2:22" ht="21" customHeight="1">
      <c r="B188" s="1167" t="str">
        <f t="shared" si="5"/>
        <v>3/26</v>
      </c>
      <c r="C188" s="731" t="str">
        <f>VLOOKUP(mFEV17[[#This Row],[CÓDIGO CONTABIL]],Contas_Gerencial[#All],3,FALSE)</f>
        <v>ENCARGOS</v>
      </c>
      <c r="D188" s="1165" t="str">
        <f>VLOOKUP(mFEV17[[#This Row],[DESCRIÇÃO CONTABIL]],Contas_Gerencial[[#All],[DESCRIÇÃO DA CONTA - NÃO UTILIZAR]:[Código2]],2,FALSE)</f>
        <v>20.04.001</v>
      </c>
      <c r="E188" s="712" t="s">
        <v>2659</v>
      </c>
      <c r="F188" s="712" t="s">
        <v>581</v>
      </c>
      <c r="G188" s="712" t="s">
        <v>1634</v>
      </c>
      <c r="H188" s="712" t="s">
        <v>1788</v>
      </c>
      <c r="I188" s="716" t="s">
        <v>2065</v>
      </c>
      <c r="J188" s="711" t="s">
        <v>757</v>
      </c>
      <c r="K188" s="711" t="s">
        <v>2089</v>
      </c>
      <c r="L188" s="714" t="s">
        <v>2258</v>
      </c>
      <c r="M188" s="1271">
        <v>46081</v>
      </c>
      <c r="N188" s="715">
        <v>46101</v>
      </c>
      <c r="O188" s="715" t="s">
        <v>2065</v>
      </c>
      <c r="P188" s="960" t="s">
        <v>1</v>
      </c>
      <c r="Q188" s="737">
        <v>169.92</v>
      </c>
      <c r="R188" s="735">
        <v>0</v>
      </c>
      <c r="S188" s="735">
        <v>0</v>
      </c>
      <c r="T188" s="115">
        <f>SUM(mFEV17[[#This Row],[PRINCIPAL]:[JUROS]])</f>
        <v>169.92</v>
      </c>
    </row>
    <row r="189" spans="2:22">
      <c r="B189" s="1167" t="str">
        <f t="shared" si="5"/>
        <v>3/26</v>
      </c>
      <c r="C189" s="731" t="str">
        <f>VLOOKUP(mFEV17[[#This Row],[CÓDIGO CONTABIL]],Contas_Gerencial[#All],3,FALSE)</f>
        <v>BENEFICIO</v>
      </c>
      <c r="D189" s="1165" t="str">
        <f>VLOOKUP(mFEV17[[#This Row],[DESCRIÇÃO CONTABIL]],Contas_Gerencial[[#All],[DESCRIÇÃO DA CONTA - NÃO UTILIZAR]:[Código2]],2,FALSE)</f>
        <v>20.05.006</v>
      </c>
      <c r="E189" s="733" t="s">
        <v>24</v>
      </c>
      <c r="F189" s="712" t="s">
        <v>581</v>
      </c>
      <c r="G189" s="733" t="s">
        <v>1634</v>
      </c>
      <c r="H189" s="712" t="s">
        <v>1791</v>
      </c>
      <c r="I189" s="716" t="s">
        <v>2065</v>
      </c>
      <c r="J189" s="711" t="s">
        <v>581</v>
      </c>
      <c r="K189" s="711" t="s">
        <v>2590</v>
      </c>
      <c r="L189" s="729" t="s">
        <v>2591</v>
      </c>
      <c r="M189" s="1271">
        <v>46101</v>
      </c>
      <c r="N189" s="715">
        <v>46101</v>
      </c>
      <c r="O189" s="715" t="s">
        <v>2065</v>
      </c>
      <c r="P189" s="712" t="s">
        <v>1</v>
      </c>
      <c r="Q189" s="730">
        <v>1113.1200000000001</v>
      </c>
      <c r="R189" s="730">
        <v>0</v>
      </c>
      <c r="S189" s="730">
        <v>0</v>
      </c>
      <c r="T189" s="115">
        <f>SUM(mFEV17[[#This Row],[PRINCIPAL]:[JUROS]])</f>
        <v>1113.1200000000001</v>
      </c>
    </row>
    <row r="190" spans="2:22">
      <c r="B190" s="1167" t="str">
        <f t="shared" si="5"/>
        <v>3/26</v>
      </c>
      <c r="C190" s="731" t="str">
        <f>VLOOKUP(mFEV17[[#This Row],[CÓDIGO CONTABIL]],Contas_Gerencial[#All],3,FALSE)</f>
        <v>BENEFICIO</v>
      </c>
      <c r="D190" s="1165" t="str">
        <f>VLOOKUP(mFEV17[[#This Row],[DESCRIÇÃO CONTABIL]],Contas_Gerencial[[#All],[DESCRIÇÃO DA CONTA - NÃO UTILIZAR]:[Código2]],2,FALSE)</f>
        <v>20.05.007</v>
      </c>
      <c r="E190" s="733" t="s">
        <v>25</v>
      </c>
      <c r="F190" s="712" t="s">
        <v>581</v>
      </c>
      <c r="G190" s="733" t="s">
        <v>1634</v>
      </c>
      <c r="H190" s="712" t="s">
        <v>1791</v>
      </c>
      <c r="I190" s="716" t="s">
        <v>2065</v>
      </c>
      <c r="J190" s="711" t="s">
        <v>581</v>
      </c>
      <c r="K190" s="711" t="s">
        <v>2590</v>
      </c>
      <c r="L190" s="729" t="s">
        <v>2591</v>
      </c>
      <c r="M190" s="1271">
        <v>46101</v>
      </c>
      <c r="N190" s="715">
        <v>46101</v>
      </c>
      <c r="O190" s="715" t="s">
        <v>2065</v>
      </c>
      <c r="P190" s="712" t="s">
        <v>1</v>
      </c>
      <c r="Q190" s="730">
        <v>182.39999999999992</v>
      </c>
      <c r="R190" s="730">
        <v>0</v>
      </c>
      <c r="S190" s="730">
        <v>0</v>
      </c>
      <c r="T190" s="115">
        <f>SUM(mFEV17[[#This Row],[PRINCIPAL]:[JUROS]])</f>
        <v>182.39999999999992</v>
      </c>
    </row>
    <row r="191" spans="2:22" ht="21" customHeight="1">
      <c r="B191" s="1168" t="str">
        <f t="shared" si="5"/>
        <v>3/26</v>
      </c>
      <c r="C191" s="472" t="str">
        <f>VLOOKUP(mFEV17[[#This Row],[CÓDIGO CONTABIL]],Contas_Gerencial[#All],3,FALSE)</f>
        <v>RECEITA SUBCONTA</v>
      </c>
      <c r="D191" s="445" t="str">
        <f>VLOOKUP(mFEV17[[#This Row],[DESCRIÇÃO CONTABIL]],Contas_Gerencial[[#All],[DESCRIÇÃO DA CONTA - NÃO UTILIZAR]:[Código2]],2,FALSE)</f>
        <v>10.01.001</v>
      </c>
      <c r="E191" s="473" t="s">
        <v>90</v>
      </c>
      <c r="F191" s="485" t="s">
        <v>581</v>
      </c>
      <c r="G191" s="473" t="s">
        <v>1768</v>
      </c>
      <c r="H191" s="473" t="s">
        <v>2496</v>
      </c>
      <c r="I191" s="474" t="s">
        <v>2065</v>
      </c>
      <c r="J191" s="472" t="s">
        <v>581</v>
      </c>
      <c r="K191" s="472" t="s">
        <v>1792</v>
      </c>
      <c r="L191" s="475" t="s">
        <v>2258</v>
      </c>
      <c r="M191" s="1270">
        <v>46081</v>
      </c>
      <c r="N191" s="476">
        <v>46096</v>
      </c>
      <c r="O191" s="476" t="s">
        <v>2065</v>
      </c>
      <c r="P191" s="452" t="s">
        <v>215</v>
      </c>
      <c r="Q191" s="479">
        <v>9745</v>
      </c>
      <c r="R191" s="479">
        <v>0</v>
      </c>
      <c r="S191" s="479">
        <v>0</v>
      </c>
      <c r="T191" s="1169">
        <f>SUM(mFEV17[[#This Row],[PRINCIPAL]:[JUROS]])</f>
        <v>9745</v>
      </c>
      <c r="V191" s="115"/>
    </row>
    <row r="192" spans="2:22" ht="21" customHeight="1">
      <c r="B192" s="1167" t="str">
        <f t="shared" si="5"/>
        <v>3/26</v>
      </c>
      <c r="C192" s="731" t="str">
        <f>VLOOKUP(mFEV17[[#This Row],[CÓDIGO CONTABIL]],Contas_Gerencial[#All],3,FALSE)</f>
        <v>ENCARGOS</v>
      </c>
      <c r="D192" s="1165" t="str">
        <f>VLOOKUP(mFEV17[[#This Row],[DESCRIÇÃO CONTABIL]],Contas_Gerencial[[#All],[DESCRIÇÃO DA CONTA - NÃO UTILIZAR]:[Código2]],2,FALSE)</f>
        <v>20.04.004</v>
      </c>
      <c r="E192" s="712" t="s">
        <v>2651</v>
      </c>
      <c r="F192" s="712" t="s">
        <v>581</v>
      </c>
      <c r="G192" s="733" t="s">
        <v>1768</v>
      </c>
      <c r="H192" s="712" t="s">
        <v>1788</v>
      </c>
      <c r="I192" s="716" t="s">
        <v>2065</v>
      </c>
      <c r="J192" s="711" t="s">
        <v>264</v>
      </c>
      <c r="K192" s="711" t="s">
        <v>2113</v>
      </c>
      <c r="L192" s="714" t="s">
        <v>2258</v>
      </c>
      <c r="M192" s="1271">
        <v>46081</v>
      </c>
      <c r="N192" s="715">
        <v>46101</v>
      </c>
      <c r="O192" s="715" t="s">
        <v>2065</v>
      </c>
      <c r="P192" s="711" t="s">
        <v>214</v>
      </c>
      <c r="Q192" s="734">
        <v>608.91</v>
      </c>
      <c r="R192" s="735">
        <v>0</v>
      </c>
      <c r="S192" s="735">
        <v>0</v>
      </c>
      <c r="T192" s="115">
        <f>SUM(mFEV17[[#This Row],[PRINCIPAL]:[JUROS]])</f>
        <v>608.91</v>
      </c>
      <c r="V192" s="115"/>
    </row>
    <row r="193" spans="2:22" ht="21" customHeight="1">
      <c r="B193" s="1167" t="str">
        <f t="shared" si="5"/>
        <v>3/26</v>
      </c>
      <c r="C193" s="731" t="str">
        <f>VLOOKUP(mFEV17[[#This Row],[CÓDIGO CONTABIL]],Contas_Gerencial[#All],3,FALSE)</f>
        <v>TRIBUTOS</v>
      </c>
      <c r="D193" s="1165" t="str">
        <f>VLOOKUP(mFEV17[[#This Row],[DESCRIÇÃO CONTABIL]],Contas_Gerencial[[#All],[DESCRIÇÃO DA CONTA - NÃO UTILIZAR]:[Código2]],2,FALSE)</f>
        <v>20.08.004</v>
      </c>
      <c r="E193" s="712" t="s">
        <v>2648</v>
      </c>
      <c r="F193" s="712" t="s">
        <v>581</v>
      </c>
      <c r="G193" s="733" t="s">
        <v>1768</v>
      </c>
      <c r="H193" s="712" t="s">
        <v>1788</v>
      </c>
      <c r="I193" s="716" t="s">
        <v>2065</v>
      </c>
      <c r="J193" s="711" t="s">
        <v>654</v>
      </c>
      <c r="K193" s="711" t="s">
        <v>2114</v>
      </c>
      <c r="L193" s="714" t="s">
        <v>2258</v>
      </c>
      <c r="M193" s="1271">
        <v>46081</v>
      </c>
      <c r="N193" s="715">
        <v>46101</v>
      </c>
      <c r="O193" s="1271">
        <v>46081</v>
      </c>
      <c r="P193" s="711" t="s">
        <v>214</v>
      </c>
      <c r="Q193" s="734">
        <v>0</v>
      </c>
      <c r="R193" s="735">
        <v>0</v>
      </c>
      <c r="S193" s="735">
        <v>0</v>
      </c>
      <c r="T193" s="115">
        <f>SUM(mFEV17[[#This Row],[PRINCIPAL]:[JUROS]])</f>
        <v>0</v>
      </c>
    </row>
    <row r="194" spans="2:22" ht="21" customHeight="1">
      <c r="B194" s="1167" t="str">
        <f t="shared" si="5"/>
        <v>3/26</v>
      </c>
      <c r="C194" s="731" t="str">
        <f>VLOOKUP(mFEV17[[#This Row],[CÓDIGO CONTABIL]],Contas_Gerencial[#All],3,FALSE)</f>
        <v>TRIBUTOS</v>
      </c>
      <c r="D194" s="1165" t="str">
        <f>VLOOKUP(mFEV17[[#This Row],[DESCRIÇÃO CONTABIL]],Contas_Gerencial[[#All],[DESCRIÇÃO DA CONTA - NÃO UTILIZAR]:[Código2]],2,FALSE)</f>
        <v>20.08.001</v>
      </c>
      <c r="E194" s="712" t="s">
        <v>2112</v>
      </c>
      <c r="F194" s="712" t="s">
        <v>581</v>
      </c>
      <c r="G194" s="733" t="s">
        <v>1768</v>
      </c>
      <c r="H194" s="712" t="s">
        <v>1788</v>
      </c>
      <c r="I194" s="716" t="s">
        <v>2065</v>
      </c>
      <c r="J194" s="711" t="s">
        <v>654</v>
      </c>
      <c r="K194" s="711" t="s">
        <v>1907</v>
      </c>
      <c r="L194" s="714" t="s">
        <v>2258</v>
      </c>
      <c r="M194" s="1271">
        <v>46081</v>
      </c>
      <c r="N194" s="715">
        <v>46101</v>
      </c>
      <c r="O194" s="715" t="s">
        <v>2065</v>
      </c>
      <c r="P194" s="711" t="s">
        <v>1</v>
      </c>
      <c r="Q194" s="734">
        <v>420.98</v>
      </c>
      <c r="R194" s="735">
        <v>0</v>
      </c>
      <c r="S194" s="735">
        <v>0</v>
      </c>
      <c r="T194" s="115">
        <f>SUM(mFEV17[[#This Row],[PRINCIPAL]:[JUROS]])</f>
        <v>420.98</v>
      </c>
    </row>
    <row r="195" spans="2:22" ht="21" customHeight="1">
      <c r="B195" s="1167" t="str">
        <f t="shared" si="5"/>
        <v>3/26</v>
      </c>
      <c r="C195" s="731" t="str">
        <f>VLOOKUP(mFEV17[[#This Row],[CÓDIGO CONTABIL]],Contas_Gerencial[#All],3,FALSE)</f>
        <v>TRIBUTOS</v>
      </c>
      <c r="D195" s="1165" t="str">
        <f>VLOOKUP(mFEV17[[#This Row],[DESCRIÇÃO CONTABIL]],Contas_Gerencial[[#All],[DESCRIÇÃO DA CONTA - NÃO UTILIZAR]:[Código2]],2,FALSE)</f>
        <v>20.08.002</v>
      </c>
      <c r="E195" s="712" t="s">
        <v>589</v>
      </c>
      <c r="F195" s="712" t="s">
        <v>581</v>
      </c>
      <c r="G195" s="733" t="s">
        <v>1768</v>
      </c>
      <c r="H195" s="712" t="s">
        <v>1788</v>
      </c>
      <c r="I195" s="716" t="s">
        <v>2065</v>
      </c>
      <c r="J195" s="711" t="s">
        <v>654</v>
      </c>
      <c r="K195" s="711" t="s">
        <v>1907</v>
      </c>
      <c r="L195" s="714" t="s">
        <v>2258</v>
      </c>
      <c r="M195" s="1271">
        <v>46081</v>
      </c>
      <c r="N195" s="715">
        <v>46101</v>
      </c>
      <c r="O195" s="715" t="s">
        <v>2065</v>
      </c>
      <c r="P195" s="711" t="s">
        <v>1</v>
      </c>
      <c r="Q195" s="861">
        <v>630.63623479135231</v>
      </c>
      <c r="R195" s="735">
        <v>0</v>
      </c>
      <c r="S195" s="735">
        <v>0</v>
      </c>
      <c r="T195" s="115">
        <f>SUM(mFEV17[[#This Row],[PRINCIPAL]:[JUROS]])</f>
        <v>630.63623479135231</v>
      </c>
    </row>
    <row r="196" spans="2:22" ht="21" customHeight="1">
      <c r="B196" s="1167" t="str">
        <f t="shared" si="5"/>
        <v>3/26</v>
      </c>
      <c r="C196" s="731" t="str">
        <f>VLOOKUP(mFEV17[[#This Row],[CÓDIGO CONTABIL]],Contas_Gerencial[#All],3,FALSE)</f>
        <v>FOLHA DE PAGAMENTO</v>
      </c>
      <c r="D196" s="1165" t="str">
        <f>VLOOKUP(mFEV17[[#This Row],[DESCRIÇÃO CONTABIL]],Contas_Gerencial[[#All],[DESCRIÇÃO DA CONTA - NÃO UTILIZAR]:[Código2]],2,FALSE)</f>
        <v>20.05.021</v>
      </c>
      <c r="E196" s="712" t="s">
        <v>59</v>
      </c>
      <c r="F196" s="711" t="s">
        <v>581</v>
      </c>
      <c r="G196" s="733" t="s">
        <v>1768</v>
      </c>
      <c r="H196" s="712" t="s">
        <v>1791</v>
      </c>
      <c r="I196" s="716" t="s">
        <v>2065</v>
      </c>
      <c r="J196" s="711" t="s">
        <v>581</v>
      </c>
      <c r="K196" s="712" t="s">
        <v>1793</v>
      </c>
      <c r="L196" s="714" t="s">
        <v>2258</v>
      </c>
      <c r="M196" s="1271">
        <v>46081</v>
      </c>
      <c r="N196" s="715">
        <v>46086</v>
      </c>
      <c r="O196" s="715">
        <v>46086</v>
      </c>
      <c r="P196" s="711" t="s">
        <v>1</v>
      </c>
      <c r="Q196" s="734">
        <v>3310.68</v>
      </c>
      <c r="R196" s="735">
        <v>0</v>
      </c>
      <c r="S196" s="735">
        <v>0</v>
      </c>
      <c r="T196" s="115">
        <f>SUM(mFEV17[[#This Row],[PRINCIPAL]:[JUROS]])</f>
        <v>3310.68</v>
      </c>
      <c r="V196" s="115"/>
    </row>
    <row r="197" spans="2:22" ht="21" customHeight="1">
      <c r="B197" s="1167" t="str">
        <f t="shared" si="5"/>
        <v>3/26</v>
      </c>
      <c r="C197" s="731" t="str">
        <f>VLOOKUP(mFEV17[[#This Row],[CÓDIGO CONTABIL]],Contas_Gerencial[#All],3,FALSE)</f>
        <v>ENCARGOS</v>
      </c>
      <c r="D197" s="1165" t="str">
        <f>VLOOKUP(mFEV17[[#This Row],[DESCRIÇÃO CONTABIL]],Contas_Gerencial[[#All],[DESCRIÇÃO DA CONTA - NÃO UTILIZAR]:[Código2]],2,FALSE)</f>
        <v>20.04.006</v>
      </c>
      <c r="E197" s="712" t="s">
        <v>1180</v>
      </c>
      <c r="F197" s="712" t="s">
        <v>581</v>
      </c>
      <c r="G197" s="733" t="s">
        <v>1768</v>
      </c>
      <c r="H197" s="712" t="s">
        <v>1180</v>
      </c>
      <c r="I197" s="716" t="s">
        <v>2065</v>
      </c>
      <c r="J197" s="711" t="s">
        <v>384</v>
      </c>
      <c r="K197" s="711" t="s">
        <v>1180</v>
      </c>
      <c r="L197" s="714" t="s">
        <v>2258</v>
      </c>
      <c r="M197" s="1271">
        <v>46081</v>
      </c>
      <c r="N197" s="715">
        <v>46101</v>
      </c>
      <c r="O197" s="715" t="s">
        <v>2065</v>
      </c>
      <c r="P197" s="711" t="s">
        <v>1</v>
      </c>
      <c r="Q197" s="734">
        <v>291.26</v>
      </c>
      <c r="R197" s="735">
        <v>0</v>
      </c>
      <c r="S197" s="735">
        <v>0</v>
      </c>
      <c r="T197" s="115">
        <f>SUM(mFEV17[[#This Row],[PRINCIPAL]:[JUROS]])</f>
        <v>291.26</v>
      </c>
    </row>
    <row r="198" spans="2:22" ht="21" customHeight="1">
      <c r="B198" s="1167" t="str">
        <f t="shared" si="5"/>
        <v>3/26</v>
      </c>
      <c r="C198" s="731" t="str">
        <f>VLOOKUP(mFEV17[[#This Row],[CÓDIGO CONTABIL]],Contas_Gerencial[#All],3,FALSE)</f>
        <v>ENCARGOS</v>
      </c>
      <c r="D198" s="1165" t="str">
        <f>VLOOKUP(mFEV17[[#This Row],[DESCRIÇÃO CONTABIL]],Contas_Gerencial[[#All],[DESCRIÇÃO DA CONTA - NÃO UTILIZAR]:[Código2]],2,FALSE)</f>
        <v>20.04.001</v>
      </c>
      <c r="E198" s="712" t="s">
        <v>2659</v>
      </c>
      <c r="F198" s="712" t="s">
        <v>581</v>
      </c>
      <c r="G198" s="712" t="s">
        <v>1768</v>
      </c>
      <c r="H198" s="712" t="s">
        <v>1788</v>
      </c>
      <c r="I198" s="716" t="s">
        <v>2065</v>
      </c>
      <c r="J198" s="711" t="s">
        <v>757</v>
      </c>
      <c r="K198" s="711" t="s">
        <v>2089</v>
      </c>
      <c r="L198" s="714" t="s">
        <v>2258</v>
      </c>
      <c r="M198" s="1271">
        <v>46081</v>
      </c>
      <c r="N198" s="715">
        <v>46101</v>
      </c>
      <c r="O198" s="715" t="s">
        <v>2065</v>
      </c>
      <c r="P198" s="960" t="s">
        <v>1</v>
      </c>
      <c r="Q198" s="737">
        <v>279.04000000000002</v>
      </c>
      <c r="R198" s="735">
        <v>0</v>
      </c>
      <c r="S198" s="735">
        <v>0</v>
      </c>
      <c r="T198" s="115">
        <f>SUM(mFEV17[[#This Row],[PRINCIPAL]:[JUROS]])</f>
        <v>279.04000000000002</v>
      </c>
    </row>
    <row r="199" spans="2:22" ht="21" customHeight="1">
      <c r="B199" s="1167" t="str">
        <f t="shared" si="5"/>
        <v>3/26</v>
      </c>
      <c r="C199" s="731" t="str">
        <f>VLOOKUP(mFEV17[[#This Row],[CÓDIGO CONTABIL]],Contas_Gerencial[#All],3,FALSE)</f>
        <v>BENEFICIO</v>
      </c>
      <c r="D199" s="1165" t="str">
        <f>VLOOKUP(mFEV17[[#This Row],[DESCRIÇÃO CONTABIL]],Contas_Gerencial[[#All],[DESCRIÇÃO DA CONTA - NÃO UTILIZAR]:[Código2]],2,FALSE)</f>
        <v>20.05.006</v>
      </c>
      <c r="E199" s="733" t="s">
        <v>24</v>
      </c>
      <c r="F199" s="712" t="s">
        <v>581</v>
      </c>
      <c r="G199" s="733" t="s">
        <v>1768</v>
      </c>
      <c r="H199" s="712" t="s">
        <v>1791</v>
      </c>
      <c r="I199" s="716" t="s">
        <v>2065</v>
      </c>
      <c r="J199" s="711" t="s">
        <v>581</v>
      </c>
      <c r="K199" s="711" t="s">
        <v>2590</v>
      </c>
      <c r="L199" s="729" t="s">
        <v>2591</v>
      </c>
      <c r="M199" s="1271">
        <v>46101</v>
      </c>
      <c r="N199" s="715">
        <v>46101</v>
      </c>
      <c r="O199" s="715" t="s">
        <v>2065</v>
      </c>
      <c r="P199" s="712" t="s">
        <v>1</v>
      </c>
      <c r="Q199" s="730">
        <v>728</v>
      </c>
      <c r="R199" s="730">
        <v>0</v>
      </c>
      <c r="S199" s="730">
        <v>0</v>
      </c>
      <c r="T199" s="115">
        <f>SUM(mFEV17[[#This Row],[PRINCIPAL]:[JUROS]])</f>
        <v>728</v>
      </c>
    </row>
    <row r="200" spans="2:22" ht="21" customHeight="1">
      <c r="B200" s="1167" t="str">
        <f t="shared" si="5"/>
        <v>3/26</v>
      </c>
      <c r="C200" s="731" t="str">
        <f>VLOOKUP(mFEV17[[#This Row],[CÓDIGO CONTABIL]],Contas_Gerencial[#All],3,FALSE)</f>
        <v>BENEFICIO</v>
      </c>
      <c r="D200" s="1165" t="str">
        <f>VLOOKUP(mFEV17[[#This Row],[DESCRIÇÃO CONTABIL]],Contas_Gerencial[[#All],[DESCRIÇÃO DA CONTA - NÃO UTILIZAR]:[Código2]],2,FALSE)</f>
        <v>20.05.007</v>
      </c>
      <c r="E200" s="733" t="s">
        <v>25</v>
      </c>
      <c r="F200" s="712" t="s">
        <v>581</v>
      </c>
      <c r="G200" s="733" t="s">
        <v>1768</v>
      </c>
      <c r="H200" s="712" t="s">
        <v>1791</v>
      </c>
      <c r="I200" s="716" t="s">
        <v>2065</v>
      </c>
      <c r="J200" s="711" t="s">
        <v>581</v>
      </c>
      <c r="K200" s="711" t="s">
        <v>2590</v>
      </c>
      <c r="L200" s="729" t="s">
        <v>2591</v>
      </c>
      <c r="M200" s="1271">
        <v>46101</v>
      </c>
      <c r="N200" s="715">
        <v>46101</v>
      </c>
      <c r="O200" s="715" t="s">
        <v>2065</v>
      </c>
      <c r="P200" s="712" t="s">
        <v>1</v>
      </c>
      <c r="Q200" s="730">
        <v>0</v>
      </c>
      <c r="R200" s="730">
        <v>0</v>
      </c>
      <c r="S200" s="730">
        <v>0</v>
      </c>
      <c r="T200" s="115">
        <f>SUM(mFEV17[[#This Row],[PRINCIPAL]:[JUROS]])</f>
        <v>0</v>
      </c>
    </row>
    <row r="201" spans="2:22" ht="21" customHeight="1">
      <c r="B201" s="1168" t="str">
        <f t="shared" si="5"/>
        <v>3/26</v>
      </c>
      <c r="C201" s="472" t="str">
        <f>VLOOKUP(mFEV17[[#This Row],[CÓDIGO CONTABIL]],Contas_Gerencial[#All],3,FALSE)</f>
        <v>RECEITA SUBCONTA</v>
      </c>
      <c r="D201" s="445" t="str">
        <f>VLOOKUP(mFEV17[[#This Row],[DESCRIÇÃO CONTABIL]],Contas_Gerencial[[#All],[DESCRIÇÃO DA CONTA - NÃO UTILIZAR]:[Código2]],2,FALSE)</f>
        <v>10.01.001</v>
      </c>
      <c r="E201" s="473" t="s">
        <v>90</v>
      </c>
      <c r="F201" s="485" t="s">
        <v>581</v>
      </c>
      <c r="G201" s="473" t="s">
        <v>1003</v>
      </c>
      <c r="H201" s="473" t="s">
        <v>2496</v>
      </c>
      <c r="I201" s="474" t="s">
        <v>2065</v>
      </c>
      <c r="J201" s="472" t="s">
        <v>581</v>
      </c>
      <c r="K201" s="472" t="s">
        <v>1792</v>
      </c>
      <c r="L201" s="475" t="s">
        <v>2258</v>
      </c>
      <c r="M201" s="1270">
        <v>46081</v>
      </c>
      <c r="N201" s="476">
        <v>46096</v>
      </c>
      <c r="O201" s="476" t="s">
        <v>2065</v>
      </c>
      <c r="P201" s="452" t="s">
        <v>215</v>
      </c>
      <c r="Q201" s="479">
        <v>19698</v>
      </c>
      <c r="R201" s="479">
        <v>0</v>
      </c>
      <c r="S201" s="479">
        <v>0</v>
      </c>
      <c r="T201" s="1169">
        <f>SUM(mFEV17[[#This Row],[PRINCIPAL]:[JUROS]])</f>
        <v>19698</v>
      </c>
      <c r="V201" s="115"/>
    </row>
    <row r="202" spans="2:22" ht="21" customHeight="1">
      <c r="B202" s="1167" t="str">
        <f t="shared" si="5"/>
        <v>3/26</v>
      </c>
      <c r="C202" s="731" t="str">
        <f>VLOOKUP(mFEV17[[#This Row],[CÓDIGO CONTABIL]],Contas_Gerencial[#All],3,FALSE)</f>
        <v>ENCARGOS</v>
      </c>
      <c r="D202" s="1165" t="str">
        <f>VLOOKUP(mFEV17[[#This Row],[DESCRIÇÃO CONTABIL]],Contas_Gerencial[[#All],[DESCRIÇÃO DA CONTA - NÃO UTILIZAR]:[Código2]],2,FALSE)</f>
        <v>20.04.004</v>
      </c>
      <c r="E202" s="712" t="s">
        <v>2651</v>
      </c>
      <c r="F202" s="712" t="s">
        <v>581</v>
      </c>
      <c r="G202" s="733" t="s">
        <v>1003</v>
      </c>
      <c r="H202" s="712" t="s">
        <v>1788</v>
      </c>
      <c r="I202" s="716" t="s">
        <v>2065</v>
      </c>
      <c r="J202" s="711" t="s">
        <v>264</v>
      </c>
      <c r="K202" s="711" t="s">
        <v>2113</v>
      </c>
      <c r="L202" s="714" t="s">
        <v>2258</v>
      </c>
      <c r="M202" s="1271">
        <v>46081</v>
      </c>
      <c r="N202" s="715">
        <v>46101</v>
      </c>
      <c r="O202" s="715" t="s">
        <v>2065</v>
      </c>
      <c r="P202" s="711" t="s">
        <v>214</v>
      </c>
      <c r="Q202" s="734">
        <v>1328.59</v>
      </c>
      <c r="R202" s="735">
        <v>0</v>
      </c>
      <c r="S202" s="735">
        <v>0</v>
      </c>
      <c r="T202" s="115">
        <f>SUM(mFEV17[[#This Row],[PRINCIPAL]:[JUROS]])</f>
        <v>1328.59</v>
      </c>
      <c r="V202" s="115"/>
    </row>
    <row r="203" spans="2:22" ht="21" customHeight="1">
      <c r="B203" s="1167" t="str">
        <f t="shared" si="5"/>
        <v>3/26</v>
      </c>
      <c r="C203" s="731" t="str">
        <f>VLOOKUP(mFEV17[[#This Row],[CÓDIGO CONTABIL]],Contas_Gerencial[#All],3,FALSE)</f>
        <v>TRIBUTOS</v>
      </c>
      <c r="D203" s="1165" t="str">
        <f>VLOOKUP(mFEV17[[#This Row],[DESCRIÇÃO CONTABIL]],Contas_Gerencial[[#All],[DESCRIÇÃO DA CONTA - NÃO UTILIZAR]:[Código2]],2,FALSE)</f>
        <v>20.08.004</v>
      </c>
      <c r="E203" s="712" t="s">
        <v>2648</v>
      </c>
      <c r="F203" s="712" t="s">
        <v>581</v>
      </c>
      <c r="G203" s="733" t="s">
        <v>1003</v>
      </c>
      <c r="H203" s="712" t="s">
        <v>1788</v>
      </c>
      <c r="I203" s="716" t="s">
        <v>2065</v>
      </c>
      <c r="J203" s="711" t="s">
        <v>654</v>
      </c>
      <c r="K203" s="711" t="s">
        <v>2114</v>
      </c>
      <c r="L203" s="714" t="s">
        <v>2258</v>
      </c>
      <c r="M203" s="1271">
        <v>46081</v>
      </c>
      <c r="N203" s="715">
        <v>46101</v>
      </c>
      <c r="O203" s="1271">
        <v>46081</v>
      </c>
      <c r="P203" s="711" t="s">
        <v>214</v>
      </c>
      <c r="Q203" s="734">
        <v>850.94</v>
      </c>
      <c r="R203" s="735">
        <v>0</v>
      </c>
      <c r="S203" s="735">
        <v>0</v>
      </c>
      <c r="T203" s="115">
        <f>SUM(mFEV17[[#This Row],[PRINCIPAL]:[JUROS]])</f>
        <v>850.94</v>
      </c>
    </row>
    <row r="204" spans="2:22" ht="21" customHeight="1">
      <c r="B204" s="1167" t="str">
        <f t="shared" si="5"/>
        <v>3/26</v>
      </c>
      <c r="C204" s="731" t="str">
        <f>VLOOKUP(mFEV17[[#This Row],[CÓDIGO CONTABIL]],Contas_Gerencial[#All],3,FALSE)</f>
        <v>TRIBUTOS</v>
      </c>
      <c r="D204" s="1165" t="str">
        <f>VLOOKUP(mFEV17[[#This Row],[DESCRIÇÃO CONTABIL]],Contas_Gerencial[[#All],[DESCRIÇÃO DA CONTA - NÃO UTILIZAR]:[Código2]],2,FALSE)</f>
        <v>20.08.001</v>
      </c>
      <c r="E204" s="712" t="s">
        <v>2112</v>
      </c>
      <c r="F204" s="712" t="s">
        <v>581</v>
      </c>
      <c r="G204" s="733" t="s">
        <v>1003</v>
      </c>
      <c r="H204" s="712" t="s">
        <v>1788</v>
      </c>
      <c r="I204" s="716" t="s">
        <v>2065</v>
      </c>
      <c r="J204" s="711" t="s">
        <v>654</v>
      </c>
      <c r="K204" s="711" t="s">
        <v>1907</v>
      </c>
      <c r="L204" s="714" t="s">
        <v>2258</v>
      </c>
      <c r="M204" s="1271">
        <v>46081</v>
      </c>
      <c r="N204" s="715">
        <v>46101</v>
      </c>
      <c r="O204" s="1271">
        <v>46081</v>
      </c>
      <c r="P204" s="711" t="s">
        <v>214</v>
      </c>
      <c r="Q204" s="734">
        <v>0</v>
      </c>
      <c r="R204" s="735">
        <v>0</v>
      </c>
      <c r="S204" s="735">
        <v>0</v>
      </c>
      <c r="T204" s="115">
        <f>SUM(mFEV17[[#This Row],[PRINCIPAL]:[JUROS]])</f>
        <v>0</v>
      </c>
    </row>
    <row r="205" spans="2:22" ht="21" customHeight="1">
      <c r="B205" s="1167" t="str">
        <f t="shared" si="5"/>
        <v>3/26</v>
      </c>
      <c r="C205" s="731" t="str">
        <f>VLOOKUP(mFEV17[[#This Row],[CÓDIGO CONTABIL]],Contas_Gerencial[#All],3,FALSE)</f>
        <v>TRIBUTOS</v>
      </c>
      <c r="D205" s="1165" t="str">
        <f>VLOOKUP(mFEV17[[#This Row],[DESCRIÇÃO CONTABIL]],Contas_Gerencial[[#All],[DESCRIÇÃO DA CONTA - NÃO UTILIZAR]:[Código2]],2,FALSE)</f>
        <v>20.08.002</v>
      </c>
      <c r="E205" s="712" t="s">
        <v>589</v>
      </c>
      <c r="F205" s="712" t="s">
        <v>581</v>
      </c>
      <c r="G205" s="733" t="s">
        <v>1003</v>
      </c>
      <c r="H205" s="712" t="s">
        <v>1788</v>
      </c>
      <c r="I205" s="716" t="s">
        <v>2065</v>
      </c>
      <c r="J205" s="711" t="s">
        <v>654</v>
      </c>
      <c r="K205" s="711" t="s">
        <v>1907</v>
      </c>
      <c r="L205" s="714" t="s">
        <v>2258</v>
      </c>
      <c r="M205" s="1271">
        <v>46081</v>
      </c>
      <c r="N205" s="715">
        <v>46101</v>
      </c>
      <c r="O205" s="715" t="s">
        <v>2065</v>
      </c>
      <c r="P205" s="711" t="s">
        <v>1</v>
      </c>
      <c r="Q205" s="861">
        <v>1274.7329453996983</v>
      </c>
      <c r="R205" s="735">
        <v>0</v>
      </c>
      <c r="S205" s="735">
        <v>0</v>
      </c>
      <c r="T205" s="115">
        <f>SUM(mFEV17[[#This Row],[PRINCIPAL]:[JUROS]])</f>
        <v>1274.7329453996983</v>
      </c>
    </row>
    <row r="206" spans="2:22" ht="21" customHeight="1">
      <c r="B206" s="1167" t="str">
        <f t="shared" si="5"/>
        <v>3/26</v>
      </c>
      <c r="C206" s="731" t="str">
        <f>VLOOKUP(mFEV17[[#This Row],[CÓDIGO CONTABIL]],Contas_Gerencial[#All],3,FALSE)</f>
        <v>FOLHA DE PAGAMENTO</v>
      </c>
      <c r="D206" s="1165" t="str">
        <f>VLOOKUP(mFEV17[[#This Row],[DESCRIÇÃO CONTABIL]],Contas_Gerencial[[#All],[DESCRIÇÃO DA CONTA - NÃO UTILIZAR]:[Código2]],2,FALSE)</f>
        <v>20.05.021</v>
      </c>
      <c r="E206" s="712" t="s">
        <v>59</v>
      </c>
      <c r="F206" s="711" t="s">
        <v>581</v>
      </c>
      <c r="G206" s="733" t="s">
        <v>1003</v>
      </c>
      <c r="H206" s="712" t="s">
        <v>1791</v>
      </c>
      <c r="I206" s="716" t="s">
        <v>2065</v>
      </c>
      <c r="J206" s="711" t="s">
        <v>581</v>
      </c>
      <c r="K206" s="712" t="s">
        <v>1793</v>
      </c>
      <c r="L206" s="714" t="s">
        <v>2258</v>
      </c>
      <c r="M206" s="1271">
        <v>46081</v>
      </c>
      <c r="N206" s="715">
        <v>46086</v>
      </c>
      <c r="O206" s="715">
        <v>46086</v>
      </c>
      <c r="P206" s="711" t="s">
        <v>1</v>
      </c>
      <c r="Q206" s="734">
        <v>5352.5</v>
      </c>
      <c r="R206" s="735">
        <v>0</v>
      </c>
      <c r="S206" s="735">
        <v>0</v>
      </c>
      <c r="T206" s="115">
        <f>SUM(mFEV17[[#This Row],[PRINCIPAL]:[JUROS]])</f>
        <v>5352.5</v>
      </c>
      <c r="V206" s="115"/>
    </row>
    <row r="207" spans="2:22" ht="21" customHeight="1">
      <c r="B207" s="1167" t="str">
        <f t="shared" si="5"/>
        <v>3/26</v>
      </c>
      <c r="C207" s="731" t="str">
        <f>VLOOKUP(mFEV17[[#This Row],[CÓDIGO CONTABIL]],Contas_Gerencial[#All],3,FALSE)</f>
        <v>ENCARGOS</v>
      </c>
      <c r="D207" s="1165" t="str">
        <f>VLOOKUP(mFEV17[[#This Row],[DESCRIÇÃO CONTABIL]],Contas_Gerencial[[#All],[DESCRIÇÃO DA CONTA - NÃO UTILIZAR]:[Código2]],2,FALSE)</f>
        <v>20.04.006</v>
      </c>
      <c r="E207" s="712" t="s">
        <v>1180</v>
      </c>
      <c r="F207" s="712" t="s">
        <v>581</v>
      </c>
      <c r="G207" s="733" t="s">
        <v>1003</v>
      </c>
      <c r="H207" s="712" t="s">
        <v>1180</v>
      </c>
      <c r="I207" s="716" t="s">
        <v>2065</v>
      </c>
      <c r="J207" s="711" t="s">
        <v>384</v>
      </c>
      <c r="K207" s="711" t="s">
        <v>1180</v>
      </c>
      <c r="L207" s="714" t="s">
        <v>2258</v>
      </c>
      <c r="M207" s="1271">
        <v>46081</v>
      </c>
      <c r="N207" s="715">
        <v>46101</v>
      </c>
      <c r="O207" s="715" t="s">
        <v>2065</v>
      </c>
      <c r="P207" s="711" t="s">
        <v>1</v>
      </c>
      <c r="Q207" s="734">
        <v>517.95000000000005</v>
      </c>
      <c r="R207" s="735">
        <v>0</v>
      </c>
      <c r="S207" s="735">
        <v>0</v>
      </c>
      <c r="T207" s="115">
        <f>SUM(mFEV17[[#This Row],[PRINCIPAL]:[JUROS]])</f>
        <v>517.95000000000005</v>
      </c>
    </row>
    <row r="208" spans="2:22" ht="21" customHeight="1">
      <c r="B208" s="1167" t="str">
        <f t="shared" si="5"/>
        <v>3/26</v>
      </c>
      <c r="C208" s="731" t="str">
        <f>VLOOKUP(mFEV17[[#This Row],[CÓDIGO CONTABIL]],Contas_Gerencial[#All],3,FALSE)</f>
        <v>ENCARGOS</v>
      </c>
      <c r="D208" s="1165" t="str">
        <f>VLOOKUP(mFEV17[[#This Row],[DESCRIÇÃO CONTABIL]],Contas_Gerencial[[#All],[DESCRIÇÃO DA CONTA - NÃO UTILIZAR]:[Código2]],2,FALSE)</f>
        <v>20.04.001</v>
      </c>
      <c r="E208" s="712" t="s">
        <v>2659</v>
      </c>
      <c r="F208" s="712" t="s">
        <v>581</v>
      </c>
      <c r="G208" s="712" t="s">
        <v>1003</v>
      </c>
      <c r="H208" s="712" t="s">
        <v>1788</v>
      </c>
      <c r="I208" s="716" t="s">
        <v>2065</v>
      </c>
      <c r="J208" s="711" t="s">
        <v>757</v>
      </c>
      <c r="K208" s="711" t="s">
        <v>2089</v>
      </c>
      <c r="L208" s="714" t="s">
        <v>2258</v>
      </c>
      <c r="M208" s="1271">
        <v>46081</v>
      </c>
      <c r="N208" s="715">
        <v>46101</v>
      </c>
      <c r="O208" s="715" t="s">
        <v>2065</v>
      </c>
      <c r="P208" s="960" t="s">
        <v>1</v>
      </c>
      <c r="Q208" s="737">
        <v>509.76</v>
      </c>
      <c r="R208" s="735">
        <v>0</v>
      </c>
      <c r="S208" s="735">
        <v>0</v>
      </c>
      <c r="T208" s="115">
        <f>SUM(mFEV17[[#This Row],[PRINCIPAL]:[JUROS]])</f>
        <v>509.76</v>
      </c>
    </row>
    <row r="209" spans="2:22" ht="21" customHeight="1">
      <c r="B209" s="1167" t="str">
        <f t="shared" si="5"/>
        <v>3/26</v>
      </c>
      <c r="C209" s="731" t="str">
        <f>VLOOKUP(mFEV17[[#This Row],[CÓDIGO CONTABIL]],Contas_Gerencial[#All],3,FALSE)</f>
        <v>BENEFICIO</v>
      </c>
      <c r="D209" s="1165" t="str">
        <f>VLOOKUP(mFEV17[[#This Row],[DESCRIÇÃO CONTABIL]],Contas_Gerencial[[#All],[DESCRIÇÃO DA CONTA - NÃO UTILIZAR]:[Código2]],2,FALSE)</f>
        <v>20.05.006</v>
      </c>
      <c r="E209" s="733" t="s">
        <v>24</v>
      </c>
      <c r="F209" s="712" t="s">
        <v>581</v>
      </c>
      <c r="G209" s="712" t="s">
        <v>1003</v>
      </c>
      <c r="H209" s="712" t="s">
        <v>1791</v>
      </c>
      <c r="I209" s="716" t="s">
        <v>2065</v>
      </c>
      <c r="J209" s="711" t="s">
        <v>581</v>
      </c>
      <c r="K209" s="711" t="s">
        <v>2590</v>
      </c>
      <c r="L209" s="729" t="s">
        <v>2591</v>
      </c>
      <c r="M209" s="1271">
        <v>46101</v>
      </c>
      <c r="N209" s="715">
        <v>46101</v>
      </c>
      <c r="O209" s="715" t="s">
        <v>2065</v>
      </c>
      <c r="P209" s="712" t="s">
        <v>1</v>
      </c>
      <c r="Q209" s="730">
        <v>2272.6200000000003</v>
      </c>
      <c r="R209" s="730">
        <v>0</v>
      </c>
      <c r="S209" s="730">
        <v>0</v>
      </c>
      <c r="T209" s="115">
        <f>SUM(mFEV17[[#This Row],[PRINCIPAL]:[JUROS]])</f>
        <v>2272.6200000000003</v>
      </c>
    </row>
    <row r="210" spans="2:22" ht="21" customHeight="1">
      <c r="B210" s="1167" t="str">
        <f t="shared" si="5"/>
        <v>3/26</v>
      </c>
      <c r="C210" s="731" t="str">
        <f>VLOOKUP(mFEV17[[#This Row],[CÓDIGO CONTABIL]],Contas_Gerencial[#All],3,FALSE)</f>
        <v>BENEFICIO</v>
      </c>
      <c r="D210" s="1165" t="str">
        <f>VLOOKUP(mFEV17[[#This Row],[DESCRIÇÃO CONTABIL]],Contas_Gerencial[[#All],[DESCRIÇÃO DA CONTA - NÃO UTILIZAR]:[Código2]],2,FALSE)</f>
        <v>20.05.007</v>
      </c>
      <c r="E210" s="733" t="s">
        <v>25</v>
      </c>
      <c r="F210" s="712" t="s">
        <v>581</v>
      </c>
      <c r="G210" s="712" t="s">
        <v>1003</v>
      </c>
      <c r="H210" s="712" t="s">
        <v>1791</v>
      </c>
      <c r="I210" s="716" t="s">
        <v>2065</v>
      </c>
      <c r="J210" s="711" t="s">
        <v>581</v>
      </c>
      <c r="K210" s="711" t="s">
        <v>2590</v>
      </c>
      <c r="L210" s="729" t="s">
        <v>2591</v>
      </c>
      <c r="M210" s="1271">
        <v>46101</v>
      </c>
      <c r="N210" s="715">
        <v>46101</v>
      </c>
      <c r="O210" s="715" t="s">
        <v>2065</v>
      </c>
      <c r="P210" s="712" t="s">
        <v>1</v>
      </c>
      <c r="Q210" s="730">
        <v>295.8</v>
      </c>
      <c r="R210" s="730">
        <v>0</v>
      </c>
      <c r="S210" s="730">
        <v>0</v>
      </c>
      <c r="T210" s="115">
        <f>SUM(mFEV17[[#This Row],[PRINCIPAL]:[JUROS]])</f>
        <v>295.8</v>
      </c>
    </row>
    <row r="211" spans="2:22" ht="21" customHeight="1">
      <c r="B211" s="1168" t="str">
        <f t="shared" si="5"/>
        <v>3/26</v>
      </c>
      <c r="C211" s="472" t="str">
        <f>VLOOKUP(mFEV17[[#This Row],[CÓDIGO CONTABIL]],Contas_Gerencial[#All],3,FALSE)</f>
        <v>RECEITA SUBCONTA</v>
      </c>
      <c r="D211" s="445" t="str">
        <f>VLOOKUP(mFEV17[[#This Row],[DESCRIÇÃO CONTABIL]],Contas_Gerencial[[#All],[DESCRIÇÃO DA CONTA - NÃO UTILIZAR]:[Código2]],2,FALSE)</f>
        <v>10.01.001</v>
      </c>
      <c r="E211" s="473" t="s">
        <v>90</v>
      </c>
      <c r="F211" s="485" t="s">
        <v>581</v>
      </c>
      <c r="G211" s="473" t="s">
        <v>1991</v>
      </c>
      <c r="H211" s="473" t="s">
        <v>2496</v>
      </c>
      <c r="I211" s="474" t="s">
        <v>2065</v>
      </c>
      <c r="J211" s="472" t="s">
        <v>581</v>
      </c>
      <c r="K211" s="472" t="s">
        <v>1792</v>
      </c>
      <c r="L211" s="475" t="s">
        <v>2258</v>
      </c>
      <c r="M211" s="1270">
        <v>46081</v>
      </c>
      <c r="N211" s="476">
        <v>46096</v>
      </c>
      <c r="O211" s="476" t="s">
        <v>2065</v>
      </c>
      <c r="P211" s="452" t="s">
        <v>215</v>
      </c>
      <c r="Q211" s="479">
        <v>6086</v>
      </c>
      <c r="R211" s="479">
        <v>0</v>
      </c>
      <c r="S211" s="479">
        <v>0</v>
      </c>
      <c r="T211" s="1169">
        <f>SUM(mFEV17[[#This Row],[PRINCIPAL]:[JUROS]])</f>
        <v>6086</v>
      </c>
      <c r="V211" s="115"/>
    </row>
    <row r="212" spans="2:22" ht="21" customHeight="1">
      <c r="B212" s="1167" t="str">
        <f t="shared" si="5"/>
        <v>3/26</v>
      </c>
      <c r="C212" s="731" t="str">
        <f>VLOOKUP(mFEV17[[#This Row],[CÓDIGO CONTABIL]],Contas_Gerencial[#All],3,FALSE)</f>
        <v>ENCARGOS</v>
      </c>
      <c r="D212" s="1165" t="str">
        <f>VLOOKUP(mFEV17[[#This Row],[DESCRIÇÃO CONTABIL]],Contas_Gerencial[[#All],[DESCRIÇÃO DA CONTA - NÃO UTILIZAR]:[Código2]],2,FALSE)</f>
        <v>20.04.004</v>
      </c>
      <c r="E212" s="712" t="s">
        <v>2651</v>
      </c>
      <c r="F212" s="712" t="s">
        <v>581</v>
      </c>
      <c r="G212" s="733" t="s">
        <v>1991</v>
      </c>
      <c r="H212" s="712" t="s">
        <v>1788</v>
      </c>
      <c r="I212" s="716" t="s">
        <v>2065</v>
      </c>
      <c r="J212" s="711" t="s">
        <v>264</v>
      </c>
      <c r="K212" s="711" t="s">
        <v>2113</v>
      </c>
      <c r="L212" s="714" t="s">
        <v>2258</v>
      </c>
      <c r="M212" s="1271">
        <v>46081</v>
      </c>
      <c r="N212" s="715">
        <v>46101</v>
      </c>
      <c r="O212" s="715" t="s">
        <v>2065</v>
      </c>
      <c r="P212" s="711" t="s">
        <v>214</v>
      </c>
      <c r="Q212" s="734">
        <v>335.07</v>
      </c>
      <c r="R212" s="735">
        <v>0</v>
      </c>
      <c r="S212" s="735">
        <v>0</v>
      </c>
      <c r="T212" s="115">
        <f>SUM(mFEV17[[#This Row],[PRINCIPAL]:[JUROS]])</f>
        <v>335.07</v>
      </c>
      <c r="V212" s="115"/>
    </row>
    <row r="213" spans="2:22" ht="21" customHeight="1">
      <c r="B213" s="1167" t="str">
        <f t="shared" si="5"/>
        <v>3/26</v>
      </c>
      <c r="C213" s="731" t="str">
        <f>VLOOKUP(mFEV17[[#This Row],[CÓDIGO CONTABIL]],Contas_Gerencial[#All],3,FALSE)</f>
        <v>TRIBUTOS</v>
      </c>
      <c r="D213" s="1165" t="str">
        <f>VLOOKUP(mFEV17[[#This Row],[DESCRIÇÃO CONTABIL]],Contas_Gerencial[[#All],[DESCRIÇÃO DA CONTA - NÃO UTILIZAR]:[Código2]],2,FALSE)</f>
        <v>20.08.004</v>
      </c>
      <c r="E213" s="712" t="s">
        <v>2648</v>
      </c>
      <c r="F213" s="712" t="s">
        <v>581</v>
      </c>
      <c r="G213" s="733" t="s">
        <v>1991</v>
      </c>
      <c r="H213" s="712" t="s">
        <v>1788</v>
      </c>
      <c r="I213" s="716" t="s">
        <v>2065</v>
      </c>
      <c r="J213" s="711" t="s">
        <v>654</v>
      </c>
      <c r="K213" s="711" t="s">
        <v>2114</v>
      </c>
      <c r="L213" s="714" t="s">
        <v>2258</v>
      </c>
      <c r="M213" s="1271">
        <v>46081</v>
      </c>
      <c r="N213" s="715">
        <v>46101</v>
      </c>
      <c r="O213" s="1271">
        <v>46081</v>
      </c>
      <c r="P213" s="711" t="s">
        <v>214</v>
      </c>
      <c r="Q213" s="734">
        <v>0</v>
      </c>
      <c r="R213" s="735">
        <v>0</v>
      </c>
      <c r="S213" s="735">
        <v>0</v>
      </c>
      <c r="T213" s="115">
        <f>SUM(mFEV17[[#This Row],[PRINCIPAL]:[JUROS]])</f>
        <v>0</v>
      </c>
    </row>
    <row r="214" spans="2:22" ht="21" customHeight="1">
      <c r="B214" s="1167" t="str">
        <f t="shared" si="5"/>
        <v>3/26</v>
      </c>
      <c r="C214" s="731" t="str">
        <f>VLOOKUP(mFEV17[[#This Row],[CÓDIGO CONTABIL]],Contas_Gerencial[#All],3,FALSE)</f>
        <v>TRIBUTOS</v>
      </c>
      <c r="D214" s="1165" t="str">
        <f>VLOOKUP(mFEV17[[#This Row],[DESCRIÇÃO CONTABIL]],Contas_Gerencial[[#All],[DESCRIÇÃO DA CONTA - NÃO UTILIZAR]:[Código2]],2,FALSE)</f>
        <v>20.08.001</v>
      </c>
      <c r="E214" s="712" t="s">
        <v>2112</v>
      </c>
      <c r="F214" s="712" t="s">
        <v>581</v>
      </c>
      <c r="G214" s="733" t="s">
        <v>1991</v>
      </c>
      <c r="H214" s="712" t="s">
        <v>1788</v>
      </c>
      <c r="I214" s="716" t="s">
        <v>2065</v>
      </c>
      <c r="J214" s="711" t="s">
        <v>654</v>
      </c>
      <c r="K214" s="711" t="s">
        <v>1907</v>
      </c>
      <c r="L214" s="714" t="s">
        <v>2258</v>
      </c>
      <c r="M214" s="1271">
        <v>46081</v>
      </c>
      <c r="N214" s="715">
        <v>46101</v>
      </c>
      <c r="O214" s="715" t="s">
        <v>2065</v>
      </c>
      <c r="P214" s="711" t="s">
        <v>1</v>
      </c>
      <c r="Q214" s="734">
        <v>262.91030181086518</v>
      </c>
      <c r="R214" s="735">
        <v>0</v>
      </c>
      <c r="S214" s="735">
        <v>0</v>
      </c>
      <c r="T214" s="115">
        <f>SUM(mFEV17[[#This Row],[PRINCIPAL]:[JUROS]])</f>
        <v>262.91030181086518</v>
      </c>
    </row>
    <row r="215" spans="2:22" ht="21" customHeight="1">
      <c r="B215" s="1167" t="str">
        <f t="shared" si="5"/>
        <v>3/26</v>
      </c>
      <c r="C215" s="731" t="str">
        <f>VLOOKUP(mFEV17[[#This Row],[CÓDIGO CONTABIL]],Contas_Gerencial[#All],3,FALSE)</f>
        <v>TRIBUTOS</v>
      </c>
      <c r="D215" s="1165" t="str">
        <f>VLOOKUP(mFEV17[[#This Row],[DESCRIÇÃO CONTABIL]],Contas_Gerencial[[#All],[DESCRIÇÃO DA CONTA - NÃO UTILIZAR]:[Código2]],2,FALSE)</f>
        <v>20.08.002</v>
      </c>
      <c r="E215" s="712" t="s">
        <v>589</v>
      </c>
      <c r="F215" s="712" t="s">
        <v>581</v>
      </c>
      <c r="G215" s="733" t="s">
        <v>1991</v>
      </c>
      <c r="H215" s="712" t="s">
        <v>1788</v>
      </c>
      <c r="I215" s="716" t="s">
        <v>2065</v>
      </c>
      <c r="J215" s="711" t="s">
        <v>654</v>
      </c>
      <c r="K215" s="711" t="s">
        <v>1907</v>
      </c>
      <c r="L215" s="714" t="s">
        <v>2258</v>
      </c>
      <c r="M215" s="1271">
        <v>46081</v>
      </c>
      <c r="N215" s="715">
        <v>46101</v>
      </c>
      <c r="O215" s="715" t="s">
        <v>2065</v>
      </c>
      <c r="P215" s="711" t="s">
        <v>1</v>
      </c>
      <c r="Q215" s="734">
        <v>393.84834529914531</v>
      </c>
      <c r="R215" s="735">
        <v>0</v>
      </c>
      <c r="S215" s="735">
        <v>0</v>
      </c>
      <c r="T215" s="115">
        <f>SUM(mFEV17[[#This Row],[PRINCIPAL]:[JUROS]])</f>
        <v>393.84834529914531</v>
      </c>
    </row>
    <row r="216" spans="2:22" ht="21" customHeight="1">
      <c r="B216" s="1167" t="str">
        <f t="shared" si="5"/>
        <v>3/26</v>
      </c>
      <c r="C216" s="731" t="str">
        <f>VLOOKUP(mFEV17[[#This Row],[CÓDIGO CONTABIL]],Contas_Gerencial[#All],3,FALSE)</f>
        <v>FOLHA DE PAGAMENTO</v>
      </c>
      <c r="D216" s="1165" t="str">
        <f>VLOOKUP(mFEV17[[#This Row],[DESCRIÇÃO CONTABIL]],Contas_Gerencial[[#All],[DESCRIÇÃO DA CONTA - NÃO UTILIZAR]:[Código2]],2,FALSE)</f>
        <v>20.05.021</v>
      </c>
      <c r="E216" s="712" t="s">
        <v>59</v>
      </c>
      <c r="F216" s="711" t="s">
        <v>581</v>
      </c>
      <c r="G216" s="733" t="s">
        <v>1991</v>
      </c>
      <c r="H216" s="712" t="s">
        <v>1791</v>
      </c>
      <c r="I216" s="716" t="s">
        <v>2065</v>
      </c>
      <c r="J216" s="711" t="s">
        <v>581</v>
      </c>
      <c r="K216" s="712" t="s">
        <v>1790</v>
      </c>
      <c r="L216" s="714" t="s">
        <v>2258</v>
      </c>
      <c r="M216" s="1271">
        <v>46081</v>
      </c>
      <c r="N216" s="715">
        <v>46086</v>
      </c>
      <c r="O216" s="715">
        <v>46086</v>
      </c>
      <c r="P216" s="711" t="s">
        <v>1</v>
      </c>
      <c r="Q216" s="734">
        <v>1641.04</v>
      </c>
      <c r="R216" s="735">
        <v>0</v>
      </c>
      <c r="S216" s="735">
        <v>0</v>
      </c>
      <c r="T216" s="115">
        <f>SUM(mFEV17[[#This Row],[PRINCIPAL]:[JUROS]])</f>
        <v>1641.04</v>
      </c>
      <c r="V216" s="115"/>
    </row>
    <row r="217" spans="2:22" ht="21" customHeight="1">
      <c r="B217" s="1167" t="str">
        <f t="shared" si="5"/>
        <v>3/26</v>
      </c>
      <c r="C217" s="731" t="str">
        <f>VLOOKUP(mFEV17[[#This Row],[CÓDIGO CONTABIL]],Contas_Gerencial[#All],3,FALSE)</f>
        <v>ENCARGOS</v>
      </c>
      <c r="D217" s="1165" t="str">
        <f>VLOOKUP(mFEV17[[#This Row],[DESCRIÇÃO CONTABIL]],Contas_Gerencial[[#All],[DESCRIÇÃO DA CONTA - NÃO UTILIZAR]:[Código2]],2,FALSE)</f>
        <v>20.04.006</v>
      </c>
      <c r="E217" s="712" t="s">
        <v>1180</v>
      </c>
      <c r="F217" s="712" t="s">
        <v>581</v>
      </c>
      <c r="G217" s="733" t="s">
        <v>1991</v>
      </c>
      <c r="H217" s="712" t="s">
        <v>1180</v>
      </c>
      <c r="I217" s="716" t="s">
        <v>2065</v>
      </c>
      <c r="J217" s="711" t="s">
        <v>384</v>
      </c>
      <c r="K217" s="711" t="s">
        <v>1180</v>
      </c>
      <c r="L217" s="714" t="s">
        <v>2258</v>
      </c>
      <c r="M217" s="1271">
        <v>46081</v>
      </c>
      <c r="N217" s="715">
        <v>46101</v>
      </c>
      <c r="O217" s="715" t="s">
        <v>2065</v>
      </c>
      <c r="P217" s="711" t="s">
        <v>1</v>
      </c>
      <c r="Q217" s="734">
        <v>145.63</v>
      </c>
      <c r="R217" s="735">
        <v>0</v>
      </c>
      <c r="S217" s="735">
        <v>0</v>
      </c>
      <c r="T217" s="115">
        <f>SUM(mFEV17[[#This Row],[PRINCIPAL]:[JUROS]])</f>
        <v>145.63</v>
      </c>
    </row>
    <row r="218" spans="2:22" ht="21" customHeight="1">
      <c r="B218" s="1167" t="str">
        <f t="shared" si="5"/>
        <v>3/26</v>
      </c>
      <c r="C218" s="731" t="str">
        <f>VLOOKUP(mFEV17[[#This Row],[CÓDIGO CONTABIL]],Contas_Gerencial[#All],3,FALSE)</f>
        <v>ENCARGOS</v>
      </c>
      <c r="D218" s="1165" t="str">
        <f>VLOOKUP(mFEV17[[#This Row],[DESCRIÇÃO CONTABIL]],Contas_Gerencial[[#All],[DESCRIÇÃO DA CONTA - NÃO UTILIZAR]:[Código2]],2,FALSE)</f>
        <v>20.04.001</v>
      </c>
      <c r="E218" s="712" t="s">
        <v>2659</v>
      </c>
      <c r="F218" s="712" t="s">
        <v>581</v>
      </c>
      <c r="G218" s="712" t="s">
        <v>1991</v>
      </c>
      <c r="H218" s="712" t="s">
        <v>1788</v>
      </c>
      <c r="I218" s="716" t="s">
        <v>2065</v>
      </c>
      <c r="J218" s="711" t="s">
        <v>757</v>
      </c>
      <c r="K218" s="711" t="s">
        <v>2089</v>
      </c>
      <c r="L218" s="714" t="s">
        <v>2258</v>
      </c>
      <c r="M218" s="1271">
        <v>46081</v>
      </c>
      <c r="N218" s="715">
        <v>46101</v>
      </c>
      <c r="O218" s="715" t="s">
        <v>2065</v>
      </c>
      <c r="P218" s="960" t="s">
        <v>1</v>
      </c>
      <c r="Q218" s="737">
        <v>139.52000000000001</v>
      </c>
      <c r="R218" s="735">
        <v>0</v>
      </c>
      <c r="S218" s="735">
        <v>0</v>
      </c>
      <c r="T218" s="115">
        <f>SUM(mFEV17[[#This Row],[PRINCIPAL]:[JUROS]])</f>
        <v>139.52000000000001</v>
      </c>
    </row>
    <row r="219" spans="2:22" ht="21" customHeight="1">
      <c r="B219" s="1167" t="str">
        <f t="shared" si="5"/>
        <v>3/26</v>
      </c>
      <c r="C219" s="731" t="str">
        <f>VLOOKUP(mFEV17[[#This Row],[CÓDIGO CONTABIL]],Contas_Gerencial[#All],3,FALSE)</f>
        <v>BENEFICIO</v>
      </c>
      <c r="D219" s="1165" t="str">
        <f>VLOOKUP(mFEV17[[#This Row],[DESCRIÇÃO CONTABIL]],Contas_Gerencial[[#All],[DESCRIÇÃO DA CONTA - NÃO UTILIZAR]:[Código2]],2,FALSE)</f>
        <v>20.05.006</v>
      </c>
      <c r="E219" s="733" t="s">
        <v>24</v>
      </c>
      <c r="F219" s="712" t="s">
        <v>581</v>
      </c>
      <c r="G219" s="733" t="s">
        <v>1991</v>
      </c>
      <c r="H219" s="712" t="s">
        <v>1791</v>
      </c>
      <c r="I219" s="716" t="s">
        <v>2065</v>
      </c>
      <c r="J219" s="711" t="s">
        <v>581</v>
      </c>
      <c r="K219" s="711" t="s">
        <v>2590</v>
      </c>
      <c r="L219" s="729" t="s">
        <v>2591</v>
      </c>
      <c r="M219" s="1271">
        <v>46101</v>
      </c>
      <c r="N219" s="715">
        <v>46101</v>
      </c>
      <c r="O219" s="715" t="s">
        <v>2065</v>
      </c>
      <c r="P219" s="712" t="s">
        <v>1</v>
      </c>
      <c r="Q219" s="730">
        <v>520</v>
      </c>
      <c r="R219" s="730">
        <v>0</v>
      </c>
      <c r="S219" s="730">
        <v>0</v>
      </c>
      <c r="T219" s="115">
        <f>SUM(mFEV17[[#This Row],[PRINCIPAL]:[JUROS]])</f>
        <v>520</v>
      </c>
    </row>
    <row r="220" spans="2:22" ht="21" customHeight="1">
      <c r="B220" s="1167" t="str">
        <f t="shared" si="5"/>
        <v>3/26</v>
      </c>
      <c r="C220" s="731" t="str">
        <f>VLOOKUP(mFEV17[[#This Row],[CÓDIGO CONTABIL]],Contas_Gerencial[#All],3,FALSE)</f>
        <v>BENEFICIO</v>
      </c>
      <c r="D220" s="1165" t="str">
        <f>VLOOKUP(mFEV17[[#This Row],[DESCRIÇÃO CONTABIL]],Contas_Gerencial[[#All],[DESCRIÇÃO DA CONTA - NÃO UTILIZAR]:[Código2]],2,FALSE)</f>
        <v>20.05.007</v>
      </c>
      <c r="E220" s="733" t="s">
        <v>25</v>
      </c>
      <c r="F220" s="712" t="s">
        <v>581</v>
      </c>
      <c r="G220" s="733" t="s">
        <v>1991</v>
      </c>
      <c r="H220" s="712" t="s">
        <v>1791</v>
      </c>
      <c r="I220" s="716" t="s">
        <v>2065</v>
      </c>
      <c r="J220" s="711" t="s">
        <v>581</v>
      </c>
      <c r="K220" s="711" t="s">
        <v>2590</v>
      </c>
      <c r="L220" s="729" t="s">
        <v>2591</v>
      </c>
      <c r="M220" s="1271">
        <v>46101</v>
      </c>
      <c r="N220" s="715">
        <v>46101</v>
      </c>
      <c r="O220" s="715" t="s">
        <v>2065</v>
      </c>
      <c r="P220" s="712" t="s">
        <v>1</v>
      </c>
      <c r="Q220" s="730">
        <v>0</v>
      </c>
      <c r="R220" s="730">
        <v>0</v>
      </c>
      <c r="S220" s="730">
        <v>0</v>
      </c>
      <c r="T220" s="115">
        <f>SUM(mFEV17[[#This Row],[PRINCIPAL]:[JUROS]])</f>
        <v>0</v>
      </c>
    </row>
    <row r="221" spans="2:22" ht="21" customHeight="1">
      <c r="B221" s="1168" t="str">
        <f t="shared" si="5"/>
        <v>3/26</v>
      </c>
      <c r="C221" s="472" t="str">
        <f>VLOOKUP(mFEV17[[#This Row],[CÓDIGO CONTABIL]],Contas_Gerencial[#All],3,FALSE)</f>
        <v>RECEITA SUBCONTA</v>
      </c>
      <c r="D221" s="445" t="str">
        <f>VLOOKUP(mFEV17[[#This Row],[DESCRIÇÃO CONTABIL]],Contas_Gerencial[[#All],[DESCRIÇÃO DA CONTA - NÃO UTILIZAR]:[Código2]],2,FALSE)</f>
        <v>10.01.001</v>
      </c>
      <c r="E221" s="473" t="s">
        <v>90</v>
      </c>
      <c r="F221" s="485" t="s">
        <v>581</v>
      </c>
      <c r="G221" s="107" t="s">
        <v>1659</v>
      </c>
      <c r="H221" s="473" t="s">
        <v>1788</v>
      </c>
      <c r="I221" s="474">
        <v>205</v>
      </c>
      <c r="J221" s="472" t="s">
        <v>581</v>
      </c>
      <c r="K221" s="472" t="s">
        <v>1792</v>
      </c>
      <c r="L221" s="475" t="s">
        <v>2258</v>
      </c>
      <c r="M221" s="1270">
        <v>46081</v>
      </c>
      <c r="N221" s="476">
        <v>46086</v>
      </c>
      <c r="O221" s="457">
        <v>46086</v>
      </c>
      <c r="P221" s="452" t="s">
        <v>214</v>
      </c>
      <c r="Q221" s="482">
        <v>5998</v>
      </c>
      <c r="R221" s="479">
        <v>0</v>
      </c>
      <c r="S221" s="479">
        <v>0</v>
      </c>
      <c r="T221" s="1169">
        <f>SUM(mFEV17[[#This Row],[PRINCIPAL]:[JUROS]])</f>
        <v>5998</v>
      </c>
      <c r="V221" s="115"/>
    </row>
    <row r="222" spans="2:22" ht="21" customHeight="1">
      <c r="B222" s="1167" t="str">
        <f t="shared" si="5"/>
        <v>3/26</v>
      </c>
      <c r="C222" s="731" t="str">
        <f>VLOOKUP(mFEV17[[#This Row],[CÓDIGO CONTABIL]],Contas_Gerencial[#All],3,FALSE)</f>
        <v>ENCARGOS</v>
      </c>
      <c r="D222" s="1165" t="str">
        <f>VLOOKUP(mFEV17[[#This Row],[DESCRIÇÃO CONTABIL]],Contas_Gerencial[[#All],[DESCRIÇÃO DA CONTA - NÃO UTILIZAR]:[Código2]],2,FALSE)</f>
        <v>20.04.004</v>
      </c>
      <c r="E222" s="712" t="s">
        <v>2651</v>
      </c>
      <c r="F222" s="712" t="s">
        <v>581</v>
      </c>
      <c r="G222" s="733" t="s">
        <v>1659</v>
      </c>
      <c r="H222" s="712" t="s">
        <v>1788</v>
      </c>
      <c r="I222" s="716" t="s">
        <v>2065</v>
      </c>
      <c r="J222" s="711" t="s">
        <v>264</v>
      </c>
      <c r="K222" s="711" t="s">
        <v>2113</v>
      </c>
      <c r="L222" s="714" t="s">
        <v>2258</v>
      </c>
      <c r="M222" s="1271">
        <v>46081</v>
      </c>
      <c r="N222" s="715">
        <v>46101</v>
      </c>
      <c r="O222" s="715" t="s">
        <v>2065</v>
      </c>
      <c r="P222" s="711" t="s">
        <v>214</v>
      </c>
      <c r="Q222" s="734">
        <v>0</v>
      </c>
      <c r="R222" s="735">
        <v>0</v>
      </c>
      <c r="S222" s="735">
        <v>0</v>
      </c>
      <c r="T222" s="115">
        <f>SUM(mFEV17[[#This Row],[PRINCIPAL]:[JUROS]])</f>
        <v>0</v>
      </c>
      <c r="V222" s="115"/>
    </row>
    <row r="223" spans="2:22" ht="21" customHeight="1">
      <c r="B223" s="1167" t="str">
        <f t="shared" si="5"/>
        <v>3/26</v>
      </c>
      <c r="C223" s="731" t="str">
        <f>VLOOKUP(mFEV17[[#This Row],[CÓDIGO CONTABIL]],Contas_Gerencial[#All],3,FALSE)</f>
        <v>TRIBUTOS</v>
      </c>
      <c r="D223" s="1165" t="str">
        <f>VLOOKUP(mFEV17[[#This Row],[DESCRIÇÃO CONTABIL]],Contas_Gerencial[[#All],[DESCRIÇÃO DA CONTA - NÃO UTILIZAR]:[Código2]],2,FALSE)</f>
        <v>20.08.004</v>
      </c>
      <c r="E223" s="712" t="s">
        <v>2648</v>
      </c>
      <c r="F223" s="712" t="s">
        <v>581</v>
      </c>
      <c r="G223" s="733" t="s">
        <v>1659</v>
      </c>
      <c r="H223" s="712" t="s">
        <v>1788</v>
      </c>
      <c r="I223" s="716" t="s">
        <v>2065</v>
      </c>
      <c r="J223" s="711" t="s">
        <v>654</v>
      </c>
      <c r="K223" s="711" t="s">
        <v>2114</v>
      </c>
      <c r="L223" s="714" t="s">
        <v>2258</v>
      </c>
      <c r="M223" s="1271">
        <v>46081</v>
      </c>
      <c r="N223" s="715">
        <v>46101</v>
      </c>
      <c r="O223" s="1271">
        <v>46081</v>
      </c>
      <c r="P223" s="711" t="s">
        <v>214</v>
      </c>
      <c r="Q223" s="734">
        <v>0</v>
      </c>
      <c r="R223" s="735">
        <v>0</v>
      </c>
      <c r="S223" s="735">
        <v>0</v>
      </c>
      <c r="T223" s="115">
        <f>SUM(mFEV17[[#This Row],[PRINCIPAL]:[JUROS]])</f>
        <v>0</v>
      </c>
    </row>
    <row r="224" spans="2:22" ht="21" customHeight="1">
      <c r="B224" s="1167" t="str">
        <f t="shared" ref="B224:B246" si="6">B223</f>
        <v>3/26</v>
      </c>
      <c r="C224" s="731" t="str">
        <f>VLOOKUP(mFEV17[[#This Row],[CÓDIGO CONTABIL]],Contas_Gerencial[#All],3,FALSE)</f>
        <v>TRIBUTOS</v>
      </c>
      <c r="D224" s="1165" t="str">
        <f>VLOOKUP(mFEV17[[#This Row],[DESCRIÇÃO CONTABIL]],Contas_Gerencial[[#All],[DESCRIÇÃO DA CONTA - NÃO UTILIZAR]:[Código2]],2,FALSE)</f>
        <v>20.08.001</v>
      </c>
      <c r="E224" s="712" t="s">
        <v>2112</v>
      </c>
      <c r="F224" s="712" t="s">
        <v>581</v>
      </c>
      <c r="G224" s="733" t="s">
        <v>1659</v>
      </c>
      <c r="H224" s="712" t="s">
        <v>1788</v>
      </c>
      <c r="I224" s="716" t="s">
        <v>2065</v>
      </c>
      <c r="J224" s="711" t="s">
        <v>654</v>
      </c>
      <c r="K224" s="711" t="s">
        <v>1907</v>
      </c>
      <c r="L224" s="714" t="s">
        <v>2258</v>
      </c>
      <c r="M224" s="1271">
        <v>46081</v>
      </c>
      <c r="N224" s="715">
        <v>46101</v>
      </c>
      <c r="O224" s="715" t="s">
        <v>2065</v>
      </c>
      <c r="P224" s="711" t="s">
        <v>1</v>
      </c>
      <c r="Q224" s="734">
        <v>259.10877263581489</v>
      </c>
      <c r="R224" s="735">
        <v>0</v>
      </c>
      <c r="S224" s="735">
        <v>0</v>
      </c>
      <c r="T224" s="115">
        <f>SUM(mFEV17[[#This Row],[PRINCIPAL]:[JUROS]])</f>
        <v>259.10877263581489</v>
      </c>
    </row>
    <row r="225" spans="2:22" ht="21" customHeight="1">
      <c r="B225" s="1167" t="str">
        <f t="shared" si="6"/>
        <v>3/26</v>
      </c>
      <c r="C225" s="731" t="str">
        <f>VLOOKUP(mFEV17[[#This Row],[CÓDIGO CONTABIL]],Contas_Gerencial[#All],3,FALSE)</f>
        <v>TRIBUTOS</v>
      </c>
      <c r="D225" s="1165" t="str">
        <f>VLOOKUP(mFEV17[[#This Row],[DESCRIÇÃO CONTABIL]],Contas_Gerencial[[#All],[DESCRIÇÃO DA CONTA - NÃO UTILIZAR]:[Código2]],2,FALSE)</f>
        <v>20.08.002</v>
      </c>
      <c r="E225" s="712" t="s">
        <v>589</v>
      </c>
      <c r="F225" s="712" t="s">
        <v>581</v>
      </c>
      <c r="G225" s="733" t="s">
        <v>1659</v>
      </c>
      <c r="H225" s="712" t="s">
        <v>1788</v>
      </c>
      <c r="I225" s="716" t="s">
        <v>2065</v>
      </c>
      <c r="J225" s="711" t="s">
        <v>654</v>
      </c>
      <c r="K225" s="711" t="s">
        <v>1907</v>
      </c>
      <c r="L225" s="714" t="s">
        <v>2258</v>
      </c>
      <c r="M225" s="1271">
        <v>46081</v>
      </c>
      <c r="N225" s="715">
        <v>46101</v>
      </c>
      <c r="O225" s="715" t="s">
        <v>2065</v>
      </c>
      <c r="P225" s="711" t="s">
        <v>1</v>
      </c>
      <c r="Q225" s="734">
        <f>388.15352860734-6.69</f>
        <v>381.46352860733998</v>
      </c>
      <c r="R225" s="735">
        <v>0</v>
      </c>
      <c r="S225" s="735">
        <v>0</v>
      </c>
      <c r="T225" s="115">
        <f>SUM(mFEV17[[#This Row],[PRINCIPAL]:[JUROS]])</f>
        <v>381.46352860733998</v>
      </c>
    </row>
    <row r="226" spans="2:22" ht="21" customHeight="1">
      <c r="B226" s="1167" t="str">
        <f t="shared" si="6"/>
        <v>3/26</v>
      </c>
      <c r="C226" s="731" t="str">
        <f>VLOOKUP(mFEV17[[#This Row],[CÓDIGO CONTABIL]],Contas_Gerencial[#All],3,FALSE)</f>
        <v>FOLHA DE PAGAMENTO</v>
      </c>
      <c r="D226" s="1165" t="str">
        <f>VLOOKUP(mFEV17[[#This Row],[DESCRIÇÃO CONTABIL]],Contas_Gerencial[[#All],[DESCRIÇÃO DA CONTA - NÃO UTILIZAR]:[Código2]],2,FALSE)</f>
        <v>20.05.021</v>
      </c>
      <c r="E226" s="712" t="s">
        <v>59</v>
      </c>
      <c r="F226" s="711" t="s">
        <v>581</v>
      </c>
      <c r="G226" s="733" t="s">
        <v>1659</v>
      </c>
      <c r="H226" s="712" t="s">
        <v>1791</v>
      </c>
      <c r="I226" s="716" t="s">
        <v>2065</v>
      </c>
      <c r="J226" s="711" t="s">
        <v>581</v>
      </c>
      <c r="K226" s="712" t="s">
        <v>1790</v>
      </c>
      <c r="L226" s="714" t="s">
        <v>2258</v>
      </c>
      <c r="M226" s="1271">
        <v>46081</v>
      </c>
      <c r="N226" s="715">
        <v>46086</v>
      </c>
      <c r="O226" s="715">
        <v>46086</v>
      </c>
      <c r="P226" s="711" t="s">
        <v>1</v>
      </c>
      <c r="Q226" s="734">
        <v>1641.04</v>
      </c>
      <c r="R226" s="735">
        <v>0</v>
      </c>
      <c r="S226" s="735">
        <v>0</v>
      </c>
      <c r="T226" s="115">
        <f>SUM(mFEV17[[#This Row],[PRINCIPAL]:[JUROS]])</f>
        <v>1641.04</v>
      </c>
      <c r="V226" s="115"/>
    </row>
    <row r="227" spans="2:22" ht="21" customHeight="1">
      <c r="B227" s="1167" t="str">
        <f t="shared" si="6"/>
        <v>3/26</v>
      </c>
      <c r="C227" s="731" t="str">
        <f>VLOOKUP(mFEV17[[#This Row],[CÓDIGO CONTABIL]],Contas_Gerencial[#All],3,FALSE)</f>
        <v>ENCARGOS</v>
      </c>
      <c r="D227" s="1165" t="str">
        <f>VLOOKUP(mFEV17[[#This Row],[DESCRIÇÃO CONTABIL]],Contas_Gerencial[[#All],[DESCRIÇÃO DA CONTA - NÃO UTILIZAR]:[Código2]],2,FALSE)</f>
        <v>20.04.006</v>
      </c>
      <c r="E227" s="712" t="s">
        <v>1180</v>
      </c>
      <c r="F227" s="712" t="s">
        <v>581</v>
      </c>
      <c r="G227" s="733" t="s">
        <v>1659</v>
      </c>
      <c r="H227" s="712" t="s">
        <v>1180</v>
      </c>
      <c r="I227" s="716" t="s">
        <v>2065</v>
      </c>
      <c r="J227" s="711" t="s">
        <v>384</v>
      </c>
      <c r="K227" s="711" t="s">
        <v>1180</v>
      </c>
      <c r="L227" s="714" t="s">
        <v>2258</v>
      </c>
      <c r="M227" s="1271">
        <v>46081</v>
      </c>
      <c r="N227" s="715">
        <v>46101</v>
      </c>
      <c r="O227" s="715" t="s">
        <v>2065</v>
      </c>
      <c r="P227" s="711" t="s">
        <v>1</v>
      </c>
      <c r="Q227" s="734">
        <v>145.63</v>
      </c>
      <c r="R227" s="735">
        <v>0</v>
      </c>
      <c r="S227" s="735">
        <v>0</v>
      </c>
      <c r="T227" s="115">
        <f>SUM(mFEV17[[#This Row],[PRINCIPAL]:[JUROS]])</f>
        <v>145.63</v>
      </c>
    </row>
    <row r="228" spans="2:22" ht="21" customHeight="1">
      <c r="B228" s="1167" t="str">
        <f t="shared" si="6"/>
        <v>3/26</v>
      </c>
      <c r="C228" s="731" t="str">
        <f>VLOOKUP(mFEV17[[#This Row],[CÓDIGO CONTABIL]],Contas_Gerencial[#All],3,FALSE)</f>
        <v>ENCARGOS</v>
      </c>
      <c r="D228" s="1165" t="str">
        <f>VLOOKUP(mFEV17[[#This Row],[DESCRIÇÃO CONTABIL]],Contas_Gerencial[[#All],[DESCRIÇÃO DA CONTA - NÃO UTILIZAR]:[Código2]],2,FALSE)</f>
        <v>20.04.001</v>
      </c>
      <c r="E228" s="712" t="s">
        <v>2659</v>
      </c>
      <c r="F228" s="712" t="s">
        <v>581</v>
      </c>
      <c r="G228" s="712" t="s">
        <v>1659</v>
      </c>
      <c r="H228" s="712" t="s">
        <v>1788</v>
      </c>
      <c r="I228" s="716" t="s">
        <v>2065</v>
      </c>
      <c r="J228" s="711" t="s">
        <v>757</v>
      </c>
      <c r="K228" s="711" t="s">
        <v>2089</v>
      </c>
      <c r="L228" s="714" t="s">
        <v>2258</v>
      </c>
      <c r="M228" s="1271">
        <v>46081</v>
      </c>
      <c r="N228" s="715">
        <v>46101</v>
      </c>
      <c r="O228" s="715" t="s">
        <v>2065</v>
      </c>
      <c r="P228" s="960" t="s">
        <v>1</v>
      </c>
      <c r="Q228" s="737">
        <v>139.52000000000001</v>
      </c>
      <c r="R228" s="735">
        <v>0</v>
      </c>
      <c r="S228" s="735">
        <v>0</v>
      </c>
      <c r="T228" s="115">
        <f>SUM(mFEV17[[#This Row],[PRINCIPAL]:[JUROS]])</f>
        <v>139.52000000000001</v>
      </c>
    </row>
    <row r="229" spans="2:22" ht="21" customHeight="1">
      <c r="B229" s="1167" t="str">
        <f t="shared" si="6"/>
        <v>3/26</v>
      </c>
      <c r="C229" s="731" t="str">
        <f>VLOOKUP(mFEV17[[#This Row],[CÓDIGO CONTABIL]],Contas_Gerencial[#All],3,FALSE)</f>
        <v>BENEFICIO</v>
      </c>
      <c r="D229" s="1165" t="str">
        <f>VLOOKUP(mFEV17[[#This Row],[DESCRIÇÃO CONTABIL]],Contas_Gerencial[[#All],[DESCRIÇÃO DA CONTA - NÃO UTILIZAR]:[Código2]],2,FALSE)</f>
        <v>20.05.006</v>
      </c>
      <c r="E229" s="733" t="s">
        <v>24</v>
      </c>
      <c r="F229" s="712" t="s">
        <v>581</v>
      </c>
      <c r="G229" s="712" t="s">
        <v>1659</v>
      </c>
      <c r="H229" s="712" t="s">
        <v>1791</v>
      </c>
      <c r="I229" s="716" t="s">
        <v>2065</v>
      </c>
      <c r="J229" s="711" t="s">
        <v>581</v>
      </c>
      <c r="K229" s="711" t="s">
        <v>2590</v>
      </c>
      <c r="L229" s="729" t="s">
        <v>2591</v>
      </c>
      <c r="M229" s="1271">
        <v>46101</v>
      </c>
      <c r="N229" s="715">
        <v>46101</v>
      </c>
      <c r="O229" s="715" t="s">
        <v>2065</v>
      </c>
      <c r="P229" s="712" t="s">
        <v>1</v>
      </c>
      <c r="Q229" s="730">
        <v>520</v>
      </c>
      <c r="R229" s="730">
        <v>0</v>
      </c>
      <c r="S229" s="730">
        <v>0</v>
      </c>
      <c r="T229" s="115">
        <f>SUM(mFEV17[[#This Row],[PRINCIPAL]:[JUROS]])</f>
        <v>520</v>
      </c>
    </row>
    <row r="230" spans="2:22" ht="21" customHeight="1">
      <c r="B230" s="1167" t="str">
        <f t="shared" si="6"/>
        <v>3/26</v>
      </c>
      <c r="C230" s="731" t="str">
        <f>VLOOKUP(mFEV17[[#This Row],[CÓDIGO CONTABIL]],Contas_Gerencial[#All],3,FALSE)</f>
        <v>BENEFICIO</v>
      </c>
      <c r="D230" s="1165" t="str">
        <f>VLOOKUP(mFEV17[[#This Row],[DESCRIÇÃO CONTABIL]],Contas_Gerencial[[#All],[DESCRIÇÃO DA CONTA - NÃO UTILIZAR]:[Código2]],2,FALSE)</f>
        <v>20.05.007</v>
      </c>
      <c r="E230" s="733" t="s">
        <v>25</v>
      </c>
      <c r="F230" s="712" t="s">
        <v>581</v>
      </c>
      <c r="G230" s="712" t="s">
        <v>1659</v>
      </c>
      <c r="H230" s="712" t="s">
        <v>1791</v>
      </c>
      <c r="I230" s="716" t="s">
        <v>2065</v>
      </c>
      <c r="J230" s="711" t="s">
        <v>581</v>
      </c>
      <c r="K230" s="711" t="s">
        <v>2590</v>
      </c>
      <c r="L230" s="729" t="s">
        <v>2591</v>
      </c>
      <c r="M230" s="1271">
        <v>46101</v>
      </c>
      <c r="N230" s="715">
        <v>46101</v>
      </c>
      <c r="O230" s="715" t="s">
        <v>2065</v>
      </c>
      <c r="P230" s="712" t="s">
        <v>1</v>
      </c>
      <c r="Q230" s="730">
        <v>0</v>
      </c>
      <c r="R230" s="730">
        <v>0</v>
      </c>
      <c r="S230" s="730">
        <v>0</v>
      </c>
      <c r="T230" s="115">
        <f>SUM(mFEV17[[#This Row],[PRINCIPAL]:[JUROS]])</f>
        <v>0</v>
      </c>
    </row>
    <row r="231" spans="2:22" ht="21" customHeight="1">
      <c r="B231" s="1175" t="str">
        <f t="shared" si="6"/>
        <v>3/26</v>
      </c>
      <c r="C231" s="923" t="str">
        <f>VLOOKUP(mFEV17[[#This Row],[CÓDIGO CONTABIL]],Contas_Gerencial[#All],3,FALSE)</f>
        <v>FOLHA DE PAGAMENTO</v>
      </c>
      <c r="D231" s="1176" t="str">
        <f>VLOOKUP(mFEV17[[#This Row],[DESCRIÇÃO CONTABIL]],Contas_Gerencial[[#All],[DESCRIÇÃO DA CONTA - NÃO UTILIZAR]:[Código2]],2,FALSE)</f>
        <v>20.05.018</v>
      </c>
      <c r="E231" s="739" t="s">
        <v>74</v>
      </c>
      <c r="F231" s="739"/>
      <c r="G231" s="739"/>
      <c r="H231" s="739"/>
      <c r="I231" s="739"/>
      <c r="J231" s="739"/>
      <c r="K231" s="739"/>
      <c r="L231" s="739"/>
      <c r="M231" s="1284"/>
      <c r="N231" s="739"/>
      <c r="O231" s="739"/>
      <c r="P231" s="739"/>
      <c r="Q231" s="739"/>
      <c r="R231" s="739"/>
      <c r="S231" s="739"/>
      <c r="T231" s="1171"/>
    </row>
    <row r="232" spans="2:22" ht="21" customHeight="1">
      <c r="B232" s="1167" t="str">
        <f t="shared" si="6"/>
        <v>3/26</v>
      </c>
      <c r="C232" s="731" t="str">
        <f>VLOOKUP(mFEV17[[#This Row],[CÓDIGO CONTABIL]],Contas_Gerencial[#All],3,FALSE)</f>
        <v>FOLHA DE PAGAMENTO</v>
      </c>
      <c r="D232" s="1165" t="str">
        <f>VLOOKUP(mFEV17[[#This Row],[DESCRIÇÃO CONTABIL]],Contas_Gerencial[[#All],[DESCRIÇÃO DA CONTA - NÃO UTILIZAR]:[Código2]],2,FALSE)</f>
        <v>20.05.018</v>
      </c>
      <c r="E232" s="712" t="s">
        <v>74</v>
      </c>
      <c r="F232" s="711" t="s">
        <v>41</v>
      </c>
      <c r="G232" s="718" t="s">
        <v>595</v>
      </c>
      <c r="H232" s="711" t="s">
        <v>1802</v>
      </c>
      <c r="I232" s="716" t="s">
        <v>2065</v>
      </c>
      <c r="J232" s="711" t="s">
        <v>41</v>
      </c>
      <c r="K232" s="711" t="s">
        <v>1882</v>
      </c>
      <c r="L232" s="729" t="s">
        <v>2591</v>
      </c>
      <c r="M232" s="1271">
        <v>46091</v>
      </c>
      <c r="N232" s="715">
        <v>46091</v>
      </c>
      <c r="O232" s="715" t="s">
        <v>2065</v>
      </c>
      <c r="P232" s="712" t="s">
        <v>1</v>
      </c>
      <c r="Q232" s="734">
        <f>633</f>
        <v>633</v>
      </c>
      <c r="R232" s="735">
        <v>0</v>
      </c>
      <c r="S232" s="735">
        <v>0</v>
      </c>
      <c r="T232" s="115">
        <f>SUM(mFEV17[[#This Row],[PRINCIPAL]:[JUROS]])</f>
        <v>633</v>
      </c>
      <c r="V232" s="115"/>
    </row>
    <row r="233" spans="2:22" ht="21" customHeight="1">
      <c r="B233" s="1167" t="str">
        <f t="shared" si="6"/>
        <v>3/26</v>
      </c>
      <c r="C233" s="731" t="str">
        <f>VLOOKUP(mFEV17[[#This Row],[CÓDIGO CONTABIL]],Contas_Gerencial[#All],3,FALSE)</f>
        <v>FOLHA DE PAGAMENTO</v>
      </c>
      <c r="D233" s="1165" t="str">
        <f>VLOOKUP(mFEV17[[#This Row],[DESCRIÇÃO CONTABIL]],Contas_Gerencial[[#All],[DESCRIÇÃO DA CONTA - NÃO UTILIZAR]:[Código2]],2,FALSE)</f>
        <v>20.05.018</v>
      </c>
      <c r="E233" s="713" t="s">
        <v>74</v>
      </c>
      <c r="F233" s="713" t="s">
        <v>41</v>
      </c>
      <c r="G233" s="713" t="s">
        <v>595</v>
      </c>
      <c r="H233" s="713" t="s">
        <v>1802</v>
      </c>
      <c r="I233" s="716" t="s">
        <v>2065</v>
      </c>
      <c r="J233" s="713" t="s">
        <v>41</v>
      </c>
      <c r="K233" s="713" t="s">
        <v>1818</v>
      </c>
      <c r="L233" s="729" t="s">
        <v>2591</v>
      </c>
      <c r="M233" s="1271">
        <v>46091</v>
      </c>
      <c r="N233" s="715">
        <v>46091</v>
      </c>
      <c r="O233" s="715" t="s">
        <v>2065</v>
      </c>
      <c r="P233" s="712" t="s">
        <v>1</v>
      </c>
      <c r="Q233" s="730">
        <f>(1472+1500)-(869.84+808.91)</f>
        <v>1293.25</v>
      </c>
      <c r="R233" s="730">
        <v>0</v>
      </c>
      <c r="S233" s="730">
        <v>0</v>
      </c>
      <c r="T233" s="115">
        <f>SUM(mFEV17[[#This Row],[PRINCIPAL]:[JUROS]])</f>
        <v>1293.25</v>
      </c>
      <c r="V233" s="115"/>
    </row>
    <row r="234" spans="2:22" ht="21" customHeight="1">
      <c r="B234" s="1175" t="str">
        <f t="shared" si="6"/>
        <v>3/26</v>
      </c>
      <c r="C234" s="923" t="str">
        <f>VLOOKUP(mFEV17[[#This Row],[CÓDIGO CONTABIL]],Contas_Gerencial[#All],3,FALSE)</f>
        <v>MEDICINA DO TRABALHO</v>
      </c>
      <c r="D234" s="1176" t="str">
        <f>VLOOKUP(mFEV17[[#This Row],[DESCRIÇÃO CONTABIL]],Contas_Gerencial[[#All],[DESCRIÇÃO DA CONTA - NÃO UTILIZAR]:[Código2]],2,FALSE)</f>
        <v>20.05.024</v>
      </c>
      <c r="E234" s="739" t="s">
        <v>293</v>
      </c>
      <c r="F234" s="739"/>
      <c r="G234" s="739"/>
      <c r="H234" s="739"/>
      <c r="I234" s="739"/>
      <c r="J234" s="739"/>
      <c r="K234" s="739"/>
      <c r="L234" s="739"/>
      <c r="M234" s="1284"/>
      <c r="N234" s="739"/>
      <c r="O234" s="739"/>
      <c r="P234" s="739"/>
      <c r="Q234" s="739"/>
      <c r="R234" s="739"/>
      <c r="S234" s="739"/>
      <c r="T234" s="1171"/>
    </row>
    <row r="235" spans="2:22" ht="21" customHeight="1">
      <c r="B235" s="1167" t="str">
        <f t="shared" si="6"/>
        <v>3/26</v>
      </c>
      <c r="C235" s="731" t="str">
        <f>VLOOKUP(mFEV17[[#This Row],[CÓDIGO CONTABIL]],Contas_Gerencial[#All],3,FALSE)</f>
        <v>MEDICINA DO TRABALHO</v>
      </c>
      <c r="D235" s="1165" t="str">
        <f>VLOOKUP(mFEV17[[#This Row],[DESCRIÇÃO CONTABIL]],Contas_Gerencial[[#All],[DESCRIÇÃO DA CONTA - NÃO UTILIZAR]:[Código2]],2,FALSE)</f>
        <v>20.05.024</v>
      </c>
      <c r="E235" s="711" t="s">
        <v>293</v>
      </c>
      <c r="F235" s="711" t="s">
        <v>41</v>
      </c>
      <c r="G235" s="711" t="s">
        <v>87</v>
      </c>
      <c r="H235" s="711" t="s">
        <v>1932</v>
      </c>
      <c r="I235" s="716" t="s">
        <v>2065</v>
      </c>
      <c r="J235" s="711" t="s">
        <v>1144</v>
      </c>
      <c r="K235" s="711" t="s">
        <v>2108</v>
      </c>
      <c r="L235" s="729" t="s">
        <v>2591</v>
      </c>
      <c r="M235" s="1271">
        <v>46101</v>
      </c>
      <c r="N235" s="715">
        <v>46101</v>
      </c>
      <c r="O235" s="715" t="s">
        <v>2065</v>
      </c>
      <c r="P235" s="712" t="s">
        <v>1</v>
      </c>
      <c r="Q235" s="717">
        <v>0</v>
      </c>
      <c r="R235" s="730">
        <v>0</v>
      </c>
      <c r="S235" s="730">
        <v>0</v>
      </c>
      <c r="T235" s="115">
        <f>SUM(mFEV17[[#This Row],[PRINCIPAL]:[JUROS]])</f>
        <v>0</v>
      </c>
      <c r="V235" s="115"/>
    </row>
    <row r="236" spans="2:22" ht="21" customHeight="1">
      <c r="B236" s="1167" t="str">
        <f t="shared" si="6"/>
        <v>3/26</v>
      </c>
      <c r="C236" s="731" t="str">
        <f>VLOOKUP(mFEV17[[#This Row],[CÓDIGO CONTABIL]],Contas_Gerencial[#All],3,FALSE)</f>
        <v>MEDICINA DO TRABALHO</v>
      </c>
      <c r="D236" s="1165" t="str">
        <f>VLOOKUP(mFEV17[[#This Row],[DESCRIÇÃO CONTABIL]],Contas_Gerencial[[#All],[DESCRIÇÃO DA CONTA - NÃO UTILIZAR]:[Código2]],2,FALSE)</f>
        <v>20.05.024</v>
      </c>
      <c r="E236" s="711" t="s">
        <v>293</v>
      </c>
      <c r="F236" s="711" t="s">
        <v>581</v>
      </c>
      <c r="G236" s="711" t="s">
        <v>87</v>
      </c>
      <c r="H236" s="711" t="s">
        <v>1932</v>
      </c>
      <c r="I236" s="716" t="s">
        <v>2065</v>
      </c>
      <c r="J236" s="711" t="s">
        <v>1144</v>
      </c>
      <c r="K236" s="711" t="s">
        <v>2108</v>
      </c>
      <c r="L236" s="729" t="s">
        <v>2591</v>
      </c>
      <c r="M236" s="1271">
        <v>46101</v>
      </c>
      <c r="N236" s="715">
        <v>46101</v>
      </c>
      <c r="O236" s="715" t="s">
        <v>2065</v>
      </c>
      <c r="P236" s="712" t="s">
        <v>1</v>
      </c>
      <c r="Q236" s="717">
        <v>0</v>
      </c>
      <c r="R236" s="730">
        <v>0</v>
      </c>
      <c r="S236" s="730">
        <v>0</v>
      </c>
      <c r="T236" s="115">
        <f>SUM(mFEV17[[#This Row],[PRINCIPAL]:[JUROS]])</f>
        <v>0</v>
      </c>
      <c r="V236" s="115"/>
    </row>
    <row r="237" spans="2:22" ht="21" customHeight="1">
      <c r="B237" s="1167" t="str">
        <f t="shared" si="6"/>
        <v>3/26</v>
      </c>
      <c r="C237" s="731" t="str">
        <f>VLOOKUP(mFEV17[[#This Row],[CÓDIGO CONTABIL]],Contas_Gerencial[#All],3,FALSE)</f>
        <v>MEDICINA DO TRABALHO</v>
      </c>
      <c r="D237" s="1165" t="str">
        <f>VLOOKUP(mFEV17[[#This Row],[DESCRIÇÃO CONTABIL]],Contas_Gerencial[[#All],[DESCRIÇÃO DA CONTA - NÃO UTILIZAR]:[Código2]],2,FALSE)</f>
        <v>20.05.024</v>
      </c>
      <c r="E237" s="711" t="s">
        <v>293</v>
      </c>
      <c r="F237" s="711" t="s">
        <v>582</v>
      </c>
      <c r="G237" s="711" t="s">
        <v>87</v>
      </c>
      <c r="H237" s="711" t="s">
        <v>1932</v>
      </c>
      <c r="I237" s="716" t="s">
        <v>2065</v>
      </c>
      <c r="J237" s="711" t="s">
        <v>1144</v>
      </c>
      <c r="K237" s="711" t="s">
        <v>2108</v>
      </c>
      <c r="L237" s="729" t="s">
        <v>2591</v>
      </c>
      <c r="M237" s="1271">
        <v>46101</v>
      </c>
      <c r="N237" s="715">
        <v>46101</v>
      </c>
      <c r="O237" s="715" t="s">
        <v>2065</v>
      </c>
      <c r="P237" s="712" t="s">
        <v>1</v>
      </c>
      <c r="Q237" s="717">
        <v>0</v>
      </c>
      <c r="R237" s="730">
        <v>0</v>
      </c>
      <c r="S237" s="730">
        <v>0</v>
      </c>
      <c r="T237" s="115">
        <f>SUM(mFEV17[[#This Row],[PRINCIPAL]:[JUROS]])</f>
        <v>0</v>
      </c>
      <c r="V237" s="115"/>
    </row>
    <row r="238" spans="2:22" ht="21" customHeight="1">
      <c r="B238" s="1175" t="str">
        <f t="shared" si="6"/>
        <v>3/26</v>
      </c>
      <c r="C238" s="739" t="s">
        <v>43</v>
      </c>
      <c r="D238" s="1176" t="e">
        <f>VLOOKUP(mFEV17[[#This Row],[DESCRIÇÃO CONTABIL]],Contas_Gerencial[[#All],[DESCRIÇÃO DA CONTA - NÃO UTILIZAR]:[Código2]],2,FALSE)</f>
        <v>#N/A</v>
      </c>
      <c r="E238" s="739" t="s">
        <v>43</v>
      </c>
      <c r="F238" s="739"/>
      <c r="G238" s="739"/>
      <c r="H238" s="739"/>
      <c r="I238" s="739"/>
      <c r="J238" s="739"/>
      <c r="K238" s="739"/>
      <c r="L238" s="739"/>
      <c r="M238" s="1284"/>
      <c r="N238" s="739"/>
      <c r="O238" s="739"/>
      <c r="P238" s="739"/>
      <c r="Q238" s="739"/>
      <c r="R238" s="739"/>
      <c r="S238" s="739"/>
      <c r="T238" s="1171"/>
    </row>
    <row r="239" spans="2:22" ht="21" customHeight="1">
      <c r="B239" s="1167" t="str">
        <f t="shared" si="6"/>
        <v>3/26</v>
      </c>
      <c r="C239" s="731" t="str">
        <f>VLOOKUP(mFEV17[[#This Row],[CÓDIGO CONTABIL]],Contas_Gerencial[#All],3,FALSE)</f>
        <v>DESPESAS BANCÁRIAS</v>
      </c>
      <c r="D239" s="445" t="str">
        <f>VLOOKUP(mFEV17[[#This Row],[DESCRIÇÃO CONTABIL]],Contas_Gerencial[[#All],[DESCRIÇÃO DA CONTA - NÃO UTILIZAR]:[Código2]],2,FALSE)</f>
        <v>20.01.034</v>
      </c>
      <c r="E239" s="753" t="s">
        <v>680</v>
      </c>
      <c r="F239" s="712" t="s">
        <v>41</v>
      </c>
      <c r="G239" s="733" t="s">
        <v>595</v>
      </c>
      <c r="H239" s="712" t="s">
        <v>1983</v>
      </c>
      <c r="I239" s="1178" t="s">
        <v>2012</v>
      </c>
      <c r="J239" s="711" t="s">
        <v>1083</v>
      </c>
      <c r="K239" s="711" t="s">
        <v>1980</v>
      </c>
      <c r="L239" s="714" t="s">
        <v>2278</v>
      </c>
      <c r="M239" s="1271">
        <v>45139</v>
      </c>
      <c r="N239" s="715">
        <v>46082</v>
      </c>
      <c r="O239" s="715" t="s">
        <v>2065</v>
      </c>
      <c r="P239" s="712" t="s">
        <v>1</v>
      </c>
      <c r="Q239" s="730">
        <v>3162.16</v>
      </c>
      <c r="R239" s="1083">
        <v>1669.63</v>
      </c>
      <c r="S239" s="730">
        <v>0</v>
      </c>
      <c r="T239" s="115">
        <f>SUM(mFEV17[[#This Row],[PRINCIPAL]:[JUROS]])</f>
        <v>4831.79</v>
      </c>
      <c r="V239" s="115"/>
    </row>
    <row r="240" spans="2:22" ht="21" customHeight="1">
      <c r="B240" s="1167" t="str">
        <f t="shared" si="6"/>
        <v>3/26</v>
      </c>
      <c r="C240" s="731" t="str">
        <f>VLOOKUP(mFEV17[[#This Row],[CÓDIGO CONTABIL]],Contas_Gerencial[#All],3,FALSE)</f>
        <v>DESPESAS BANCÁRIAS</v>
      </c>
      <c r="D240" s="445" t="str">
        <f>VLOOKUP(mFEV17[[#This Row],[DESCRIÇÃO CONTABIL]],Contas_Gerencial[[#All],[DESCRIÇÃO DA CONTA - NÃO UTILIZAR]:[Código2]],2,FALSE)</f>
        <v>20.01.009</v>
      </c>
      <c r="E240" s="718" t="s">
        <v>80</v>
      </c>
      <c r="F240" s="712" t="s">
        <v>41</v>
      </c>
      <c r="G240" s="712" t="s">
        <v>595</v>
      </c>
      <c r="H240" s="712" t="s">
        <v>1983</v>
      </c>
      <c r="I240" s="728" t="s">
        <v>2065</v>
      </c>
      <c r="J240" s="711" t="s">
        <v>1083</v>
      </c>
      <c r="K240" s="711" t="s">
        <v>2313</v>
      </c>
      <c r="L240" s="729" t="s">
        <v>2591</v>
      </c>
      <c r="M240" s="1271" t="s">
        <v>2065</v>
      </c>
      <c r="N240" s="715" t="s">
        <v>2065</v>
      </c>
      <c r="O240" s="715" t="s">
        <v>2065</v>
      </c>
      <c r="P240" s="452" t="s">
        <v>1</v>
      </c>
      <c r="Q240" s="737">
        <v>22.5</v>
      </c>
      <c r="R240" s="730">
        <v>0</v>
      </c>
      <c r="S240" s="730">
        <v>0</v>
      </c>
      <c r="T240" s="115">
        <f>SUM(mFEV17[[#This Row],[PRINCIPAL]:[JUROS]])</f>
        <v>22.5</v>
      </c>
      <c r="V240" s="115" t="s">
        <v>2539</v>
      </c>
    </row>
    <row r="241" spans="2:22" ht="21" customHeight="1">
      <c r="B241" s="1167" t="str">
        <f t="shared" si="6"/>
        <v>3/26</v>
      </c>
      <c r="C241" s="731" t="str">
        <f>VLOOKUP(mFEV17[[#This Row],[CÓDIGO CONTABIL]],Contas_Gerencial[#All],3,FALSE)</f>
        <v>DESPESAS BANCÁRIAS</v>
      </c>
      <c r="D241" s="445" t="str">
        <f>VLOOKUP(mFEV17[[#This Row],[DESCRIÇÃO CONTABIL]],Contas_Gerencial[[#All],[DESCRIÇÃO DA CONTA - NÃO UTILIZAR]:[Código2]],2,FALSE)</f>
        <v>20.01.002</v>
      </c>
      <c r="E241" s="711" t="s">
        <v>2653</v>
      </c>
      <c r="F241" s="712" t="s">
        <v>41</v>
      </c>
      <c r="G241" s="712" t="s">
        <v>595</v>
      </c>
      <c r="H241" s="712" t="s">
        <v>1983</v>
      </c>
      <c r="I241" s="728" t="s">
        <v>2065</v>
      </c>
      <c r="J241" s="711" t="s">
        <v>1083</v>
      </c>
      <c r="K241" s="711" t="s">
        <v>2314</v>
      </c>
      <c r="L241" s="729" t="s">
        <v>2591</v>
      </c>
      <c r="M241" s="1271" t="s">
        <v>2065</v>
      </c>
      <c r="N241" s="715" t="s">
        <v>2065</v>
      </c>
      <c r="O241" s="715" t="s">
        <v>2065</v>
      </c>
      <c r="P241" s="452" t="s">
        <v>1</v>
      </c>
      <c r="Q241" s="737">
        <v>3.28</v>
      </c>
      <c r="R241" s="730">
        <v>0</v>
      </c>
      <c r="S241" s="730">
        <v>0</v>
      </c>
      <c r="T241" s="115">
        <f>SUM(mFEV17[[#This Row],[PRINCIPAL]:[JUROS]])</f>
        <v>3.28</v>
      </c>
      <c r="V241" s="115" t="s">
        <v>2541</v>
      </c>
    </row>
    <row r="242" spans="2:22" ht="21" customHeight="1">
      <c r="B242" s="1167" t="str">
        <f t="shared" si="6"/>
        <v>3/26</v>
      </c>
      <c r="C242" s="731" t="str">
        <f>VLOOKUP(mFEV17[[#This Row],[CÓDIGO CONTABIL]],Contas_Gerencial[#All],3,FALSE)</f>
        <v>DESPESAS BANCÁRIAS</v>
      </c>
      <c r="D242" s="445" t="str">
        <f>VLOOKUP(mFEV17[[#This Row],[DESCRIÇÃO CONTABIL]],Contas_Gerencial[[#All],[DESCRIÇÃO DA CONTA - NÃO UTILIZAR]:[Código2]],2,FALSE)</f>
        <v>20.01.015</v>
      </c>
      <c r="E242" s="711" t="s">
        <v>82</v>
      </c>
      <c r="F242" s="712" t="s">
        <v>41</v>
      </c>
      <c r="G242" s="712" t="s">
        <v>595</v>
      </c>
      <c r="H242" s="712" t="s">
        <v>1983</v>
      </c>
      <c r="I242" s="728" t="s">
        <v>2065</v>
      </c>
      <c r="J242" s="711" t="s">
        <v>1083</v>
      </c>
      <c r="K242" s="711" t="s">
        <v>2316</v>
      </c>
      <c r="L242" s="729" t="s">
        <v>2591</v>
      </c>
      <c r="M242" s="1271" t="s">
        <v>2065</v>
      </c>
      <c r="N242" s="715" t="s">
        <v>2065</v>
      </c>
      <c r="O242" s="715" t="s">
        <v>2065</v>
      </c>
      <c r="P242" s="452" t="s">
        <v>1</v>
      </c>
      <c r="Q242" s="737">
        <v>183</v>
      </c>
      <c r="R242" s="730">
        <v>0</v>
      </c>
      <c r="S242" s="730">
        <v>0</v>
      </c>
      <c r="T242" s="115">
        <f>SUM(mFEV17[[#This Row],[PRINCIPAL]:[JUROS]])</f>
        <v>183</v>
      </c>
      <c r="V242" s="115" t="s">
        <v>2539</v>
      </c>
    </row>
    <row r="243" spans="2:22" ht="21" customHeight="1">
      <c r="B243" s="1167" t="str">
        <f t="shared" si="6"/>
        <v>3/26</v>
      </c>
      <c r="C243" s="731" t="str">
        <f>VLOOKUP(mFEV17[[#This Row],[CÓDIGO CONTABIL]],Contas_Gerencial[#All],3,FALSE)</f>
        <v>DESPESAS BANCÁRIAS</v>
      </c>
      <c r="D243" s="445" t="str">
        <f>VLOOKUP(mFEV17[[#This Row],[DESCRIÇÃO CONTABIL]],Contas_Gerencial[[#All],[DESCRIÇÃO DA CONTA - NÃO UTILIZAR]:[Código2]],2,FALSE)</f>
        <v>20.01.032</v>
      </c>
      <c r="E243" s="712" t="s">
        <v>84</v>
      </c>
      <c r="F243" s="712" t="s">
        <v>41</v>
      </c>
      <c r="G243" s="712" t="s">
        <v>595</v>
      </c>
      <c r="H243" s="712" t="s">
        <v>1983</v>
      </c>
      <c r="I243" s="728" t="s">
        <v>2065</v>
      </c>
      <c r="J243" s="711" t="s">
        <v>1083</v>
      </c>
      <c r="K243" s="711" t="s">
        <v>2318</v>
      </c>
      <c r="L243" s="729" t="s">
        <v>2591</v>
      </c>
      <c r="M243" s="1271" t="s">
        <v>2065</v>
      </c>
      <c r="N243" s="715" t="s">
        <v>2065</v>
      </c>
      <c r="O243" s="715" t="s">
        <v>2065</v>
      </c>
      <c r="P243" s="452" t="s">
        <v>1</v>
      </c>
      <c r="Q243" s="737">
        <v>139.19999999999999</v>
      </c>
      <c r="R243" s="730">
        <v>0</v>
      </c>
      <c r="S243" s="730">
        <v>0</v>
      </c>
      <c r="T243" s="115">
        <f>SUM(mFEV17[[#This Row],[PRINCIPAL]:[JUROS]])</f>
        <v>139.19999999999999</v>
      </c>
      <c r="V243" s="115" t="s">
        <v>2542</v>
      </c>
    </row>
    <row r="244" spans="2:22" ht="21" customHeight="1">
      <c r="B244" s="1167" t="str">
        <f t="shared" si="6"/>
        <v>3/26</v>
      </c>
      <c r="C244" s="731" t="str">
        <f>VLOOKUP(mFEV17[[#This Row],[CÓDIGO CONTABIL]],Contas_Gerencial[#All],3,FALSE)</f>
        <v>DESPESAS BANCÁRIAS</v>
      </c>
      <c r="D244" s="445" t="str">
        <f>VLOOKUP(mFEV17[[#This Row],[DESCRIÇÃO CONTABIL]],Contas_Gerencial[[#All],[DESCRIÇÃO DA CONTA - NÃO UTILIZAR]:[Código2]],2,FALSE)</f>
        <v>20.01.007</v>
      </c>
      <c r="E244" s="712" t="s">
        <v>2657</v>
      </c>
      <c r="F244" s="712" t="s">
        <v>41</v>
      </c>
      <c r="G244" s="712" t="s">
        <v>595</v>
      </c>
      <c r="H244" s="712" t="s">
        <v>1983</v>
      </c>
      <c r="I244" s="728" t="s">
        <v>2065</v>
      </c>
      <c r="J244" s="711" t="s">
        <v>1083</v>
      </c>
      <c r="K244" s="711" t="s">
        <v>2319</v>
      </c>
      <c r="L244" s="729" t="s">
        <v>2591</v>
      </c>
      <c r="M244" s="1271" t="s">
        <v>2065</v>
      </c>
      <c r="N244" s="715" t="s">
        <v>2065</v>
      </c>
      <c r="O244" s="715" t="s">
        <v>2065</v>
      </c>
      <c r="P244" s="452" t="s">
        <v>1</v>
      </c>
      <c r="Q244" s="737">
        <v>13</v>
      </c>
      <c r="R244" s="730">
        <v>0</v>
      </c>
      <c r="S244" s="730">
        <v>0</v>
      </c>
      <c r="T244" s="115">
        <f>SUM(mFEV17[[#This Row],[PRINCIPAL]:[JUROS]])</f>
        <v>13</v>
      </c>
      <c r="V244" s="115" t="s">
        <v>2542</v>
      </c>
    </row>
    <row r="245" spans="2:22" ht="21" customHeight="1">
      <c r="B245" s="1167" t="str">
        <f t="shared" si="6"/>
        <v>3/26</v>
      </c>
      <c r="C245" s="731" t="str">
        <f>VLOOKUP(mFEV17[[#This Row],[CÓDIGO CONTABIL]],Contas_Gerencial[#All],3,FALSE)</f>
        <v>DESPESAS BANCÁRIAS</v>
      </c>
      <c r="D245" s="445" t="str">
        <f>VLOOKUP(mFEV17[[#This Row],[DESCRIÇÃO CONTABIL]],Contas_Gerencial[[#All],[DESCRIÇÃO DA CONTA - NÃO UTILIZAR]:[Código2]],2,FALSE)</f>
        <v>20.01.025</v>
      </c>
      <c r="E245" s="711" t="s">
        <v>627</v>
      </c>
      <c r="F245" s="712" t="s">
        <v>41</v>
      </c>
      <c r="G245" s="712" t="s">
        <v>595</v>
      </c>
      <c r="H245" s="712" t="s">
        <v>1983</v>
      </c>
      <c r="I245" s="728" t="s">
        <v>2065</v>
      </c>
      <c r="J245" s="711" t="s">
        <v>1083</v>
      </c>
      <c r="K245" s="711" t="s">
        <v>2315</v>
      </c>
      <c r="L245" s="729" t="s">
        <v>2591</v>
      </c>
      <c r="M245" s="1271" t="s">
        <v>2065</v>
      </c>
      <c r="N245" s="715" t="s">
        <v>2065</v>
      </c>
      <c r="O245" s="715" t="s">
        <v>2065</v>
      </c>
      <c r="P245" s="452" t="s">
        <v>1</v>
      </c>
      <c r="Q245" s="737">
        <v>44.77</v>
      </c>
      <c r="R245" s="730">
        <v>0</v>
      </c>
      <c r="S245" s="730">
        <v>0</v>
      </c>
      <c r="T245" s="115">
        <f>SUM(mFEV17[[#This Row],[PRINCIPAL]:[JUROS]])</f>
        <v>44.77</v>
      </c>
      <c r="V245" s="1163" t="s">
        <v>2545</v>
      </c>
    </row>
    <row r="246" spans="2:22" ht="21" customHeight="1">
      <c r="B246" s="1167" t="str">
        <f t="shared" si="6"/>
        <v>3/26</v>
      </c>
      <c r="C246" s="731" t="str">
        <f>VLOOKUP(mFEV17[[#This Row],[CÓDIGO CONTABIL]],Contas_Gerencial[#All],3,FALSE)</f>
        <v>DESPESAS BANCÁRIAS</v>
      </c>
      <c r="D246" s="445" t="str">
        <f>VLOOKUP(mFEV17[[#This Row],[DESCRIÇÃO CONTABIL]],Contas_Gerencial[[#All],[DESCRIÇÃO DA CONTA - NÃO UTILIZAR]:[Código2]],2,FALSE)</f>
        <v>20.01.003</v>
      </c>
      <c r="E246" s="753" t="s">
        <v>79</v>
      </c>
      <c r="F246" s="712" t="s">
        <v>41</v>
      </c>
      <c r="G246" s="712" t="s">
        <v>595</v>
      </c>
      <c r="H246" s="712" t="s">
        <v>1983</v>
      </c>
      <c r="I246" s="728" t="s">
        <v>2065</v>
      </c>
      <c r="J246" s="711" t="s">
        <v>1083</v>
      </c>
      <c r="K246" s="711" t="s">
        <v>2320</v>
      </c>
      <c r="L246" s="729" t="s">
        <v>2591</v>
      </c>
      <c r="M246" s="1271" t="s">
        <v>2065</v>
      </c>
      <c r="N246" s="715" t="s">
        <v>2065</v>
      </c>
      <c r="O246" s="715" t="s">
        <v>2065</v>
      </c>
      <c r="P246" s="452" t="s">
        <v>1</v>
      </c>
      <c r="Q246" s="1084">
        <v>561.47</v>
      </c>
      <c r="R246" s="730">
        <v>0</v>
      </c>
      <c r="S246" s="730">
        <v>0</v>
      </c>
      <c r="T246" s="115">
        <f>SUM(mFEV17[[#This Row],[PRINCIPAL]:[JUROS]])</f>
        <v>561.47</v>
      </c>
      <c r="V246" s="115" t="s">
        <v>2538</v>
      </c>
    </row>
    <row r="247" spans="2:22" ht="21" customHeight="1">
      <c r="B247" s="1175" t="str">
        <f>B246</f>
        <v>3/26</v>
      </c>
      <c r="C247" s="739" t="s">
        <v>43</v>
      </c>
      <c r="D247" s="1176" t="e">
        <f>VLOOKUP(mFEV17[[#This Row],[DESCRIÇÃO CONTABIL]],Contas_Gerencial[[#All],[DESCRIÇÃO DA CONTA - NÃO UTILIZAR]:[Código2]],2,FALSE)</f>
        <v>#N/A</v>
      </c>
      <c r="E247" s="739" t="s">
        <v>43</v>
      </c>
      <c r="F247" s="739"/>
      <c r="G247" s="739"/>
      <c r="H247" s="739"/>
      <c r="I247" s="739"/>
      <c r="J247" s="739"/>
      <c r="K247" s="739"/>
      <c r="L247" s="739"/>
      <c r="M247" s="1284"/>
      <c r="N247" s="739"/>
      <c r="O247" s="739"/>
      <c r="P247" s="739"/>
      <c r="Q247" s="739"/>
      <c r="R247" s="739"/>
      <c r="S247" s="739"/>
      <c r="T247" s="1171"/>
    </row>
    <row r="248" spans="2:22" ht="21" customHeight="1">
      <c r="B248" s="1167" t="str">
        <f>B246</f>
        <v>3/26</v>
      </c>
      <c r="C248" s="731" t="str">
        <f>VLOOKUP(mFEV17[[#This Row],[CÓDIGO CONTABIL]],Contas_Gerencial[#All],3,FALSE)</f>
        <v>DESPESAS BANCÁRIAS</v>
      </c>
      <c r="D248" s="445" t="str">
        <f>VLOOKUP(mFEV17[[#This Row],[DESCRIÇÃO CONTABIL]],Contas_Gerencial[[#All],[DESCRIÇÃO DA CONTA - NÃO UTILIZAR]:[Código2]],2,FALSE)</f>
        <v>20.01.034</v>
      </c>
      <c r="E248" s="712" t="s">
        <v>680</v>
      </c>
      <c r="F248" s="712" t="s">
        <v>582</v>
      </c>
      <c r="G248" s="712" t="s">
        <v>595</v>
      </c>
      <c r="H248" s="712" t="s">
        <v>1983</v>
      </c>
      <c r="I248" s="728" t="s">
        <v>2065</v>
      </c>
      <c r="J248" s="711" t="s">
        <v>1083</v>
      </c>
      <c r="K248" s="711" t="s">
        <v>2005</v>
      </c>
      <c r="L248" s="1082" t="s">
        <v>2279</v>
      </c>
      <c r="M248" s="1271">
        <v>45132</v>
      </c>
      <c r="N248" s="715">
        <v>46106</v>
      </c>
      <c r="O248" s="715" t="s">
        <v>2065</v>
      </c>
      <c r="P248" s="452" t="s">
        <v>1</v>
      </c>
      <c r="Q248" s="737">
        <v>4054.05</v>
      </c>
      <c r="R248" s="1177">
        <v>1205.0199999999995</v>
      </c>
      <c r="S248" s="735">
        <v>0</v>
      </c>
      <c r="T248" s="115">
        <f>SUM(mFEV17[[#This Row],[PRINCIPAL]:[JUROS]])</f>
        <v>5259.07</v>
      </c>
    </row>
    <row r="249" spans="2:22" ht="21" customHeight="1">
      <c r="B249" s="1167" t="str">
        <f t="shared" ref="B249:B254" si="7">B247</f>
        <v>3/26</v>
      </c>
      <c r="C249" s="731" t="str">
        <f>VLOOKUP(mFEV17[[#This Row],[CÓDIGO CONTABIL]],Contas_Gerencial[#All],3,FALSE)</f>
        <v>DESPESAS BANCÁRIAS</v>
      </c>
      <c r="D249" s="445" t="str">
        <f>VLOOKUP(mFEV17[[#This Row],[DESCRIÇÃO CONTABIL]],Contas_Gerencial[[#All],[DESCRIÇÃO DA CONTA - NÃO UTILIZAR]:[Código2]],2,FALSE)</f>
        <v>20.01.002</v>
      </c>
      <c r="E249" s="711" t="s">
        <v>2653</v>
      </c>
      <c r="F249" s="712" t="s">
        <v>582</v>
      </c>
      <c r="G249" s="712" t="s">
        <v>595</v>
      </c>
      <c r="H249" s="712" t="s">
        <v>1983</v>
      </c>
      <c r="I249" s="728" t="s">
        <v>2065</v>
      </c>
      <c r="J249" s="711" t="s">
        <v>1083</v>
      </c>
      <c r="K249" s="711" t="s">
        <v>2314</v>
      </c>
      <c r="L249" s="714" t="s">
        <v>1766</v>
      </c>
      <c r="M249" s="1271" t="s">
        <v>2065</v>
      </c>
      <c r="N249" s="715" t="s">
        <v>2065</v>
      </c>
      <c r="O249" s="715" t="s">
        <v>2065</v>
      </c>
      <c r="P249" s="452" t="s">
        <v>1</v>
      </c>
      <c r="Q249" s="737">
        <v>0.01</v>
      </c>
      <c r="R249" s="730">
        <v>0</v>
      </c>
      <c r="S249" s="730">
        <v>0</v>
      </c>
      <c r="T249" s="115">
        <f>SUM(mFEV17[[#This Row],[PRINCIPAL]:[JUROS]])</f>
        <v>0.01</v>
      </c>
      <c r="V249" s="115"/>
    </row>
    <row r="250" spans="2:22" ht="21" customHeight="1">
      <c r="B250" s="1167" t="str">
        <f t="shared" si="7"/>
        <v>3/26</v>
      </c>
      <c r="C250" s="731" t="str">
        <f>VLOOKUP(mFEV17[[#This Row],[CÓDIGO CONTABIL]],Contas_Gerencial[#All],3,FALSE)</f>
        <v>DESPESAS BANCÁRIAS</v>
      </c>
      <c r="D250" s="445" t="str">
        <f>VLOOKUP(mFEV17[[#This Row],[DESCRIÇÃO CONTABIL]],Contas_Gerencial[[#All],[DESCRIÇÃO DA CONTA - NÃO UTILIZAR]:[Código2]],2,FALSE)</f>
        <v>20.01.017</v>
      </c>
      <c r="E250" s="712" t="s">
        <v>115</v>
      </c>
      <c r="F250" s="712" t="s">
        <v>582</v>
      </c>
      <c r="G250" s="712" t="s">
        <v>595</v>
      </c>
      <c r="H250" s="712" t="s">
        <v>1983</v>
      </c>
      <c r="I250" s="728" t="s">
        <v>2065</v>
      </c>
      <c r="J250" s="711" t="s">
        <v>1083</v>
      </c>
      <c r="K250" s="711" t="s">
        <v>2333</v>
      </c>
      <c r="L250" s="714" t="s">
        <v>1766</v>
      </c>
      <c r="M250" s="1271" t="s">
        <v>2065</v>
      </c>
      <c r="N250" s="715" t="s">
        <v>2065</v>
      </c>
      <c r="O250" s="715" t="s">
        <v>2065</v>
      </c>
      <c r="P250" s="452" t="s">
        <v>1</v>
      </c>
      <c r="Q250" s="737">
        <v>119</v>
      </c>
      <c r="R250" s="730">
        <v>0</v>
      </c>
      <c r="S250" s="730">
        <v>0</v>
      </c>
      <c r="T250" s="115">
        <f>SUM(mFEV17[[#This Row],[PRINCIPAL]:[JUROS]])</f>
        <v>119</v>
      </c>
      <c r="V250" s="115"/>
    </row>
    <row r="251" spans="2:22" ht="21" customHeight="1">
      <c r="B251" s="1167" t="str">
        <f t="shared" si="7"/>
        <v>3/26</v>
      </c>
      <c r="C251" s="731" t="str">
        <f>VLOOKUP(mFEV17[[#This Row],[CÓDIGO CONTABIL]],Contas_Gerencial[#All],3,FALSE)</f>
        <v>DESPESAS BANCÁRIAS</v>
      </c>
      <c r="D251" s="445" t="str">
        <f>VLOOKUP(mFEV17[[#This Row],[DESCRIÇÃO CONTABIL]],Contas_Gerencial[[#All],[DESCRIÇÃO DA CONTA - NÃO UTILIZAR]:[Código2]],2,FALSE)</f>
        <v>20.01.032</v>
      </c>
      <c r="E251" s="712" t="s">
        <v>84</v>
      </c>
      <c r="F251" s="712" t="s">
        <v>582</v>
      </c>
      <c r="G251" s="712" t="s">
        <v>595</v>
      </c>
      <c r="H251" s="712" t="s">
        <v>1983</v>
      </c>
      <c r="I251" s="728" t="s">
        <v>2065</v>
      </c>
      <c r="J251" s="711" t="s">
        <v>1083</v>
      </c>
      <c r="K251" s="711" t="s">
        <v>2318</v>
      </c>
      <c r="L251" s="714" t="s">
        <v>1766</v>
      </c>
      <c r="M251" s="1271" t="s">
        <v>2065</v>
      </c>
      <c r="N251" s="715" t="s">
        <v>2065</v>
      </c>
      <c r="O251" s="715" t="s">
        <v>2065</v>
      </c>
      <c r="P251" s="452" t="s">
        <v>1</v>
      </c>
      <c r="Q251" s="737">
        <v>81.400000000000006</v>
      </c>
      <c r="R251" s="730">
        <v>0</v>
      </c>
      <c r="S251" s="730">
        <v>0</v>
      </c>
      <c r="T251" s="115">
        <f>SUM(mFEV17[[#This Row],[PRINCIPAL]:[JUROS]])</f>
        <v>81.400000000000006</v>
      </c>
      <c r="V251" s="115"/>
    </row>
    <row r="252" spans="2:22" ht="21" customHeight="1">
      <c r="B252" s="1167" t="str">
        <f t="shared" si="7"/>
        <v>3/26</v>
      </c>
      <c r="C252" s="731" t="str">
        <f>VLOOKUP(mFEV17[[#This Row],[CÓDIGO CONTABIL]],Contas_Gerencial[#All],3,FALSE)</f>
        <v>DESPESAS BANCÁRIAS</v>
      </c>
      <c r="D252" s="445" t="str">
        <f>VLOOKUP(mFEV17[[#This Row],[DESCRIÇÃO CONTABIL]],Contas_Gerencial[[#All],[DESCRIÇÃO DA CONTA - NÃO UTILIZAR]:[Código2]],2,FALSE)</f>
        <v>20.01.025</v>
      </c>
      <c r="E252" s="711" t="s">
        <v>627</v>
      </c>
      <c r="F252" s="712" t="s">
        <v>582</v>
      </c>
      <c r="G252" s="712" t="s">
        <v>595</v>
      </c>
      <c r="H252" s="712" t="s">
        <v>1983</v>
      </c>
      <c r="I252" s="728" t="s">
        <v>2065</v>
      </c>
      <c r="J252" s="711" t="s">
        <v>1083</v>
      </c>
      <c r="K252" s="711" t="s">
        <v>2315</v>
      </c>
      <c r="L252" s="714" t="s">
        <v>1766</v>
      </c>
      <c r="M252" s="1271" t="s">
        <v>2065</v>
      </c>
      <c r="N252" s="715" t="s">
        <v>2065</v>
      </c>
      <c r="O252" s="715" t="s">
        <v>2065</v>
      </c>
      <c r="P252" s="452" t="s">
        <v>1</v>
      </c>
      <c r="Q252" s="737">
        <v>4.95</v>
      </c>
      <c r="R252" s="730">
        <v>0</v>
      </c>
      <c r="S252" s="730">
        <v>0</v>
      </c>
      <c r="T252" s="115">
        <f>SUM(mFEV17[[#This Row],[PRINCIPAL]:[JUROS]])</f>
        <v>4.95</v>
      </c>
      <c r="V252" s="115"/>
    </row>
    <row r="253" spans="2:22" ht="21" customHeight="1">
      <c r="B253" s="1167" t="str">
        <f t="shared" si="7"/>
        <v>3/26</v>
      </c>
      <c r="C253" s="731" t="str">
        <f>VLOOKUP(mFEV17[[#This Row],[CÓDIGO CONTABIL]],Contas_Gerencial[#All],3,FALSE)</f>
        <v>DESPESAS BANCÁRIAS</v>
      </c>
      <c r="D253" s="445" t="str">
        <f>VLOOKUP(mFEV17[[#This Row],[DESCRIÇÃO CONTABIL]],Contas_Gerencial[[#All],[DESCRIÇÃO DA CONTA - NÃO UTILIZAR]:[Código2]],2,FALSE)</f>
        <v>20.01.006</v>
      </c>
      <c r="E253" s="712" t="s">
        <v>2656</v>
      </c>
      <c r="F253" s="712" t="s">
        <v>582</v>
      </c>
      <c r="G253" s="712" t="s">
        <v>595</v>
      </c>
      <c r="H253" s="712" t="s">
        <v>1983</v>
      </c>
      <c r="I253" s="728" t="s">
        <v>2065</v>
      </c>
      <c r="J253" s="711" t="s">
        <v>1083</v>
      </c>
      <c r="K253" s="711" t="s">
        <v>2587</v>
      </c>
      <c r="L253" s="714" t="s">
        <v>1766</v>
      </c>
      <c r="M253" s="1271" t="s">
        <v>2065</v>
      </c>
      <c r="N253" s="715" t="s">
        <v>2065</v>
      </c>
      <c r="O253" s="715" t="s">
        <v>2065</v>
      </c>
      <c r="P253" s="452" t="s">
        <v>1</v>
      </c>
      <c r="Q253" s="737">
        <v>61.98</v>
      </c>
      <c r="R253" s="730">
        <v>0</v>
      </c>
      <c r="S253" s="730">
        <v>0</v>
      </c>
      <c r="T253" s="115">
        <f>SUM(mFEV17[[#This Row],[PRINCIPAL]:[JUROS]])</f>
        <v>61.98</v>
      </c>
      <c r="V253" s="115"/>
    </row>
    <row r="254" spans="2:22" ht="21" customHeight="1">
      <c r="B254" s="1167" t="str">
        <f t="shared" si="7"/>
        <v>3/26</v>
      </c>
      <c r="C254" s="731" t="str">
        <f>VLOOKUP(mFEV17[[#This Row],[CÓDIGO CONTABIL]],Contas_Gerencial[#All],3,FALSE)</f>
        <v>DESPESAS BANCÁRIAS</v>
      </c>
      <c r="D254" s="445" t="str">
        <f>VLOOKUP(mFEV17[[#This Row],[DESCRIÇÃO CONTABIL]],Contas_Gerencial[[#All],[DESCRIÇÃO DA CONTA - NÃO UTILIZAR]:[Código2]],2,FALSE)</f>
        <v>20.01.003</v>
      </c>
      <c r="E254" s="753" t="s">
        <v>79</v>
      </c>
      <c r="F254" s="712" t="s">
        <v>582</v>
      </c>
      <c r="G254" s="712" t="s">
        <v>595</v>
      </c>
      <c r="H254" s="712" t="s">
        <v>1983</v>
      </c>
      <c r="I254" s="728" t="s">
        <v>2065</v>
      </c>
      <c r="J254" s="711" t="s">
        <v>1083</v>
      </c>
      <c r="K254" s="711" t="s">
        <v>2320</v>
      </c>
      <c r="L254" s="714" t="s">
        <v>1766</v>
      </c>
      <c r="M254" s="1271" t="s">
        <v>2065</v>
      </c>
      <c r="N254" s="715" t="s">
        <v>2065</v>
      </c>
      <c r="O254" s="715" t="s">
        <v>2065</v>
      </c>
      <c r="P254" s="452" t="s">
        <v>1</v>
      </c>
      <c r="Q254" s="1084">
        <v>34.090000000000003</v>
      </c>
      <c r="R254" s="730">
        <v>0</v>
      </c>
      <c r="S254" s="730">
        <v>0</v>
      </c>
      <c r="T254" s="115">
        <f>SUM(mFEV17[[#This Row],[PRINCIPAL]:[JUROS]])</f>
        <v>34.090000000000003</v>
      </c>
      <c r="V254" s="115"/>
    </row>
    <row r="255" spans="2:22" ht="21" customHeight="1">
      <c r="B255" s="1175" t="str">
        <f>B254</f>
        <v>3/26</v>
      </c>
      <c r="C255" s="739" t="s">
        <v>43</v>
      </c>
      <c r="D255" s="1176" t="e">
        <f>VLOOKUP(mFEV17[[#This Row],[DESCRIÇÃO CONTABIL]],Contas_Gerencial[[#All],[DESCRIÇÃO DA CONTA - NÃO UTILIZAR]:[Código2]],2,FALSE)</f>
        <v>#N/A</v>
      </c>
      <c r="E255" s="739" t="s">
        <v>43</v>
      </c>
      <c r="F255" s="739"/>
      <c r="G255" s="739"/>
      <c r="H255" s="739"/>
      <c r="I255" s="739"/>
      <c r="J255" s="739"/>
      <c r="K255" s="739"/>
      <c r="L255" s="739"/>
      <c r="M255" s="1284"/>
      <c r="N255" s="739"/>
      <c r="O255" s="739"/>
      <c r="P255" s="739"/>
      <c r="Q255" s="739"/>
      <c r="R255" s="739"/>
      <c r="S255" s="739"/>
      <c r="T255" s="1171"/>
    </row>
    <row r="256" spans="2:22" ht="21" customHeight="1">
      <c r="B256" s="1167" t="str">
        <f>B254</f>
        <v>3/26</v>
      </c>
      <c r="C256" s="731" t="str">
        <f>VLOOKUP(mFEV17[[#This Row],[CÓDIGO CONTABIL]],Contas_Gerencial[#All],3,FALSE)</f>
        <v>DESPESAS BANCÁRIAS</v>
      </c>
      <c r="D256" s="445" t="str">
        <f>VLOOKUP(mFEV17[[#This Row],[DESCRIÇÃO CONTABIL]],Contas_Gerencial[[#All],[DESCRIÇÃO DA CONTA - NÃO UTILIZAR]:[Código2]],2,FALSE)</f>
        <v>20.01.034</v>
      </c>
      <c r="E256" s="752" t="s">
        <v>680</v>
      </c>
      <c r="F256" s="711" t="s">
        <v>581</v>
      </c>
      <c r="G256" s="718" t="s">
        <v>595</v>
      </c>
      <c r="H256" s="711" t="s">
        <v>1983</v>
      </c>
      <c r="I256" s="754" t="s">
        <v>2066</v>
      </c>
      <c r="J256" s="711" t="s">
        <v>1083</v>
      </c>
      <c r="K256" s="711" t="s">
        <v>2006</v>
      </c>
      <c r="L256" s="736" t="s">
        <v>2280</v>
      </c>
      <c r="M256" s="1271">
        <v>45602</v>
      </c>
      <c r="N256" s="715">
        <v>46059</v>
      </c>
      <c r="O256" s="715" t="s">
        <v>2065</v>
      </c>
      <c r="P256" s="453" t="s">
        <v>1</v>
      </c>
      <c r="Q256" s="730">
        <v>4054.2</v>
      </c>
      <c r="R256" s="1083">
        <v>2532.1000000000004</v>
      </c>
      <c r="S256" s="730">
        <v>0</v>
      </c>
      <c r="T256" s="115">
        <f>SUM(mFEV17[[#This Row],[PRINCIPAL]:[JUROS]])</f>
        <v>6586.3</v>
      </c>
      <c r="V256" s="115"/>
    </row>
    <row r="257" spans="2:22" ht="21" customHeight="1">
      <c r="B257" s="1167" t="str">
        <f t="shared" ref="B257:B260" si="8">B255</f>
        <v>3/26</v>
      </c>
      <c r="C257" s="731" t="str">
        <f>VLOOKUP(mFEV17[[#This Row],[CÓDIGO CONTABIL]],Contas_Gerencial[#All],3,FALSE)</f>
        <v>DESPESAS BANCÁRIAS</v>
      </c>
      <c r="D257" s="445" t="str">
        <f>VLOOKUP(mFEV17[[#This Row],[DESCRIÇÃO CONTABIL]],Contas_Gerencial[[#All],[DESCRIÇÃO DA CONTA - NÃO UTILIZAR]:[Código2]],2,FALSE)</f>
        <v>20.01.002</v>
      </c>
      <c r="E257" s="712" t="s">
        <v>2653</v>
      </c>
      <c r="F257" s="711" t="s">
        <v>581</v>
      </c>
      <c r="G257" s="711" t="s">
        <v>595</v>
      </c>
      <c r="H257" s="711" t="s">
        <v>1983</v>
      </c>
      <c r="I257" s="728" t="s">
        <v>2065</v>
      </c>
      <c r="J257" s="711" t="s">
        <v>1083</v>
      </c>
      <c r="K257" s="711" t="s">
        <v>2314</v>
      </c>
      <c r="L257" s="714" t="s">
        <v>1766</v>
      </c>
      <c r="M257" s="1271">
        <v>46055</v>
      </c>
      <c r="N257" s="715">
        <v>46083</v>
      </c>
      <c r="O257" s="715" t="s">
        <v>2065</v>
      </c>
      <c r="P257" s="453" t="s">
        <v>1</v>
      </c>
      <c r="Q257" s="737">
        <v>2.0299999999999998</v>
      </c>
      <c r="R257" s="730">
        <v>0</v>
      </c>
      <c r="S257" s="730">
        <v>0</v>
      </c>
      <c r="T257" s="115">
        <f>SUM(mFEV17[[#This Row],[PRINCIPAL]:[JUROS]])</f>
        <v>2.0299999999999998</v>
      </c>
      <c r="V257" s="115" t="s">
        <v>2541</v>
      </c>
    </row>
    <row r="258" spans="2:22" ht="21" customHeight="1">
      <c r="B258" s="1167" t="str">
        <f t="shared" si="8"/>
        <v>3/26</v>
      </c>
      <c r="C258" s="731" t="str">
        <f>VLOOKUP(mFEV17[[#This Row],[CÓDIGO CONTABIL]],Contas_Gerencial[#All],3,FALSE)</f>
        <v>DESPESAS BANCÁRIAS</v>
      </c>
      <c r="D258" s="445" t="str">
        <f>VLOOKUP(mFEV17[[#This Row],[DESCRIÇÃO CONTABIL]],Contas_Gerencial[[#All],[DESCRIÇÃO DA CONTA - NÃO UTILIZAR]:[Código2]],2,FALSE)</f>
        <v>20.01.032</v>
      </c>
      <c r="E258" s="712" t="s">
        <v>84</v>
      </c>
      <c r="F258" s="711" t="s">
        <v>581</v>
      </c>
      <c r="G258" s="711" t="s">
        <v>595</v>
      </c>
      <c r="H258" s="711" t="s">
        <v>1983</v>
      </c>
      <c r="I258" s="728" t="s">
        <v>2065</v>
      </c>
      <c r="J258" s="711" t="s">
        <v>1083</v>
      </c>
      <c r="K258" s="711" t="s">
        <v>2318</v>
      </c>
      <c r="L258" s="714" t="s">
        <v>1766</v>
      </c>
      <c r="M258" s="1271">
        <v>46063</v>
      </c>
      <c r="N258" s="715">
        <v>46063</v>
      </c>
      <c r="O258" s="715" t="s">
        <v>2065</v>
      </c>
      <c r="P258" s="453" t="s">
        <v>1</v>
      </c>
      <c r="Q258" s="737">
        <v>81.400000000000006</v>
      </c>
      <c r="R258" s="730">
        <v>0</v>
      </c>
      <c r="S258" s="730">
        <v>0</v>
      </c>
      <c r="T258" s="115">
        <f>SUM(mFEV17[[#This Row],[PRINCIPAL]:[JUROS]])</f>
        <v>81.400000000000006</v>
      </c>
      <c r="V258" s="115" t="s">
        <v>2542</v>
      </c>
    </row>
    <row r="259" spans="2:22" ht="21" customHeight="1">
      <c r="B259" s="1167" t="str">
        <f t="shared" si="8"/>
        <v>3/26</v>
      </c>
      <c r="C259" s="731" t="str">
        <f>VLOOKUP(mFEV17[[#This Row],[CÓDIGO CONTABIL]],Contas_Gerencial[#All],3,FALSE)</f>
        <v>DESPESAS BANCÁRIAS</v>
      </c>
      <c r="D259" s="445" t="str">
        <f>VLOOKUP(mFEV17[[#This Row],[DESCRIÇÃO CONTABIL]],Contas_Gerencial[[#All],[DESCRIÇÃO DA CONTA - NÃO UTILIZAR]:[Código2]],2,FALSE)</f>
        <v>20.01.017</v>
      </c>
      <c r="E259" s="718" t="s">
        <v>115</v>
      </c>
      <c r="F259" s="711" t="s">
        <v>581</v>
      </c>
      <c r="G259" s="711" t="s">
        <v>595</v>
      </c>
      <c r="H259" s="711" t="s">
        <v>1983</v>
      </c>
      <c r="I259" s="728" t="s">
        <v>2065</v>
      </c>
      <c r="J259" s="711" t="s">
        <v>1083</v>
      </c>
      <c r="K259" s="711" t="s">
        <v>2333</v>
      </c>
      <c r="L259" s="714" t="s">
        <v>1766</v>
      </c>
      <c r="M259" s="1271">
        <v>46080</v>
      </c>
      <c r="N259" s="715">
        <v>46108</v>
      </c>
      <c r="O259" s="715" t="s">
        <v>2065</v>
      </c>
      <c r="P259" s="453" t="s">
        <v>1</v>
      </c>
      <c r="Q259" s="737">
        <v>318.5</v>
      </c>
      <c r="R259" s="730">
        <v>0</v>
      </c>
      <c r="S259" s="730">
        <v>0</v>
      </c>
      <c r="T259" s="115">
        <f>SUM(mFEV17[[#This Row],[PRINCIPAL]:[JUROS]])</f>
        <v>318.5</v>
      </c>
      <c r="V259" s="115" t="s">
        <v>2572</v>
      </c>
    </row>
    <row r="260" spans="2:22" ht="21" customHeight="1">
      <c r="B260" s="1167" t="str">
        <f t="shared" si="8"/>
        <v>3/26</v>
      </c>
      <c r="C260" s="731" t="str">
        <f>VLOOKUP(mFEV17[[#This Row],[CÓDIGO CONTABIL]],Contas_Gerencial[#All],3,FALSE)</f>
        <v>DESPESAS BANCÁRIAS</v>
      </c>
      <c r="D260" s="445" t="str">
        <f>VLOOKUP(mFEV17[[#This Row],[DESCRIÇÃO CONTABIL]],Contas_Gerencial[[#All],[DESCRIÇÃO DA CONTA - NÃO UTILIZAR]:[Código2]],2,FALSE)</f>
        <v>20.01.003</v>
      </c>
      <c r="E260" s="753" t="s">
        <v>79</v>
      </c>
      <c r="F260" s="711" t="s">
        <v>581</v>
      </c>
      <c r="G260" s="711" t="s">
        <v>595</v>
      </c>
      <c r="H260" s="711" t="s">
        <v>1983</v>
      </c>
      <c r="I260" s="728" t="s">
        <v>2065</v>
      </c>
      <c r="J260" s="711" t="s">
        <v>1083</v>
      </c>
      <c r="K260" s="711" t="s">
        <v>2320</v>
      </c>
      <c r="L260" s="714" t="s">
        <v>1766</v>
      </c>
      <c r="M260" s="1271">
        <v>46080</v>
      </c>
      <c r="N260" s="715" t="s">
        <v>2065</v>
      </c>
      <c r="O260" s="715" t="s">
        <v>2065</v>
      </c>
      <c r="P260" s="453" t="s">
        <v>1</v>
      </c>
      <c r="Q260" s="1084">
        <v>391</v>
      </c>
      <c r="R260" s="730">
        <v>0</v>
      </c>
      <c r="S260" s="730">
        <v>0</v>
      </c>
      <c r="T260" s="115">
        <f>SUM(mFEV17[[#This Row],[PRINCIPAL]:[JUROS]])</f>
        <v>391</v>
      </c>
      <c r="V260" s="115" t="s">
        <v>2538</v>
      </c>
    </row>
    <row r="261" spans="2:22" ht="21" customHeight="1">
      <c r="B261" s="1175" t="str">
        <f>B260</f>
        <v>3/26</v>
      </c>
      <c r="C261" s="739" t="s">
        <v>272</v>
      </c>
      <c r="D261" s="1176" t="e">
        <f>VLOOKUP(mFEV17[[#This Row],[DESCRIÇÃO CONTABIL]],Contas_Gerencial[[#All],[DESCRIÇÃO DA CONTA - NÃO UTILIZAR]:[Código2]],2,FALSE)</f>
        <v>#N/A</v>
      </c>
      <c r="E261" s="739" t="s">
        <v>272</v>
      </c>
      <c r="F261" s="739"/>
      <c r="G261" s="739"/>
      <c r="H261" s="739"/>
      <c r="I261" s="739"/>
      <c r="J261" s="739"/>
      <c r="K261" s="739"/>
      <c r="L261" s="739"/>
      <c r="M261" s="1284"/>
      <c r="N261" s="739"/>
      <c r="O261" s="739"/>
      <c r="P261" s="739"/>
      <c r="Q261" s="739"/>
      <c r="R261" s="739"/>
      <c r="S261" s="739"/>
      <c r="T261" s="1171"/>
    </row>
    <row r="262" spans="2:22" ht="21" customHeight="1">
      <c r="B262" s="1167" t="str">
        <f>B260</f>
        <v>3/26</v>
      </c>
      <c r="C262" s="731" t="str">
        <f>VLOOKUP(mFEV17[[#This Row],[CÓDIGO CONTABIL]],Contas_Gerencial[#All],3,FALSE)</f>
        <v>BENEFICIO</v>
      </c>
      <c r="D262" s="1165" t="str">
        <f>VLOOKUP(mFEV17[[#This Row],[DESCRIÇÃO CONTABIL]],Contas_Gerencial[[#All],[DESCRIÇÃO DA CONTA - NÃO UTILIZAR]:[Código2]],2,FALSE)</f>
        <v>20.05.003</v>
      </c>
      <c r="E262" s="712" t="s">
        <v>47</v>
      </c>
      <c r="F262" s="712" t="s">
        <v>582</v>
      </c>
      <c r="G262" s="733" t="s">
        <v>653</v>
      </c>
      <c r="H262" s="712" t="s">
        <v>1803</v>
      </c>
      <c r="I262" s="716" t="s">
        <v>2065</v>
      </c>
      <c r="J262" s="711" t="s">
        <v>386</v>
      </c>
      <c r="K262" s="711" t="s">
        <v>1837</v>
      </c>
      <c r="L262" s="729" t="s">
        <v>2591</v>
      </c>
      <c r="M262" s="1271">
        <v>46096</v>
      </c>
      <c r="N262" s="715">
        <v>46101</v>
      </c>
      <c r="O262" s="715" t="s">
        <v>2065</v>
      </c>
      <c r="P262" s="712" t="s">
        <v>1</v>
      </c>
      <c r="Q262" s="730">
        <f>14.28*3</f>
        <v>42.839999999999996</v>
      </c>
      <c r="R262" s="730">
        <v>0</v>
      </c>
      <c r="S262" s="730">
        <v>0</v>
      </c>
      <c r="T262" s="115">
        <f>SUM(mFEV17[[#This Row],[PRINCIPAL]:[JUROS]])</f>
        <v>42.839999999999996</v>
      </c>
      <c r="V262" s="115"/>
    </row>
    <row r="263" spans="2:22" ht="21" customHeight="1">
      <c r="B263" s="1167" t="str">
        <f t="shared" ref="B263:B303" si="9">B262</f>
        <v>3/26</v>
      </c>
      <c r="C263" s="731" t="str">
        <f>VLOOKUP(mFEV17[[#This Row],[CÓDIGO CONTABIL]],Contas_Gerencial[#All],3,FALSE)</f>
        <v>BENEFICIO</v>
      </c>
      <c r="D263" s="1165" t="str">
        <f>VLOOKUP(mFEV17[[#This Row],[DESCRIÇÃO CONTABIL]],Contas_Gerencial[[#All],[DESCRIÇÃO DA CONTA - NÃO UTILIZAR]:[Código2]],2,FALSE)</f>
        <v>20.05.003</v>
      </c>
      <c r="E263" s="712" t="s">
        <v>47</v>
      </c>
      <c r="F263" s="712" t="s">
        <v>41</v>
      </c>
      <c r="G263" s="733" t="s">
        <v>1767</v>
      </c>
      <c r="H263" s="712" t="s">
        <v>1803</v>
      </c>
      <c r="I263" s="716" t="s">
        <v>2065</v>
      </c>
      <c r="J263" s="711" t="s">
        <v>386</v>
      </c>
      <c r="K263" s="711" t="s">
        <v>1816</v>
      </c>
      <c r="L263" s="729" t="s">
        <v>2591</v>
      </c>
      <c r="M263" s="1271">
        <v>46096</v>
      </c>
      <c r="N263" s="715">
        <v>46101</v>
      </c>
      <c r="O263" s="715" t="s">
        <v>2065</v>
      </c>
      <c r="P263" s="712" t="s">
        <v>1</v>
      </c>
      <c r="Q263" s="730">
        <f>14.28*7</f>
        <v>99.96</v>
      </c>
      <c r="R263" s="730">
        <v>0</v>
      </c>
      <c r="S263" s="730">
        <v>0</v>
      </c>
      <c r="T263" s="115">
        <f>SUM(mFEV17[[#This Row],[PRINCIPAL]:[JUROS]])</f>
        <v>99.96</v>
      </c>
      <c r="V263" s="115"/>
    </row>
    <row r="264" spans="2:22" ht="21" customHeight="1">
      <c r="B264" s="1167" t="str">
        <f t="shared" si="9"/>
        <v>3/26</v>
      </c>
      <c r="C264" s="731" t="str">
        <f>VLOOKUP(mFEV17[[#This Row],[CÓDIGO CONTABIL]],Contas_Gerencial[#All],3,FALSE)</f>
        <v>BENEFICIO</v>
      </c>
      <c r="D264" s="1165" t="str">
        <f>VLOOKUP(mFEV17[[#This Row],[DESCRIÇÃO CONTABIL]],Contas_Gerencial[[#All],[DESCRIÇÃO DA CONTA - NÃO UTILIZAR]:[Código2]],2,FALSE)</f>
        <v>20.05.003</v>
      </c>
      <c r="E264" s="712" t="s">
        <v>47</v>
      </c>
      <c r="F264" s="712" t="s">
        <v>581</v>
      </c>
      <c r="G264" s="733" t="s">
        <v>595</v>
      </c>
      <c r="H264" s="712" t="s">
        <v>1803</v>
      </c>
      <c r="I264" s="716" t="s">
        <v>2065</v>
      </c>
      <c r="J264" s="711" t="s">
        <v>386</v>
      </c>
      <c r="K264" s="711" t="s">
        <v>1817</v>
      </c>
      <c r="L264" s="729" t="s">
        <v>2591</v>
      </c>
      <c r="M264" s="1271">
        <v>46096</v>
      </c>
      <c r="N264" s="715">
        <v>46101</v>
      </c>
      <c r="O264" s="715" t="s">
        <v>2065</v>
      </c>
      <c r="P264" s="712" t="s">
        <v>1</v>
      </c>
      <c r="Q264" s="730">
        <f>14.28*2</f>
        <v>28.56</v>
      </c>
      <c r="R264" s="730">
        <v>0</v>
      </c>
      <c r="S264" s="730">
        <v>0</v>
      </c>
      <c r="T264" s="115">
        <f>SUM(mFEV17[[#This Row],[PRINCIPAL]:[JUROS]])</f>
        <v>28.56</v>
      </c>
    </row>
    <row r="265" spans="2:22" ht="21" customHeight="1">
      <c r="B265" s="1167" t="str">
        <f t="shared" si="9"/>
        <v>3/26</v>
      </c>
      <c r="C265" s="731" t="str">
        <f>VLOOKUP(mFEV17[[#This Row],[CÓDIGO CONTABIL]],Contas_Gerencial[#All],3,FALSE)</f>
        <v>BENEFICIO</v>
      </c>
      <c r="D265" s="1165" t="str">
        <f>VLOOKUP(mFEV17[[#This Row],[DESCRIÇÃO CONTABIL]],Contas_Gerencial[[#All],[DESCRIÇÃO DA CONTA - NÃO UTILIZAR]:[Código2]],2,FALSE)</f>
        <v>20.05.003</v>
      </c>
      <c r="E265" s="712" t="s">
        <v>47</v>
      </c>
      <c r="F265" s="712" t="s">
        <v>581</v>
      </c>
      <c r="G265" s="733" t="s">
        <v>49</v>
      </c>
      <c r="H265" s="712" t="s">
        <v>1803</v>
      </c>
      <c r="I265" s="716" t="s">
        <v>2065</v>
      </c>
      <c r="J265" s="711" t="s">
        <v>386</v>
      </c>
      <c r="K265" s="711" t="s">
        <v>2190</v>
      </c>
      <c r="L265" s="729" t="s">
        <v>2591</v>
      </c>
      <c r="M265" s="1271">
        <v>46096</v>
      </c>
      <c r="N265" s="715">
        <v>46101</v>
      </c>
      <c r="O265" s="715" t="s">
        <v>2065</v>
      </c>
      <c r="P265" s="712" t="s">
        <v>1</v>
      </c>
      <c r="Q265" s="730">
        <f>14.28*4</f>
        <v>57.12</v>
      </c>
      <c r="R265" s="730">
        <v>0</v>
      </c>
      <c r="S265" s="730">
        <v>0</v>
      </c>
      <c r="T265" s="115">
        <f>SUM(mFEV17[[#This Row],[PRINCIPAL]:[JUROS]])</f>
        <v>57.12</v>
      </c>
    </row>
    <row r="266" spans="2:22" ht="21" customHeight="1">
      <c r="B266" s="1167" t="str">
        <f t="shared" si="9"/>
        <v>3/26</v>
      </c>
      <c r="C266" s="731" t="str">
        <f>VLOOKUP(mFEV17[[#This Row],[CÓDIGO CONTABIL]],Contas_Gerencial[#All],3,FALSE)</f>
        <v>BENEFICIO</v>
      </c>
      <c r="D266" s="1165" t="str">
        <f>VLOOKUP(mFEV17[[#This Row],[DESCRIÇÃO CONTABIL]],Contas_Gerencial[[#All],[DESCRIÇÃO DA CONTA - NÃO UTILIZAR]:[Código2]],2,FALSE)</f>
        <v>20.05.003</v>
      </c>
      <c r="E266" s="712" t="s">
        <v>47</v>
      </c>
      <c r="F266" s="712" t="s">
        <v>581</v>
      </c>
      <c r="G266" s="733" t="s">
        <v>1130</v>
      </c>
      <c r="H266" s="712" t="s">
        <v>1803</v>
      </c>
      <c r="I266" s="716" t="s">
        <v>2065</v>
      </c>
      <c r="J266" s="711" t="s">
        <v>386</v>
      </c>
      <c r="K266" s="711" t="s">
        <v>2191</v>
      </c>
      <c r="L266" s="729" t="s">
        <v>2591</v>
      </c>
      <c r="M266" s="1271">
        <v>46096</v>
      </c>
      <c r="N266" s="715">
        <v>46101</v>
      </c>
      <c r="O266" s="715" t="s">
        <v>2065</v>
      </c>
      <c r="P266" s="712" t="s">
        <v>1</v>
      </c>
      <c r="Q266" s="730">
        <f>14.28*1</f>
        <v>14.28</v>
      </c>
      <c r="R266" s="730">
        <v>0</v>
      </c>
      <c r="S266" s="730">
        <v>0</v>
      </c>
      <c r="T266" s="115">
        <f>SUM(mFEV17[[#This Row],[PRINCIPAL]:[JUROS]])</f>
        <v>14.28</v>
      </c>
    </row>
    <row r="267" spans="2:22" ht="21" customHeight="1">
      <c r="B267" s="1175" t="str">
        <f>B266</f>
        <v>3/26</v>
      </c>
      <c r="C267" s="739" t="s">
        <v>272</v>
      </c>
      <c r="D267" s="1176" t="e">
        <f>VLOOKUP(mFEV17[[#This Row],[DESCRIÇÃO CONTABIL]],Contas_Gerencial[[#All],[DESCRIÇÃO DA CONTA - NÃO UTILIZAR]:[Código2]],2,FALSE)</f>
        <v>#N/A</v>
      </c>
      <c r="E267" s="739" t="s">
        <v>272</v>
      </c>
      <c r="F267" s="739"/>
      <c r="G267" s="739"/>
      <c r="H267" s="739"/>
      <c r="I267" s="739"/>
      <c r="J267" s="739"/>
      <c r="K267" s="739"/>
      <c r="L267" s="739"/>
      <c r="M267" s="1284"/>
      <c r="N267" s="739"/>
      <c r="O267" s="739"/>
      <c r="P267" s="739"/>
      <c r="Q267" s="739"/>
      <c r="R267" s="739"/>
      <c r="S267" s="739"/>
      <c r="T267" s="1171"/>
    </row>
    <row r="268" spans="2:22" ht="21" customHeight="1">
      <c r="B268" s="1167" t="str">
        <f>B266</f>
        <v>3/26</v>
      </c>
      <c r="C268" s="731" t="str">
        <f>VLOOKUP(mFEV17[[#This Row],[CÓDIGO CONTABIL]],Contas_Gerencial[#All],3,FALSE)</f>
        <v>BENEFICIO</v>
      </c>
      <c r="D268" s="1165" t="str">
        <f>VLOOKUP(mFEV17[[#This Row],[DESCRIÇÃO CONTABIL]],Contas_Gerencial[[#All],[DESCRIÇÃO DA CONTA - NÃO UTILIZAR]:[Código2]],2,FALSE)</f>
        <v>20.05.004</v>
      </c>
      <c r="E268" s="733" t="s">
        <v>72</v>
      </c>
      <c r="F268" s="712" t="s">
        <v>41</v>
      </c>
      <c r="G268" s="712" t="s">
        <v>595</v>
      </c>
      <c r="H268" s="712" t="s">
        <v>1803</v>
      </c>
      <c r="I268" s="716" t="s">
        <v>2065</v>
      </c>
      <c r="J268" s="711" t="s">
        <v>1146</v>
      </c>
      <c r="K268" s="922" t="s">
        <v>2103</v>
      </c>
      <c r="L268" s="729" t="s">
        <v>2591</v>
      </c>
      <c r="M268" s="1271">
        <v>46101</v>
      </c>
      <c r="N268" s="715">
        <v>46101</v>
      </c>
      <c r="O268" s="715" t="s">
        <v>2065</v>
      </c>
      <c r="P268" s="712" t="s">
        <v>1</v>
      </c>
      <c r="Q268" s="717">
        <v>23.52</v>
      </c>
      <c r="R268" s="730">
        <v>0</v>
      </c>
      <c r="S268" s="730">
        <v>0</v>
      </c>
      <c r="T268" s="115">
        <f>SUM(mFEV17[[#This Row],[PRINCIPAL]:[JUROS]])</f>
        <v>23.52</v>
      </c>
      <c r="V268" s="115"/>
    </row>
    <row r="269" spans="2:22" ht="21" customHeight="1">
      <c r="B269" s="1167" t="str">
        <f t="shared" si="9"/>
        <v>3/26</v>
      </c>
      <c r="C269" s="731" t="str">
        <f>VLOOKUP(mFEV17[[#This Row],[CÓDIGO CONTABIL]],Contas_Gerencial[#All],3,FALSE)</f>
        <v>BENEFICIO</v>
      </c>
      <c r="D269" s="1165" t="str">
        <f>VLOOKUP(mFEV17[[#This Row],[DESCRIÇÃO CONTABIL]],Contas_Gerencial[[#All],[DESCRIÇÃO DA CONTA - NÃO UTILIZAR]:[Código2]],2,FALSE)</f>
        <v>20.05.004</v>
      </c>
      <c r="E269" s="733" t="s">
        <v>72</v>
      </c>
      <c r="F269" s="712" t="s">
        <v>581</v>
      </c>
      <c r="G269" s="712" t="s">
        <v>595</v>
      </c>
      <c r="H269" s="712" t="s">
        <v>1803</v>
      </c>
      <c r="I269" s="716" t="s">
        <v>2065</v>
      </c>
      <c r="J269" s="711" t="s">
        <v>1146</v>
      </c>
      <c r="K269" s="922" t="s">
        <v>2105</v>
      </c>
      <c r="L269" s="729" t="s">
        <v>2591</v>
      </c>
      <c r="M269" s="1271">
        <v>46101</v>
      </c>
      <c r="N269" s="715">
        <v>46101</v>
      </c>
      <c r="O269" s="715" t="s">
        <v>2065</v>
      </c>
      <c r="P269" s="712" t="s">
        <v>1</v>
      </c>
      <c r="Q269" s="717">
        <f>3.36*1</f>
        <v>3.36</v>
      </c>
      <c r="R269" s="730">
        <v>0</v>
      </c>
      <c r="S269" s="730">
        <v>0</v>
      </c>
      <c r="T269" s="115">
        <f>SUM(mFEV17[[#This Row],[PRINCIPAL]:[JUROS]])</f>
        <v>3.36</v>
      </c>
    </row>
    <row r="270" spans="2:22" ht="21" customHeight="1">
      <c r="B270" s="1167" t="str">
        <f t="shared" si="9"/>
        <v>3/26</v>
      </c>
      <c r="C270" s="731" t="str">
        <f>VLOOKUP(mFEV17[[#This Row],[CÓDIGO CONTABIL]],Contas_Gerencial[#All],3,FALSE)</f>
        <v>BENEFICIO</v>
      </c>
      <c r="D270" s="1165" t="str">
        <f>VLOOKUP(mFEV17[[#This Row],[DESCRIÇÃO CONTABIL]],Contas_Gerencial[[#All],[DESCRIÇÃO DA CONTA - NÃO UTILIZAR]:[Código2]],2,FALSE)</f>
        <v>20.05.004</v>
      </c>
      <c r="E270" s="733" t="s">
        <v>72</v>
      </c>
      <c r="F270" s="712" t="s">
        <v>581</v>
      </c>
      <c r="G270" s="712" t="s">
        <v>1630</v>
      </c>
      <c r="H270" s="712" t="s">
        <v>1803</v>
      </c>
      <c r="I270" s="716" t="s">
        <v>2065</v>
      </c>
      <c r="J270" s="711" t="s">
        <v>1146</v>
      </c>
      <c r="K270" s="922" t="s">
        <v>2105</v>
      </c>
      <c r="L270" s="729" t="s">
        <v>2591</v>
      </c>
      <c r="M270" s="1271">
        <v>46101</v>
      </c>
      <c r="N270" s="715">
        <v>46101</v>
      </c>
      <c r="O270" s="715" t="s">
        <v>2065</v>
      </c>
      <c r="P270" s="712" t="s">
        <v>1</v>
      </c>
      <c r="Q270" s="717">
        <f>3.36*4</f>
        <v>13.44</v>
      </c>
      <c r="R270" s="730">
        <v>0</v>
      </c>
      <c r="S270" s="730">
        <v>0</v>
      </c>
      <c r="T270" s="115">
        <f>SUM(mFEV17[[#This Row],[PRINCIPAL]:[JUROS]])</f>
        <v>13.44</v>
      </c>
    </row>
    <row r="271" spans="2:22" ht="21" customHeight="1">
      <c r="B271" s="1167" t="str">
        <f t="shared" si="9"/>
        <v>3/26</v>
      </c>
      <c r="C271" s="731" t="str">
        <f>VLOOKUP(mFEV17[[#This Row],[CÓDIGO CONTABIL]],Contas_Gerencial[#All],3,FALSE)</f>
        <v>BENEFICIO</v>
      </c>
      <c r="D271" s="1165" t="str">
        <f>VLOOKUP(mFEV17[[#This Row],[DESCRIÇÃO CONTABIL]],Contas_Gerencial[[#All],[DESCRIÇÃO DA CONTA - NÃO UTILIZAR]:[Código2]],2,FALSE)</f>
        <v>20.05.004</v>
      </c>
      <c r="E271" s="733" t="s">
        <v>72</v>
      </c>
      <c r="F271" s="712" t="s">
        <v>581</v>
      </c>
      <c r="G271" s="712" t="s">
        <v>1137</v>
      </c>
      <c r="H271" s="712" t="s">
        <v>1803</v>
      </c>
      <c r="I271" s="716" t="s">
        <v>2065</v>
      </c>
      <c r="J271" s="711" t="s">
        <v>1146</v>
      </c>
      <c r="K271" s="922" t="s">
        <v>2105</v>
      </c>
      <c r="L271" s="729" t="s">
        <v>2591</v>
      </c>
      <c r="M271" s="1271">
        <v>46101</v>
      </c>
      <c r="N271" s="715">
        <v>46101</v>
      </c>
      <c r="O271" s="715" t="s">
        <v>2065</v>
      </c>
      <c r="P271" s="712" t="s">
        <v>1</v>
      </c>
      <c r="Q271" s="717">
        <f>3.36*6</f>
        <v>20.16</v>
      </c>
      <c r="R271" s="730">
        <v>0</v>
      </c>
      <c r="S271" s="730">
        <v>0</v>
      </c>
      <c r="T271" s="115">
        <f>SUM(mFEV17[[#This Row],[PRINCIPAL]:[JUROS]])</f>
        <v>20.16</v>
      </c>
    </row>
    <row r="272" spans="2:22" ht="21" customHeight="1">
      <c r="B272" s="1167" t="str">
        <f t="shared" si="9"/>
        <v>3/26</v>
      </c>
      <c r="C272" s="731" t="str">
        <f>VLOOKUP(mFEV17[[#This Row],[CÓDIGO CONTABIL]],Contas_Gerencial[#All],3,FALSE)</f>
        <v>BENEFICIO</v>
      </c>
      <c r="D272" s="1165" t="str">
        <f>VLOOKUP(mFEV17[[#This Row],[DESCRIÇÃO CONTABIL]],Contas_Gerencial[[#All],[DESCRIÇÃO DA CONTA - NÃO UTILIZAR]:[Código2]],2,FALSE)</f>
        <v>20.05.004</v>
      </c>
      <c r="E272" s="733" t="s">
        <v>72</v>
      </c>
      <c r="F272" s="712" t="s">
        <v>581</v>
      </c>
      <c r="G272" s="712" t="s">
        <v>1768</v>
      </c>
      <c r="H272" s="712" t="s">
        <v>1803</v>
      </c>
      <c r="I272" s="716" t="s">
        <v>2065</v>
      </c>
      <c r="J272" s="711" t="s">
        <v>1146</v>
      </c>
      <c r="K272" s="922" t="s">
        <v>2105</v>
      </c>
      <c r="L272" s="729" t="s">
        <v>2591</v>
      </c>
      <c r="M272" s="1271">
        <v>46101</v>
      </c>
      <c r="N272" s="715">
        <v>46101</v>
      </c>
      <c r="O272" s="715" t="s">
        <v>2065</v>
      </c>
      <c r="P272" s="712" t="s">
        <v>1</v>
      </c>
      <c r="Q272" s="717">
        <f>3.36*2</f>
        <v>6.72</v>
      </c>
      <c r="R272" s="730">
        <v>0</v>
      </c>
      <c r="S272" s="730">
        <v>0</v>
      </c>
      <c r="T272" s="115">
        <f>SUM(mFEV17[[#This Row],[PRINCIPAL]:[JUROS]])</f>
        <v>6.72</v>
      </c>
    </row>
    <row r="273" spans="2:22" ht="21" customHeight="1">
      <c r="B273" s="1175" t="str">
        <f>B272</f>
        <v>3/26</v>
      </c>
      <c r="C273" s="739" t="s">
        <v>35</v>
      </c>
      <c r="D273" s="1176" t="s">
        <v>35</v>
      </c>
      <c r="E273" s="739" t="s">
        <v>35</v>
      </c>
      <c r="F273" s="739"/>
      <c r="G273" s="739"/>
      <c r="H273" s="739"/>
      <c r="I273" s="739"/>
      <c r="J273" s="739"/>
      <c r="K273" s="739"/>
      <c r="L273" s="739"/>
      <c r="M273" s="1284"/>
      <c r="N273" s="739"/>
      <c r="O273" s="739"/>
      <c r="P273" s="739"/>
      <c r="Q273" s="739"/>
      <c r="R273" s="739"/>
      <c r="S273" s="739"/>
      <c r="T273" s="1171"/>
    </row>
    <row r="274" spans="2:22" ht="21" customHeight="1">
      <c r="B274" s="1167" t="str">
        <f t="shared" si="9"/>
        <v>3/26</v>
      </c>
      <c r="C274" s="731" t="str">
        <f>VLOOKUP(mFEV17[[#This Row],[CÓDIGO CONTABIL]],Contas_Gerencial[#All],3,FALSE)</f>
        <v>SERVIÇOS DE TERCEIROS</v>
      </c>
      <c r="D274" s="1165" t="str">
        <f>VLOOKUP(mFEV17[[#This Row],[DESCRIÇÃO CONTABIL]],Contas_Gerencial[[#All],[DESCRIÇÃO DA CONTA - NÃO UTILIZAR]:[Código2]],2,FALSE)</f>
        <v>20.07.028</v>
      </c>
      <c r="E274" s="713" t="s">
        <v>881</v>
      </c>
      <c r="F274" s="712" t="s">
        <v>41</v>
      </c>
      <c r="G274" s="713" t="s">
        <v>595</v>
      </c>
      <c r="H274" s="712" t="s">
        <v>1803</v>
      </c>
      <c r="I274" s="716" t="s">
        <v>2065</v>
      </c>
      <c r="J274" s="711" t="s">
        <v>1038</v>
      </c>
      <c r="K274" s="711" t="s">
        <v>1804</v>
      </c>
      <c r="L274" s="729" t="s">
        <v>2591</v>
      </c>
      <c r="M274" s="1271" t="s">
        <v>2065</v>
      </c>
      <c r="N274" s="715">
        <v>46092</v>
      </c>
      <c r="O274" s="715" t="s">
        <v>2065</v>
      </c>
      <c r="P274" s="712" t="s">
        <v>1</v>
      </c>
      <c r="Q274" s="730">
        <v>39</v>
      </c>
      <c r="R274" s="730">
        <v>0</v>
      </c>
      <c r="S274" s="730">
        <v>0</v>
      </c>
      <c r="T274" s="115">
        <f>SUM(mFEV17[[#This Row],[PRINCIPAL]:[JUROS]])</f>
        <v>39</v>
      </c>
      <c r="V274" s="115"/>
    </row>
    <row r="275" spans="2:22" ht="21" customHeight="1">
      <c r="B275" s="1167" t="str">
        <f t="shared" si="9"/>
        <v>3/26</v>
      </c>
      <c r="C275" s="731" t="str">
        <f>VLOOKUP(mFEV17[[#This Row],[CÓDIGO CONTABIL]],Contas_Gerencial[#All],3,FALSE)</f>
        <v>SERVIÇOS DE TERCEIROS</v>
      </c>
      <c r="D275" s="1165" t="str">
        <f>VLOOKUP(mFEV17[[#This Row],[DESCRIÇÃO CONTABIL]],Contas_Gerencial[[#All],[DESCRIÇÃO DA CONTA - NÃO UTILIZAR]:[Código2]],2,FALSE)</f>
        <v>20.07.028</v>
      </c>
      <c r="E275" s="731" t="s">
        <v>881</v>
      </c>
      <c r="F275" s="711" t="s">
        <v>41</v>
      </c>
      <c r="G275" s="731" t="s">
        <v>595</v>
      </c>
      <c r="H275" s="711" t="s">
        <v>1802</v>
      </c>
      <c r="I275" s="716" t="s">
        <v>2065</v>
      </c>
      <c r="J275" s="711" t="s">
        <v>1106</v>
      </c>
      <c r="K275" s="711" t="s">
        <v>2044</v>
      </c>
      <c r="L275" s="729" t="s">
        <v>2591</v>
      </c>
      <c r="M275" s="1271" t="s">
        <v>2065</v>
      </c>
      <c r="N275" s="715">
        <v>46101</v>
      </c>
      <c r="O275" s="715" t="s">
        <v>2065</v>
      </c>
      <c r="P275" s="712" t="s">
        <v>1</v>
      </c>
      <c r="Q275" s="730">
        <v>1365</v>
      </c>
      <c r="R275" s="730">
        <v>0</v>
      </c>
      <c r="S275" s="730">
        <v>0</v>
      </c>
      <c r="T275" s="115">
        <f>SUM(mFEV17[[#This Row],[PRINCIPAL]:[JUROS]])</f>
        <v>1365</v>
      </c>
      <c r="V275" s="115"/>
    </row>
    <row r="276" spans="2:22" ht="21" customHeight="1">
      <c r="B276" s="1167" t="str">
        <f t="shared" si="9"/>
        <v>3/26</v>
      </c>
      <c r="C276" s="731" t="str">
        <f>VLOOKUP(mFEV17[[#This Row],[CÓDIGO CONTABIL]],Contas_Gerencial[#All],3,FALSE)</f>
        <v>SERVIÇOS DE TERCEIROS</v>
      </c>
      <c r="D276" s="1165" t="str">
        <f>VLOOKUP(mFEV17[[#This Row],[DESCRIÇÃO CONTABIL]],Contas_Gerencial[[#All],[DESCRIÇÃO DA CONTA - NÃO UTILIZAR]:[Código2]],2,FALSE)</f>
        <v>20.07.002</v>
      </c>
      <c r="E276" s="713" t="s">
        <v>294</v>
      </c>
      <c r="F276" s="712" t="s">
        <v>41</v>
      </c>
      <c r="G276" s="713" t="s">
        <v>595</v>
      </c>
      <c r="H276" s="712" t="s">
        <v>1802</v>
      </c>
      <c r="I276" s="716" t="s">
        <v>2065</v>
      </c>
      <c r="J276" s="711" t="s">
        <v>1125</v>
      </c>
      <c r="K276" s="711" t="s">
        <v>1859</v>
      </c>
      <c r="L276" s="729" t="s">
        <v>2591</v>
      </c>
      <c r="M276" s="1271" t="s">
        <v>2065</v>
      </c>
      <c r="N276" s="715">
        <v>46101</v>
      </c>
      <c r="O276" s="715" t="s">
        <v>2065</v>
      </c>
      <c r="P276" s="712" t="s">
        <v>1</v>
      </c>
      <c r="Q276" s="730">
        <f>1320*1</f>
        <v>1320</v>
      </c>
      <c r="R276" s="730">
        <v>0</v>
      </c>
      <c r="S276" s="730">
        <v>0</v>
      </c>
      <c r="T276" s="115">
        <f>SUM(mFEV17[[#This Row],[PRINCIPAL]:[JUROS]])</f>
        <v>1320</v>
      </c>
      <c r="V276" s="115"/>
    </row>
    <row r="277" spans="2:22" ht="21" customHeight="1">
      <c r="B277" s="1167" t="str">
        <f t="shared" si="9"/>
        <v>3/26</v>
      </c>
      <c r="C277" s="731" t="str">
        <f>VLOOKUP(mFEV17[[#This Row],[CÓDIGO CONTABIL]],Contas_Gerencial[#All],3,FALSE)</f>
        <v>SERVIÇOS DE TERCEIROS</v>
      </c>
      <c r="D277" s="1165" t="str">
        <f>VLOOKUP(mFEV17[[#This Row],[DESCRIÇÃO CONTABIL]],Contas_Gerencial[[#All],[DESCRIÇÃO DA CONTA - NÃO UTILIZAR]:[Código2]],2,FALSE)</f>
        <v>20.07.002</v>
      </c>
      <c r="E277" s="713" t="s">
        <v>294</v>
      </c>
      <c r="F277" s="712" t="s">
        <v>582</v>
      </c>
      <c r="G277" s="713" t="s">
        <v>595</v>
      </c>
      <c r="H277" s="712" t="s">
        <v>1802</v>
      </c>
      <c r="I277" s="716" t="s">
        <v>2065</v>
      </c>
      <c r="J277" s="711" t="s">
        <v>1125</v>
      </c>
      <c r="K277" s="711" t="s">
        <v>1859</v>
      </c>
      <c r="L277" s="729" t="s">
        <v>2591</v>
      </c>
      <c r="M277" s="1271" t="s">
        <v>2065</v>
      </c>
      <c r="N277" s="715">
        <v>46101</v>
      </c>
      <c r="O277" s="715" t="s">
        <v>2065</v>
      </c>
      <c r="P277" s="712" t="s">
        <v>1</v>
      </c>
      <c r="Q277" s="730">
        <f>500*1</f>
        <v>500</v>
      </c>
      <c r="R277" s="730">
        <v>0</v>
      </c>
      <c r="S277" s="730">
        <v>0</v>
      </c>
      <c r="T277" s="115">
        <f>SUM(mFEV17[[#This Row],[PRINCIPAL]:[JUROS]])</f>
        <v>500</v>
      </c>
      <c r="V277" s="115"/>
    </row>
    <row r="278" spans="2:22" ht="21" customHeight="1">
      <c r="B278" s="1167" t="str">
        <f t="shared" si="9"/>
        <v>3/26</v>
      </c>
      <c r="C278" s="731" t="str">
        <f>VLOOKUP(mFEV17[[#This Row],[CÓDIGO CONTABIL]],Contas_Gerencial[#All],3,FALSE)</f>
        <v>SERVIÇOS DE TERCEIROS</v>
      </c>
      <c r="D278" s="1165" t="str">
        <f>VLOOKUP(mFEV17[[#This Row],[DESCRIÇÃO CONTABIL]],Contas_Gerencial[[#All],[DESCRIÇÃO DA CONTA - NÃO UTILIZAR]:[Código2]],2,FALSE)</f>
        <v>20.07.002</v>
      </c>
      <c r="E278" s="713" t="s">
        <v>294</v>
      </c>
      <c r="F278" s="712" t="s">
        <v>581</v>
      </c>
      <c r="G278" s="713" t="s">
        <v>595</v>
      </c>
      <c r="H278" s="712" t="s">
        <v>1802</v>
      </c>
      <c r="I278" s="716" t="s">
        <v>2065</v>
      </c>
      <c r="J278" s="711" t="s">
        <v>1125</v>
      </c>
      <c r="K278" s="711" t="s">
        <v>1859</v>
      </c>
      <c r="L278" s="729" t="s">
        <v>2591</v>
      </c>
      <c r="M278" s="1271" t="s">
        <v>2065</v>
      </c>
      <c r="N278" s="715">
        <v>46101</v>
      </c>
      <c r="O278" s="715" t="s">
        <v>2065</v>
      </c>
      <c r="P278" s="712" t="s">
        <v>1</v>
      </c>
      <c r="Q278" s="730">
        <f>730*1</f>
        <v>730</v>
      </c>
      <c r="R278" s="730">
        <v>0</v>
      </c>
      <c r="S278" s="730">
        <v>0</v>
      </c>
      <c r="T278" s="115">
        <f>SUM(mFEV17[[#This Row],[PRINCIPAL]:[JUROS]])</f>
        <v>730</v>
      </c>
      <c r="V278" s="115"/>
    </row>
    <row r="279" spans="2:22" ht="21" customHeight="1">
      <c r="B279" s="1167" t="str">
        <f t="shared" si="9"/>
        <v>3/26</v>
      </c>
      <c r="C279" s="731" t="str">
        <f>VLOOKUP(mFEV17[[#This Row],[CÓDIGO CONTABIL]],Contas_Gerencial[#All],3,FALSE)</f>
        <v>SERVIÇOS DE TERCEIROS</v>
      </c>
      <c r="D279" s="1165" t="str">
        <f>VLOOKUP(mFEV17[[#This Row],[DESCRIÇÃO CONTABIL]],Contas_Gerencial[[#All],[DESCRIÇÃO DA CONTA - NÃO UTILIZAR]:[Código2]],2,FALSE)</f>
        <v>20.07.018</v>
      </c>
      <c r="E279" s="713" t="s">
        <v>265</v>
      </c>
      <c r="F279" s="712" t="s">
        <v>41</v>
      </c>
      <c r="G279" s="713" t="s">
        <v>1767</v>
      </c>
      <c r="H279" s="712" t="s">
        <v>1803</v>
      </c>
      <c r="I279" s="716" t="s">
        <v>2065</v>
      </c>
      <c r="J279" s="711" t="s">
        <v>260</v>
      </c>
      <c r="K279" s="711" t="s">
        <v>1815</v>
      </c>
      <c r="L279" s="729" t="s">
        <v>2591</v>
      </c>
      <c r="M279" s="1271" t="s">
        <v>2065</v>
      </c>
      <c r="N279" s="715">
        <v>46101</v>
      </c>
      <c r="O279" s="715" t="s">
        <v>2065</v>
      </c>
      <c r="P279" s="712" t="s">
        <v>1</v>
      </c>
      <c r="Q279" s="730">
        <v>580</v>
      </c>
      <c r="R279" s="730">
        <v>0</v>
      </c>
      <c r="S279" s="730">
        <v>0</v>
      </c>
      <c r="T279" s="115">
        <f>SUM(mFEV17[[#This Row],[PRINCIPAL]:[JUROS]])</f>
        <v>580</v>
      </c>
      <c r="V279" s="115"/>
    </row>
    <row r="280" spans="2:22" ht="21" customHeight="1">
      <c r="B280" s="1175" t="str">
        <f>B279</f>
        <v>3/26</v>
      </c>
      <c r="C280" s="739" t="s">
        <v>42</v>
      </c>
      <c r="D280" s="1176" t="s">
        <v>42</v>
      </c>
      <c r="E280" s="739" t="s">
        <v>42</v>
      </c>
      <c r="F280" s="739"/>
      <c r="G280" s="739"/>
      <c r="H280" s="739"/>
      <c r="I280" s="739"/>
      <c r="J280" s="739"/>
      <c r="K280" s="739"/>
      <c r="L280" s="739"/>
      <c r="M280" s="1284"/>
      <c r="N280" s="739"/>
      <c r="O280" s="739"/>
      <c r="P280" s="739"/>
      <c r="Q280" s="739"/>
      <c r="R280" s="739"/>
      <c r="S280" s="739"/>
      <c r="T280" s="1171"/>
    </row>
    <row r="281" spans="2:22" ht="21" customHeight="1">
      <c r="B281" s="1167" t="str">
        <f t="shared" si="9"/>
        <v>3/26</v>
      </c>
      <c r="C281" s="731" t="str">
        <f>VLOOKUP(mFEV17[[#This Row],[CÓDIGO CONTABIL]],Contas_Gerencial[#All],3,FALSE)</f>
        <v>DESPESAS GERAIS</v>
      </c>
      <c r="D281" s="1165" t="str">
        <f>VLOOKUP(mFEV17[[#This Row],[DESCRIÇÃO CONTABIL]],Contas_Gerencial[[#All],[DESCRIÇÃO DA CONTA - NÃO UTILIZAR]:[Código2]],2,FALSE)</f>
        <v>20.03.006</v>
      </c>
      <c r="E281" s="731" t="s">
        <v>6</v>
      </c>
      <c r="F281" s="711" t="s">
        <v>41</v>
      </c>
      <c r="G281" s="718" t="s">
        <v>1081</v>
      </c>
      <c r="H281" s="711" t="s">
        <v>1788</v>
      </c>
      <c r="I281" s="716" t="s">
        <v>2065</v>
      </c>
      <c r="J281" s="711" t="s">
        <v>1105</v>
      </c>
      <c r="K281" s="711" t="s">
        <v>6</v>
      </c>
      <c r="L281" s="729" t="s">
        <v>2591</v>
      </c>
      <c r="M281" s="1271" t="s">
        <v>2065</v>
      </c>
      <c r="N281" s="715">
        <v>46101</v>
      </c>
      <c r="O281" s="715" t="s">
        <v>2065</v>
      </c>
      <c r="P281" s="712" t="s">
        <v>1</v>
      </c>
      <c r="Q281" s="734">
        <v>367.82</v>
      </c>
      <c r="R281" s="730">
        <v>0</v>
      </c>
      <c r="S281" s="730">
        <v>0</v>
      </c>
      <c r="T281" s="115">
        <f>SUM(mFEV17[[#This Row],[PRINCIPAL]:[JUROS]])</f>
        <v>367.82</v>
      </c>
    </row>
    <row r="282" spans="2:22" ht="21" customHeight="1">
      <c r="B282" s="1167" t="str">
        <f t="shared" si="9"/>
        <v>3/26</v>
      </c>
      <c r="C282" s="731" t="str">
        <f>VLOOKUP(mFEV17[[#This Row],[CÓDIGO CONTABIL]],Contas_Gerencial[#All],3,FALSE)</f>
        <v>DESPESAS GERAIS</v>
      </c>
      <c r="D282" s="1165" t="str">
        <f>VLOOKUP(mFEV17[[#This Row],[DESCRIÇÃO CONTABIL]],Contas_Gerencial[[#All],[DESCRIÇÃO DA CONTA - NÃO UTILIZAR]:[Código2]],2,FALSE)</f>
        <v>20.03.006</v>
      </c>
      <c r="E282" s="731" t="s">
        <v>6</v>
      </c>
      <c r="F282" s="711" t="s">
        <v>41</v>
      </c>
      <c r="G282" s="718" t="s">
        <v>982</v>
      </c>
      <c r="H282" s="711" t="s">
        <v>1788</v>
      </c>
      <c r="I282" s="716" t="s">
        <v>2065</v>
      </c>
      <c r="J282" s="711" t="s">
        <v>1105</v>
      </c>
      <c r="K282" s="711" t="s">
        <v>6</v>
      </c>
      <c r="L282" s="729" t="s">
        <v>2591</v>
      </c>
      <c r="M282" s="1271" t="s">
        <v>2065</v>
      </c>
      <c r="N282" s="715">
        <v>46101</v>
      </c>
      <c r="O282" s="715" t="s">
        <v>2065</v>
      </c>
      <c r="P282" s="712" t="s">
        <v>1</v>
      </c>
      <c r="Q282" s="734">
        <v>392.01</v>
      </c>
      <c r="R282" s="730">
        <v>0</v>
      </c>
      <c r="S282" s="730">
        <v>0</v>
      </c>
      <c r="T282" s="115">
        <f>SUM(mFEV17[[#This Row],[PRINCIPAL]:[JUROS]])</f>
        <v>392.01</v>
      </c>
    </row>
    <row r="283" spans="2:22" ht="21" customHeight="1">
      <c r="B283" s="1167" t="str">
        <f t="shared" si="9"/>
        <v>3/26</v>
      </c>
      <c r="C283" s="731" t="str">
        <f>VLOOKUP(mFEV17[[#This Row],[CÓDIGO CONTABIL]],Contas_Gerencial[#All],3,FALSE)</f>
        <v>DESPESAS GERAIS</v>
      </c>
      <c r="D283" s="1165" t="str">
        <f>VLOOKUP(mFEV17[[#This Row],[DESCRIÇÃO CONTABIL]],Contas_Gerencial[[#All],[DESCRIÇÃO DA CONTA - NÃO UTILIZAR]:[Código2]],2,FALSE)</f>
        <v>20.03.006</v>
      </c>
      <c r="E283" s="731" t="s">
        <v>6</v>
      </c>
      <c r="F283" s="711" t="s">
        <v>41</v>
      </c>
      <c r="G283" s="718" t="s">
        <v>49</v>
      </c>
      <c r="H283" s="711" t="s">
        <v>1788</v>
      </c>
      <c r="I283" s="716" t="s">
        <v>2065</v>
      </c>
      <c r="J283" s="711" t="s">
        <v>1105</v>
      </c>
      <c r="K283" s="711" t="s">
        <v>6</v>
      </c>
      <c r="L283" s="729" t="s">
        <v>2591</v>
      </c>
      <c r="M283" s="1271" t="s">
        <v>2065</v>
      </c>
      <c r="N283" s="715">
        <v>46101</v>
      </c>
      <c r="O283" s="715" t="s">
        <v>2065</v>
      </c>
      <c r="P283" s="712" t="s">
        <v>1</v>
      </c>
      <c r="Q283" s="734">
        <v>555.04</v>
      </c>
      <c r="R283" s="730">
        <v>0</v>
      </c>
      <c r="S283" s="730">
        <v>0</v>
      </c>
      <c r="T283" s="115">
        <f>SUM(mFEV17[[#This Row],[PRINCIPAL]:[JUROS]])</f>
        <v>555.04</v>
      </c>
    </row>
    <row r="284" spans="2:22" ht="21" customHeight="1">
      <c r="B284" s="1167" t="str">
        <f t="shared" si="9"/>
        <v>3/26</v>
      </c>
      <c r="C284" s="731" t="str">
        <f>VLOOKUP(mFEV17[[#This Row],[CÓDIGO CONTABIL]],Contas_Gerencial[#All],3,FALSE)</f>
        <v>DESPESAS GERAIS</v>
      </c>
      <c r="D284" s="1165" t="str">
        <f>VLOOKUP(mFEV17[[#This Row],[DESCRIÇÃO CONTABIL]],Contas_Gerencial[[#All],[DESCRIÇÃO DA CONTA - NÃO UTILIZAR]:[Código2]],2,FALSE)</f>
        <v>20.03.006</v>
      </c>
      <c r="E284" s="731" t="s">
        <v>6</v>
      </c>
      <c r="F284" s="711" t="s">
        <v>41</v>
      </c>
      <c r="G284" s="718" t="s">
        <v>1767</v>
      </c>
      <c r="H284" s="711" t="s">
        <v>1788</v>
      </c>
      <c r="I284" s="716" t="s">
        <v>2065</v>
      </c>
      <c r="J284" s="711" t="s">
        <v>1105</v>
      </c>
      <c r="K284" s="711" t="s">
        <v>6</v>
      </c>
      <c r="L284" s="729" t="s">
        <v>2591</v>
      </c>
      <c r="M284" s="1271" t="s">
        <v>2065</v>
      </c>
      <c r="N284" s="715">
        <v>46101</v>
      </c>
      <c r="O284" s="715" t="s">
        <v>2065</v>
      </c>
      <c r="P284" s="712" t="s">
        <v>1</v>
      </c>
      <c r="Q284" s="734">
        <v>995.44</v>
      </c>
      <c r="R284" s="730">
        <v>0</v>
      </c>
      <c r="S284" s="730">
        <v>0</v>
      </c>
      <c r="T284" s="115">
        <f>SUM(mFEV17[[#This Row],[PRINCIPAL]:[JUROS]])</f>
        <v>995.44</v>
      </c>
    </row>
    <row r="285" spans="2:22" ht="21" customHeight="1">
      <c r="B285" s="1167" t="str">
        <f t="shared" si="9"/>
        <v>3/26</v>
      </c>
      <c r="C285" s="731" t="str">
        <f>VLOOKUP(mFEV17[[#This Row],[CÓDIGO CONTABIL]],Contas_Gerencial[#All],3,FALSE)</f>
        <v>DESPESAS GERAIS</v>
      </c>
      <c r="D285" s="1165" t="str">
        <f>VLOOKUP(mFEV17[[#This Row],[DESCRIÇÃO CONTABIL]],Contas_Gerencial[[#All],[DESCRIÇÃO DA CONTA - NÃO UTILIZAR]:[Código2]],2,FALSE)</f>
        <v>20.03.006</v>
      </c>
      <c r="E285" s="731" t="s">
        <v>6</v>
      </c>
      <c r="F285" s="711" t="s">
        <v>582</v>
      </c>
      <c r="G285" s="718" t="s">
        <v>653</v>
      </c>
      <c r="H285" s="711" t="s">
        <v>1788</v>
      </c>
      <c r="I285" s="716" t="s">
        <v>2065</v>
      </c>
      <c r="J285" s="711" t="s">
        <v>1105</v>
      </c>
      <c r="K285" s="711" t="s">
        <v>2028</v>
      </c>
      <c r="L285" s="729" t="s">
        <v>2591</v>
      </c>
      <c r="M285" s="1271" t="s">
        <v>2065</v>
      </c>
      <c r="N285" s="715">
        <v>46101</v>
      </c>
      <c r="O285" s="715" t="s">
        <v>2065</v>
      </c>
      <c r="P285" s="712" t="s">
        <v>1</v>
      </c>
      <c r="Q285" s="734">
        <v>0</v>
      </c>
      <c r="R285" s="730">
        <v>0</v>
      </c>
      <c r="S285" s="730">
        <v>0</v>
      </c>
      <c r="T285" s="115">
        <f>SUM(mFEV17[[#This Row],[PRINCIPAL]:[JUROS]])</f>
        <v>0</v>
      </c>
    </row>
    <row r="286" spans="2:22" ht="21" customHeight="1">
      <c r="B286" s="1167" t="str">
        <f t="shared" si="9"/>
        <v>3/26</v>
      </c>
      <c r="C286" s="731" t="str">
        <f>VLOOKUP(mFEV17[[#This Row],[CÓDIGO CONTABIL]],Contas_Gerencial[#All],3,FALSE)</f>
        <v>DESPESAS GERAIS</v>
      </c>
      <c r="D286" s="1165" t="str">
        <f>VLOOKUP(mFEV17[[#This Row],[DESCRIÇÃO CONTABIL]],Contas_Gerencial[[#All],[DESCRIÇÃO DA CONTA - NÃO UTILIZAR]:[Código2]],2,FALSE)</f>
        <v>20.03.006</v>
      </c>
      <c r="E286" s="731" t="s">
        <v>6</v>
      </c>
      <c r="F286" s="711" t="s">
        <v>582</v>
      </c>
      <c r="G286" s="718" t="s">
        <v>583</v>
      </c>
      <c r="H286" s="711" t="s">
        <v>1788</v>
      </c>
      <c r="I286" s="716" t="s">
        <v>2065</v>
      </c>
      <c r="J286" s="711" t="s">
        <v>1105</v>
      </c>
      <c r="K286" s="711" t="s">
        <v>6</v>
      </c>
      <c r="L286" s="729" t="s">
        <v>2591</v>
      </c>
      <c r="M286" s="1271" t="s">
        <v>2065</v>
      </c>
      <c r="N286" s="715">
        <v>46101</v>
      </c>
      <c r="O286" s="715" t="s">
        <v>2065</v>
      </c>
      <c r="P286" s="712" t="s">
        <v>1</v>
      </c>
      <c r="Q286" s="734">
        <v>781.38</v>
      </c>
      <c r="R286" s="730">
        <v>0</v>
      </c>
      <c r="S286" s="730">
        <v>0</v>
      </c>
      <c r="T286" s="115">
        <f>SUM(mFEV17[[#This Row],[PRINCIPAL]:[JUROS]])</f>
        <v>781.38</v>
      </c>
    </row>
    <row r="287" spans="2:22" ht="21" customHeight="1">
      <c r="B287" s="1167" t="str">
        <f t="shared" si="9"/>
        <v>3/26</v>
      </c>
      <c r="C287" s="731" t="str">
        <f>VLOOKUP(mFEV17[[#This Row],[CÓDIGO CONTABIL]],Contas_Gerencial[#All],3,FALSE)</f>
        <v>DESPESAS GERAIS</v>
      </c>
      <c r="D287" s="1165" t="str">
        <f>VLOOKUP(mFEV17[[#This Row],[DESCRIÇÃO CONTABIL]],Contas_Gerencial[[#All],[DESCRIÇÃO DA CONTA - NÃO UTILIZAR]:[Código2]],2,FALSE)</f>
        <v>20.03.006</v>
      </c>
      <c r="E287" s="731" t="s">
        <v>6</v>
      </c>
      <c r="F287" s="711" t="s">
        <v>582</v>
      </c>
      <c r="G287" s="718" t="s">
        <v>638</v>
      </c>
      <c r="H287" s="711" t="s">
        <v>1788</v>
      </c>
      <c r="I287" s="716" t="s">
        <v>2065</v>
      </c>
      <c r="J287" s="711" t="s">
        <v>1105</v>
      </c>
      <c r="K287" s="711" t="s">
        <v>6</v>
      </c>
      <c r="L287" s="729" t="s">
        <v>2591</v>
      </c>
      <c r="M287" s="1271" t="s">
        <v>2065</v>
      </c>
      <c r="N287" s="715">
        <v>46101</v>
      </c>
      <c r="O287" s="715" t="s">
        <v>2065</v>
      </c>
      <c r="P287" s="712" t="s">
        <v>1</v>
      </c>
      <c r="Q287" s="734">
        <v>294.54000000000002</v>
      </c>
      <c r="R287" s="730">
        <v>0</v>
      </c>
      <c r="S287" s="730">
        <v>0</v>
      </c>
      <c r="T287" s="115">
        <f>SUM(mFEV17[[#This Row],[PRINCIPAL]:[JUROS]])</f>
        <v>294.54000000000002</v>
      </c>
    </row>
    <row r="288" spans="2:22" ht="21" customHeight="1">
      <c r="B288" s="1167" t="str">
        <f t="shared" si="9"/>
        <v>3/26</v>
      </c>
      <c r="C288" s="731" t="str">
        <f>VLOOKUP(mFEV17[[#This Row],[CÓDIGO CONTABIL]],Contas_Gerencial[#All],3,FALSE)</f>
        <v>DESPESAS GERAIS</v>
      </c>
      <c r="D288" s="1165" t="str">
        <f>VLOOKUP(mFEV17[[#This Row],[DESCRIÇÃO CONTABIL]],Contas_Gerencial[[#All],[DESCRIÇÃO DA CONTA - NÃO UTILIZAR]:[Código2]],2,FALSE)</f>
        <v>20.03.006</v>
      </c>
      <c r="E288" s="731" t="s">
        <v>6</v>
      </c>
      <c r="F288" s="711" t="s">
        <v>582</v>
      </c>
      <c r="G288" s="718" t="s">
        <v>1082</v>
      </c>
      <c r="H288" s="711" t="s">
        <v>1788</v>
      </c>
      <c r="I288" s="716" t="s">
        <v>2065</v>
      </c>
      <c r="J288" s="711" t="s">
        <v>1105</v>
      </c>
      <c r="K288" s="711" t="s">
        <v>6</v>
      </c>
      <c r="L288" s="729" t="s">
        <v>2591</v>
      </c>
      <c r="M288" s="1271" t="s">
        <v>2065</v>
      </c>
      <c r="N288" s="715">
        <v>46101</v>
      </c>
      <c r="O288" s="715" t="s">
        <v>2065</v>
      </c>
      <c r="P288" s="712" t="s">
        <v>1</v>
      </c>
      <c r="Q288" s="734">
        <v>135.71</v>
      </c>
      <c r="R288" s="730">
        <v>0</v>
      </c>
      <c r="S288" s="730">
        <v>0</v>
      </c>
      <c r="T288" s="115">
        <f>SUM(mFEV17[[#This Row],[PRINCIPAL]:[JUROS]])</f>
        <v>135.71</v>
      </c>
    </row>
    <row r="289" spans="2:20" ht="21" customHeight="1">
      <c r="B289" s="1167" t="str">
        <f t="shared" si="9"/>
        <v>3/26</v>
      </c>
      <c r="C289" s="731" t="str">
        <f>VLOOKUP(mFEV17[[#This Row],[CÓDIGO CONTABIL]],Contas_Gerencial[#All],3,FALSE)</f>
        <v>DESPESAS GERAIS</v>
      </c>
      <c r="D289" s="1165" t="str">
        <f>VLOOKUP(mFEV17[[#This Row],[DESCRIÇÃO CONTABIL]],Contas_Gerencial[[#All],[DESCRIÇÃO DA CONTA - NÃO UTILIZAR]:[Código2]],2,FALSE)</f>
        <v>20.03.006</v>
      </c>
      <c r="E289" s="731" t="s">
        <v>6</v>
      </c>
      <c r="F289" s="711" t="s">
        <v>582</v>
      </c>
      <c r="G289" s="718" t="s">
        <v>1082</v>
      </c>
      <c r="H289" s="711" t="s">
        <v>1788</v>
      </c>
      <c r="I289" s="716" t="s">
        <v>2065</v>
      </c>
      <c r="J289" s="711" t="s">
        <v>1105</v>
      </c>
      <c r="K289" s="711" t="s">
        <v>2283</v>
      </c>
      <c r="L289" s="729" t="s">
        <v>2591</v>
      </c>
      <c r="M289" s="1271" t="s">
        <v>2065</v>
      </c>
      <c r="N289" s="715">
        <v>46101</v>
      </c>
      <c r="O289" s="715" t="s">
        <v>2065</v>
      </c>
      <c r="P289" s="712" t="s">
        <v>1</v>
      </c>
      <c r="Q289" s="734">
        <v>213.05</v>
      </c>
      <c r="R289" s="730">
        <v>0</v>
      </c>
      <c r="S289" s="730">
        <v>0</v>
      </c>
      <c r="T289" s="115">
        <f>SUM(mFEV17[[#This Row],[PRINCIPAL]:[JUROS]])</f>
        <v>213.05</v>
      </c>
    </row>
    <row r="290" spans="2:20" ht="21" customHeight="1">
      <c r="B290" s="1167" t="str">
        <f t="shared" si="9"/>
        <v>3/26</v>
      </c>
      <c r="C290" s="731" t="str">
        <f>VLOOKUP(mFEV17[[#This Row],[CÓDIGO CONTABIL]],Contas_Gerencial[#All],3,FALSE)</f>
        <v>DESPESAS GERAIS</v>
      </c>
      <c r="D290" s="1165" t="str">
        <f>VLOOKUP(mFEV17[[#This Row],[DESCRIÇÃO CONTABIL]],Contas_Gerencial[[#All],[DESCRIÇÃO DA CONTA - NÃO UTILIZAR]:[Código2]],2,FALSE)</f>
        <v>20.03.006</v>
      </c>
      <c r="E290" s="731" t="s">
        <v>6</v>
      </c>
      <c r="F290" s="711" t="s">
        <v>581</v>
      </c>
      <c r="G290" s="718" t="s">
        <v>1003</v>
      </c>
      <c r="H290" s="711" t="s">
        <v>1788</v>
      </c>
      <c r="I290" s="716" t="s">
        <v>2065</v>
      </c>
      <c r="J290" s="711" t="s">
        <v>1105</v>
      </c>
      <c r="K290" s="711" t="s">
        <v>6</v>
      </c>
      <c r="L290" s="729" t="s">
        <v>2591</v>
      </c>
      <c r="M290" s="1271" t="s">
        <v>2065</v>
      </c>
      <c r="N290" s="715">
        <v>46101</v>
      </c>
      <c r="O290" s="715" t="s">
        <v>2065</v>
      </c>
      <c r="P290" s="712" t="s">
        <v>1</v>
      </c>
      <c r="Q290" s="734">
        <v>804.81</v>
      </c>
      <c r="R290" s="730">
        <v>0</v>
      </c>
      <c r="S290" s="730">
        <v>0</v>
      </c>
      <c r="T290" s="115">
        <f>SUM(mFEV17[[#This Row],[PRINCIPAL]:[JUROS]])</f>
        <v>804.81</v>
      </c>
    </row>
    <row r="291" spans="2:20" ht="21" customHeight="1">
      <c r="B291" s="1167" t="str">
        <f t="shared" si="9"/>
        <v>3/26</v>
      </c>
      <c r="C291" s="731" t="str">
        <f>VLOOKUP(mFEV17[[#This Row],[CÓDIGO CONTABIL]],Contas_Gerencial[#All],3,FALSE)</f>
        <v>DESPESAS GERAIS</v>
      </c>
      <c r="D291" s="1165" t="str">
        <f>VLOOKUP(mFEV17[[#This Row],[DESCRIÇÃO CONTABIL]],Contas_Gerencial[[#All],[DESCRIÇÃO DA CONTA - NÃO UTILIZAR]:[Código2]],2,FALSE)</f>
        <v>20.03.006</v>
      </c>
      <c r="E291" s="731" t="s">
        <v>6</v>
      </c>
      <c r="F291" s="711" t="s">
        <v>581</v>
      </c>
      <c r="G291" s="718" t="s">
        <v>1634</v>
      </c>
      <c r="H291" s="711" t="s">
        <v>1788</v>
      </c>
      <c r="I291" s="716" t="s">
        <v>2065</v>
      </c>
      <c r="J291" s="711" t="s">
        <v>1105</v>
      </c>
      <c r="K291" s="711" t="s">
        <v>6</v>
      </c>
      <c r="L291" s="729" t="s">
        <v>2591</v>
      </c>
      <c r="M291" s="1271" t="s">
        <v>2065</v>
      </c>
      <c r="N291" s="715">
        <v>46101</v>
      </c>
      <c r="O291" s="715" t="s">
        <v>2065</v>
      </c>
      <c r="P291" s="712" t="s">
        <v>1</v>
      </c>
      <c r="Q291" s="734">
        <v>230.45</v>
      </c>
      <c r="R291" s="730">
        <v>0</v>
      </c>
      <c r="S291" s="730">
        <v>0</v>
      </c>
      <c r="T291" s="115">
        <f>SUM(mFEV17[[#This Row],[PRINCIPAL]:[JUROS]])</f>
        <v>230.45</v>
      </c>
    </row>
    <row r="292" spans="2:20" ht="21" customHeight="1">
      <c r="B292" s="1167" t="str">
        <f t="shared" si="9"/>
        <v>3/26</v>
      </c>
      <c r="C292" s="731" t="str">
        <f>VLOOKUP(mFEV17[[#This Row],[CÓDIGO CONTABIL]],Contas_Gerencial[#All],3,FALSE)</f>
        <v>DESPESAS GERAIS</v>
      </c>
      <c r="D292" s="1165" t="str">
        <f>VLOOKUP(mFEV17[[#This Row],[DESCRIÇÃO CONTABIL]],Contas_Gerencial[[#All],[DESCRIÇÃO DA CONTA - NÃO UTILIZAR]:[Código2]],2,FALSE)</f>
        <v>20.03.006</v>
      </c>
      <c r="E292" s="731" t="s">
        <v>6</v>
      </c>
      <c r="F292" s="711" t="s">
        <v>581</v>
      </c>
      <c r="G292" s="718" t="s">
        <v>1137</v>
      </c>
      <c r="H292" s="711" t="s">
        <v>1788</v>
      </c>
      <c r="I292" s="716" t="s">
        <v>2065</v>
      </c>
      <c r="J292" s="711" t="s">
        <v>1105</v>
      </c>
      <c r="K292" s="711" t="s">
        <v>6</v>
      </c>
      <c r="L292" s="729" t="s">
        <v>2591</v>
      </c>
      <c r="M292" s="1271" t="s">
        <v>2065</v>
      </c>
      <c r="N292" s="715">
        <v>46101</v>
      </c>
      <c r="O292" s="715" t="s">
        <v>2065</v>
      </c>
      <c r="P292" s="712" t="s">
        <v>1</v>
      </c>
      <c r="Q292" s="734">
        <v>539.17999999999995</v>
      </c>
      <c r="R292" s="730">
        <v>0</v>
      </c>
      <c r="S292" s="730">
        <v>0</v>
      </c>
      <c r="T292" s="115">
        <f>SUM(mFEV17[[#This Row],[PRINCIPAL]:[JUROS]])</f>
        <v>539.17999999999995</v>
      </c>
    </row>
    <row r="293" spans="2:20" ht="21" customHeight="1">
      <c r="B293" s="1167" t="str">
        <f t="shared" si="9"/>
        <v>3/26</v>
      </c>
      <c r="C293" s="731" t="str">
        <f>VLOOKUP(mFEV17[[#This Row],[CÓDIGO CONTABIL]],Contas_Gerencial[#All],3,FALSE)</f>
        <v>DESPESAS GERAIS</v>
      </c>
      <c r="D293" s="1165" t="str">
        <f>VLOOKUP(mFEV17[[#This Row],[DESCRIÇÃO CONTABIL]],Contas_Gerencial[[#All],[DESCRIÇÃO DA CONTA - NÃO UTILIZAR]:[Código2]],2,FALSE)</f>
        <v>20.03.006</v>
      </c>
      <c r="E293" s="731" t="s">
        <v>6</v>
      </c>
      <c r="F293" s="711" t="s">
        <v>581</v>
      </c>
      <c r="G293" s="713" t="s">
        <v>1768</v>
      </c>
      <c r="H293" s="711" t="s">
        <v>1788</v>
      </c>
      <c r="I293" s="716" t="s">
        <v>2065</v>
      </c>
      <c r="J293" s="711" t="s">
        <v>1105</v>
      </c>
      <c r="K293" s="711" t="s">
        <v>2028</v>
      </c>
      <c r="L293" s="729" t="s">
        <v>2591</v>
      </c>
      <c r="M293" s="1271" t="s">
        <v>2065</v>
      </c>
      <c r="N293" s="715">
        <v>46101</v>
      </c>
      <c r="O293" s="715" t="s">
        <v>2065</v>
      </c>
      <c r="P293" s="712" t="s">
        <v>1</v>
      </c>
      <c r="Q293" s="734">
        <v>0</v>
      </c>
      <c r="R293" s="730">
        <v>0</v>
      </c>
      <c r="S293" s="730">
        <v>0</v>
      </c>
      <c r="T293" s="115">
        <f>SUM(mFEV17[[#This Row],[PRINCIPAL]:[JUROS]])</f>
        <v>0</v>
      </c>
    </row>
    <row r="294" spans="2:20" ht="21" customHeight="1">
      <c r="B294" s="1167" t="str">
        <f t="shared" si="9"/>
        <v>3/26</v>
      </c>
      <c r="C294" s="731" t="str">
        <f>VLOOKUP(mFEV17[[#This Row],[CÓDIGO CONTABIL]],Contas_Gerencial[#All],3,FALSE)</f>
        <v>DESPESAS GERAIS</v>
      </c>
      <c r="D294" s="1165" t="str">
        <f>VLOOKUP(mFEV17[[#This Row],[DESCRIÇÃO CONTABIL]],Contas_Gerencial[[#All],[DESCRIÇÃO DA CONTA - NÃO UTILIZAR]:[Código2]],2,FALSE)</f>
        <v>20.03.006</v>
      </c>
      <c r="E294" s="731" t="s">
        <v>6</v>
      </c>
      <c r="F294" s="711" t="s">
        <v>581</v>
      </c>
      <c r="G294" s="713" t="s">
        <v>1991</v>
      </c>
      <c r="H294" s="711" t="s">
        <v>1788</v>
      </c>
      <c r="I294" s="716" t="s">
        <v>2065</v>
      </c>
      <c r="J294" s="711" t="s">
        <v>1105</v>
      </c>
      <c r="K294" s="711" t="s">
        <v>2028</v>
      </c>
      <c r="L294" s="729" t="s">
        <v>2591</v>
      </c>
      <c r="M294" s="1271" t="s">
        <v>2065</v>
      </c>
      <c r="N294" s="715">
        <v>46101</v>
      </c>
      <c r="O294" s="715" t="s">
        <v>2065</v>
      </c>
      <c r="P294" s="712" t="s">
        <v>1</v>
      </c>
      <c r="Q294" s="734">
        <v>0</v>
      </c>
      <c r="R294" s="730">
        <v>0</v>
      </c>
      <c r="S294" s="730">
        <v>0</v>
      </c>
      <c r="T294" s="115">
        <f>SUM(mFEV17[[#This Row],[PRINCIPAL]:[JUROS]])</f>
        <v>0</v>
      </c>
    </row>
    <row r="295" spans="2:20" ht="21" customHeight="1">
      <c r="B295" s="1167" t="str">
        <f t="shared" si="9"/>
        <v>3/26</v>
      </c>
      <c r="C295" s="731" t="str">
        <f>VLOOKUP(mFEV17[[#This Row],[CÓDIGO CONTABIL]],Contas_Gerencial[#All],3,FALSE)</f>
        <v>DESPESAS GERAIS</v>
      </c>
      <c r="D295" s="1165" t="str">
        <f>VLOOKUP(mFEV17[[#This Row],[DESCRIÇÃO CONTABIL]],Contas_Gerencial[[#All],[DESCRIÇÃO DA CONTA - NÃO UTILIZAR]:[Código2]],2,FALSE)</f>
        <v>20.03.006</v>
      </c>
      <c r="E295" s="731" t="s">
        <v>6</v>
      </c>
      <c r="F295" s="711" t="s">
        <v>581</v>
      </c>
      <c r="G295" s="713" t="s">
        <v>1659</v>
      </c>
      <c r="H295" s="711" t="s">
        <v>1788</v>
      </c>
      <c r="I295" s="716" t="s">
        <v>2065</v>
      </c>
      <c r="J295" s="711" t="s">
        <v>1105</v>
      </c>
      <c r="K295" s="711" t="s">
        <v>2028</v>
      </c>
      <c r="L295" s="729" t="s">
        <v>2591</v>
      </c>
      <c r="M295" s="1271" t="s">
        <v>2065</v>
      </c>
      <c r="N295" s="715">
        <v>46101</v>
      </c>
      <c r="O295" s="715" t="s">
        <v>2065</v>
      </c>
      <c r="P295" s="712" t="s">
        <v>1</v>
      </c>
      <c r="Q295" s="734">
        <v>0</v>
      </c>
      <c r="R295" s="730">
        <v>0</v>
      </c>
      <c r="S295" s="730">
        <v>0</v>
      </c>
      <c r="T295" s="115">
        <f>SUM(mFEV17[[#This Row],[PRINCIPAL]:[JUROS]])</f>
        <v>0</v>
      </c>
    </row>
    <row r="296" spans="2:20" ht="21" customHeight="1">
      <c r="B296" s="1175" t="str">
        <f>B295</f>
        <v>3/26</v>
      </c>
      <c r="C296" s="739" t="s">
        <v>1159</v>
      </c>
      <c r="D296" s="1176" t="s">
        <v>1159</v>
      </c>
      <c r="E296" s="739" t="s">
        <v>1159</v>
      </c>
      <c r="F296" s="739"/>
      <c r="G296" s="739"/>
      <c r="H296" s="739"/>
      <c r="I296" s="739"/>
      <c r="J296" s="739"/>
      <c r="K296" s="739"/>
      <c r="L296" s="739"/>
      <c r="M296" s="1284"/>
      <c r="N296" s="739"/>
      <c r="O296" s="739"/>
      <c r="P296" s="739"/>
      <c r="Q296" s="739"/>
      <c r="R296" s="739"/>
      <c r="S296" s="739"/>
      <c r="T296" s="1171"/>
    </row>
    <row r="297" spans="2:20" ht="21" customHeight="1">
      <c r="B297" s="1167" t="str">
        <f t="shared" si="9"/>
        <v>3/26</v>
      </c>
      <c r="C297" s="731" t="str">
        <f>VLOOKUP(mFEV17[[#This Row],[CÓDIGO CONTABIL]],Contas_Gerencial[#All],3,FALSE)</f>
        <v>TRIBUTOS</v>
      </c>
      <c r="D297" s="1165" t="str">
        <f>VLOOKUP(mFEV17[[#This Row],[DESCRIÇÃO CONTABIL]],Contas_Gerencial[[#All],[DESCRIÇÃO DA CONTA - NÃO UTILIZAR]:[Código2]],2,FALSE)</f>
        <v>20.08.016</v>
      </c>
      <c r="E297" s="711" t="s">
        <v>1175</v>
      </c>
      <c r="F297" s="1179" t="s">
        <v>581</v>
      </c>
      <c r="G297" s="711" t="s">
        <v>595</v>
      </c>
      <c r="H297" s="1180" t="s">
        <v>1765</v>
      </c>
      <c r="I297" s="1181" t="s">
        <v>1810</v>
      </c>
      <c r="J297" s="711" t="s">
        <v>497</v>
      </c>
      <c r="K297" s="711" t="s">
        <v>2084</v>
      </c>
      <c r="L297" s="714" t="s">
        <v>2281</v>
      </c>
      <c r="M297" s="1271">
        <v>45691</v>
      </c>
      <c r="N297" s="715">
        <v>46106</v>
      </c>
      <c r="O297" s="715" t="s">
        <v>2065</v>
      </c>
      <c r="P297" s="712" t="s">
        <v>1</v>
      </c>
      <c r="Q297" s="730">
        <v>139.87</v>
      </c>
      <c r="R297" s="730">
        <v>0</v>
      </c>
      <c r="S297" s="730">
        <v>0</v>
      </c>
      <c r="T297" s="115">
        <f>SUM(mFEV17[[#This Row],[PRINCIPAL]:[JUROS]])</f>
        <v>139.87</v>
      </c>
    </row>
    <row r="298" spans="2:20" ht="21" customHeight="1">
      <c r="B298" s="1167" t="str">
        <f t="shared" si="9"/>
        <v>3/26</v>
      </c>
      <c r="C298" s="731" t="str">
        <f>VLOOKUP(mFEV17[[#This Row],[CÓDIGO CONTABIL]],Contas_Gerencial[#All],3,FALSE)</f>
        <v>TRIBUTOS</v>
      </c>
      <c r="D298" s="1165" t="str">
        <f>VLOOKUP(mFEV17[[#This Row],[DESCRIÇÃO CONTABIL]],Contas_Gerencial[[#All],[DESCRIÇÃO DA CONTA - NÃO UTILIZAR]:[Código2]],2,FALSE)</f>
        <v>20.08.015</v>
      </c>
      <c r="E298" s="731" t="s">
        <v>1159</v>
      </c>
      <c r="F298" s="711" t="s">
        <v>581</v>
      </c>
      <c r="G298" s="713" t="s">
        <v>595</v>
      </c>
      <c r="H298" s="711" t="s">
        <v>2523</v>
      </c>
      <c r="I298" s="716" t="s">
        <v>2210</v>
      </c>
      <c r="J298" s="711" t="s">
        <v>2209</v>
      </c>
      <c r="K298" s="711" t="s">
        <v>2211</v>
      </c>
      <c r="L298" s="714" t="s">
        <v>2594</v>
      </c>
      <c r="M298" s="1271">
        <v>46044</v>
      </c>
      <c r="N298" s="715">
        <v>46108</v>
      </c>
      <c r="O298" s="715" t="s">
        <v>2065</v>
      </c>
      <c r="P298" s="712" t="s">
        <v>1</v>
      </c>
      <c r="Q298" s="734">
        <v>1142.5899999999999</v>
      </c>
      <c r="R298" s="730">
        <v>53.33</v>
      </c>
      <c r="S298" s="730">
        <v>88.6</v>
      </c>
      <c r="T298" s="115">
        <f>SUM(mFEV17[[#This Row],[PRINCIPAL]:[JUROS]])</f>
        <v>1284.5199999999998</v>
      </c>
    </row>
    <row r="299" spans="2:20" ht="21" customHeight="1">
      <c r="B299" s="1167" t="str">
        <f t="shared" si="9"/>
        <v>3/26</v>
      </c>
      <c r="C299" s="731" t="str">
        <f>VLOOKUP(mFEV17[[#This Row],[CÓDIGO CONTABIL]],Contas_Gerencial[#All],3,FALSE)</f>
        <v>TRIBUTOS</v>
      </c>
      <c r="D299" s="1165" t="str">
        <f>VLOOKUP(mFEV17[[#This Row],[DESCRIÇÃO CONTABIL]],Contas_Gerencial[[#All],[DESCRIÇÃO DA CONTA - NÃO UTILIZAR]:[Código2]],2,FALSE)</f>
        <v>20.08.015</v>
      </c>
      <c r="E299" s="731" t="s">
        <v>1159</v>
      </c>
      <c r="F299" s="711" t="s">
        <v>581</v>
      </c>
      <c r="G299" s="713" t="s">
        <v>595</v>
      </c>
      <c r="H299" s="711" t="s">
        <v>2523</v>
      </c>
      <c r="I299" s="716" t="s">
        <v>2214</v>
      </c>
      <c r="J299" s="711" t="s">
        <v>2209</v>
      </c>
      <c r="K299" s="711" t="s">
        <v>2215</v>
      </c>
      <c r="L299" s="714" t="s">
        <v>2595</v>
      </c>
      <c r="M299" s="1271">
        <v>46044</v>
      </c>
      <c r="N299" s="715">
        <v>46108</v>
      </c>
      <c r="O299" s="715" t="s">
        <v>2065</v>
      </c>
      <c r="P299" s="712" t="s">
        <v>1</v>
      </c>
      <c r="Q299" s="734">
        <v>171.68</v>
      </c>
      <c r="R299" s="730">
        <v>34.31</v>
      </c>
      <c r="S299" s="730">
        <v>113.45</v>
      </c>
      <c r="T299" s="115">
        <f>SUM(mFEV17[[#This Row],[PRINCIPAL]:[JUROS]])</f>
        <v>319.44</v>
      </c>
    </row>
    <row r="300" spans="2:20" ht="21" customHeight="1">
      <c r="B300" s="1167" t="str">
        <f t="shared" si="9"/>
        <v>3/26</v>
      </c>
      <c r="C300" s="731" t="str">
        <f>VLOOKUP(mFEV17[[#This Row],[CÓDIGO CONTABIL]],Contas_Gerencial[#All],3,FALSE)</f>
        <v>TRIBUTOS</v>
      </c>
      <c r="D300" s="1165" t="str">
        <f>VLOOKUP(mFEV17[[#This Row],[DESCRIÇÃO CONTABIL]],Contas_Gerencial[[#All],[DESCRIÇÃO DA CONTA - NÃO UTILIZAR]:[Código2]],2,FALSE)</f>
        <v>20.08.015</v>
      </c>
      <c r="E300" s="731" t="s">
        <v>1159</v>
      </c>
      <c r="F300" s="711" t="s">
        <v>581</v>
      </c>
      <c r="G300" s="713" t="s">
        <v>595</v>
      </c>
      <c r="H300" s="711" t="s">
        <v>2522</v>
      </c>
      <c r="I300" s="716" t="s">
        <v>2217</v>
      </c>
      <c r="J300" s="711" t="s">
        <v>2209</v>
      </c>
      <c r="K300" s="711" t="s">
        <v>2233</v>
      </c>
      <c r="L300" s="714" t="s">
        <v>2596</v>
      </c>
      <c r="M300" s="1271">
        <v>46044</v>
      </c>
      <c r="N300" s="715">
        <v>46108</v>
      </c>
      <c r="O300" s="715" t="s">
        <v>2065</v>
      </c>
      <c r="P300" s="712" t="s">
        <v>1</v>
      </c>
      <c r="Q300" s="734">
        <v>339.46</v>
      </c>
      <c r="R300" s="730">
        <v>67.89</v>
      </c>
      <c r="S300" s="730">
        <v>103.26</v>
      </c>
      <c r="T300" s="115">
        <f>SUM(mFEV17[[#This Row],[PRINCIPAL]:[JUROS]])</f>
        <v>510.60999999999996</v>
      </c>
    </row>
    <row r="301" spans="2:20" ht="21" customHeight="1">
      <c r="B301" s="1167" t="str">
        <f t="shared" si="9"/>
        <v>3/26</v>
      </c>
      <c r="C301" s="731" t="str">
        <f>VLOOKUP(mFEV17[[#This Row],[CÓDIGO CONTABIL]],Contas_Gerencial[#All],3,FALSE)</f>
        <v>TRIBUTOS</v>
      </c>
      <c r="D301" s="1165" t="str">
        <f>VLOOKUP(mFEV17[[#This Row],[DESCRIÇÃO CONTABIL]],Contas_Gerencial[[#All],[DESCRIÇÃO DA CONTA - NÃO UTILIZAR]:[Código2]],2,FALSE)</f>
        <v>20.08.015</v>
      </c>
      <c r="E301" s="731" t="s">
        <v>1159</v>
      </c>
      <c r="F301" s="711" t="s">
        <v>581</v>
      </c>
      <c r="G301" s="713" t="s">
        <v>595</v>
      </c>
      <c r="H301" s="711" t="s">
        <v>2517</v>
      </c>
      <c r="I301" s="711" t="s">
        <v>2206</v>
      </c>
      <c r="J301" s="711" t="s">
        <v>757</v>
      </c>
      <c r="K301" s="1182" t="s">
        <v>2519</v>
      </c>
      <c r="L301" s="714" t="s">
        <v>2597</v>
      </c>
      <c r="M301" s="1271">
        <v>46045</v>
      </c>
      <c r="N301" s="715">
        <v>46108</v>
      </c>
      <c r="O301" s="715" t="s">
        <v>2065</v>
      </c>
      <c r="P301" s="712" t="s">
        <v>1</v>
      </c>
      <c r="Q301" s="734">
        <v>2272.39</v>
      </c>
      <c r="R301" s="730">
        <v>454.46</v>
      </c>
      <c r="S301" s="730">
        <v>654.89</v>
      </c>
      <c r="T301" s="115">
        <f>SUM(mFEV17[[#This Row],[PRINCIPAL]:[JUROS]])</f>
        <v>3381.74</v>
      </c>
    </row>
    <row r="302" spans="2:20" ht="21" customHeight="1">
      <c r="B302" s="1167" t="str">
        <f t="shared" si="9"/>
        <v>3/26</v>
      </c>
      <c r="C302" s="731" t="str">
        <f>VLOOKUP(mFEV17[[#This Row],[CÓDIGO CONTABIL]],Contas_Gerencial[#All],3,FALSE)</f>
        <v>TRIBUTOS</v>
      </c>
      <c r="D302" s="1165" t="str">
        <f>VLOOKUP(mFEV17[[#This Row],[DESCRIÇÃO CONTABIL]],Contas_Gerencial[[#All],[DESCRIÇÃO DA CONTA - NÃO UTILIZAR]:[Código2]],2,FALSE)</f>
        <v>20.08.015</v>
      </c>
      <c r="E302" s="731" t="s">
        <v>1159</v>
      </c>
      <c r="F302" s="711" t="s">
        <v>582</v>
      </c>
      <c r="G302" s="713" t="s">
        <v>595</v>
      </c>
      <c r="H302" s="711" t="s">
        <v>2517</v>
      </c>
      <c r="I302" s="716" t="s">
        <v>2228</v>
      </c>
      <c r="J302" s="711" t="s">
        <v>757</v>
      </c>
      <c r="K302" s="1182" t="s">
        <v>2525</v>
      </c>
      <c r="L302" s="714" t="s">
        <v>2597</v>
      </c>
      <c r="M302" s="1271">
        <v>46052</v>
      </c>
      <c r="N302" s="715">
        <v>46108</v>
      </c>
      <c r="O302" s="715" t="s">
        <v>2065</v>
      </c>
      <c r="P302" s="712" t="s">
        <v>1</v>
      </c>
      <c r="Q302" s="734">
        <v>1010.56</v>
      </c>
      <c r="R302" s="730">
        <v>202.11</v>
      </c>
      <c r="S302" s="730">
        <v>271.83999999999997</v>
      </c>
      <c r="T302" s="115">
        <f>SUM(mFEV17[[#This Row],[PRINCIPAL]:[JUROS]])</f>
        <v>1484.51</v>
      </c>
    </row>
    <row r="303" spans="2:20" ht="21" customHeight="1">
      <c r="B303" s="1167" t="str">
        <f t="shared" si="9"/>
        <v>3/26</v>
      </c>
      <c r="C303" s="731" t="str">
        <f>VLOOKUP(mFEV17[[#This Row],[CÓDIGO CONTABIL]],Contas_Gerencial[#All],3,FALSE)</f>
        <v>TRIBUTOS</v>
      </c>
      <c r="D303" s="1165" t="str">
        <f>VLOOKUP(mFEV17[[#This Row],[DESCRIÇÃO CONTABIL]],Contas_Gerencial[[#All],[DESCRIÇÃO DA CONTA - NÃO UTILIZAR]:[Código2]],2,FALSE)</f>
        <v>20.08.015</v>
      </c>
      <c r="E303" s="731" t="s">
        <v>1159</v>
      </c>
      <c r="F303" s="711" t="s">
        <v>582</v>
      </c>
      <c r="G303" s="713" t="s">
        <v>595</v>
      </c>
      <c r="H303" s="711" t="s">
        <v>2522</v>
      </c>
      <c r="I303" s="716" t="s">
        <v>2524</v>
      </c>
      <c r="J303" s="711" t="s">
        <v>2209</v>
      </c>
      <c r="K303" s="711" t="s">
        <v>2218</v>
      </c>
      <c r="L303" s="714" t="s">
        <v>2595</v>
      </c>
      <c r="M303" s="1271">
        <v>46052</v>
      </c>
      <c r="N303" s="715">
        <v>46108</v>
      </c>
      <c r="O303" s="715" t="s">
        <v>2065</v>
      </c>
      <c r="P303" s="712" t="s">
        <v>1</v>
      </c>
      <c r="Q303" s="734">
        <v>64.94</v>
      </c>
      <c r="R303" s="730">
        <v>12.98</v>
      </c>
      <c r="S303" s="730">
        <v>25.62</v>
      </c>
      <c r="T303" s="115">
        <f>SUM(mFEV17[[#This Row],[PRINCIPAL]:[JUROS]])</f>
        <v>103.54</v>
      </c>
    </row>
    <row r="304" spans="2:20" ht="21" customHeight="1">
      <c r="B304" s="1174"/>
      <c r="C304" s="739"/>
      <c r="D304" s="1176"/>
      <c r="E304" s="739"/>
      <c r="F304" s="739"/>
      <c r="G304" s="739"/>
      <c r="H304" s="739"/>
      <c r="I304" s="739"/>
      <c r="J304" s="739"/>
      <c r="K304" s="739"/>
      <c r="L304" s="739"/>
      <c r="M304" s="1284"/>
      <c r="N304" s="739"/>
      <c r="O304" s="739"/>
      <c r="P304" s="739"/>
      <c r="Q304" s="739"/>
      <c r="R304" s="739"/>
      <c r="S304" s="739"/>
      <c r="T304" s="1171"/>
    </row>
    <row r="305" spans="2:28" s="489" customFormat="1" ht="21" customHeight="1">
      <c r="B305" s="489" t="s">
        <v>197</v>
      </c>
      <c r="D305" s="744"/>
      <c r="H305" s="1160"/>
      <c r="M305" s="745"/>
      <c r="N305" s="745"/>
      <c r="O305" s="745"/>
      <c r="P305" s="500"/>
      <c r="Q305" s="623">
        <f>SUBTOTAL(109,mFEV17[PRINCIPAL])</f>
        <v>483988.63915660291</v>
      </c>
      <c r="R305" s="623">
        <f>SUBTOTAL(109,mFEV17[MULTA])</f>
        <v>6231.83</v>
      </c>
      <c r="S305" s="623">
        <f>SUBTOTAL(109,mFEV17[JUROS])</f>
        <v>1257.6599999999999</v>
      </c>
      <c r="T305" s="1161">
        <f>SUBTOTAL(109,mFEV17[TOTAL])</f>
        <v>491478.12915660284</v>
      </c>
      <c r="V305" s="1332">
        <f>mFEV17[[#Totals],[TOTAL]]-T191</f>
        <v>481733.12915660284</v>
      </c>
    </row>
    <row r="306" spans="2:28" ht="21" customHeight="1">
      <c r="Q306" s="443"/>
    </row>
    <row r="307" spans="2:28" ht="24.9" customHeight="1">
      <c r="B307" s="172"/>
      <c r="C307" s="172"/>
      <c r="D307" s="172"/>
      <c r="E307" s="172"/>
      <c r="F307" s="172"/>
      <c r="G307" s="172"/>
      <c r="H307" s="172"/>
      <c r="I307" s="172"/>
      <c r="J307" s="147"/>
      <c r="K307" s="1147"/>
      <c r="L307" s="172"/>
      <c r="M307" s="1288"/>
      <c r="N307" s="564"/>
      <c r="O307" s="1125"/>
      <c r="P307" s="1273"/>
      <c r="Q307" s="340"/>
      <c r="R307" s="1127"/>
      <c r="S307" s="1128"/>
      <c r="T307" s="157"/>
    </row>
    <row r="308" spans="2:28" s="147" customFormat="1" ht="25.05" customHeight="1">
      <c r="B308" s="1129"/>
      <c r="C308" s="172"/>
      <c r="D308" s="172"/>
      <c r="E308" s="1135" t="s">
        <v>0</v>
      </c>
      <c r="F308" s="1135" t="s">
        <v>41</v>
      </c>
      <c r="G308" s="1134" t="s">
        <v>582</v>
      </c>
      <c r="H308" s="1134" t="s">
        <v>581</v>
      </c>
      <c r="I308" s="1134" t="s">
        <v>284</v>
      </c>
      <c r="K308" s="1147"/>
      <c r="L308" s="172"/>
      <c r="M308" s="1289"/>
      <c r="N308" s="1130"/>
      <c r="O308" s="1130"/>
      <c r="P308" s="157"/>
      <c r="Q308" s="1272"/>
      <c r="R308" s="1331" t="s">
        <v>2673</v>
      </c>
      <c r="S308" s="1140" t="s">
        <v>2365</v>
      </c>
      <c r="T308" s="1141">
        <v>35740</v>
      </c>
      <c r="V308" s="1331" t="s">
        <v>2674</v>
      </c>
      <c r="W308" s="1140" t="s">
        <v>2365</v>
      </c>
      <c r="X308" s="1141">
        <v>11996</v>
      </c>
      <c r="Z308" s="1331" t="s">
        <v>2677</v>
      </c>
      <c r="AA308" s="1140" t="s">
        <v>2365</v>
      </c>
      <c r="AB308" s="1141">
        <v>5998</v>
      </c>
    </row>
    <row r="309" spans="2:28" s="147" customFormat="1" ht="25.05" customHeight="1">
      <c r="B309" s="1129"/>
      <c r="C309" s="172"/>
      <c r="D309" s="172"/>
      <c r="E309" s="1235" t="s">
        <v>2598</v>
      </c>
      <c r="F309" s="1238">
        <v>92319</v>
      </c>
      <c r="G309" s="1238">
        <v>50761</v>
      </c>
      <c r="H309" s="1239">
        <v>106199</v>
      </c>
      <c r="I309" s="1240">
        <f>SUM(F309:H309)</f>
        <v>249279</v>
      </c>
      <c r="J309" s="1292" t="s">
        <v>1693</v>
      </c>
      <c r="K309" s="1147"/>
      <c r="L309" s="172"/>
      <c r="M309" s="1289"/>
      <c r="N309" s="1130"/>
      <c r="O309" s="1130"/>
      <c r="P309" s="157"/>
      <c r="Q309" s="1272"/>
      <c r="R309" s="1395" t="s">
        <v>2366</v>
      </c>
      <c r="S309" s="1396"/>
      <c r="T309" s="1142">
        <v>18349.582142785323</v>
      </c>
      <c r="V309" s="1395" t="s">
        <v>2366</v>
      </c>
      <c r="W309" s="1396"/>
      <c r="X309" s="1142">
        <v>7519.9070572146775</v>
      </c>
      <c r="Z309" s="1395" t="s">
        <v>2366</v>
      </c>
      <c r="AA309" s="1396"/>
      <c r="AB309" s="1142">
        <v>3086.7623012431541</v>
      </c>
    </row>
    <row r="310" spans="2:28" s="147" customFormat="1" ht="25.05" customHeight="1">
      <c r="B310" s="1129"/>
      <c r="C310" s="172"/>
      <c r="D310" s="172"/>
      <c r="E310" s="1236" t="s">
        <v>2599</v>
      </c>
      <c r="F310" s="1244">
        <v>34562.441000000006</v>
      </c>
      <c r="G310" s="1244">
        <v>43005.01</v>
      </c>
      <c r="H310" s="1245">
        <v>134718.19815660268</v>
      </c>
      <c r="I310" s="1246">
        <f t="shared" ref="I310:I311" si="10">SUM(F310:H310)</f>
        <v>212285.64915660268</v>
      </c>
      <c r="J310" s="1292">
        <f>I310/I309</f>
        <v>0.85159860700902479</v>
      </c>
      <c r="K310" s="1147"/>
      <c r="L310" s="172"/>
      <c r="M310" s="1289"/>
      <c r="N310" s="1130"/>
      <c r="O310" s="1130"/>
      <c r="P310" s="232"/>
      <c r="R310" s="1397" t="s">
        <v>2678</v>
      </c>
      <c r="S310" s="1398"/>
      <c r="T310" s="1144">
        <f>8%*T308</f>
        <v>2859.2000000000003</v>
      </c>
      <c r="V310" s="1397" t="s">
        <v>2678</v>
      </c>
      <c r="W310" s="1398"/>
      <c r="X310" s="1144">
        <f>8%*X308</f>
        <v>959.68000000000006</v>
      </c>
      <c r="Z310" s="1397" t="s">
        <v>2678</v>
      </c>
      <c r="AA310" s="1398"/>
      <c r="AB310" s="1144">
        <f>8%*AB308</f>
        <v>479.84000000000003</v>
      </c>
    </row>
    <row r="311" spans="2:28" s="147" customFormat="1" ht="25.05" customHeight="1">
      <c r="B311" s="1129"/>
      <c r="C311" s="172"/>
      <c r="D311" s="172"/>
      <c r="E311" s="1241" t="s">
        <v>2601</v>
      </c>
      <c r="F311" s="1242">
        <f>12%*F309</f>
        <v>11078.279999999999</v>
      </c>
      <c r="G311" s="1242">
        <f t="shared" ref="G311:H311" si="11">12%*G309</f>
        <v>6091.32</v>
      </c>
      <c r="H311" s="1242">
        <f t="shared" si="11"/>
        <v>12743.88</v>
      </c>
      <c r="I311" s="1243">
        <f t="shared" si="10"/>
        <v>29913.479999999996</v>
      </c>
      <c r="J311" s="1292">
        <f>I311/I309</f>
        <v>0.11999999999999998</v>
      </c>
      <c r="K311" s="1147"/>
      <c r="L311" s="172"/>
      <c r="M311" s="1289"/>
      <c r="N311" s="1130"/>
      <c r="O311" s="1130"/>
      <c r="P311" s="1131"/>
      <c r="Q311" s="1132"/>
      <c r="R311" s="1397" t="s">
        <v>2679</v>
      </c>
      <c r="S311" s="1398"/>
      <c r="T311" s="1144">
        <f>4%*T308</f>
        <v>1429.6000000000001</v>
      </c>
      <c r="U311" s="252"/>
      <c r="V311" s="1397" t="s">
        <v>2679</v>
      </c>
      <c r="W311" s="1398"/>
      <c r="X311" s="1144">
        <f>4%*X308</f>
        <v>479.84000000000003</v>
      </c>
      <c r="Y311" s="252"/>
      <c r="Z311" s="1397" t="s">
        <v>2679</v>
      </c>
      <c r="AA311" s="1398"/>
      <c r="AB311" s="1144">
        <f>4%*AB308</f>
        <v>239.92000000000002</v>
      </c>
    </row>
    <row r="312" spans="2:28" s="147" customFormat="1" ht="25.05" customHeight="1">
      <c r="B312" s="1129"/>
      <c r="C312" s="172"/>
      <c r="D312" s="172"/>
      <c r="E312" s="1237" t="s">
        <v>2600</v>
      </c>
      <c r="F312" s="1248">
        <f>F309-F310-F311</f>
        <v>46678.278999999995</v>
      </c>
      <c r="G312" s="1248">
        <f t="shared" ref="G312:H312" si="12">G309-G310-G311</f>
        <v>1664.6699999999983</v>
      </c>
      <c r="H312" s="1269">
        <f t="shared" si="12"/>
        <v>-41263.078156602678</v>
      </c>
      <c r="I312" s="1247">
        <f>SUM(F312:H312)</f>
        <v>7079.8708433973152</v>
      </c>
      <c r="J312" s="1292">
        <f>I312/I309</f>
        <v>2.8401392990975233E-2</v>
      </c>
      <c r="K312" s="1147"/>
      <c r="L312" s="172"/>
      <c r="M312" s="1289"/>
      <c r="N312" s="1130"/>
      <c r="O312" s="1130"/>
      <c r="P312" s="1131"/>
      <c r="Q312" s="1132"/>
      <c r="R312" s="1399" t="s">
        <v>2367</v>
      </c>
      <c r="S312" s="1397"/>
      <c r="T312" s="1145">
        <f>19%*T308</f>
        <v>6790.6</v>
      </c>
      <c r="V312" s="1399" t="s">
        <v>2367</v>
      </c>
      <c r="W312" s="1397"/>
      <c r="X312" s="1145">
        <f>19%*X308</f>
        <v>2279.2400000000002</v>
      </c>
      <c r="Z312" s="1399" t="s">
        <v>2367</v>
      </c>
      <c r="AA312" s="1397"/>
      <c r="AB312" s="1145">
        <f>19%*AB308</f>
        <v>1139.6200000000001</v>
      </c>
    </row>
    <row r="313" spans="2:28" s="147" customFormat="1" ht="25.05" customHeight="1" thickBot="1">
      <c r="B313" s="172"/>
      <c r="C313" s="172"/>
      <c r="D313" s="172"/>
      <c r="E313" s="765"/>
      <c r="F313" s="521"/>
      <c r="G313" s="172"/>
      <c r="H313" s="172"/>
      <c r="I313" s="1129"/>
      <c r="J313" s="147" t="s">
        <v>2633</v>
      </c>
      <c r="L313" s="172"/>
      <c r="M313" s="1288"/>
      <c r="N313" s="564"/>
      <c r="O313" s="1125"/>
      <c r="P313" s="1127"/>
      <c r="Q313" s="1133"/>
      <c r="R313" s="1393" t="s">
        <v>2368</v>
      </c>
      <c r="S313" s="1394"/>
      <c r="T313" s="1143">
        <f>T308-T309-T310-T311-T312</f>
        <v>6311.017857214676</v>
      </c>
      <c r="V313" s="1393" t="s">
        <v>2368</v>
      </c>
      <c r="W313" s="1394"/>
      <c r="X313" s="1143">
        <f>X308-X309-X310-X311-X312</f>
        <v>757.33294278532185</v>
      </c>
      <c r="Z313" s="1393" t="s">
        <v>2368</v>
      </c>
      <c r="AA313" s="1394"/>
      <c r="AB313" s="1143">
        <f>AB308-AB309-AB310-AB311-AB312</f>
        <v>1051.8576987568456</v>
      </c>
    </row>
    <row r="314" spans="2:28" s="147" customFormat="1" ht="25.05" customHeight="1" thickBot="1">
      <c r="B314" s="172"/>
      <c r="C314" s="172"/>
      <c r="D314" s="172"/>
      <c r="E314" s="1249" t="s">
        <v>2019</v>
      </c>
      <c r="F314" s="1250">
        <f>F309+F310+F311</f>
        <v>137959.72100000002</v>
      </c>
      <c r="G314" s="1250">
        <f>G309+G310+G311</f>
        <v>99857.330000000016</v>
      </c>
      <c r="H314" s="1250">
        <f t="shared" ref="H314" si="13">H309+H310+H311</f>
        <v>253661.07815660269</v>
      </c>
      <c r="I314" s="1251">
        <f>SUM(F314:H314)</f>
        <v>491478.12915660272</v>
      </c>
      <c r="J314" s="354">
        <f>I314-mFEV17[[#Totals],[TOTAL]]</f>
        <v>0</v>
      </c>
      <c r="L314" s="172"/>
      <c r="M314" s="1288"/>
      <c r="N314" s="564"/>
      <c r="O314" s="1125"/>
      <c r="P314" s="1127"/>
      <c r="R314" s="1393" t="s">
        <v>2369</v>
      </c>
      <c r="S314" s="1394"/>
      <c r="T314" s="1291">
        <f>T313/T308</f>
        <v>0.17658136142178724</v>
      </c>
      <c r="V314" s="1393" t="s">
        <v>2369</v>
      </c>
      <c r="W314" s="1394"/>
      <c r="X314" s="1291">
        <f>X313/X308</f>
        <v>6.3132122606312263E-2</v>
      </c>
      <c r="Z314" s="1393" t="s">
        <v>2369</v>
      </c>
      <c r="AA314" s="1394"/>
      <c r="AB314" s="1291">
        <f>AB313/AB308</f>
        <v>0.17536807248363548</v>
      </c>
    </row>
    <row r="315" spans="2:28" s="147" customFormat="1" ht="25.05" customHeight="1"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288"/>
      <c r="N315" s="564"/>
      <c r="O315" s="1125"/>
      <c r="P315" s="1127"/>
      <c r="Q315" s="172"/>
      <c r="R315" s="172"/>
      <c r="S315" s="172"/>
      <c r="T315" s="172"/>
      <c r="U315" s="157"/>
      <c r="Y315" s="157"/>
    </row>
    <row r="316" spans="2:28" s="172" customFormat="1" ht="25.05" customHeight="1">
      <c r="E316" s="1325" t="s">
        <v>2664</v>
      </c>
      <c r="F316" s="1135" t="s">
        <v>41</v>
      </c>
      <c r="G316" s="1134" t="s">
        <v>582</v>
      </c>
      <c r="H316" s="1134" t="s">
        <v>581</v>
      </c>
      <c r="I316" s="1134" t="s">
        <v>284</v>
      </c>
      <c r="M316" s="1288"/>
      <c r="N316" s="564"/>
      <c r="O316" s="1125"/>
      <c r="P316" s="1127"/>
      <c r="R316" s="1331" t="s">
        <v>2676</v>
      </c>
      <c r="S316" s="1140" t="s">
        <v>2365</v>
      </c>
      <c r="T316" s="1141">
        <v>6086</v>
      </c>
      <c r="V316" s="1331" t="s">
        <v>2675</v>
      </c>
      <c r="W316" s="1140" t="s">
        <v>2365</v>
      </c>
      <c r="X316" s="1141">
        <v>9745</v>
      </c>
      <c r="Z316" s="1331" t="s">
        <v>2680</v>
      </c>
      <c r="AA316" s="1140" t="s">
        <v>2365</v>
      </c>
      <c r="AB316" s="1141">
        <v>1562</v>
      </c>
    </row>
    <row r="317" spans="2:28" s="147" customFormat="1" ht="25.05" customHeight="1">
      <c r="B317" s="172"/>
      <c r="C317" s="172"/>
      <c r="D317" s="172"/>
      <c r="E317" s="1326" t="s">
        <v>2651</v>
      </c>
      <c r="F317" s="1137">
        <v>6676.8099999999995</v>
      </c>
      <c r="G317" s="1137">
        <v>3126.38</v>
      </c>
      <c r="H317" s="1137">
        <v>6816.48</v>
      </c>
      <c r="I317" s="1138">
        <f>SUM(F317:H317)</f>
        <v>16619.669999999998</v>
      </c>
      <c r="L317" s="172"/>
      <c r="M317" s="1288"/>
      <c r="N317" s="564"/>
      <c r="O317" s="1125"/>
      <c r="P317" s="1127"/>
      <c r="R317" s="1395" t="s">
        <v>2366</v>
      </c>
      <c r="S317" s="1396"/>
      <c r="T317" s="1142">
        <v>3438.0186471100101</v>
      </c>
      <c r="V317" s="1395" t="s">
        <v>2366</v>
      </c>
      <c r="W317" s="1396"/>
      <c r="X317" s="1142">
        <v>6276.2262347913529</v>
      </c>
      <c r="Z317" s="1395" t="s">
        <v>2366</v>
      </c>
      <c r="AA317" s="1396"/>
      <c r="AB317" s="1142">
        <v>256.04000000000002</v>
      </c>
    </row>
    <row r="318" spans="2:28" s="147" customFormat="1" ht="25.05" customHeight="1">
      <c r="B318" s="172"/>
      <c r="C318" s="172"/>
      <c r="D318" s="172"/>
      <c r="E318" s="1326" t="s">
        <v>2659</v>
      </c>
      <c r="F318" s="1137">
        <v>0</v>
      </c>
      <c r="G318" s="1137">
        <v>1423.8</v>
      </c>
      <c r="H318" s="1137">
        <v>5194.4000000000015</v>
      </c>
      <c r="I318" s="1138">
        <f t="shared" ref="I318:I319" si="14">SUM(F318:H318)</f>
        <v>6618.2000000000016</v>
      </c>
      <c r="L318" s="172"/>
      <c r="M318" s="1288"/>
      <c r="N318" s="564"/>
      <c r="O318" s="1125"/>
      <c r="P318" s="1127"/>
      <c r="R318" s="1397" t="s">
        <v>2678</v>
      </c>
      <c r="S318" s="1398"/>
      <c r="T318" s="1144">
        <f>8%*T316</f>
        <v>486.88</v>
      </c>
      <c r="V318" s="1397" t="s">
        <v>2678</v>
      </c>
      <c r="W318" s="1398"/>
      <c r="X318" s="1144">
        <f>8%*X316</f>
        <v>779.6</v>
      </c>
      <c r="Z318" s="1397" t="s">
        <v>2678</v>
      </c>
      <c r="AA318" s="1398"/>
      <c r="AB318" s="1144">
        <f>8%*AB316</f>
        <v>124.96000000000001</v>
      </c>
    </row>
    <row r="319" spans="2:28" s="147" customFormat="1" ht="25.05" customHeight="1">
      <c r="B319" s="172"/>
      <c r="C319" s="172"/>
      <c r="D319" s="172"/>
      <c r="E319" s="1326" t="s">
        <v>2660</v>
      </c>
      <c r="F319" s="1137">
        <v>0</v>
      </c>
      <c r="G319" s="1137">
        <v>0</v>
      </c>
      <c r="H319" s="1137">
        <v>0</v>
      </c>
      <c r="I319" s="1138">
        <f t="shared" si="14"/>
        <v>0</v>
      </c>
      <c r="L319" s="172"/>
      <c r="M319" s="1288"/>
      <c r="N319" s="564"/>
      <c r="O319" s="1125"/>
      <c r="P319" s="1127"/>
      <c r="R319" s="1397" t="s">
        <v>2679</v>
      </c>
      <c r="S319" s="1398"/>
      <c r="T319" s="1144">
        <f>4%*T316</f>
        <v>243.44</v>
      </c>
      <c r="V319" s="1397" t="s">
        <v>2679</v>
      </c>
      <c r="W319" s="1398"/>
      <c r="X319" s="1144">
        <f>4%*X316</f>
        <v>389.8</v>
      </c>
      <c r="Z319" s="1397" t="s">
        <v>2679</v>
      </c>
      <c r="AA319" s="1398"/>
      <c r="AB319" s="1144">
        <f>4%*AB316</f>
        <v>62.480000000000004</v>
      </c>
    </row>
    <row r="320" spans="2:28" s="147" customFormat="1" ht="25.05" customHeight="1">
      <c r="B320" s="172"/>
      <c r="C320" s="172"/>
      <c r="D320" s="172"/>
      <c r="E320" s="1290" t="s">
        <v>2095</v>
      </c>
      <c r="F320" s="1136">
        <f>F317-(F318+F319)</f>
        <v>6676.8099999999995</v>
      </c>
      <c r="G320" s="1136">
        <f t="shared" ref="G320:I320" si="15">G317-(G318+G319)</f>
        <v>1702.5800000000002</v>
      </c>
      <c r="H320" s="1136">
        <f t="shared" si="15"/>
        <v>1622.0799999999981</v>
      </c>
      <c r="I320" s="1136">
        <f t="shared" si="15"/>
        <v>10001.469999999998</v>
      </c>
      <c r="J320" s="1292">
        <f>I320/I309</f>
        <v>4.0121590667485017E-2</v>
      </c>
      <c r="L320" s="172"/>
      <c r="M320" s="1288"/>
      <c r="N320" s="564"/>
      <c r="O320" s="1125"/>
      <c r="P320" s="1126"/>
      <c r="R320" s="1399" t="s">
        <v>2367</v>
      </c>
      <c r="S320" s="1397"/>
      <c r="T320" s="1145">
        <f>19%*T316</f>
        <v>1156.3399999999999</v>
      </c>
      <c r="V320" s="1399" t="s">
        <v>2367</v>
      </c>
      <c r="W320" s="1397"/>
      <c r="X320" s="1145">
        <f>19%*X316</f>
        <v>1851.55</v>
      </c>
      <c r="Z320" s="1399" t="s">
        <v>2367</v>
      </c>
      <c r="AA320" s="1397"/>
      <c r="AB320" s="1145">
        <f>19%*AB316</f>
        <v>296.78000000000003</v>
      </c>
    </row>
    <row r="321" spans="2:28" s="147" customFormat="1" ht="25.05" customHeight="1" thickBot="1">
      <c r="B321" s="445"/>
      <c r="C321" s="445"/>
      <c r="D321" s="445"/>
      <c r="J321" s="107"/>
      <c r="K321" s="107"/>
      <c r="L321" s="445"/>
      <c r="M321" s="1283"/>
      <c r="N321" s="493"/>
      <c r="O321" s="494"/>
      <c r="P321" s="555"/>
      <c r="Q321" s="107"/>
      <c r="R321" s="1393" t="s">
        <v>2368</v>
      </c>
      <c r="S321" s="1394"/>
      <c r="T321" s="1143">
        <f>T316-T317-T318-T319-T320</f>
        <v>761.32135288998984</v>
      </c>
      <c r="U321" s="2"/>
      <c r="V321" s="1393" t="s">
        <v>2368</v>
      </c>
      <c r="W321" s="1394"/>
      <c r="X321" s="1143">
        <f>X316-X317-X318-X319-X320</f>
        <v>447.82376520864705</v>
      </c>
      <c r="Y321" s="2"/>
      <c r="Z321" s="1393" t="s">
        <v>2368</v>
      </c>
      <c r="AA321" s="1394"/>
      <c r="AB321" s="1143">
        <f>AB316-AB317-AB318-AB319-AB320</f>
        <v>821.74</v>
      </c>
    </row>
    <row r="322" spans="2:28" s="147" customFormat="1" ht="25.05" customHeight="1">
      <c r="B322" s="172"/>
      <c r="C322" s="172"/>
      <c r="D322" s="172"/>
      <c r="E322" s="1252" t="s">
        <v>2622</v>
      </c>
      <c r="F322" s="1253">
        <v>15063.391000000003</v>
      </c>
      <c r="G322" s="1253">
        <v>7714.9299999999994</v>
      </c>
      <c r="H322" s="1253">
        <v>22507.597000000002</v>
      </c>
      <c r="I322" s="1263">
        <f>SUM(F322:H322)</f>
        <v>45285.918000000005</v>
      </c>
      <c r="L322" s="172"/>
      <c r="M322" s="1288"/>
      <c r="N322" s="564"/>
      <c r="O322" s="1125"/>
      <c r="P322" s="1127"/>
      <c r="R322" s="1393" t="s">
        <v>2369</v>
      </c>
      <c r="S322" s="1394"/>
      <c r="T322" s="1291">
        <f>T321/T316</f>
        <v>0.12509387987019221</v>
      </c>
      <c r="U322" s="2"/>
      <c r="V322" s="1393" t="s">
        <v>2369</v>
      </c>
      <c r="W322" s="1394"/>
      <c r="X322" s="1291">
        <f>X321/X316</f>
        <v>4.5954208846449157E-2</v>
      </c>
      <c r="Y322" s="2"/>
      <c r="Z322" s="1393" t="s">
        <v>2369</v>
      </c>
      <c r="AA322" s="1394"/>
      <c r="AB322" s="1291">
        <f>AB321/AB316</f>
        <v>0.52608194622279125</v>
      </c>
    </row>
    <row r="323" spans="2:28" ht="25.05" customHeight="1" thickBot="1">
      <c r="E323" s="1254" t="s">
        <v>2623</v>
      </c>
      <c r="F323" s="1264">
        <f>F322/F309</f>
        <v>0.16316674790671479</v>
      </c>
      <c r="G323" s="1264">
        <f>G322/G309</f>
        <v>0.15198538247867457</v>
      </c>
      <c r="H323" s="1264">
        <f>H322/H309</f>
        <v>0.21193793726871252</v>
      </c>
      <c r="I323" s="1267">
        <f>I322/I309</f>
        <v>0.18166760136232898</v>
      </c>
      <c r="R323" s="14"/>
      <c r="S323" s="47"/>
      <c r="T323" s="2"/>
      <c r="U323" s="2"/>
      <c r="V323" s="2"/>
      <c r="W323" s="2"/>
      <c r="X323" s="2"/>
      <c r="Y323" s="2"/>
      <c r="Z323" s="2"/>
      <c r="AA323" s="2"/>
      <c r="AB323" s="2"/>
    </row>
    <row r="324" spans="2:28" ht="25.05" customHeight="1">
      <c r="E324" s="1265" t="s">
        <v>2628</v>
      </c>
      <c r="F324" s="1255"/>
      <c r="G324" s="1255"/>
      <c r="H324" s="1255"/>
      <c r="I324" s="1256"/>
      <c r="R324" s="1331" t="s">
        <v>1767</v>
      </c>
      <c r="S324" s="1140" t="s">
        <v>2365</v>
      </c>
      <c r="T324" s="1141">
        <v>41450</v>
      </c>
      <c r="U324" s="172"/>
      <c r="V324" s="1331" t="s">
        <v>49</v>
      </c>
      <c r="W324" s="1140" t="s">
        <v>2365</v>
      </c>
      <c r="X324" s="1141">
        <v>36427</v>
      </c>
      <c r="Y324" s="172"/>
      <c r="Z324" s="1331" t="s">
        <v>1003</v>
      </c>
      <c r="AA324" s="1140" t="s">
        <v>2365</v>
      </c>
      <c r="AB324" s="1141">
        <v>19698</v>
      </c>
    </row>
    <row r="325" spans="2:28" ht="25.05" customHeight="1">
      <c r="E325" s="1266" t="s">
        <v>2624</v>
      </c>
      <c r="F325" s="1257"/>
      <c r="G325" s="1257"/>
      <c r="H325" s="1257"/>
      <c r="I325" s="1258"/>
      <c r="R325" s="1395" t="s">
        <v>2366</v>
      </c>
      <c r="S325" s="1396"/>
      <c r="T325" s="1142">
        <v>28482.699999999997</v>
      </c>
      <c r="U325" s="147"/>
      <c r="V325" s="1395" t="s">
        <v>2366</v>
      </c>
      <c r="W325" s="1396"/>
      <c r="X325" s="1142">
        <v>26034.729999999989</v>
      </c>
      <c r="Y325" s="147"/>
      <c r="Z325" s="1395" t="s">
        <v>2366</v>
      </c>
      <c r="AA325" s="1396"/>
      <c r="AB325" s="1142">
        <v>13207.702945399695</v>
      </c>
    </row>
    <row r="326" spans="2:28" ht="25.05" customHeight="1">
      <c r="E326" s="1266" t="s">
        <v>2625</v>
      </c>
      <c r="F326" s="1257"/>
      <c r="G326" s="1259"/>
      <c r="H326" s="1257"/>
      <c r="I326" s="1258"/>
      <c r="R326" s="1397" t="s">
        <v>2678</v>
      </c>
      <c r="S326" s="1398"/>
      <c r="T326" s="1144">
        <f>8%*T324</f>
        <v>3316</v>
      </c>
      <c r="U326" s="147"/>
      <c r="V326" s="1397" t="s">
        <v>2678</v>
      </c>
      <c r="W326" s="1398"/>
      <c r="X326" s="1144">
        <f>8%*X324</f>
        <v>2914.16</v>
      </c>
      <c r="Y326" s="147"/>
      <c r="Z326" s="1397" t="s">
        <v>2678</v>
      </c>
      <c r="AA326" s="1398"/>
      <c r="AB326" s="1144">
        <f>8%*AB324</f>
        <v>1575.8400000000001</v>
      </c>
    </row>
    <row r="327" spans="2:28" ht="25.05" customHeight="1">
      <c r="E327" s="1266" t="s">
        <v>2626</v>
      </c>
      <c r="F327" s="1257"/>
      <c r="G327" s="1257"/>
      <c r="H327" s="1257"/>
      <c r="I327" s="1258"/>
      <c r="R327" s="1397" t="s">
        <v>2679</v>
      </c>
      <c r="S327" s="1398"/>
      <c r="T327" s="1144">
        <f>4%*T324</f>
        <v>1658</v>
      </c>
      <c r="U327" s="147"/>
      <c r="V327" s="1397" t="s">
        <v>2679</v>
      </c>
      <c r="W327" s="1398"/>
      <c r="X327" s="1144">
        <f>4%*X324</f>
        <v>1457.08</v>
      </c>
      <c r="Y327" s="147"/>
      <c r="Z327" s="1397" t="s">
        <v>2679</v>
      </c>
      <c r="AA327" s="1398"/>
      <c r="AB327" s="1144">
        <f>4%*AB324</f>
        <v>787.92000000000007</v>
      </c>
    </row>
    <row r="328" spans="2:28" ht="25.05" customHeight="1">
      <c r="E328" s="1266" t="s">
        <v>2627</v>
      </c>
      <c r="F328" s="1257"/>
      <c r="G328" s="1257"/>
      <c r="H328" s="1257"/>
      <c r="I328" s="1258"/>
      <c r="R328" s="1399" t="s">
        <v>2367</v>
      </c>
      <c r="S328" s="1397"/>
      <c r="T328" s="1145">
        <f>19%*T324</f>
        <v>7875.5</v>
      </c>
      <c r="U328" s="147"/>
      <c r="V328" s="1399" t="s">
        <v>2367</v>
      </c>
      <c r="W328" s="1397"/>
      <c r="X328" s="1145">
        <f>19%*X324</f>
        <v>6921.13</v>
      </c>
      <c r="Y328" s="147"/>
      <c r="Z328" s="1399" t="s">
        <v>2367</v>
      </c>
      <c r="AA328" s="1397"/>
      <c r="AB328" s="1145">
        <f>19%*AB324</f>
        <v>3742.62</v>
      </c>
    </row>
    <row r="329" spans="2:28" ht="25.05" customHeight="1">
      <c r="E329" s="1266" t="s">
        <v>2631</v>
      </c>
      <c r="F329" s="1257"/>
      <c r="G329" s="1257"/>
      <c r="H329" s="1257"/>
      <c r="I329" s="1258"/>
      <c r="R329" s="1393" t="s">
        <v>2368</v>
      </c>
      <c r="S329" s="1394"/>
      <c r="T329" s="1143">
        <f>T324-T325-T326-T327-T328</f>
        <v>117.80000000000291</v>
      </c>
      <c r="U329" s="2"/>
      <c r="V329" s="1393" t="s">
        <v>2368</v>
      </c>
      <c r="W329" s="1394"/>
      <c r="X329" s="1143">
        <f>X324-X325-X326-X327-X328</f>
        <v>-900.09999999998854</v>
      </c>
      <c r="Y329" s="2"/>
      <c r="Z329" s="1393" t="s">
        <v>2368</v>
      </c>
      <c r="AA329" s="1394"/>
      <c r="AB329" s="1143">
        <f>AB324-AB325-AB326-AB327-AB328</f>
        <v>383.91705460030516</v>
      </c>
    </row>
    <row r="330" spans="2:28" ht="25.05" customHeight="1">
      <c r="E330" s="1266" t="s">
        <v>2632</v>
      </c>
      <c r="F330" s="1257"/>
      <c r="G330" s="1257"/>
      <c r="H330" s="1257"/>
      <c r="I330" s="1258"/>
      <c r="R330" s="1393" t="s">
        <v>2369</v>
      </c>
      <c r="S330" s="1394"/>
      <c r="T330" s="1291">
        <f>T329/T324</f>
        <v>2.8419782870929534E-3</v>
      </c>
      <c r="U330" s="2"/>
      <c r="V330" s="1393" t="s">
        <v>2369</v>
      </c>
      <c r="W330" s="1394"/>
      <c r="X330" s="1291">
        <f>X329/X324</f>
        <v>-2.4709693359321067E-2</v>
      </c>
      <c r="Y330" s="2"/>
      <c r="Z330" s="1393" t="s">
        <v>2369</v>
      </c>
      <c r="AA330" s="1394"/>
      <c r="AB330" s="1291">
        <f>AB329/AB324</f>
        <v>1.9490154056264856E-2</v>
      </c>
    </row>
    <row r="331" spans="2:28" ht="25.05" customHeight="1">
      <c r="E331" s="1266" t="s">
        <v>2629</v>
      </c>
      <c r="F331" s="1257"/>
      <c r="G331" s="1257"/>
      <c r="H331" s="1257"/>
      <c r="I331" s="1258"/>
      <c r="R331" s="14"/>
      <c r="S331" s="47"/>
      <c r="T331" s="2"/>
      <c r="U331" s="2"/>
      <c r="V331" s="2"/>
      <c r="W331" s="2"/>
      <c r="X331" s="2"/>
      <c r="Y331" s="2"/>
      <c r="Z331" s="2"/>
      <c r="AA331" s="2"/>
      <c r="AB331" s="2"/>
    </row>
    <row r="332" spans="2:28" ht="25.05" customHeight="1">
      <c r="E332" s="1266" t="s">
        <v>2630</v>
      </c>
      <c r="F332" s="1257"/>
      <c r="G332" s="1257"/>
      <c r="H332" s="1257"/>
      <c r="I332" s="1258"/>
      <c r="R332" s="1146" t="s">
        <v>653</v>
      </c>
      <c r="S332" s="1140" t="s">
        <v>2365</v>
      </c>
      <c r="T332" s="1141">
        <v>24230</v>
      </c>
      <c r="U332" s="172"/>
      <c r="V332" s="1331" t="s">
        <v>583</v>
      </c>
      <c r="W332" s="1140" t="s">
        <v>2365</v>
      </c>
      <c r="X332" s="1141">
        <v>13744</v>
      </c>
      <c r="Y332" s="172"/>
    </row>
    <row r="333" spans="2:28" ht="25.05" customHeight="1" thickBot="1">
      <c r="E333" s="1262"/>
      <c r="F333" s="1260"/>
      <c r="G333" s="1260"/>
      <c r="H333" s="1260"/>
      <c r="I333" s="1261"/>
      <c r="R333" s="1395" t="s">
        <v>2366</v>
      </c>
      <c r="S333" s="1396"/>
      <c r="T333" s="1142">
        <v>15787.776309568362</v>
      </c>
      <c r="U333" s="147"/>
      <c r="V333" s="1395" t="s">
        <v>2366</v>
      </c>
      <c r="W333" s="1396"/>
      <c r="X333" s="1142">
        <v>9362.0221089025072</v>
      </c>
      <c r="Y333" s="147"/>
    </row>
    <row r="334" spans="2:28" ht="25.05" customHeight="1">
      <c r="R334" s="1397" t="s">
        <v>2678</v>
      </c>
      <c r="S334" s="1398"/>
      <c r="T334" s="1144">
        <f>8%*T332</f>
        <v>1938.4</v>
      </c>
      <c r="U334" s="147"/>
      <c r="V334" s="1397" t="s">
        <v>2678</v>
      </c>
      <c r="W334" s="1398"/>
      <c r="X334" s="1144">
        <f>8%*X332</f>
        <v>1099.52</v>
      </c>
      <c r="Y334" s="147"/>
    </row>
    <row r="335" spans="2:28" ht="25.05" customHeight="1">
      <c r="R335" s="1397" t="s">
        <v>2679</v>
      </c>
      <c r="S335" s="1398"/>
      <c r="T335" s="1144">
        <f>4%*T332</f>
        <v>969.2</v>
      </c>
      <c r="U335" s="147"/>
      <c r="V335" s="1397" t="s">
        <v>2679</v>
      </c>
      <c r="W335" s="1398"/>
      <c r="X335" s="1144">
        <f>4%*X332</f>
        <v>549.76</v>
      </c>
      <c r="Y335" s="147"/>
    </row>
    <row r="336" spans="2:28" s="445" customFormat="1" ht="25.05" customHeight="1">
      <c r="J336" s="107"/>
      <c r="K336" s="107"/>
      <c r="M336" s="1283"/>
      <c r="N336" s="493"/>
      <c r="O336" s="494"/>
      <c r="P336" s="555"/>
      <c r="Q336" s="107"/>
      <c r="R336" s="1399" t="s">
        <v>2367</v>
      </c>
      <c r="S336" s="1397"/>
      <c r="T336" s="1145">
        <f>19%*T332</f>
        <v>4603.7</v>
      </c>
      <c r="U336" s="147"/>
      <c r="V336" s="1399" t="s">
        <v>2367</v>
      </c>
      <c r="W336" s="1397"/>
      <c r="X336" s="1145">
        <f>19%*X332</f>
        <v>2611.36</v>
      </c>
      <c r="Y336" s="147"/>
    </row>
    <row r="337" spans="10:28" s="445" customFormat="1" ht="25.05" customHeight="1">
      <c r="J337" s="107"/>
      <c r="K337" s="107"/>
      <c r="M337" s="1283"/>
      <c r="N337" s="493"/>
      <c r="O337" s="494"/>
      <c r="P337" s="555"/>
      <c r="Q337" s="107"/>
      <c r="R337" s="1393" t="s">
        <v>2368</v>
      </c>
      <c r="S337" s="1394"/>
      <c r="T337" s="1143">
        <f>T332-T333-T334-T335-T336</f>
        <v>930.92369043163853</v>
      </c>
      <c r="U337" s="2"/>
      <c r="V337" s="1393" t="s">
        <v>2368</v>
      </c>
      <c r="W337" s="1394"/>
      <c r="X337" s="1143">
        <f>X332-X333-X334-X335-X336</f>
        <v>121.33789109749296</v>
      </c>
      <c r="Y337" s="2"/>
    </row>
    <row r="338" spans="10:28" s="445" customFormat="1" ht="25.05" customHeight="1">
      <c r="J338" s="107"/>
      <c r="K338" s="107"/>
      <c r="M338" s="1283"/>
      <c r="N338" s="493"/>
      <c r="O338" s="494"/>
      <c r="P338" s="555"/>
      <c r="Q338" s="107"/>
      <c r="R338" s="1393" t="s">
        <v>2369</v>
      </c>
      <c r="S338" s="1394"/>
      <c r="T338" s="1291">
        <f>T337/T332</f>
        <v>3.8420292630278109E-2</v>
      </c>
      <c r="U338" s="2"/>
      <c r="V338" s="1393" t="s">
        <v>2369</v>
      </c>
      <c r="W338" s="1394"/>
      <c r="X338" s="1291">
        <f>X337/X332</f>
        <v>8.8284263022040867E-3</v>
      </c>
      <c r="Y338" s="2"/>
    </row>
    <row r="339" spans="10:28" s="445" customFormat="1" ht="25.05" customHeight="1">
      <c r="J339" s="107"/>
      <c r="K339" s="107"/>
      <c r="M339" s="1283"/>
      <c r="N339" s="493"/>
      <c r="O339" s="494"/>
      <c r="P339" s="555"/>
      <c r="Q339" s="107"/>
      <c r="R339" s="106"/>
      <c r="S339" s="447"/>
      <c r="T339" s="443"/>
      <c r="U339" s="107"/>
      <c r="V339" s="443"/>
      <c r="W339" s="107"/>
      <c r="X339" s="107"/>
      <c r="Y339" s="107"/>
      <c r="Z339" s="107"/>
      <c r="AA339" s="107"/>
      <c r="AB339" s="107"/>
    </row>
    <row r="340" spans="10:28" s="445" customFormat="1" ht="25.05" customHeight="1">
      <c r="J340" s="107"/>
      <c r="K340" s="107"/>
      <c r="M340" s="1283"/>
      <c r="N340" s="493"/>
      <c r="O340" s="494"/>
      <c r="P340" s="555"/>
      <c r="Q340" s="107"/>
      <c r="R340" s="1146" t="s">
        <v>982</v>
      </c>
      <c r="S340" s="1140" t="s">
        <v>2365</v>
      </c>
      <c r="T340" s="1141">
        <v>7054</v>
      </c>
      <c r="U340" s="172"/>
      <c r="V340" s="1331" t="s">
        <v>1634</v>
      </c>
      <c r="W340" s="1140" t="s">
        <v>2365</v>
      </c>
      <c r="X340" s="1141">
        <v>6676</v>
      </c>
      <c r="Y340" s="172"/>
      <c r="Z340" s="1331" t="s">
        <v>1081</v>
      </c>
      <c r="AA340" s="1140" t="s">
        <v>2365</v>
      </c>
      <c r="AB340" s="1141">
        <v>7388</v>
      </c>
    </row>
    <row r="341" spans="10:28" s="445" customFormat="1" ht="25.05" customHeight="1">
      <c r="J341" s="107"/>
      <c r="K341" s="107"/>
      <c r="M341" s="1283"/>
      <c r="N341" s="493"/>
      <c r="O341" s="494"/>
      <c r="P341" s="555"/>
      <c r="Q341" s="107"/>
      <c r="R341" s="1395" t="s">
        <v>2366</v>
      </c>
      <c r="S341" s="1396"/>
      <c r="T341" s="1142">
        <v>4076.5599999999995</v>
      </c>
      <c r="U341" s="147"/>
      <c r="V341" s="1395" t="s">
        <v>2366</v>
      </c>
      <c r="W341" s="1396"/>
      <c r="X341" s="1142">
        <v>4750.6295026646567</v>
      </c>
      <c r="Y341" s="147"/>
      <c r="Z341" s="1395" t="s">
        <v>2366</v>
      </c>
      <c r="AA341" s="1396"/>
      <c r="AB341" s="1142">
        <v>5139.3399999999983</v>
      </c>
    </row>
    <row r="342" spans="10:28" s="445" customFormat="1" ht="25.05" customHeight="1">
      <c r="J342" s="107"/>
      <c r="K342" s="107"/>
      <c r="M342" s="1283"/>
      <c r="N342" s="493"/>
      <c r="O342" s="494"/>
      <c r="P342" s="555"/>
      <c r="Q342" s="107"/>
      <c r="R342" s="1397" t="s">
        <v>2678</v>
      </c>
      <c r="S342" s="1398"/>
      <c r="T342" s="1144">
        <f>8%*T340</f>
        <v>564.32000000000005</v>
      </c>
      <c r="U342" s="147"/>
      <c r="V342" s="1397" t="s">
        <v>2678</v>
      </c>
      <c r="W342" s="1398"/>
      <c r="X342" s="1144">
        <f>8%*X340</f>
        <v>534.08000000000004</v>
      </c>
      <c r="Y342" s="147"/>
      <c r="Z342" s="1397" t="s">
        <v>2678</v>
      </c>
      <c r="AA342" s="1398"/>
      <c r="AB342" s="1144">
        <f>8%*AB340</f>
        <v>591.04</v>
      </c>
    </row>
    <row r="343" spans="10:28" s="445" customFormat="1" ht="25.05" customHeight="1">
      <c r="J343" s="107"/>
      <c r="K343" s="107"/>
      <c r="M343" s="1283"/>
      <c r="N343" s="493"/>
      <c r="O343" s="494"/>
      <c r="P343" s="555"/>
      <c r="Q343" s="107"/>
      <c r="R343" s="1397" t="s">
        <v>2679</v>
      </c>
      <c r="S343" s="1398"/>
      <c r="T343" s="1144">
        <f>4%*T340</f>
        <v>282.16000000000003</v>
      </c>
      <c r="U343" s="147"/>
      <c r="V343" s="1397" t="s">
        <v>2679</v>
      </c>
      <c r="W343" s="1398"/>
      <c r="X343" s="1144">
        <f>4%*X340</f>
        <v>267.04000000000002</v>
      </c>
      <c r="Y343" s="147"/>
      <c r="Z343" s="1397" t="s">
        <v>2679</v>
      </c>
      <c r="AA343" s="1398"/>
      <c r="AB343" s="1144">
        <f>4%*AB340</f>
        <v>295.52</v>
      </c>
    </row>
    <row r="344" spans="10:28" s="445" customFormat="1" ht="25.05" customHeight="1">
      <c r="J344" s="107"/>
      <c r="K344" s="107"/>
      <c r="M344" s="1283"/>
      <c r="N344" s="493"/>
      <c r="O344" s="494"/>
      <c r="P344" s="555"/>
      <c r="Q344" s="107"/>
      <c r="R344" s="1399" t="s">
        <v>2367</v>
      </c>
      <c r="S344" s="1397"/>
      <c r="T344" s="1145">
        <f>19%*T340</f>
        <v>1340.26</v>
      </c>
      <c r="U344" s="147"/>
      <c r="V344" s="1399" t="s">
        <v>2367</v>
      </c>
      <c r="W344" s="1397"/>
      <c r="X344" s="1145">
        <f>19%*X340</f>
        <v>1268.44</v>
      </c>
      <c r="Y344" s="147"/>
      <c r="Z344" s="1399" t="s">
        <v>2367</v>
      </c>
      <c r="AA344" s="1397"/>
      <c r="AB344" s="1145">
        <f>19%*AB340</f>
        <v>1403.72</v>
      </c>
    </row>
    <row r="345" spans="10:28" s="445" customFormat="1" ht="25.05" customHeight="1">
      <c r="J345" s="107"/>
      <c r="K345" s="107"/>
      <c r="M345" s="1283"/>
      <c r="N345" s="493"/>
      <c r="O345" s="494"/>
      <c r="P345" s="555"/>
      <c r="Q345" s="107"/>
      <c r="R345" s="1393" t="s">
        <v>2368</v>
      </c>
      <c r="S345" s="1394"/>
      <c r="T345" s="1143">
        <f>T340-T341-T342-T343-T344</f>
        <v>790.7000000000005</v>
      </c>
      <c r="U345" s="2"/>
      <c r="V345" s="1393" t="s">
        <v>2368</v>
      </c>
      <c r="W345" s="1394"/>
      <c r="X345" s="1143">
        <f>X340-X341-X342-X343-X344</f>
        <v>-144.18950266465663</v>
      </c>
      <c r="Y345" s="2"/>
      <c r="Z345" s="1393" t="s">
        <v>2368</v>
      </c>
      <c r="AA345" s="1394"/>
      <c r="AB345" s="1143">
        <f>AB340-AB341-AB342-AB343-AB344</f>
        <v>-41.619999999998299</v>
      </c>
    </row>
    <row r="346" spans="10:28" s="445" customFormat="1" ht="25.05" customHeight="1">
      <c r="J346" s="107"/>
      <c r="K346" s="107"/>
      <c r="M346" s="1283"/>
      <c r="N346" s="493"/>
      <c r="O346" s="494"/>
      <c r="P346" s="555"/>
      <c r="Q346" s="107"/>
      <c r="R346" s="1393" t="s">
        <v>2369</v>
      </c>
      <c r="S346" s="1394"/>
      <c r="T346" s="1291">
        <f>T345/T340</f>
        <v>0.11209242982704855</v>
      </c>
      <c r="U346" s="2"/>
      <c r="V346" s="1393" t="s">
        <v>2369</v>
      </c>
      <c r="W346" s="1394"/>
      <c r="X346" s="1291">
        <f>X345/X340</f>
        <v>-2.1598187936587271E-2</v>
      </c>
      <c r="Y346" s="2"/>
      <c r="Z346" s="1393" t="s">
        <v>2369</v>
      </c>
      <c r="AA346" s="1394"/>
      <c r="AB346" s="1291">
        <f>AB345/AB340</f>
        <v>-5.6334596643202893E-3</v>
      </c>
    </row>
    <row r="347" spans="10:28" s="445" customFormat="1" ht="25.05" customHeight="1">
      <c r="J347" s="107"/>
      <c r="K347" s="107"/>
      <c r="M347" s="1283"/>
      <c r="N347" s="493"/>
      <c r="O347" s="494"/>
      <c r="P347" s="555"/>
      <c r="Q347" s="107"/>
      <c r="R347" s="106"/>
      <c r="S347" s="447"/>
      <c r="T347" s="443"/>
      <c r="U347" s="107"/>
      <c r="V347" s="443"/>
      <c r="W347" s="107"/>
      <c r="X347" s="107"/>
      <c r="Y347" s="107"/>
      <c r="Z347" s="107"/>
      <c r="AA347" s="107"/>
      <c r="AB347" s="107"/>
    </row>
    <row r="348" spans="10:28" s="445" customFormat="1" ht="25.05" customHeight="1">
      <c r="J348" s="107"/>
      <c r="K348" s="107"/>
      <c r="M348" s="1283"/>
      <c r="N348" s="493"/>
      <c r="O348" s="494"/>
      <c r="P348" s="555"/>
      <c r="Q348" s="107"/>
      <c r="R348" s="1146" t="s">
        <v>1834</v>
      </c>
      <c r="S348" s="1140" t="s">
        <v>2365</v>
      </c>
      <c r="T348" s="1141">
        <v>6699</v>
      </c>
      <c r="U348" s="172"/>
      <c r="V348" s="1331" t="s">
        <v>638</v>
      </c>
      <c r="W348" s="1140" t="s">
        <v>2365</v>
      </c>
      <c r="X348" s="1141">
        <v>6301</v>
      </c>
      <c r="Y348" s="172"/>
      <c r="Z348" s="1146" t="s">
        <v>1082</v>
      </c>
      <c r="AA348" s="1140" t="s">
        <v>2365</v>
      </c>
      <c r="AB348" s="1141">
        <v>6486</v>
      </c>
    </row>
    <row r="349" spans="10:28" s="445" customFormat="1" ht="25.05" customHeight="1">
      <c r="J349" s="107"/>
      <c r="K349" s="107"/>
      <c r="M349" s="1283"/>
      <c r="N349" s="493"/>
      <c r="O349" s="494"/>
      <c r="P349" s="555"/>
      <c r="Q349" s="107"/>
      <c r="R349" s="1395" t="s">
        <v>2366</v>
      </c>
      <c r="S349" s="1396"/>
      <c r="T349" s="1142">
        <v>4132.4493291143554</v>
      </c>
      <c r="U349" s="147"/>
      <c r="V349" s="1395" t="s">
        <v>2366</v>
      </c>
      <c r="W349" s="1396"/>
      <c r="X349" s="1142">
        <v>4833.1623019641065</v>
      </c>
      <c r="Y349" s="147"/>
      <c r="Z349" s="1395" t="s">
        <v>2366</v>
      </c>
      <c r="AA349" s="1396"/>
      <c r="AB349" s="1142">
        <v>4902.6792795650181</v>
      </c>
    </row>
    <row r="350" spans="10:28" s="445" customFormat="1" ht="25.05" customHeight="1">
      <c r="J350" s="107"/>
      <c r="K350" s="107"/>
      <c r="M350" s="1283"/>
      <c r="N350" s="493"/>
      <c r="O350" s="494"/>
      <c r="P350" s="555"/>
      <c r="Q350" s="107"/>
      <c r="R350" s="1397" t="s">
        <v>2678</v>
      </c>
      <c r="S350" s="1398"/>
      <c r="T350" s="1144">
        <f>8%*T348</f>
        <v>535.91999999999996</v>
      </c>
      <c r="U350" s="147"/>
      <c r="V350" s="1397" t="s">
        <v>2678</v>
      </c>
      <c r="W350" s="1398"/>
      <c r="X350" s="1144">
        <f>8%*X348</f>
        <v>504.08</v>
      </c>
      <c r="Y350" s="147"/>
      <c r="Z350" s="1397" t="s">
        <v>2678</v>
      </c>
      <c r="AA350" s="1398"/>
      <c r="AB350" s="1144">
        <f>8%*AB348</f>
        <v>518.88</v>
      </c>
    </row>
    <row r="351" spans="10:28" s="445" customFormat="1" ht="25.05" customHeight="1">
      <c r="J351" s="107"/>
      <c r="K351" s="107"/>
      <c r="M351" s="1283"/>
      <c r="N351" s="493"/>
      <c r="O351" s="494"/>
      <c r="P351" s="555"/>
      <c r="Q351" s="107"/>
      <c r="R351" s="1397" t="s">
        <v>2679</v>
      </c>
      <c r="S351" s="1398"/>
      <c r="T351" s="1144">
        <f>4%*T348</f>
        <v>267.95999999999998</v>
      </c>
      <c r="U351" s="147"/>
      <c r="V351" s="1397" t="s">
        <v>2679</v>
      </c>
      <c r="W351" s="1398"/>
      <c r="X351" s="1144">
        <f>4%*X348</f>
        <v>252.04</v>
      </c>
      <c r="Y351" s="147"/>
      <c r="Z351" s="1397" t="s">
        <v>2679</v>
      </c>
      <c r="AA351" s="1398"/>
      <c r="AB351" s="1144">
        <f>4%*AB348</f>
        <v>259.44</v>
      </c>
    </row>
    <row r="352" spans="10:28" s="445" customFormat="1" ht="25.05" customHeight="1">
      <c r="J352" s="107"/>
      <c r="K352" s="107"/>
      <c r="M352" s="1283"/>
      <c r="N352" s="493"/>
      <c r="O352" s="494"/>
      <c r="P352" s="555"/>
      <c r="Q352" s="107"/>
      <c r="R352" s="1399" t="s">
        <v>2367</v>
      </c>
      <c r="S352" s="1397"/>
      <c r="T352" s="1145">
        <f>19%*T348</f>
        <v>1272.81</v>
      </c>
      <c r="U352" s="147"/>
      <c r="V352" s="1399" t="s">
        <v>2367</v>
      </c>
      <c r="W352" s="1397"/>
      <c r="X352" s="1145">
        <f>19%*X348</f>
        <v>1197.19</v>
      </c>
      <c r="Y352" s="147"/>
      <c r="Z352" s="1399" t="s">
        <v>2367</v>
      </c>
      <c r="AA352" s="1397"/>
      <c r="AB352" s="1145">
        <f>19%*AB348</f>
        <v>1232.3399999999999</v>
      </c>
    </row>
    <row r="353" spans="10:28" s="445" customFormat="1" ht="25.05" customHeight="1">
      <c r="J353" s="107"/>
      <c r="K353" s="107"/>
      <c r="M353" s="1283"/>
      <c r="N353" s="493"/>
      <c r="O353" s="494"/>
      <c r="P353" s="555"/>
      <c r="Q353" s="107"/>
      <c r="R353" s="1393" t="s">
        <v>2368</v>
      </c>
      <c r="S353" s="1394"/>
      <c r="T353" s="1143">
        <f>T348-T349-T350-T351-T352</f>
        <v>489.86067088564459</v>
      </c>
      <c r="U353" s="2"/>
      <c r="V353" s="1393" t="s">
        <v>2368</v>
      </c>
      <c r="W353" s="1394"/>
      <c r="X353" s="1143">
        <f>X348-X349-X350-X351-X352</f>
        <v>-485.47230196410646</v>
      </c>
      <c r="Y353" s="2"/>
      <c r="Z353" s="1393" t="s">
        <v>2368</v>
      </c>
      <c r="AA353" s="1394"/>
      <c r="AB353" s="1143">
        <f>AB348-AB349-AB350-AB351-AB352</f>
        <v>-427.33927956501816</v>
      </c>
    </row>
    <row r="354" spans="10:28" s="445" customFormat="1" ht="25.05" customHeight="1">
      <c r="J354" s="107"/>
      <c r="K354" s="107"/>
      <c r="M354" s="1283"/>
      <c r="N354" s="493"/>
      <c r="O354" s="494"/>
      <c r="P354" s="555"/>
      <c r="Q354" s="107"/>
      <c r="R354" s="1393" t="s">
        <v>2369</v>
      </c>
      <c r="S354" s="1394"/>
      <c r="T354" s="1291">
        <f>T353/T348</f>
        <v>7.3124447064583459E-2</v>
      </c>
      <c r="U354" s="2"/>
      <c r="V354" s="1393" t="s">
        <v>2369</v>
      </c>
      <c r="W354" s="1394"/>
      <c r="X354" s="1291">
        <f>X353/X348</f>
        <v>-7.7046865888606014E-2</v>
      </c>
      <c r="Y354" s="2"/>
      <c r="Z354" s="1393" t="s">
        <v>2369</v>
      </c>
      <c r="AA354" s="1394"/>
      <c r="AB354" s="1291">
        <f>AB353/AB348</f>
        <v>-6.5886413747304681E-2</v>
      </c>
    </row>
    <row r="355" spans="10:28" s="445" customFormat="1" ht="25.05" customHeight="1">
      <c r="J355" s="107"/>
      <c r="K355" s="107"/>
      <c r="M355" s="1283"/>
      <c r="N355" s="493"/>
      <c r="O355" s="494"/>
      <c r="P355" s="555"/>
      <c r="Q355" s="107"/>
      <c r="R355" s="106"/>
      <c r="S355" s="447"/>
      <c r="T355" s="443"/>
      <c r="U355" s="107"/>
      <c r="V355" s="443"/>
      <c r="W355" s="107"/>
      <c r="X355" s="107"/>
      <c r="Y355" s="107"/>
      <c r="Z355" s="107"/>
      <c r="AA355" s="107"/>
      <c r="AB355" s="107"/>
    </row>
    <row r="356" spans="10:28" s="445" customFormat="1" ht="25.05" customHeight="1">
      <c r="J356" s="107"/>
      <c r="K356" s="107"/>
      <c r="M356" s="1283"/>
      <c r="N356" s="493"/>
      <c r="O356" s="494"/>
      <c r="P356" s="555"/>
      <c r="Q356" s="107"/>
      <c r="R356" s="1333" t="s">
        <v>595</v>
      </c>
      <c r="S356" s="1140" t="s">
        <v>2365</v>
      </c>
      <c r="T356" s="1141">
        <f>T357</f>
        <v>45285.917999999998</v>
      </c>
      <c r="U356" s="172"/>
      <c r="V356" s="1333" t="s">
        <v>1130</v>
      </c>
      <c r="W356" s="1140" t="s">
        <v>2365</v>
      </c>
      <c r="X356" s="1141">
        <f>X357</f>
        <v>7363.44</v>
      </c>
    </row>
    <row r="357" spans="10:28" s="445" customFormat="1" ht="25.05" customHeight="1">
      <c r="J357" s="107"/>
      <c r="K357" s="107"/>
      <c r="M357" s="1283"/>
      <c r="N357" s="493"/>
      <c r="O357" s="494"/>
      <c r="P357" s="555"/>
      <c r="Q357" s="107"/>
      <c r="R357" s="1395" t="s">
        <v>2366</v>
      </c>
      <c r="S357" s="1396"/>
      <c r="T357" s="1142">
        <v>45285.917999999998</v>
      </c>
      <c r="U357" s="147"/>
      <c r="V357" s="1395" t="s">
        <v>2366</v>
      </c>
      <c r="W357" s="1396"/>
      <c r="X357" s="1142">
        <v>7363.44</v>
      </c>
    </row>
    <row r="358" spans="10:28" s="445" customFormat="1" ht="25.05" customHeight="1">
      <c r="J358" s="107"/>
      <c r="K358" s="107"/>
      <c r="M358" s="1283"/>
      <c r="N358" s="493"/>
      <c r="O358" s="494"/>
      <c r="P358" s="555"/>
      <c r="Q358" s="107"/>
      <c r="R358" s="1397" t="s">
        <v>2678</v>
      </c>
      <c r="S358" s="1398"/>
      <c r="T358" s="1144">
        <f>8%*T356</f>
        <v>3622.8734399999998</v>
      </c>
      <c r="U358" s="147"/>
      <c r="V358" s="1397" t="s">
        <v>2678</v>
      </c>
      <c r="W358" s="1398"/>
      <c r="X358" s="1144">
        <f>8%*X356</f>
        <v>589.0752</v>
      </c>
    </row>
    <row r="359" spans="10:28" s="445" customFormat="1" ht="25.05" customHeight="1">
      <c r="J359" s="107"/>
      <c r="K359" s="107"/>
      <c r="M359" s="1283"/>
      <c r="N359" s="493"/>
      <c r="O359" s="494"/>
      <c r="P359" s="555"/>
      <c r="Q359" s="107"/>
      <c r="R359" s="1397" t="s">
        <v>2679</v>
      </c>
      <c r="S359" s="1398"/>
      <c r="T359" s="1144">
        <f>4%*T356</f>
        <v>1811.4367199999999</v>
      </c>
      <c r="U359" s="147"/>
      <c r="V359" s="1397" t="s">
        <v>2679</v>
      </c>
      <c r="W359" s="1398"/>
      <c r="X359" s="1144">
        <f>4%*X356</f>
        <v>294.5376</v>
      </c>
    </row>
    <row r="360" spans="10:28" s="445" customFormat="1" ht="25.05" customHeight="1">
      <c r="J360" s="107"/>
      <c r="K360" s="107"/>
      <c r="M360" s="1283"/>
      <c r="N360" s="493"/>
      <c r="O360" s="494"/>
      <c r="P360" s="555"/>
      <c r="Q360" s="107"/>
      <c r="R360" s="1399" t="s">
        <v>2367</v>
      </c>
      <c r="S360" s="1397"/>
      <c r="T360" s="1145">
        <f>19%*T356</f>
        <v>8604.324419999999</v>
      </c>
      <c r="U360" s="147"/>
      <c r="V360" s="1399" t="s">
        <v>2367</v>
      </c>
      <c r="W360" s="1397"/>
      <c r="X360" s="1145">
        <f>19%*X356</f>
        <v>1399.0536</v>
      </c>
    </row>
    <row r="361" spans="10:28" s="445" customFormat="1" ht="25.05" customHeight="1">
      <c r="J361" s="107"/>
      <c r="K361" s="107"/>
      <c r="M361" s="1283"/>
      <c r="N361" s="493"/>
      <c r="O361" s="494"/>
      <c r="P361" s="555"/>
      <c r="Q361" s="107"/>
      <c r="R361" s="1393" t="s">
        <v>2368</v>
      </c>
      <c r="S361" s="1394"/>
      <c r="T361" s="1143">
        <f>T356-T357-T358-T359-T360</f>
        <v>-14038.634579999998</v>
      </c>
      <c r="U361" s="2"/>
      <c r="V361" s="1393" t="s">
        <v>2368</v>
      </c>
      <c r="W361" s="1394"/>
      <c r="X361" s="1143">
        <f>X356-X357-X358-X359-X360</f>
        <v>-2282.6664000000001</v>
      </c>
    </row>
    <row r="362" spans="10:28" s="445" customFormat="1" ht="25.05" customHeight="1">
      <c r="J362" s="107"/>
      <c r="K362" s="107"/>
      <c r="M362" s="1283"/>
      <c r="N362" s="493"/>
      <c r="O362" s="494"/>
      <c r="P362" s="555"/>
      <c r="Q362" s="107"/>
      <c r="R362" s="1393" t="s">
        <v>2369</v>
      </c>
      <c r="S362" s="1394"/>
      <c r="T362" s="1291">
        <f>T361/T356</f>
        <v>-0.31</v>
      </c>
      <c r="U362" s="2"/>
      <c r="V362" s="1393" t="s">
        <v>2369</v>
      </c>
      <c r="W362" s="1394"/>
      <c r="X362" s="1291">
        <f>X361/X356</f>
        <v>-0.31000000000000005</v>
      </c>
    </row>
    <row r="363" spans="10:28" s="445" customFormat="1" ht="25.05" customHeight="1">
      <c r="J363" s="107"/>
      <c r="K363" s="107"/>
      <c r="M363" s="1283"/>
      <c r="N363" s="493"/>
      <c r="O363" s="494"/>
      <c r="P363" s="555"/>
      <c r="Q363" s="107"/>
      <c r="R363" s="106"/>
      <c r="S363" s="447"/>
      <c r="T363" s="443"/>
      <c r="U363" s="107"/>
      <c r="V363" s="443"/>
      <c r="W363" s="107"/>
      <c r="X363" s="107"/>
      <c r="Y363" s="107"/>
      <c r="Z363" s="107"/>
      <c r="AA363" s="107"/>
      <c r="AB363" s="107"/>
    </row>
    <row r="364" spans="10:28" s="445" customFormat="1" ht="25.05" customHeight="1">
      <c r="J364" s="107"/>
      <c r="K364" s="107"/>
      <c r="M364" s="1283"/>
      <c r="N364" s="493"/>
      <c r="O364" s="494"/>
      <c r="P364" s="555"/>
      <c r="Q364" s="107"/>
      <c r="Y364" s="172"/>
      <c r="Z364" s="107"/>
      <c r="AA364" s="107"/>
      <c r="AB364" s="107"/>
    </row>
    <row r="365" spans="10:28" s="445" customFormat="1" ht="25.05" customHeight="1">
      <c r="J365" s="107"/>
      <c r="K365" s="107"/>
      <c r="M365" s="1283"/>
      <c r="N365" s="493"/>
      <c r="O365" s="494"/>
      <c r="P365" s="555"/>
      <c r="Q365" s="107"/>
      <c r="Y365" s="147"/>
      <c r="Z365" s="107"/>
      <c r="AA365" s="107"/>
      <c r="AB365" s="107"/>
    </row>
    <row r="366" spans="10:28" s="445" customFormat="1" ht="25.05" customHeight="1">
      <c r="J366" s="107"/>
      <c r="K366" s="107"/>
      <c r="M366" s="1283"/>
      <c r="N366" s="493"/>
      <c r="O366" s="494"/>
      <c r="P366" s="555"/>
      <c r="Q366" s="107"/>
      <c r="Y366" s="147"/>
      <c r="Z366" s="107"/>
      <c r="AA366" s="107"/>
      <c r="AB366" s="107"/>
    </row>
    <row r="367" spans="10:28" s="445" customFormat="1" ht="21" customHeight="1">
      <c r="J367" s="107"/>
      <c r="K367" s="107"/>
      <c r="M367" s="1283"/>
      <c r="N367" s="493"/>
      <c r="O367" s="494"/>
      <c r="P367" s="555"/>
      <c r="Q367" s="107"/>
      <c r="Y367" s="147"/>
      <c r="Z367" s="107"/>
      <c r="AA367" s="107"/>
      <c r="AB367" s="107"/>
    </row>
    <row r="368" spans="10:28" s="445" customFormat="1" ht="21" customHeight="1">
      <c r="J368" s="107"/>
      <c r="K368" s="107"/>
      <c r="M368" s="1283"/>
      <c r="N368" s="493"/>
      <c r="O368" s="494"/>
      <c r="P368" s="555"/>
      <c r="Q368" s="107"/>
      <c r="Y368" s="147"/>
      <c r="Z368" s="107"/>
      <c r="AA368" s="107"/>
      <c r="AB368" s="107"/>
    </row>
    <row r="369" spans="10:28" s="445" customFormat="1" ht="21" customHeight="1">
      <c r="J369" s="107"/>
      <c r="K369" s="107"/>
      <c r="M369" s="1283"/>
      <c r="N369" s="493"/>
      <c r="O369" s="494"/>
      <c r="P369" s="555"/>
      <c r="Q369" s="107"/>
      <c r="Y369" s="2"/>
      <c r="Z369" s="107"/>
      <c r="AA369" s="107"/>
      <c r="AB369" s="107"/>
    </row>
    <row r="370" spans="10:28" s="445" customFormat="1" ht="21" customHeight="1">
      <c r="J370" s="107"/>
      <c r="K370" s="107"/>
      <c r="M370" s="1283"/>
      <c r="N370" s="493"/>
      <c r="O370" s="494"/>
      <c r="P370" s="555"/>
      <c r="Q370" s="107"/>
      <c r="Y370" s="2"/>
      <c r="Z370" s="107"/>
      <c r="AA370" s="107"/>
      <c r="AB370" s="107"/>
    </row>
    <row r="371" spans="10:28" s="445" customFormat="1" ht="21" customHeight="1">
      <c r="J371" s="107"/>
      <c r="K371" s="107"/>
      <c r="M371" s="1283"/>
      <c r="N371" s="493"/>
      <c r="O371" s="494"/>
      <c r="P371" s="555"/>
      <c r="Q371" s="107"/>
      <c r="R371" s="106"/>
      <c r="S371" s="447"/>
      <c r="T371" s="443"/>
      <c r="U371" s="107"/>
      <c r="V371" s="443"/>
      <c r="W371" s="107"/>
      <c r="Y371" s="107"/>
    </row>
    <row r="372" spans="10:28" s="445" customFormat="1" ht="21" customHeight="1">
      <c r="J372" s="107"/>
      <c r="K372" s="107"/>
      <c r="M372" s="1283"/>
      <c r="N372" s="493"/>
      <c r="O372" s="494"/>
      <c r="P372" s="555"/>
      <c r="Q372" s="107"/>
      <c r="R372" s="106"/>
      <c r="S372" s="447"/>
      <c r="T372" s="443"/>
      <c r="U372" s="107"/>
      <c r="V372" s="443"/>
      <c r="W372" s="107"/>
      <c r="Y372" s="107"/>
    </row>
    <row r="373" spans="10:28" s="445" customFormat="1" ht="21" customHeight="1">
      <c r="J373" s="107"/>
      <c r="K373" s="107"/>
      <c r="M373" s="1283"/>
      <c r="N373" s="493"/>
      <c r="O373" s="494"/>
      <c r="P373" s="555"/>
      <c r="Q373" s="107"/>
      <c r="R373" s="106"/>
      <c r="S373" s="447"/>
      <c r="T373" s="443"/>
      <c r="U373" s="107"/>
      <c r="V373" s="443"/>
      <c r="W373" s="107"/>
      <c r="Y373" s="107"/>
    </row>
    <row r="374" spans="10:28" s="445" customFormat="1" ht="21" customHeight="1">
      <c r="J374" s="107"/>
      <c r="K374" s="107"/>
      <c r="M374" s="1283"/>
      <c r="N374" s="493"/>
      <c r="O374" s="494"/>
      <c r="P374" s="555"/>
      <c r="Q374" s="107"/>
      <c r="R374" s="106"/>
      <c r="S374" s="447"/>
      <c r="T374" s="443"/>
      <c r="U374" s="107"/>
      <c r="V374" s="443"/>
      <c r="W374" s="107"/>
      <c r="Y374" s="107"/>
    </row>
    <row r="375" spans="10:28" s="445" customFormat="1" ht="21" customHeight="1">
      <c r="J375" s="107"/>
      <c r="K375" s="107"/>
      <c r="M375" s="1283"/>
      <c r="N375" s="493"/>
      <c r="O375" s="494"/>
      <c r="P375" s="555"/>
      <c r="Q375" s="107"/>
      <c r="R375" s="106"/>
      <c r="S375" s="447"/>
      <c r="T375" s="443"/>
      <c r="U375" s="107"/>
      <c r="V375" s="443"/>
      <c r="W375" s="107"/>
      <c r="Y375" s="107"/>
    </row>
    <row r="376" spans="10:28" s="445" customFormat="1" ht="21" customHeight="1">
      <c r="J376" s="107"/>
      <c r="K376" s="107"/>
      <c r="M376" s="1283"/>
      <c r="N376" s="493"/>
      <c r="O376" s="494"/>
      <c r="P376" s="555"/>
      <c r="Q376" s="107"/>
      <c r="R376" s="106"/>
      <c r="S376" s="447"/>
      <c r="T376" s="443"/>
      <c r="U376" s="107"/>
      <c r="V376" s="443"/>
      <c r="W376" s="107"/>
      <c r="Y376" s="107"/>
    </row>
    <row r="377" spans="10:28" s="445" customFormat="1" ht="21" customHeight="1">
      <c r="J377" s="107"/>
      <c r="K377" s="107"/>
      <c r="M377" s="1283"/>
      <c r="N377" s="493"/>
      <c r="O377" s="494"/>
      <c r="P377" s="555"/>
      <c r="Q377" s="107"/>
      <c r="R377" s="106"/>
      <c r="S377" s="447"/>
      <c r="T377" s="443"/>
      <c r="U377" s="107"/>
      <c r="V377" s="443"/>
      <c r="W377" s="107"/>
      <c r="Y377" s="107"/>
    </row>
    <row r="378" spans="10:28" s="445" customFormat="1" ht="21" customHeight="1">
      <c r="J378" s="107"/>
      <c r="K378" s="107"/>
      <c r="M378" s="1283"/>
      <c r="N378" s="493"/>
      <c r="O378" s="494"/>
      <c r="P378" s="555"/>
      <c r="Q378" s="107"/>
      <c r="R378" s="106"/>
      <c r="S378" s="447"/>
      <c r="T378" s="443"/>
      <c r="U378" s="107"/>
      <c r="V378" s="443"/>
      <c r="W378" s="107"/>
      <c r="Y378" s="107"/>
    </row>
    <row r="379" spans="10:28" s="445" customFormat="1" ht="21" customHeight="1">
      <c r="J379" s="107"/>
      <c r="K379" s="107"/>
      <c r="M379" s="1283"/>
      <c r="N379" s="493"/>
      <c r="O379" s="494"/>
      <c r="P379" s="555"/>
      <c r="Q379" s="107"/>
      <c r="R379" s="106"/>
      <c r="S379" s="447"/>
      <c r="T379" s="443"/>
      <c r="U379" s="107"/>
      <c r="V379" s="443"/>
      <c r="W379" s="107"/>
      <c r="Y379" s="107"/>
    </row>
    <row r="380" spans="10:28" s="445" customFormat="1" ht="21" customHeight="1">
      <c r="J380" s="107"/>
      <c r="K380" s="107"/>
      <c r="M380" s="1283"/>
      <c r="N380" s="493"/>
      <c r="O380" s="494"/>
      <c r="P380" s="555"/>
      <c r="Q380" s="107"/>
      <c r="R380" s="106"/>
      <c r="S380" s="447"/>
      <c r="T380" s="443"/>
      <c r="U380" s="107"/>
      <c r="V380" s="443"/>
      <c r="W380" s="107"/>
      <c r="Y380" s="107"/>
    </row>
  </sheetData>
  <mergeCells count="114">
    <mergeCell ref="R314:S314"/>
    <mergeCell ref="R309:S309"/>
    <mergeCell ref="R310:S310"/>
    <mergeCell ref="R311:S311"/>
    <mergeCell ref="R312:S312"/>
    <mergeCell ref="R313:S313"/>
    <mergeCell ref="V312:W312"/>
    <mergeCell ref="Z312:AA312"/>
    <mergeCell ref="V313:W313"/>
    <mergeCell ref="Z313:AA313"/>
    <mergeCell ref="V314:W314"/>
    <mergeCell ref="Z314:AA314"/>
    <mergeCell ref="V309:W309"/>
    <mergeCell ref="Z309:AA309"/>
    <mergeCell ref="V310:W310"/>
    <mergeCell ref="Z310:AA310"/>
    <mergeCell ref="V311:W311"/>
    <mergeCell ref="Z311:AA311"/>
    <mergeCell ref="R320:S320"/>
    <mergeCell ref="V320:W320"/>
    <mergeCell ref="R321:S321"/>
    <mergeCell ref="V321:W321"/>
    <mergeCell ref="R322:S322"/>
    <mergeCell ref="V322:W322"/>
    <mergeCell ref="R317:S317"/>
    <mergeCell ref="V317:W317"/>
    <mergeCell ref="R318:S318"/>
    <mergeCell ref="V318:W318"/>
    <mergeCell ref="R319:S319"/>
    <mergeCell ref="V319:W319"/>
    <mergeCell ref="R328:S328"/>
    <mergeCell ref="V328:W328"/>
    <mergeCell ref="R329:S329"/>
    <mergeCell ref="V329:W329"/>
    <mergeCell ref="R330:S330"/>
    <mergeCell ref="V330:W330"/>
    <mergeCell ref="R325:S325"/>
    <mergeCell ref="V325:W325"/>
    <mergeCell ref="R326:S326"/>
    <mergeCell ref="V326:W326"/>
    <mergeCell ref="R327:S327"/>
    <mergeCell ref="V327:W327"/>
    <mergeCell ref="R360:S360"/>
    <mergeCell ref="V360:W360"/>
    <mergeCell ref="R361:S361"/>
    <mergeCell ref="V361:W361"/>
    <mergeCell ref="R362:S362"/>
    <mergeCell ref="V362:W362"/>
    <mergeCell ref="R357:S357"/>
    <mergeCell ref="V357:W357"/>
    <mergeCell ref="R358:S358"/>
    <mergeCell ref="V358:W358"/>
    <mergeCell ref="R359:S359"/>
    <mergeCell ref="V359:W359"/>
    <mergeCell ref="R336:S336"/>
    <mergeCell ref="Z344:AA344"/>
    <mergeCell ref="R337:S337"/>
    <mergeCell ref="Z345:AA345"/>
    <mergeCell ref="R338:S338"/>
    <mergeCell ref="Z346:AA346"/>
    <mergeCell ref="R333:S333"/>
    <mergeCell ref="Z341:AA341"/>
    <mergeCell ref="R334:S334"/>
    <mergeCell ref="Z342:AA342"/>
    <mergeCell ref="R335:S335"/>
    <mergeCell ref="Z343:AA343"/>
    <mergeCell ref="R344:S344"/>
    <mergeCell ref="V344:W344"/>
    <mergeCell ref="R345:S345"/>
    <mergeCell ref="V345:W345"/>
    <mergeCell ref="R346:S346"/>
    <mergeCell ref="V346:W346"/>
    <mergeCell ref="R341:S341"/>
    <mergeCell ref="V341:W341"/>
    <mergeCell ref="R342:S342"/>
    <mergeCell ref="V342:W342"/>
    <mergeCell ref="R343:S343"/>
    <mergeCell ref="V343:W343"/>
    <mergeCell ref="V336:W336"/>
    <mergeCell ref="Z329:AA329"/>
    <mergeCell ref="V337:W337"/>
    <mergeCell ref="Z330:AA330"/>
    <mergeCell ref="V338:W338"/>
    <mergeCell ref="Z325:AA325"/>
    <mergeCell ref="V333:W333"/>
    <mergeCell ref="Z326:AA326"/>
    <mergeCell ref="V334:W334"/>
    <mergeCell ref="Z327:AA327"/>
    <mergeCell ref="V335:W335"/>
    <mergeCell ref="R352:S352"/>
    <mergeCell ref="V352:W352"/>
    <mergeCell ref="R353:S353"/>
    <mergeCell ref="V353:W353"/>
    <mergeCell ref="R354:S354"/>
    <mergeCell ref="V354:W354"/>
    <mergeCell ref="R349:S349"/>
    <mergeCell ref="V349:W349"/>
    <mergeCell ref="R350:S350"/>
    <mergeCell ref="V350:W350"/>
    <mergeCell ref="R351:S351"/>
    <mergeCell ref="V351:W351"/>
    <mergeCell ref="Z354:AA354"/>
    <mergeCell ref="Z317:AA317"/>
    <mergeCell ref="Z318:AA318"/>
    <mergeCell ref="Z319:AA319"/>
    <mergeCell ref="Z320:AA320"/>
    <mergeCell ref="Z321:AA321"/>
    <mergeCell ref="Z322:AA322"/>
    <mergeCell ref="Z349:AA349"/>
    <mergeCell ref="Z350:AA350"/>
    <mergeCell ref="Z351:AA351"/>
    <mergeCell ref="Z352:AA352"/>
    <mergeCell ref="Z353:AA353"/>
    <mergeCell ref="Z328:AA328"/>
  </mergeCells>
  <conditionalFormatting sqref="P8:P28 P30:P32 P34:P35 P37:P42 P44:P233">
    <cfRule type="containsText" dxfId="191" priority="54" operator="containsText" text="A PAGAR">
      <formula>NOT(ISERROR(SEARCH("A PAGAR",P8)))</formula>
    </cfRule>
  </conditionalFormatting>
  <conditionalFormatting sqref="P8:P28 P30:P32 P34:P35 P44:P233">
    <cfRule type="containsText" dxfId="190" priority="67" operator="containsText" text="A RECEBER">
      <formula>NOT(ISERROR(SEARCH("A RECEBER",P8)))</formula>
    </cfRule>
  </conditionalFormatting>
  <conditionalFormatting sqref="P12 P16:P28 P30:P32 P34:P35">
    <cfRule type="containsText" dxfId="189" priority="28" operator="containsText" text="A PAGAR">
      <formula>NOT(ISERROR(SEARCH("A PAGAR",P12)))</formula>
    </cfRule>
    <cfRule type="containsText" dxfId="188" priority="29" operator="containsText" text="A RECEBER">
      <formula>NOT(ISERROR(SEARCH("A RECEBER",P12)))</formula>
    </cfRule>
  </conditionalFormatting>
  <conditionalFormatting sqref="P37:P42">
    <cfRule type="containsText" dxfId="187" priority="21" operator="containsText" text="A PAGAR">
      <formula>NOT(ISERROR(SEARCH("A PAGAR",P37)))</formula>
    </cfRule>
    <cfRule type="containsText" dxfId="186" priority="22" operator="containsText" text="A RECEBER">
      <formula>NOT(ISERROR(SEARCH("A RECEBER",P37)))</formula>
    </cfRule>
    <cfRule type="containsText" dxfId="185" priority="23" operator="containsText" text="A PAGAR">
      <formula>NOT(ISERROR(SEARCH("A PAGAR",P37)))</formula>
    </cfRule>
    <cfRule type="containsText" dxfId="184" priority="24" operator="containsText" text="A RECEBER">
      <formula>NOT(ISERROR(SEARCH("A RECEBER",P37)))</formula>
    </cfRule>
  </conditionalFormatting>
  <conditionalFormatting sqref="P235:P237">
    <cfRule type="containsText" dxfId="183" priority="60" operator="containsText" text="A PAGAR">
      <formula>NOT(ISERROR(SEARCH("A PAGAR",P235)))</formula>
    </cfRule>
    <cfRule type="containsText" dxfId="182" priority="61" operator="containsText" text="A RECEBER">
      <formula>NOT(ISERROR(SEARCH("A RECEBER",P235)))</formula>
    </cfRule>
    <cfRule type="containsText" dxfId="181" priority="62" operator="containsText" text="A PAGAR">
      <formula>NOT(ISERROR(SEARCH("A PAGAR",P235)))</formula>
    </cfRule>
    <cfRule type="containsText" dxfId="180" priority="63" operator="containsText" text="A RECEBER">
      <formula>NOT(ISERROR(SEARCH("A RECEBER",P235)))</formula>
    </cfRule>
  </conditionalFormatting>
  <conditionalFormatting sqref="P239">
    <cfRule type="containsText" dxfId="179" priority="36" operator="containsText" text="A PAGAR">
      <formula>NOT(ISERROR(SEARCH("A PAGAR",P239)))</formula>
    </cfRule>
    <cfRule type="containsText" dxfId="178" priority="37" operator="containsText" text="A RECEBER">
      <formula>NOT(ISERROR(SEARCH("A RECEBER",P239)))</formula>
    </cfRule>
  </conditionalFormatting>
  <conditionalFormatting sqref="P239:P246">
    <cfRule type="containsText" dxfId="177" priority="38" operator="containsText" text="A PAGAR">
      <formula>NOT(ISERROR(SEARCH("A PAGAR",P239)))</formula>
    </cfRule>
    <cfRule type="containsText" dxfId="176" priority="39" operator="containsText" text="A RECEBER">
      <formula>NOT(ISERROR(SEARCH("A RECEBER",P239)))</formula>
    </cfRule>
  </conditionalFormatting>
  <conditionalFormatting sqref="P240:P246 P249:P254">
    <cfRule type="containsText" dxfId="175" priority="46" operator="containsText" text="A PAGAR">
      <formula>NOT(ISERROR(SEARCH("A PAGAR",P240)))</formula>
    </cfRule>
    <cfRule type="containsText" dxfId="174" priority="47" operator="containsText" text="A RECEBER">
      <formula>NOT(ISERROR(SEARCH("A RECEBER",P240)))</formula>
    </cfRule>
  </conditionalFormatting>
  <conditionalFormatting sqref="P248">
    <cfRule type="containsText" dxfId="173" priority="32" operator="containsText" text="A PAGAR">
      <formula>NOT(ISERROR(SEARCH("A PAGAR",P248)))</formula>
    </cfRule>
    <cfRule type="containsText" dxfId="172" priority="33" operator="containsText" text="A RECEBER">
      <formula>NOT(ISERROR(SEARCH("A RECEBER",P248)))</formula>
    </cfRule>
  </conditionalFormatting>
  <conditionalFormatting sqref="P248:P254">
    <cfRule type="containsText" dxfId="171" priority="34" operator="containsText" text="A PAGAR">
      <formula>NOT(ISERROR(SEARCH("A PAGAR",P248)))</formula>
    </cfRule>
    <cfRule type="containsText" dxfId="170" priority="35" operator="containsText" text="A RECEBER">
      <formula>NOT(ISERROR(SEARCH("A RECEBER",P248)))</formula>
    </cfRule>
  </conditionalFormatting>
  <conditionalFormatting sqref="P256:P260 P274:P279 P281:P295">
    <cfRule type="containsText" dxfId="169" priority="48" operator="containsText" text="A PAGAR">
      <formula>NOT(ISERROR(SEARCH("A PAGAR",P256)))</formula>
    </cfRule>
    <cfRule type="containsText" dxfId="168" priority="49" operator="containsText" text="A RECEBER">
      <formula>NOT(ISERROR(SEARCH("A RECEBER",P256)))</formula>
    </cfRule>
  </conditionalFormatting>
  <conditionalFormatting sqref="P262:P266">
    <cfRule type="containsText" dxfId="167" priority="11" operator="containsText" text="A PAGAR">
      <formula>NOT(ISERROR(SEARCH("A PAGAR",P262)))</formula>
    </cfRule>
    <cfRule type="containsText" dxfId="166" priority="12" operator="containsText" text="A RECEBER">
      <formula>NOT(ISERROR(SEARCH("A RECEBER",P262)))</formula>
    </cfRule>
  </conditionalFormatting>
  <conditionalFormatting sqref="P268:P272">
    <cfRule type="containsText" dxfId="165" priority="1" operator="containsText" text="A PAGAR">
      <formula>NOT(ISERROR(SEARCH("A PAGAR",P268)))</formula>
    </cfRule>
    <cfRule type="containsText" dxfId="164" priority="2" operator="containsText" text="A RECEBER">
      <formula>NOT(ISERROR(SEARCH("A RECEBER",P268)))</formula>
    </cfRule>
  </conditionalFormatting>
  <conditionalFormatting sqref="P274:P279">
    <cfRule type="containsText" dxfId="163" priority="58" operator="containsText" text="A PAGAR">
      <formula>NOT(ISERROR(SEARCH("A PAGAR",P274)))</formula>
    </cfRule>
    <cfRule type="containsText" dxfId="162" priority="59" operator="containsText" text="A RECEBER">
      <formula>NOT(ISERROR(SEARCH("A RECEBER",P274)))</formula>
    </cfRule>
  </conditionalFormatting>
  <conditionalFormatting sqref="P297:P303">
    <cfRule type="containsText" dxfId="161" priority="40" operator="containsText" text="A PAGAR">
      <formula>NOT(ISERROR(SEARCH("A PAGAR",P297)))</formula>
    </cfRule>
    <cfRule type="containsText" dxfId="160" priority="41" operator="containsText" text="A RECEBER">
      <formula>NOT(ISERROR(SEARCH("A RECEBER",P297)))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9" fitToHeight="6" orientation="landscape" horizontalDpi="1200" verticalDpi="1200" r:id="rId1"/>
  <headerFooter>
    <oddHeader>&amp;L             &amp;G</oddHeader>
    <oddFooter>&amp;L&amp;7&amp;Z&amp;F</oddFooter>
  </headerFooter>
  <drawing r:id="rId2"/>
  <legacyDrawing r:id="rId3"/>
  <legacyDrawingHF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5BBABA95-5957-4535-BAAD-843DFD529290}">
          <x14:formula1>
            <xm:f>'TA Status'!$B$7:$B$11</xm:f>
          </x14:formula1>
          <xm:sqref>P235:P237 P248:P254 P144:P230 P44:P136 P297:P303 P232:P233 P37:P42 P281:P295 P138:P142 P268:P272 P239:P246 P256:P260 P262:P266 P274:P279 P30:P32 P34:P35 P8:P28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AB440"/>
  <sheetViews>
    <sheetView showGridLines="0" topLeftCell="A6" zoomScale="68" zoomScaleNormal="68" zoomScaleSheetLayoutView="79" workbookViewId="0">
      <pane xSplit="7" ySplit="1" topLeftCell="J367" activePane="bottomRight" state="frozen"/>
      <selection activeCell="A6" sqref="A6"/>
      <selection pane="topRight" activeCell="H6" sqref="H6"/>
      <selection pane="bottomLeft" activeCell="A7" sqref="A7"/>
      <selection pane="bottomRight" activeCell="E374" sqref="E374"/>
    </sheetView>
  </sheetViews>
  <sheetFormatPr defaultColWidth="9.109375" defaultRowHeight="15.6"/>
  <cols>
    <col min="1" max="1" width="2.109375" style="2" customWidth="1"/>
    <col min="2" max="2" width="19.5546875" style="1" customWidth="1"/>
    <col min="3" max="3" width="24" style="1" customWidth="1"/>
    <col min="4" max="4" width="25.77734375" style="1" bestFit="1" customWidth="1"/>
    <col min="5" max="5" width="55.88671875" style="1" customWidth="1"/>
    <col min="6" max="6" width="20.5546875" style="1" customWidth="1"/>
    <col min="7" max="7" width="27.5546875" style="12" customWidth="1"/>
    <col min="8" max="8" width="26.44140625" style="1" bestFit="1" customWidth="1"/>
    <col min="9" max="9" width="25.6640625" style="1" customWidth="1"/>
    <col min="10" max="10" width="47.88671875" style="2" bestFit="1" customWidth="1"/>
    <col min="11" max="11" width="70.5546875" style="2" customWidth="1"/>
    <col min="12" max="12" width="8.88671875" style="1" customWidth="1"/>
    <col min="13" max="14" width="15.88671875" style="13" customWidth="1"/>
    <col min="15" max="15" width="15.88671875" style="44" customWidth="1"/>
    <col min="16" max="16" width="15.88671875" style="14" customWidth="1"/>
    <col min="17" max="17" width="24.5546875" style="2" bestFit="1" customWidth="1"/>
    <col min="18" max="18" width="15.88671875" style="14" customWidth="1"/>
    <col min="19" max="19" width="15.88671875" style="47" customWidth="1"/>
    <col min="20" max="20" width="24.5546875" style="2" bestFit="1" customWidth="1"/>
    <col min="21" max="21" width="1.88671875" style="107" customWidth="1"/>
    <col min="22" max="22" width="38.44140625" style="2" customWidth="1"/>
    <col min="23" max="23" width="14.6640625" style="2" customWidth="1"/>
    <col min="24" max="24" width="19.77734375" style="2" customWidth="1"/>
    <col min="25" max="25" width="1.88671875" style="107" customWidth="1"/>
    <col min="26" max="26" width="37.77734375" style="2" customWidth="1"/>
    <col min="27" max="27" width="14.77734375" style="2" customWidth="1"/>
    <col min="28" max="28" width="19.77734375" style="2" customWidth="1"/>
    <col min="29" max="16384" width="9.109375" style="2"/>
  </cols>
  <sheetData>
    <row r="2" spans="2:25" ht="21">
      <c r="C2" s="4" t="s">
        <v>17</v>
      </c>
      <c r="D2" s="16">
        <f>'TA Gerencial'!F2</f>
        <v>2026</v>
      </c>
      <c r="E2" s="6" t="s">
        <v>8</v>
      </c>
      <c r="G2" s="55"/>
      <c r="H2" s="6"/>
      <c r="I2" s="6"/>
      <c r="J2" s="6"/>
      <c r="K2" s="6"/>
      <c r="L2" s="6"/>
      <c r="M2" s="41"/>
      <c r="N2" s="41"/>
      <c r="O2" s="42"/>
      <c r="P2" s="17"/>
      <c r="R2" s="17"/>
      <c r="S2" s="48"/>
    </row>
    <row r="3" spans="2:25" ht="32.25" customHeight="1">
      <c r="C3" s="4" t="s">
        <v>18</v>
      </c>
      <c r="D3" s="17" t="s">
        <v>33</v>
      </c>
      <c r="E3" s="6" t="s">
        <v>16</v>
      </c>
      <c r="G3" s="55"/>
      <c r="H3" s="6"/>
      <c r="I3" s="6"/>
      <c r="J3" s="6"/>
      <c r="K3" s="6"/>
      <c r="L3" s="6"/>
      <c r="M3" s="41"/>
      <c r="N3" s="41"/>
      <c r="O3" s="42"/>
      <c r="P3" s="17"/>
      <c r="R3" s="17"/>
      <c r="S3" s="48"/>
    </row>
    <row r="4" spans="2:25" ht="21">
      <c r="B4" s="8"/>
      <c r="C4" s="4" t="s">
        <v>19</v>
      </c>
      <c r="D4" s="18"/>
      <c r="E4" s="6" t="s">
        <v>42</v>
      </c>
      <c r="G4" s="55"/>
      <c r="H4" s="6"/>
      <c r="I4" s="6"/>
      <c r="J4" s="6"/>
      <c r="K4" s="6"/>
      <c r="L4" s="6"/>
      <c r="M4" s="41"/>
      <c r="N4" s="41"/>
      <c r="O4" s="42"/>
      <c r="P4" s="17"/>
      <c r="R4" s="17"/>
      <c r="S4" s="48"/>
    </row>
    <row r="5" spans="2:25">
      <c r="M5" s="43"/>
    </row>
    <row r="6" spans="2:25" s="5" customFormat="1" ht="41.25" customHeight="1">
      <c r="B6" s="64" t="s">
        <v>192</v>
      </c>
      <c r="C6" s="69" t="s">
        <v>11</v>
      </c>
      <c r="D6" s="69" t="s">
        <v>193</v>
      </c>
      <c r="E6" s="70" t="s">
        <v>23</v>
      </c>
      <c r="F6" s="70" t="s">
        <v>40</v>
      </c>
      <c r="G6" s="70" t="s">
        <v>87</v>
      </c>
      <c r="H6" s="64" t="s">
        <v>12</v>
      </c>
      <c r="I6" s="71" t="s">
        <v>4</v>
      </c>
      <c r="J6" s="64" t="s">
        <v>245</v>
      </c>
      <c r="K6" s="64" t="s">
        <v>0</v>
      </c>
      <c r="L6" s="64" t="s">
        <v>7</v>
      </c>
      <c r="M6" s="68" t="s">
        <v>13</v>
      </c>
      <c r="N6" s="68" t="s">
        <v>14</v>
      </c>
      <c r="O6" s="68" t="s">
        <v>2</v>
      </c>
      <c r="P6" s="72" t="s">
        <v>212</v>
      </c>
      <c r="Q6" s="64" t="s">
        <v>285</v>
      </c>
      <c r="R6" s="73" t="s">
        <v>283</v>
      </c>
      <c r="S6" s="74" t="s">
        <v>55</v>
      </c>
      <c r="T6" s="64" t="s">
        <v>284</v>
      </c>
      <c r="U6" s="445"/>
      <c r="Y6" s="445"/>
    </row>
    <row r="7" spans="2:25" s="5" customFormat="1" ht="21" customHeight="1">
      <c r="B7" s="61" t="str">
        <f>CONCATENATE('TA Gerencial'!H2,'TA Gerencial'!H4,'TA Gerencial'!H3)</f>
        <v>1/26</v>
      </c>
      <c r="C7" s="88" t="str">
        <f>VLOOKUP(mJAN[[#This Row],[CÓDIGO CONTABIL]],Contas_Gerencial[#All],3,FALSE)</f>
        <v>ENCARGOS</v>
      </c>
      <c r="D7" s="88" t="str">
        <f>VLOOKUP(mJAN[[#This Row],[DESCRIÇÃO CONTABIL]],Contas_Gerencial[[#All],[DESCRIÇÃO DA CONTA - NÃO UTILIZAR]:[Código2]],2,FALSE)</f>
        <v>20.04.006</v>
      </c>
      <c r="E7" s="454" t="s">
        <v>1180</v>
      </c>
      <c r="F7" s="453" t="s">
        <v>41</v>
      </c>
      <c r="G7" s="452" t="s">
        <v>1767</v>
      </c>
      <c r="H7" s="453" t="s">
        <v>1180</v>
      </c>
      <c r="I7" s="481">
        <v>0</v>
      </c>
      <c r="J7" s="453" t="s">
        <v>384</v>
      </c>
      <c r="K7" s="453" t="s">
        <v>1180</v>
      </c>
      <c r="L7" s="456" t="s">
        <v>2111</v>
      </c>
      <c r="M7" s="457">
        <v>46008</v>
      </c>
      <c r="N7" s="457">
        <v>46042</v>
      </c>
      <c r="O7" s="457">
        <v>46042</v>
      </c>
      <c r="P7" s="452" t="s">
        <v>214</v>
      </c>
      <c r="Q7" s="519">
        <v>944.32</v>
      </c>
      <c r="R7" s="467">
        <v>0</v>
      </c>
      <c r="S7" s="467">
        <v>0</v>
      </c>
      <c r="T7" s="303">
        <f>SUM(mJAN[[#This Row],[PRINCIPAL]:[JUROS]])</f>
        <v>944.32</v>
      </c>
      <c r="U7" s="445"/>
      <c r="Y7" s="445"/>
    </row>
    <row r="8" spans="2:25" ht="21" customHeight="1">
      <c r="B8" s="5" t="str">
        <f>B7</f>
        <v>1/26</v>
      </c>
      <c r="C8" s="1009" t="str">
        <f>VLOOKUP(mJAN[[#This Row],[CÓDIGO CONTABIL]],Contas_Gerencial[#All],3,FALSE)</f>
        <v>ENCARGOS</v>
      </c>
      <c r="D8" s="1009" t="str">
        <f>VLOOKUP(mJAN[[#This Row],[DESCRIÇÃO CONTABIL]],Contas_Gerencial[[#All],[DESCRIÇÃO DA CONTA - NÃO UTILIZAR]:[Código2]],2,FALSE)</f>
        <v>20.04.006</v>
      </c>
      <c r="E8" s="454" t="s">
        <v>1180</v>
      </c>
      <c r="F8" s="453" t="s">
        <v>41</v>
      </c>
      <c r="G8" s="452" t="s">
        <v>49</v>
      </c>
      <c r="H8" s="453" t="s">
        <v>1180</v>
      </c>
      <c r="I8" s="481">
        <v>0</v>
      </c>
      <c r="J8" s="453" t="s">
        <v>384</v>
      </c>
      <c r="K8" s="453" t="s">
        <v>1180</v>
      </c>
      <c r="L8" s="456" t="s">
        <v>2111</v>
      </c>
      <c r="M8" s="457">
        <v>46008</v>
      </c>
      <c r="N8" s="457">
        <v>46042</v>
      </c>
      <c r="O8" s="457">
        <v>46042</v>
      </c>
      <c r="P8" s="452" t="s">
        <v>214</v>
      </c>
      <c r="Q8" s="519">
        <v>621.77</v>
      </c>
      <c r="R8" s="467">
        <v>0</v>
      </c>
      <c r="S8" s="467">
        <v>0</v>
      </c>
      <c r="T8" s="1010">
        <f>SUM(mJAN[[#This Row],[PRINCIPAL]:[JUROS]])</f>
        <v>621.77</v>
      </c>
    </row>
    <row r="9" spans="2:25" ht="21" customHeight="1">
      <c r="B9" s="5" t="str">
        <f t="shared" ref="B9:B75" si="0">B8</f>
        <v>1/26</v>
      </c>
      <c r="C9" s="1009" t="str">
        <f>VLOOKUP(mJAN[[#This Row],[CÓDIGO CONTABIL]],Contas_Gerencial[#All],3,FALSE)</f>
        <v>ENCARGOS</v>
      </c>
      <c r="D9" s="1009" t="str">
        <f>VLOOKUP(mJAN[[#This Row],[DESCRIÇÃO CONTABIL]],Contas_Gerencial[[#All],[DESCRIÇÃO DA CONTA - NÃO UTILIZAR]:[Código2]],2,FALSE)</f>
        <v>20.04.006</v>
      </c>
      <c r="E9" s="454" t="s">
        <v>1180</v>
      </c>
      <c r="F9" s="453" t="s">
        <v>582</v>
      </c>
      <c r="G9" s="452" t="s">
        <v>49</v>
      </c>
      <c r="H9" s="453" t="s">
        <v>1180</v>
      </c>
      <c r="I9" s="481">
        <v>0</v>
      </c>
      <c r="J9" s="453" t="s">
        <v>384</v>
      </c>
      <c r="K9" s="453" t="s">
        <v>1180</v>
      </c>
      <c r="L9" s="456" t="s">
        <v>2111</v>
      </c>
      <c r="M9" s="457">
        <v>46008</v>
      </c>
      <c r="N9" s="457">
        <v>46042</v>
      </c>
      <c r="O9" s="457">
        <v>46042</v>
      </c>
      <c r="P9" s="452" t="s">
        <v>214</v>
      </c>
      <c r="Q9" s="519">
        <v>164.16</v>
      </c>
      <c r="R9" s="467">
        <v>0</v>
      </c>
      <c r="S9" s="467">
        <v>0</v>
      </c>
      <c r="T9" s="1010">
        <v>164.16</v>
      </c>
    </row>
    <row r="10" spans="2:25" ht="21" customHeight="1">
      <c r="B10" s="5" t="str">
        <f t="shared" si="0"/>
        <v>1/26</v>
      </c>
      <c r="C10" s="1009" t="str">
        <f>VLOOKUP(mJAN[[#This Row],[CÓDIGO CONTABIL]],Contas_Gerencial[#All],3,FALSE)</f>
        <v>ENCARGOS</v>
      </c>
      <c r="D10" s="1009" t="str">
        <f>VLOOKUP(mJAN[[#This Row],[DESCRIÇÃO CONTABIL]],Contas_Gerencial[[#All],[DESCRIÇÃO DA CONTA - NÃO UTILIZAR]:[Código2]],2,FALSE)</f>
        <v>20.04.006</v>
      </c>
      <c r="E10" s="454" t="s">
        <v>1180</v>
      </c>
      <c r="F10" s="453" t="s">
        <v>582</v>
      </c>
      <c r="G10" s="452" t="s">
        <v>653</v>
      </c>
      <c r="H10" s="453" t="s">
        <v>1180</v>
      </c>
      <c r="I10" s="481">
        <v>0</v>
      </c>
      <c r="J10" s="453" t="s">
        <v>384</v>
      </c>
      <c r="K10" s="453" t="s">
        <v>1180</v>
      </c>
      <c r="L10" s="456" t="s">
        <v>2111</v>
      </c>
      <c r="M10" s="457">
        <v>46008</v>
      </c>
      <c r="N10" s="457">
        <v>46042</v>
      </c>
      <c r="O10" s="457">
        <v>46042</v>
      </c>
      <c r="P10" s="452" t="s">
        <v>214</v>
      </c>
      <c r="Q10" s="519">
        <v>480.38</v>
      </c>
      <c r="R10" s="467">
        <v>0</v>
      </c>
      <c r="S10" s="467">
        <v>0</v>
      </c>
      <c r="T10" s="1010">
        <v>480.38</v>
      </c>
    </row>
    <row r="11" spans="2:25" ht="21" customHeight="1">
      <c r="B11" s="5" t="str">
        <f t="shared" si="0"/>
        <v>1/26</v>
      </c>
      <c r="C11" s="1009" t="str">
        <f>VLOOKUP(mJAN[[#This Row],[CÓDIGO CONTABIL]],Contas_Gerencial[#All],3,FALSE)</f>
        <v>ENCARGOS</v>
      </c>
      <c r="D11" s="1009" t="str">
        <f>VLOOKUP(mJAN[[#This Row],[DESCRIÇÃO CONTABIL]],Contas_Gerencial[[#All],[DESCRIÇÃO DA CONTA - NÃO UTILIZAR]:[Código2]],2,FALSE)</f>
        <v>20.04.006</v>
      </c>
      <c r="E11" s="454" t="s">
        <v>1180</v>
      </c>
      <c r="F11" s="453" t="s">
        <v>582</v>
      </c>
      <c r="G11" s="452" t="s">
        <v>583</v>
      </c>
      <c r="H11" s="453" t="s">
        <v>1180</v>
      </c>
      <c r="I11" s="481">
        <v>0</v>
      </c>
      <c r="J11" s="453" t="s">
        <v>384</v>
      </c>
      <c r="K11" s="453" t="s">
        <v>1180</v>
      </c>
      <c r="L11" s="456" t="s">
        <v>2111</v>
      </c>
      <c r="M11" s="457">
        <v>46008</v>
      </c>
      <c r="N11" s="457">
        <v>46042</v>
      </c>
      <c r="O11" s="457">
        <v>46042</v>
      </c>
      <c r="P11" s="452" t="s">
        <v>214</v>
      </c>
      <c r="Q11" s="519">
        <v>269.58</v>
      </c>
      <c r="R11" s="467">
        <v>0</v>
      </c>
      <c r="S11" s="467">
        <v>0</v>
      </c>
      <c r="T11" s="1010">
        <v>269.58</v>
      </c>
    </row>
    <row r="12" spans="2:25" ht="21" customHeight="1">
      <c r="B12" s="5" t="str">
        <f t="shared" si="0"/>
        <v>1/26</v>
      </c>
      <c r="C12" s="1009" t="str">
        <f>VLOOKUP(mJAN[[#This Row],[CÓDIGO CONTABIL]],Contas_Gerencial[#All],3,FALSE)</f>
        <v>ENCARGOS</v>
      </c>
      <c r="D12" s="1009" t="str">
        <f>VLOOKUP(mJAN[[#This Row],[DESCRIÇÃO CONTABIL]],Contas_Gerencial[[#All],[DESCRIÇÃO DA CONTA - NÃO UTILIZAR]:[Código2]],2,FALSE)</f>
        <v>20.04.006</v>
      </c>
      <c r="E12" s="454" t="s">
        <v>1180</v>
      </c>
      <c r="F12" s="453" t="s">
        <v>582</v>
      </c>
      <c r="G12" s="452" t="s">
        <v>638</v>
      </c>
      <c r="H12" s="453" t="s">
        <v>1180</v>
      </c>
      <c r="I12" s="481">
        <v>0</v>
      </c>
      <c r="J12" s="453" t="s">
        <v>384</v>
      </c>
      <c r="K12" s="453" t="s">
        <v>1180</v>
      </c>
      <c r="L12" s="456" t="s">
        <v>2111</v>
      </c>
      <c r="M12" s="457">
        <v>46008</v>
      </c>
      <c r="N12" s="457">
        <v>46042</v>
      </c>
      <c r="O12" s="457">
        <v>46042</v>
      </c>
      <c r="P12" s="452" t="s">
        <v>214</v>
      </c>
      <c r="Q12" s="519">
        <v>152.01</v>
      </c>
      <c r="R12" s="467">
        <v>0</v>
      </c>
      <c r="S12" s="467">
        <v>0</v>
      </c>
      <c r="T12" s="1010">
        <v>152.01</v>
      </c>
    </row>
    <row r="13" spans="2:25" ht="21" customHeight="1">
      <c r="B13" s="5" t="str">
        <f t="shared" si="0"/>
        <v>1/26</v>
      </c>
      <c r="C13" s="1009" t="str">
        <f>VLOOKUP(mJAN[[#This Row],[CÓDIGO CONTABIL]],Contas_Gerencial[#All],3,FALSE)</f>
        <v>ENCARGOS</v>
      </c>
      <c r="D13" s="1009" t="str">
        <f>VLOOKUP(mJAN[[#This Row],[DESCRIÇÃO CONTABIL]],Contas_Gerencial[[#All],[DESCRIÇÃO DA CONTA - NÃO UTILIZAR]:[Código2]],2,FALSE)</f>
        <v>20.04.006</v>
      </c>
      <c r="E13" s="454" t="s">
        <v>1180</v>
      </c>
      <c r="F13" s="453" t="s">
        <v>582</v>
      </c>
      <c r="G13" s="452" t="s">
        <v>1082</v>
      </c>
      <c r="H13" s="453" t="s">
        <v>1180</v>
      </c>
      <c r="I13" s="481">
        <v>0</v>
      </c>
      <c r="J13" s="453" t="s">
        <v>384</v>
      </c>
      <c r="K13" s="453" t="s">
        <v>1180</v>
      </c>
      <c r="L13" s="456" t="s">
        <v>2111</v>
      </c>
      <c r="M13" s="457">
        <v>46008</v>
      </c>
      <c r="N13" s="457">
        <v>46042</v>
      </c>
      <c r="O13" s="457">
        <v>46042</v>
      </c>
      <c r="P13" s="452" t="s">
        <v>214</v>
      </c>
      <c r="Q13" s="519">
        <v>152.01</v>
      </c>
      <c r="R13" s="467">
        <v>0</v>
      </c>
      <c r="S13" s="467">
        <v>0</v>
      </c>
      <c r="T13" s="1010">
        <v>152.01</v>
      </c>
    </row>
    <row r="14" spans="2:25" ht="21" customHeight="1">
      <c r="B14" s="5" t="str">
        <f t="shared" si="0"/>
        <v>1/26</v>
      </c>
      <c r="C14" s="1009" t="str">
        <f>VLOOKUP(mJAN[[#This Row],[CÓDIGO CONTABIL]],Contas_Gerencial[#All],3,FALSE)</f>
        <v>ENCARGOS</v>
      </c>
      <c r="D14" s="1009" t="str">
        <f>VLOOKUP(mJAN[[#This Row],[DESCRIÇÃO CONTABIL]],Contas_Gerencial[[#All],[DESCRIÇÃO DA CONTA - NÃO UTILIZAR]:[Código2]],2,FALSE)</f>
        <v>20.04.006</v>
      </c>
      <c r="E14" s="454" t="s">
        <v>1180</v>
      </c>
      <c r="F14" s="453" t="s">
        <v>581</v>
      </c>
      <c r="G14" s="452" t="s">
        <v>595</v>
      </c>
      <c r="H14" s="453" t="s">
        <v>1180</v>
      </c>
      <c r="I14" s="481">
        <v>0</v>
      </c>
      <c r="J14" s="453" t="s">
        <v>384</v>
      </c>
      <c r="K14" s="453" t="s">
        <v>1180</v>
      </c>
      <c r="L14" s="456" t="s">
        <v>2111</v>
      </c>
      <c r="M14" s="457">
        <v>46008</v>
      </c>
      <c r="N14" s="457">
        <v>46042</v>
      </c>
      <c r="O14" s="457">
        <v>46042</v>
      </c>
      <c r="P14" s="452" t="s">
        <v>214</v>
      </c>
      <c r="Q14" s="519">
        <v>270.68</v>
      </c>
      <c r="R14" s="467">
        <v>0</v>
      </c>
      <c r="S14" s="467">
        <v>0</v>
      </c>
      <c r="T14" s="1010">
        <f>SUM(mJAN[[#This Row],[PRINCIPAL]:[JUROS]])</f>
        <v>270.68</v>
      </c>
    </row>
    <row r="15" spans="2:25" ht="21" customHeight="1">
      <c r="B15" s="5" t="str">
        <f t="shared" si="0"/>
        <v>1/26</v>
      </c>
      <c r="C15" s="1009" t="str">
        <f>VLOOKUP(mJAN[[#This Row],[CÓDIGO CONTABIL]],Contas_Gerencial[#All],3,FALSE)</f>
        <v>ENCARGOS</v>
      </c>
      <c r="D15" s="1009" t="str">
        <f>VLOOKUP(mJAN[[#This Row],[DESCRIÇÃO CONTABIL]],Contas_Gerencial[[#All],[DESCRIÇÃO DA CONTA - NÃO UTILIZAR]:[Código2]],2,FALSE)</f>
        <v>20.04.006</v>
      </c>
      <c r="E15" s="454" t="s">
        <v>1180</v>
      </c>
      <c r="F15" s="453" t="s">
        <v>581</v>
      </c>
      <c r="G15" s="452" t="s">
        <v>1630</v>
      </c>
      <c r="H15" s="453" t="s">
        <v>1180</v>
      </c>
      <c r="I15" s="481">
        <v>0</v>
      </c>
      <c r="J15" s="453" t="s">
        <v>384</v>
      </c>
      <c r="K15" s="453" t="s">
        <v>1180</v>
      </c>
      <c r="L15" s="456" t="s">
        <v>2111</v>
      </c>
      <c r="M15" s="457">
        <v>46008</v>
      </c>
      <c r="N15" s="457">
        <v>46042</v>
      </c>
      <c r="O15" s="457">
        <v>46042</v>
      </c>
      <c r="P15" s="452" t="s">
        <v>214</v>
      </c>
      <c r="Q15" s="519">
        <f>96.09+128.12+96.09</f>
        <v>320.3</v>
      </c>
      <c r="R15" s="467">
        <v>0</v>
      </c>
      <c r="S15" s="467">
        <v>0</v>
      </c>
      <c r="T15" s="1010">
        <f>SUM(mJAN[[#This Row],[PRINCIPAL]:[JUROS]])</f>
        <v>320.3</v>
      </c>
    </row>
    <row r="16" spans="2:25" ht="21" customHeight="1">
      <c r="B16" s="5" t="str">
        <f t="shared" si="0"/>
        <v>1/26</v>
      </c>
      <c r="C16" s="1009" t="str">
        <f>VLOOKUP(mJAN[[#This Row],[CÓDIGO CONTABIL]],Contas_Gerencial[#All],3,FALSE)</f>
        <v>ENCARGOS</v>
      </c>
      <c r="D16" s="1009" t="str">
        <f>VLOOKUP(mJAN[[#This Row],[DESCRIÇÃO CONTABIL]],Contas_Gerencial[[#All],[DESCRIÇÃO DA CONTA - NÃO UTILIZAR]:[Código2]],2,FALSE)</f>
        <v>20.04.006</v>
      </c>
      <c r="E16" s="454" t="s">
        <v>1180</v>
      </c>
      <c r="F16" s="453" t="s">
        <v>581</v>
      </c>
      <c r="G16" s="452" t="s">
        <v>982</v>
      </c>
      <c r="H16" s="453" t="s">
        <v>1180</v>
      </c>
      <c r="I16" s="481">
        <v>0</v>
      </c>
      <c r="J16" s="453" t="s">
        <v>384</v>
      </c>
      <c r="K16" s="453" t="s">
        <v>1180</v>
      </c>
      <c r="L16" s="456" t="s">
        <v>2111</v>
      </c>
      <c r="M16" s="457">
        <v>46008</v>
      </c>
      <c r="N16" s="457">
        <v>46042</v>
      </c>
      <c r="O16" s="457">
        <v>46042</v>
      </c>
      <c r="P16" s="452" t="s">
        <v>214</v>
      </c>
      <c r="Q16" s="519">
        <v>152.01</v>
      </c>
      <c r="R16" s="467">
        <v>0</v>
      </c>
      <c r="S16" s="467">
        <v>0</v>
      </c>
      <c r="T16" s="1010">
        <f>SUM(mJAN[[#This Row],[PRINCIPAL]:[JUROS]])</f>
        <v>152.01</v>
      </c>
    </row>
    <row r="17" spans="2:20" ht="21" customHeight="1">
      <c r="B17" s="5" t="str">
        <f t="shared" si="0"/>
        <v>1/26</v>
      </c>
      <c r="C17" s="1009" t="str">
        <f>VLOOKUP(mJAN[[#This Row],[CÓDIGO CONTABIL]],Contas_Gerencial[#All],3,FALSE)</f>
        <v>ENCARGOS</v>
      </c>
      <c r="D17" s="1009" t="str">
        <f>VLOOKUP(mJAN[[#This Row],[DESCRIÇÃO CONTABIL]],Contas_Gerencial[[#All],[DESCRIÇÃO DA CONTA - NÃO UTILIZAR]:[Código2]],2,FALSE)</f>
        <v>20.04.006</v>
      </c>
      <c r="E17" s="454" t="s">
        <v>1180</v>
      </c>
      <c r="F17" s="453" t="s">
        <v>581</v>
      </c>
      <c r="G17" s="452" t="s">
        <v>1634</v>
      </c>
      <c r="H17" s="453" t="s">
        <v>1180</v>
      </c>
      <c r="I17" s="481">
        <v>0</v>
      </c>
      <c r="J17" s="453" t="s">
        <v>384</v>
      </c>
      <c r="K17" s="453" t="s">
        <v>1180</v>
      </c>
      <c r="L17" s="456" t="s">
        <v>2111</v>
      </c>
      <c r="M17" s="457">
        <v>46008</v>
      </c>
      <c r="N17" s="457">
        <v>46042</v>
      </c>
      <c r="O17" s="457">
        <v>46042</v>
      </c>
      <c r="P17" s="452" t="s">
        <v>214</v>
      </c>
      <c r="Q17" s="519">
        <v>152.01</v>
      </c>
      <c r="R17" s="467">
        <v>0</v>
      </c>
      <c r="S17" s="467">
        <v>0</v>
      </c>
      <c r="T17" s="1010">
        <f>SUM(mJAN[[#This Row],[PRINCIPAL]:[JUROS]])</f>
        <v>152.01</v>
      </c>
    </row>
    <row r="18" spans="2:20" ht="21" customHeight="1">
      <c r="B18" s="5" t="str">
        <f t="shared" si="0"/>
        <v>1/26</v>
      </c>
      <c r="C18" s="1009" t="str">
        <f>VLOOKUP(mJAN[[#This Row],[CÓDIGO CONTABIL]],Contas_Gerencial[#All],3,FALSE)</f>
        <v>ENCARGOS</v>
      </c>
      <c r="D18" s="1009" t="str">
        <f>VLOOKUP(mJAN[[#This Row],[DESCRIÇÃO CONTABIL]],Contas_Gerencial[[#All],[DESCRIÇÃO DA CONTA - NÃO UTILIZAR]:[Código2]],2,FALSE)</f>
        <v>20.04.006</v>
      </c>
      <c r="E18" s="454" t="s">
        <v>1180</v>
      </c>
      <c r="F18" s="453" t="s">
        <v>581</v>
      </c>
      <c r="G18" s="452" t="s">
        <v>1991</v>
      </c>
      <c r="H18" s="453" t="s">
        <v>1180</v>
      </c>
      <c r="I18" s="481">
        <v>0</v>
      </c>
      <c r="J18" s="453" t="s">
        <v>384</v>
      </c>
      <c r="K18" s="453" t="s">
        <v>1180</v>
      </c>
      <c r="L18" s="456" t="s">
        <v>2111</v>
      </c>
      <c r="M18" s="457">
        <v>46008</v>
      </c>
      <c r="N18" s="457">
        <v>46042</v>
      </c>
      <c r="O18" s="457">
        <v>46042</v>
      </c>
      <c r="P18" s="452" t="s">
        <v>214</v>
      </c>
      <c r="Q18" s="519">
        <v>42.7</v>
      </c>
      <c r="R18" s="467">
        <v>0</v>
      </c>
      <c r="S18" s="467">
        <v>0</v>
      </c>
      <c r="T18" s="1010">
        <f>SUM(mJAN[[#This Row],[PRINCIPAL]:[JUROS]])</f>
        <v>42.7</v>
      </c>
    </row>
    <row r="19" spans="2:20" ht="21" customHeight="1">
      <c r="B19" s="5" t="str">
        <f t="shared" si="0"/>
        <v>1/26</v>
      </c>
      <c r="C19" s="1009" t="str">
        <f>VLOOKUP(mJAN[[#This Row],[CÓDIGO CONTABIL]],Contas_Gerencial[#All],3,FALSE)</f>
        <v>ENCARGOS</v>
      </c>
      <c r="D19" s="1009" t="str">
        <f>VLOOKUP(mJAN[[#This Row],[DESCRIÇÃO CONTABIL]],Contas_Gerencial[[#All],[DESCRIÇÃO DA CONTA - NÃO UTILIZAR]:[Código2]],2,FALSE)</f>
        <v>20.04.006</v>
      </c>
      <c r="E19" s="454" t="s">
        <v>1180</v>
      </c>
      <c r="F19" s="453" t="s">
        <v>581</v>
      </c>
      <c r="G19" s="452" t="s">
        <v>1767</v>
      </c>
      <c r="H19" s="453" t="s">
        <v>1180</v>
      </c>
      <c r="I19" s="481">
        <v>0</v>
      </c>
      <c r="J19" s="453" t="s">
        <v>384</v>
      </c>
      <c r="K19" s="453" t="s">
        <v>1180</v>
      </c>
      <c r="L19" s="456" t="s">
        <v>2111</v>
      </c>
      <c r="M19" s="457">
        <v>46008</v>
      </c>
      <c r="N19" s="457">
        <v>46042</v>
      </c>
      <c r="O19" s="457">
        <v>46042</v>
      </c>
      <c r="P19" s="452" t="s">
        <v>214</v>
      </c>
      <c r="Q19" s="519">
        <v>152.01</v>
      </c>
      <c r="R19" s="467">
        <v>0</v>
      </c>
      <c r="S19" s="467">
        <v>0</v>
      </c>
      <c r="T19" s="1010">
        <f>SUM(mJAN[[#This Row],[PRINCIPAL]:[JUROS]])</f>
        <v>152.01</v>
      </c>
    </row>
    <row r="20" spans="2:20" ht="21" customHeight="1">
      <c r="B20" s="5" t="str">
        <f t="shared" si="0"/>
        <v>1/26</v>
      </c>
      <c r="C20" s="1009" t="str">
        <f>VLOOKUP(mJAN[[#This Row],[CÓDIGO CONTABIL]],Contas_Gerencial[#All],3,FALSE)</f>
        <v>ENCARGOS</v>
      </c>
      <c r="D20" s="1009" t="str">
        <f>VLOOKUP(mJAN[[#This Row],[DESCRIÇÃO CONTABIL]],Contas_Gerencial[[#All],[DESCRIÇÃO DA CONTA - NÃO UTILIZAR]:[Código2]],2,FALSE)</f>
        <v>20.04.006</v>
      </c>
      <c r="E20" s="454" t="s">
        <v>1180</v>
      </c>
      <c r="F20" s="453" t="s">
        <v>581</v>
      </c>
      <c r="G20" s="452" t="s">
        <v>1130</v>
      </c>
      <c r="H20" s="453" t="s">
        <v>1180</v>
      </c>
      <c r="I20" s="481">
        <v>0</v>
      </c>
      <c r="J20" s="453" t="s">
        <v>384</v>
      </c>
      <c r="K20" s="453" t="s">
        <v>1180</v>
      </c>
      <c r="L20" s="456" t="s">
        <v>2111</v>
      </c>
      <c r="M20" s="457">
        <v>46008</v>
      </c>
      <c r="N20" s="457">
        <v>46042</v>
      </c>
      <c r="O20" s="457">
        <v>46042</v>
      </c>
      <c r="P20" s="452" t="s">
        <v>214</v>
      </c>
      <c r="Q20" s="519">
        <v>456.03</v>
      </c>
      <c r="R20" s="467">
        <v>0</v>
      </c>
      <c r="S20" s="467">
        <v>0</v>
      </c>
      <c r="T20" s="1010">
        <f>SUM(mJAN[[#This Row],[PRINCIPAL]:[JUROS]])</f>
        <v>456.03</v>
      </c>
    </row>
    <row r="21" spans="2:20" ht="21" customHeight="1">
      <c r="B21" s="5" t="str">
        <f t="shared" si="0"/>
        <v>1/26</v>
      </c>
      <c r="C21" s="1009" t="str">
        <f>VLOOKUP(mJAN[[#This Row],[CÓDIGO CONTABIL]],Contas_Gerencial[#All],3,FALSE)</f>
        <v>ENCARGOS</v>
      </c>
      <c r="D21" s="1009" t="str">
        <f>VLOOKUP(mJAN[[#This Row],[DESCRIÇÃO CONTABIL]],Contas_Gerencial[[#All],[DESCRIÇÃO DA CONTA - NÃO UTILIZAR]:[Código2]],2,FALSE)</f>
        <v>20.04.006</v>
      </c>
      <c r="E21" s="454" t="s">
        <v>1180</v>
      </c>
      <c r="F21" s="453" t="s">
        <v>581</v>
      </c>
      <c r="G21" s="452" t="s">
        <v>49</v>
      </c>
      <c r="H21" s="453" t="s">
        <v>1180</v>
      </c>
      <c r="I21" s="481">
        <v>0</v>
      </c>
      <c r="J21" s="453" t="s">
        <v>384</v>
      </c>
      <c r="K21" s="453" t="s">
        <v>1180</v>
      </c>
      <c r="L21" s="456" t="s">
        <v>2111</v>
      </c>
      <c r="M21" s="457">
        <v>46008</v>
      </c>
      <c r="N21" s="457">
        <v>46042</v>
      </c>
      <c r="O21" s="457">
        <v>46042</v>
      </c>
      <c r="P21" s="452" t="s">
        <v>214</v>
      </c>
      <c r="Q21" s="519">
        <v>25.33</v>
      </c>
      <c r="R21" s="467">
        <v>0</v>
      </c>
      <c r="S21" s="467">
        <v>0</v>
      </c>
      <c r="T21" s="1010">
        <f>SUM(mJAN[[#This Row],[PRINCIPAL]:[JUROS]])</f>
        <v>25.33</v>
      </c>
    </row>
    <row r="22" spans="2:20" ht="21" customHeight="1">
      <c r="B22" s="5" t="str">
        <f t="shared" si="0"/>
        <v>1/26</v>
      </c>
      <c r="C22" s="1009" t="str">
        <f>VLOOKUP(mJAN[[#This Row],[CÓDIGO CONTABIL]],Contas_Gerencial[#All],3,FALSE)</f>
        <v>ENCARGOS</v>
      </c>
      <c r="D22" s="1009" t="str">
        <f>VLOOKUP(mJAN[[#This Row],[DESCRIÇÃO CONTABIL]],Contas_Gerencial[[#All],[DESCRIÇÃO DA CONTA - NÃO UTILIZAR]:[Código2]],2,FALSE)</f>
        <v>20.04.006</v>
      </c>
      <c r="E22" s="454" t="s">
        <v>1180</v>
      </c>
      <c r="F22" s="453" t="s">
        <v>581</v>
      </c>
      <c r="G22" s="452" t="s">
        <v>1081</v>
      </c>
      <c r="H22" s="453" t="s">
        <v>1180</v>
      </c>
      <c r="I22" s="481">
        <v>0</v>
      </c>
      <c r="J22" s="453" t="s">
        <v>384</v>
      </c>
      <c r="K22" s="453" t="s">
        <v>1180</v>
      </c>
      <c r="L22" s="456" t="s">
        <v>2111</v>
      </c>
      <c r="M22" s="457">
        <v>46008</v>
      </c>
      <c r="N22" s="457">
        <v>46042</v>
      </c>
      <c r="O22" s="457">
        <v>46042</v>
      </c>
      <c r="P22" s="452" t="s">
        <v>214</v>
      </c>
      <c r="Q22" s="519">
        <v>12.66</v>
      </c>
      <c r="R22" s="467">
        <v>0</v>
      </c>
      <c r="S22" s="467">
        <v>0</v>
      </c>
      <c r="T22" s="1010">
        <f>SUM(mJAN[[#This Row],[PRINCIPAL]:[JUROS]])</f>
        <v>12.66</v>
      </c>
    </row>
    <row r="23" spans="2:20" ht="21" customHeight="1">
      <c r="B23" s="5" t="str">
        <f t="shared" si="0"/>
        <v>1/26</v>
      </c>
      <c r="C23" s="1009" t="str">
        <f>VLOOKUP(mJAN[[#This Row],[CÓDIGO CONTABIL]],Contas_Gerencial[#All],3,FALSE)</f>
        <v>ENCARGOS</v>
      </c>
      <c r="D23" s="1009" t="str">
        <f>VLOOKUP(mJAN[[#This Row],[DESCRIÇÃO CONTABIL]],Contas_Gerencial[[#All],[DESCRIÇÃO DA CONTA - NÃO UTILIZAR]:[Código2]],2,FALSE)</f>
        <v>20.04.006</v>
      </c>
      <c r="E23" s="454" t="s">
        <v>1180</v>
      </c>
      <c r="F23" s="453" t="s">
        <v>581</v>
      </c>
      <c r="G23" s="452" t="s">
        <v>1003</v>
      </c>
      <c r="H23" s="453" t="s">
        <v>1180</v>
      </c>
      <c r="I23" s="481">
        <v>0</v>
      </c>
      <c r="J23" s="453" t="s">
        <v>384</v>
      </c>
      <c r="K23" s="453" t="s">
        <v>1180</v>
      </c>
      <c r="L23" s="456" t="s">
        <v>2111</v>
      </c>
      <c r="M23" s="457">
        <v>46008</v>
      </c>
      <c r="N23" s="457">
        <v>46042</v>
      </c>
      <c r="O23" s="457">
        <v>46042</v>
      </c>
      <c r="P23" s="452" t="s">
        <v>214</v>
      </c>
      <c r="Q23" s="519">
        <v>177.34</v>
      </c>
      <c r="R23" s="467">
        <v>0</v>
      </c>
      <c r="S23" s="467">
        <v>0</v>
      </c>
      <c r="T23" s="1010">
        <f>SUM(mJAN[[#This Row],[PRINCIPAL]:[JUROS]])</f>
        <v>177.34</v>
      </c>
    </row>
    <row r="24" spans="2:20" ht="21" customHeight="1">
      <c r="B24" s="5" t="str">
        <f t="shared" si="0"/>
        <v>1/26</v>
      </c>
      <c r="C24" s="1009" t="str">
        <f>VLOOKUP(mJAN[[#This Row],[CÓDIGO CONTABIL]],Contas_Gerencial[#All],3,FALSE)</f>
        <v>ENCARGOS</v>
      </c>
      <c r="D24" s="1009" t="str">
        <f>VLOOKUP(mJAN[[#This Row],[DESCRIÇÃO CONTABIL]],Contas_Gerencial[[#All],[DESCRIÇÃO DA CONTA - NÃO UTILIZAR]:[Código2]],2,FALSE)</f>
        <v>20.04.006</v>
      </c>
      <c r="E24" s="454" t="s">
        <v>1180</v>
      </c>
      <c r="F24" s="453" t="s">
        <v>581</v>
      </c>
      <c r="G24" s="452" t="s">
        <v>1834</v>
      </c>
      <c r="H24" s="453" t="s">
        <v>1180</v>
      </c>
      <c r="I24" s="481">
        <v>0</v>
      </c>
      <c r="J24" s="453" t="s">
        <v>384</v>
      </c>
      <c r="K24" s="453" t="s">
        <v>1180</v>
      </c>
      <c r="L24" s="456" t="s">
        <v>2111</v>
      </c>
      <c r="M24" s="457">
        <v>46008</v>
      </c>
      <c r="N24" s="457">
        <v>46042</v>
      </c>
      <c r="O24" s="457">
        <v>46042</v>
      </c>
      <c r="P24" s="452" t="s">
        <v>214</v>
      </c>
      <c r="Q24" s="519">
        <v>114</v>
      </c>
      <c r="R24" s="467">
        <v>0</v>
      </c>
      <c r="S24" s="467">
        <v>0</v>
      </c>
      <c r="T24" s="1010">
        <f>SUM(mJAN[[#This Row],[PRINCIPAL]:[JUROS]])</f>
        <v>114</v>
      </c>
    </row>
    <row r="25" spans="2:20" ht="21" customHeight="1">
      <c r="B25" s="5" t="str">
        <f t="shared" si="0"/>
        <v>1/26</v>
      </c>
      <c r="C25" s="1009" t="str">
        <f>VLOOKUP(mJAN[[#This Row],[CÓDIGO CONTABIL]],Contas_Gerencial[#All],3,FALSE)</f>
        <v>ENCARGOS</v>
      </c>
      <c r="D25" s="1009" t="str">
        <f>VLOOKUP(mJAN[[#This Row],[DESCRIÇÃO CONTABIL]],Contas_Gerencial[[#All],[DESCRIÇÃO DA CONTA - NÃO UTILIZAR]:[Código2]],2,FALSE)</f>
        <v>20.04.006</v>
      </c>
      <c r="E25" s="454" t="s">
        <v>1180</v>
      </c>
      <c r="F25" s="453" t="s">
        <v>581</v>
      </c>
      <c r="G25" s="452" t="s">
        <v>1137</v>
      </c>
      <c r="H25" s="453" t="s">
        <v>1180</v>
      </c>
      <c r="I25" s="481">
        <v>0</v>
      </c>
      <c r="J25" s="453" t="s">
        <v>384</v>
      </c>
      <c r="K25" s="453" t="s">
        <v>1180</v>
      </c>
      <c r="L25" s="456" t="s">
        <v>2111</v>
      </c>
      <c r="M25" s="457">
        <v>46008</v>
      </c>
      <c r="N25" s="457">
        <v>46042</v>
      </c>
      <c r="O25" s="457">
        <v>46042</v>
      </c>
      <c r="P25" s="452" t="s">
        <v>214</v>
      </c>
      <c r="Q25" s="519">
        <v>573.75</v>
      </c>
      <c r="R25" s="467">
        <v>0</v>
      </c>
      <c r="S25" s="467">
        <v>0</v>
      </c>
      <c r="T25" s="1010">
        <f>SUM(mJAN[[#This Row],[PRINCIPAL]:[JUROS]])</f>
        <v>573.75</v>
      </c>
    </row>
    <row r="26" spans="2:20" ht="21" customHeight="1">
      <c r="B26" s="5" t="str">
        <f t="shared" si="0"/>
        <v>1/26</v>
      </c>
      <c r="C26" s="1009" t="str">
        <f>VLOOKUP(mJAN[[#This Row],[CÓDIGO CONTABIL]],Contas_Gerencial[#All],3,FALSE)</f>
        <v>ENCARGOS</v>
      </c>
      <c r="D26" s="1009" t="str">
        <f>VLOOKUP(mJAN[[#This Row],[DESCRIÇÃO CONTABIL]],Contas_Gerencial[[#All],[DESCRIÇÃO DA CONTA - NÃO UTILIZAR]:[Código2]],2,FALSE)</f>
        <v>20.04.006</v>
      </c>
      <c r="E26" s="454" t="s">
        <v>1180</v>
      </c>
      <c r="F26" s="453" t="s">
        <v>581</v>
      </c>
      <c r="G26" s="452" t="s">
        <v>1659</v>
      </c>
      <c r="H26" s="453" t="s">
        <v>1180</v>
      </c>
      <c r="I26" s="481">
        <v>0</v>
      </c>
      <c r="J26" s="453" t="s">
        <v>384</v>
      </c>
      <c r="K26" s="453" t="s">
        <v>1180</v>
      </c>
      <c r="L26" s="456" t="s">
        <v>2111</v>
      </c>
      <c r="M26" s="457">
        <v>46008</v>
      </c>
      <c r="N26" s="457">
        <v>46042</v>
      </c>
      <c r="O26" s="457">
        <v>46042</v>
      </c>
      <c r="P26" s="452" t="s">
        <v>214</v>
      </c>
      <c r="Q26" s="519">
        <v>64.06</v>
      </c>
      <c r="R26" s="467">
        <v>0</v>
      </c>
      <c r="S26" s="467">
        <v>0</v>
      </c>
      <c r="T26" s="1010">
        <f>SUM(mJAN[[#This Row],[PRINCIPAL]:[JUROS]])</f>
        <v>64.06</v>
      </c>
    </row>
    <row r="27" spans="2:20" ht="21" customHeight="1">
      <c r="B27" s="5" t="str">
        <f t="shared" si="0"/>
        <v>1/26</v>
      </c>
      <c r="C27" s="1009" t="str">
        <f>VLOOKUP(mJAN[[#This Row],[CÓDIGO CONTABIL]],Contas_Gerencial[#All],3,FALSE)</f>
        <v>ENCARGOS</v>
      </c>
      <c r="D27" s="1009" t="str">
        <f>VLOOKUP(mJAN[[#This Row],[DESCRIÇÃO CONTABIL]],Contas_Gerencial[[#All],[DESCRIÇÃO DA CONTA - NÃO UTILIZAR]:[Código2]],2,FALSE)</f>
        <v>20.04.006</v>
      </c>
      <c r="E27" s="454" t="s">
        <v>1180</v>
      </c>
      <c r="F27" s="453" t="s">
        <v>581</v>
      </c>
      <c r="G27" s="452" t="s">
        <v>1768</v>
      </c>
      <c r="H27" s="453" t="s">
        <v>1180</v>
      </c>
      <c r="I27" s="481">
        <v>0</v>
      </c>
      <c r="J27" s="453" t="s">
        <v>384</v>
      </c>
      <c r="K27" s="453" t="s">
        <v>1180</v>
      </c>
      <c r="L27" s="456" t="s">
        <v>2111</v>
      </c>
      <c r="M27" s="457">
        <v>46008</v>
      </c>
      <c r="N27" s="457">
        <v>46042</v>
      </c>
      <c r="O27" s="457">
        <v>46042</v>
      </c>
      <c r="P27" s="452" t="s">
        <v>214</v>
      </c>
      <c r="Q27" s="519">
        <v>224.21</v>
      </c>
      <c r="R27" s="467">
        <v>0</v>
      </c>
      <c r="S27" s="467">
        <v>0</v>
      </c>
      <c r="T27" s="1010">
        <f>SUM(mJAN[[#This Row],[PRINCIPAL]:[JUROS]])</f>
        <v>224.21</v>
      </c>
    </row>
    <row r="28" spans="2:20" ht="21" customHeight="1">
      <c r="B28" s="5" t="str">
        <f t="shared" si="0"/>
        <v>1/26</v>
      </c>
      <c r="C28" s="1323" t="str">
        <f>VLOOKUP(mJAN[[#This Row],[CÓDIGO CONTABIL]],Contas_Gerencial[#All],3,FALSE)</f>
        <v>INVESTIMENTOS</v>
      </c>
      <c r="D28" s="1323" t="str">
        <f>VLOOKUP(mJAN[[#This Row],[DESCRIÇÃO CONTABIL]],Contas_Gerencial[[#All],[DESCRIÇÃO DA CONTA - NÃO UTILIZAR]:[Código2]],2,FALSE)</f>
        <v>20.06.003</v>
      </c>
      <c r="E28" s="1227" t="s">
        <v>295</v>
      </c>
      <c r="F28" s="1228" t="s">
        <v>41</v>
      </c>
      <c r="G28" s="1228" t="s">
        <v>595</v>
      </c>
      <c r="H28" s="1229" t="s">
        <v>1802</v>
      </c>
      <c r="I28" s="1229">
        <v>250126</v>
      </c>
      <c r="J28" s="1228" t="s">
        <v>41</v>
      </c>
      <c r="K28" s="1228" t="s">
        <v>295</v>
      </c>
      <c r="L28" s="1230" t="s">
        <v>2137</v>
      </c>
      <c r="M28" s="1231">
        <v>46047</v>
      </c>
      <c r="N28" s="1231">
        <v>46047</v>
      </c>
      <c r="O28" s="1231">
        <v>46047</v>
      </c>
      <c r="P28" s="1324" t="s">
        <v>214</v>
      </c>
      <c r="Q28" s="1232">
        <v>0</v>
      </c>
      <c r="R28" s="1233">
        <v>0</v>
      </c>
      <c r="S28" s="1233">
        <v>0</v>
      </c>
      <c r="T28" s="1004">
        <f>SUM(mJAN[[#This Row],[PRINCIPAL]:[JUROS]])</f>
        <v>0</v>
      </c>
    </row>
    <row r="29" spans="2:20" ht="21" customHeight="1">
      <c r="B29" s="5" t="str">
        <f t="shared" si="0"/>
        <v>1/26</v>
      </c>
      <c r="C29" s="1323" t="str">
        <f>VLOOKUP(mJAN[[#This Row],[CÓDIGO CONTABIL]],Contas_Gerencial[#All],3,FALSE)</f>
        <v>INVESTIMENTOS</v>
      </c>
      <c r="D29" s="1323" t="str">
        <f>VLOOKUP(mJAN[[#This Row],[DESCRIÇÃO CONTABIL]],Contas_Gerencial[[#All],[DESCRIÇÃO DA CONTA - NÃO UTILIZAR]:[Código2]],2,FALSE)</f>
        <v>20.06.003</v>
      </c>
      <c r="E29" s="1227" t="s">
        <v>295</v>
      </c>
      <c r="F29" s="1228" t="s">
        <v>582</v>
      </c>
      <c r="G29" s="1228" t="s">
        <v>595</v>
      </c>
      <c r="H29" s="1229" t="s">
        <v>1802</v>
      </c>
      <c r="I29" s="1229">
        <v>250126</v>
      </c>
      <c r="J29" s="1228" t="s">
        <v>582</v>
      </c>
      <c r="K29" s="1228" t="s">
        <v>295</v>
      </c>
      <c r="L29" s="1230" t="s">
        <v>2137</v>
      </c>
      <c r="M29" s="1231">
        <v>46047</v>
      </c>
      <c r="N29" s="1231">
        <v>46047</v>
      </c>
      <c r="O29" s="1231">
        <v>46047</v>
      </c>
      <c r="P29" s="1324" t="s">
        <v>214</v>
      </c>
      <c r="Q29" s="1232">
        <v>0</v>
      </c>
      <c r="R29" s="1233">
        <v>0</v>
      </c>
      <c r="S29" s="1233">
        <v>0</v>
      </c>
      <c r="T29" s="1004">
        <f>SUM(mJAN[[#This Row],[PRINCIPAL]:[JUROS]])</f>
        <v>0</v>
      </c>
    </row>
    <row r="30" spans="2:20" ht="21" customHeight="1">
      <c r="B30" s="5" t="str">
        <f t="shared" si="0"/>
        <v>1/26</v>
      </c>
      <c r="C30" s="1323" t="str">
        <f>VLOOKUP(mJAN[[#This Row],[CÓDIGO CONTABIL]],Contas_Gerencial[#All],3,FALSE)</f>
        <v>INVESTIMENTOS</v>
      </c>
      <c r="D30" s="1323" t="str">
        <f>VLOOKUP(mJAN[[#This Row],[DESCRIÇÃO CONTABIL]],Contas_Gerencial[[#All],[DESCRIÇÃO DA CONTA - NÃO UTILIZAR]:[Código2]],2,FALSE)</f>
        <v>20.06.003</v>
      </c>
      <c r="E30" s="1227" t="s">
        <v>295</v>
      </c>
      <c r="F30" s="1228" t="s">
        <v>581</v>
      </c>
      <c r="G30" s="1228" t="s">
        <v>595</v>
      </c>
      <c r="H30" s="1229" t="s">
        <v>1802</v>
      </c>
      <c r="I30" s="1229">
        <v>250126</v>
      </c>
      <c r="J30" s="1228" t="s">
        <v>581</v>
      </c>
      <c r="K30" s="1228" t="s">
        <v>295</v>
      </c>
      <c r="L30" s="1230" t="s">
        <v>2137</v>
      </c>
      <c r="M30" s="1231">
        <v>46047</v>
      </c>
      <c r="N30" s="1231">
        <v>46047</v>
      </c>
      <c r="O30" s="1231">
        <v>46047</v>
      </c>
      <c r="P30" s="1324" t="s">
        <v>214</v>
      </c>
      <c r="Q30" s="1232">
        <v>0</v>
      </c>
      <c r="R30" s="1233">
        <v>0</v>
      </c>
      <c r="S30" s="1233">
        <v>0</v>
      </c>
      <c r="T30" s="1004">
        <f>SUM(mJAN[[#This Row],[PRINCIPAL]:[JUROS]])</f>
        <v>0</v>
      </c>
    </row>
    <row r="31" spans="2:20" ht="21" customHeight="1">
      <c r="B31" s="5" t="str">
        <f t="shared" si="0"/>
        <v>1/26</v>
      </c>
      <c r="C31" s="1009" t="str">
        <f>VLOOKUP(mJAN[[#This Row],[CÓDIGO CONTABIL]],Contas_Gerencial[#All],3,FALSE)</f>
        <v>DESPESAS FIXAS</v>
      </c>
      <c r="D31" s="1009" t="str">
        <f>VLOOKUP(mJAN[[#This Row],[DESCRIÇÃO CONTABIL]],Contas_Gerencial[[#All],[DESCRIÇÃO DA CONTA - NÃO UTILIZAR]:[Código2]],2,FALSE)</f>
        <v>20.02.001</v>
      </c>
      <c r="E31" s="453" t="s">
        <v>28</v>
      </c>
      <c r="F31" s="453" t="s">
        <v>41</v>
      </c>
      <c r="G31" s="453" t="s">
        <v>595</v>
      </c>
      <c r="H31" s="453" t="s">
        <v>1803</v>
      </c>
      <c r="I31" s="481">
        <v>38497</v>
      </c>
      <c r="J31" s="453" t="s">
        <v>372</v>
      </c>
      <c r="K31" s="453" t="s">
        <v>1806</v>
      </c>
      <c r="L31" s="451" t="s">
        <v>2104</v>
      </c>
      <c r="M31" s="457">
        <v>46008</v>
      </c>
      <c r="N31" s="457">
        <v>46032</v>
      </c>
      <c r="O31" s="457">
        <v>46034</v>
      </c>
      <c r="P31" s="452" t="s">
        <v>214</v>
      </c>
      <c r="Q31" s="468">
        <f>2008.87-200</f>
        <v>1808.87</v>
      </c>
      <c r="R31" s="467">
        <v>0</v>
      </c>
      <c r="S31" s="467">
        <v>0</v>
      </c>
      <c r="T31" s="1010">
        <f>SUM(mJAN[[#This Row],[PRINCIPAL]:[JUROS]])</f>
        <v>1808.87</v>
      </c>
    </row>
    <row r="32" spans="2:20" ht="21" customHeight="1">
      <c r="B32" s="5" t="str">
        <f t="shared" si="0"/>
        <v>1/26</v>
      </c>
      <c r="C32" s="88" t="str">
        <f>VLOOKUP(mJAN[[#This Row],[CÓDIGO CONTABIL]],Contas_Gerencial[#All],3,FALSE)</f>
        <v>DESPESAS FIXAS</v>
      </c>
      <c r="D32" s="88" t="str">
        <f>VLOOKUP(mJAN[[#This Row],[DESCRIÇÃO CONTABIL]],Contas_Gerencial[[#All],[DESCRIÇÃO DA CONTA - NÃO UTILIZAR]:[Código2]],2,FALSE)</f>
        <v>20.02.003</v>
      </c>
      <c r="E32" s="107" t="s">
        <v>27</v>
      </c>
      <c r="F32" s="107" t="s">
        <v>41</v>
      </c>
      <c r="G32" s="107" t="s">
        <v>595</v>
      </c>
      <c r="H32" s="107" t="s">
        <v>1803</v>
      </c>
      <c r="I32" s="481">
        <v>5182415</v>
      </c>
      <c r="J32" s="107" t="s">
        <v>1506</v>
      </c>
      <c r="K32" s="107" t="s">
        <v>1809</v>
      </c>
      <c r="L32" s="451" t="s">
        <v>2137</v>
      </c>
      <c r="M32" s="457">
        <v>46030</v>
      </c>
      <c r="N32" s="457">
        <v>46032</v>
      </c>
      <c r="O32" s="457">
        <v>46030</v>
      </c>
      <c r="P32" s="452" t="s">
        <v>214</v>
      </c>
      <c r="Q32" s="471">
        <v>721.64</v>
      </c>
      <c r="R32" s="471">
        <v>0</v>
      </c>
      <c r="S32" s="471">
        <v>0</v>
      </c>
      <c r="T32" s="303">
        <f>SUM(mJAN[[#This Row],[PRINCIPAL]:[JUROS]])</f>
        <v>721.64</v>
      </c>
    </row>
    <row r="33" spans="2:20" ht="21" customHeight="1">
      <c r="B33" s="5" t="str">
        <f t="shared" si="0"/>
        <v>1/26</v>
      </c>
      <c r="C33" s="994" t="str">
        <f>VLOOKUP(mJAN[[#This Row],[CÓDIGO CONTABIL]],Contas_Gerencial[#All],3,FALSE)</f>
        <v>DESPESAS FIXAS</v>
      </c>
      <c r="D33" s="994" t="str">
        <f>VLOOKUP(mJAN[[#This Row],[DESCRIÇÃO CONTABIL]],Contas_Gerencial[[#All],[DESCRIÇÃO DA CONTA - NÃO UTILIZAR]:[Código2]],2,FALSE)</f>
        <v>20.02.007</v>
      </c>
      <c r="E33" s="452" t="s">
        <v>26</v>
      </c>
      <c r="F33" s="452" t="s">
        <v>41</v>
      </c>
      <c r="G33" s="480" t="s">
        <v>595</v>
      </c>
      <c r="H33" s="452" t="s">
        <v>1802</v>
      </c>
      <c r="I33" s="481">
        <v>801827</v>
      </c>
      <c r="J33" s="453" t="s">
        <v>374</v>
      </c>
      <c r="K33" s="453" t="s">
        <v>1808</v>
      </c>
      <c r="L33" s="451" t="s">
        <v>2137</v>
      </c>
      <c r="M33" s="457">
        <v>46030</v>
      </c>
      <c r="N33" s="457">
        <v>46032</v>
      </c>
      <c r="O33" s="457">
        <v>46030</v>
      </c>
      <c r="P33" s="452" t="s">
        <v>214</v>
      </c>
      <c r="Q33" s="458">
        <v>95.02</v>
      </c>
      <c r="R33" s="459">
        <v>0</v>
      </c>
      <c r="S33" s="459">
        <v>0</v>
      </c>
      <c r="T33" s="995">
        <f>SUM(mJAN[[#This Row],[PRINCIPAL]:[JUROS]])</f>
        <v>95.02</v>
      </c>
    </row>
    <row r="34" spans="2:20" ht="21" customHeight="1">
      <c r="B34" s="5" t="str">
        <f t="shared" si="0"/>
        <v>1/26</v>
      </c>
      <c r="C34" s="274" t="str">
        <f>VLOOKUP(mJAN[[#This Row],[CÓDIGO CONTABIL]],Contas_Gerencial[#All],3,FALSE)</f>
        <v>DESPESAS FIXAS</v>
      </c>
      <c r="D34" s="274" t="str">
        <f>VLOOKUP(mJAN[[#This Row],[DESCRIÇÃO CONTABIL]],Contas_Gerencial[[#All],[DESCRIÇÃO DA CONTA - NÃO UTILIZAR]:[Código2]],2,FALSE)</f>
        <v>20.02.007</v>
      </c>
      <c r="E34" s="452" t="s">
        <v>26</v>
      </c>
      <c r="F34" s="452" t="s">
        <v>41</v>
      </c>
      <c r="G34" s="480" t="s">
        <v>595</v>
      </c>
      <c r="H34" s="452" t="s">
        <v>1807</v>
      </c>
      <c r="I34" s="481" t="s">
        <v>2065</v>
      </c>
      <c r="J34" s="453" t="s">
        <v>405</v>
      </c>
      <c r="K34" s="453" t="s">
        <v>1861</v>
      </c>
      <c r="L34" s="451" t="s">
        <v>2104</v>
      </c>
      <c r="M34" s="457">
        <v>46032</v>
      </c>
      <c r="N34" s="457">
        <v>46032</v>
      </c>
      <c r="O34" s="457">
        <v>46038</v>
      </c>
      <c r="P34" s="452" t="s">
        <v>214</v>
      </c>
      <c r="Q34" s="458">
        <v>143.38</v>
      </c>
      <c r="R34" s="459">
        <v>0</v>
      </c>
      <c r="S34" s="459">
        <v>0</v>
      </c>
      <c r="T34" s="275">
        <f>SUM(mJAN[[#This Row],[PRINCIPAL]:[JUROS]])</f>
        <v>143.38</v>
      </c>
    </row>
    <row r="35" spans="2:20" ht="21" customHeight="1">
      <c r="B35" s="5" t="str">
        <f t="shared" si="0"/>
        <v>1/26</v>
      </c>
      <c r="C35" s="274" t="str">
        <f>VLOOKUP(mJAN[[#This Row],[CÓDIGO CONTABIL]],Contas_Gerencial[#All],3,FALSE)</f>
        <v>DESPESAS FIXAS</v>
      </c>
      <c r="D35" s="274" t="str">
        <f>VLOOKUP(mJAN[[#This Row],[DESCRIÇÃO CONTABIL]],Contas_Gerencial[[#All],[DESCRIÇÃO DA CONTA - NÃO UTILIZAR]:[Código2]],2,FALSE)</f>
        <v>20.02.004</v>
      </c>
      <c r="E35" s="453" t="s">
        <v>404</v>
      </c>
      <c r="F35" s="453" t="s">
        <v>41</v>
      </c>
      <c r="G35" s="453" t="s">
        <v>595</v>
      </c>
      <c r="H35" s="453" t="s">
        <v>1807</v>
      </c>
      <c r="I35" s="481">
        <v>107576340</v>
      </c>
      <c r="J35" s="453" t="s">
        <v>1160</v>
      </c>
      <c r="K35" s="453" t="s">
        <v>2147</v>
      </c>
      <c r="L35" s="451" t="s">
        <v>2104</v>
      </c>
      <c r="M35" s="457">
        <v>45987</v>
      </c>
      <c r="N35" s="457">
        <v>46030</v>
      </c>
      <c r="O35" s="457">
        <v>46030</v>
      </c>
      <c r="P35" s="452" t="s">
        <v>214</v>
      </c>
      <c r="Q35" s="468">
        <v>244.76</v>
      </c>
      <c r="R35" s="467">
        <v>0</v>
      </c>
      <c r="S35" s="467">
        <v>0</v>
      </c>
      <c r="T35" s="275">
        <f>SUM(mJAN[[#This Row],[PRINCIPAL]:[JUROS]])</f>
        <v>244.76</v>
      </c>
    </row>
    <row r="36" spans="2:20" ht="21" customHeight="1">
      <c r="B36" s="5" t="str">
        <f t="shared" si="0"/>
        <v>1/26</v>
      </c>
      <c r="C36" s="283" t="str">
        <f>VLOOKUP(mJAN[[#This Row],[CÓDIGO CONTABIL]],Contas_Gerencial[#All],3,FALSE)</f>
        <v>DESPESAS FIXAS</v>
      </c>
      <c r="D36" s="283" t="str">
        <f>VLOOKUP(mJAN[[#This Row],[DESCRIÇÃO CONTABIL]],Contas_Gerencial[[#All],[DESCRIÇÃO DA CONTA - NÃO UTILIZAR]:[Código2]],2,FALSE)</f>
        <v>20.02.004</v>
      </c>
      <c r="E36" s="453" t="s">
        <v>404</v>
      </c>
      <c r="F36" s="453" t="s">
        <v>41</v>
      </c>
      <c r="G36" s="453" t="s">
        <v>595</v>
      </c>
      <c r="H36" s="453" t="s">
        <v>1807</v>
      </c>
      <c r="I36" s="481">
        <v>109465025</v>
      </c>
      <c r="J36" s="453" t="s">
        <v>1160</v>
      </c>
      <c r="K36" s="453" t="s">
        <v>2202</v>
      </c>
      <c r="L36" s="451" t="s">
        <v>2137</v>
      </c>
      <c r="M36" s="457">
        <v>46037</v>
      </c>
      <c r="N36" s="457">
        <v>46050</v>
      </c>
      <c r="O36" s="457">
        <v>46045</v>
      </c>
      <c r="P36" s="452" t="s">
        <v>214</v>
      </c>
      <c r="Q36" s="468">
        <v>62.07</v>
      </c>
      <c r="R36" s="467">
        <v>0</v>
      </c>
      <c r="S36" s="467">
        <v>0</v>
      </c>
      <c r="T36" s="284">
        <f>SUM(mJAN[[#This Row],[PRINCIPAL]:[JUROS]])</f>
        <v>62.07</v>
      </c>
    </row>
    <row r="37" spans="2:20" ht="21" customHeight="1">
      <c r="B37" s="5" t="str">
        <f t="shared" si="0"/>
        <v>1/26</v>
      </c>
      <c r="C37" s="5" t="str">
        <f>VLOOKUP(mJAN[[#This Row],[CÓDIGO CONTABIL]],Contas_Gerencial[#All],3,FALSE)</f>
        <v>RECEITA SUBCONTA</v>
      </c>
      <c r="D37" s="5" t="str">
        <f>VLOOKUP(mJAN[[#This Row],[DESCRIÇÃO CONTABIL]],Contas_Gerencial[[#All],[DESCRIÇÃO DA CONTA - NÃO UTILIZAR]:[Código2]],2,FALSE)</f>
        <v>10.01.001</v>
      </c>
      <c r="E37" s="107" t="s">
        <v>90</v>
      </c>
      <c r="F37" s="107" t="s">
        <v>41</v>
      </c>
      <c r="G37" s="107" t="s">
        <v>982</v>
      </c>
      <c r="H37" s="107" t="s">
        <v>1788</v>
      </c>
      <c r="I37" s="481">
        <v>391</v>
      </c>
      <c r="J37" s="121" t="s">
        <v>41</v>
      </c>
      <c r="K37" s="121" t="s">
        <v>1792</v>
      </c>
      <c r="L37" s="456" t="s">
        <v>2104</v>
      </c>
      <c r="M37" s="457">
        <v>46014</v>
      </c>
      <c r="N37" s="457">
        <v>46027</v>
      </c>
      <c r="O37" s="457">
        <v>46034</v>
      </c>
      <c r="P37" s="452" t="s">
        <v>214</v>
      </c>
      <c r="Q37" s="483">
        <v>6405</v>
      </c>
      <c r="R37" s="482">
        <v>0</v>
      </c>
      <c r="S37" s="482">
        <v>0</v>
      </c>
      <c r="T37" s="1004">
        <f>SUM(mJAN[[#This Row],[PRINCIPAL]:[JUROS]])</f>
        <v>6405</v>
      </c>
    </row>
    <row r="38" spans="2:20" ht="21" customHeight="1">
      <c r="B38" s="5" t="str">
        <f t="shared" si="0"/>
        <v>1/26</v>
      </c>
      <c r="C38" s="274" t="str">
        <f>VLOOKUP(mJAN[[#This Row],[CÓDIGO CONTABIL]],Contas_Gerencial[#All],3,FALSE)</f>
        <v>TRIBUTOS</v>
      </c>
      <c r="D38" s="274" t="str">
        <f>VLOOKUP(mJAN[[#This Row],[DESCRIÇÃO CONTABIL]],Contas_Gerencial[[#All],[DESCRIÇÃO DA CONTA - NÃO UTILIZAR]:[Código2]],2,FALSE)</f>
        <v>20.08.008</v>
      </c>
      <c r="E38" s="452" t="s">
        <v>2650</v>
      </c>
      <c r="F38" s="107" t="s">
        <v>41</v>
      </c>
      <c r="G38" s="480" t="s">
        <v>982</v>
      </c>
      <c r="H38" s="107" t="s">
        <v>1788</v>
      </c>
      <c r="I38" s="481">
        <v>391</v>
      </c>
      <c r="J38" s="453" t="s">
        <v>378</v>
      </c>
      <c r="K38" s="453" t="s">
        <v>2087</v>
      </c>
      <c r="L38" s="456" t="s">
        <v>2104</v>
      </c>
      <c r="M38" s="457">
        <v>46014</v>
      </c>
      <c r="N38" s="457">
        <v>46042</v>
      </c>
      <c r="O38" s="457">
        <v>46042</v>
      </c>
      <c r="P38" s="453" t="s">
        <v>214</v>
      </c>
      <c r="Q38" s="482">
        <v>297.83</v>
      </c>
      <c r="R38" s="482">
        <v>0</v>
      </c>
      <c r="S38" s="482">
        <v>0</v>
      </c>
      <c r="T38" s="275">
        <f>SUM(mJAN[[#This Row],[PRINCIPAL]:[JUROS]])</f>
        <v>297.83</v>
      </c>
    </row>
    <row r="39" spans="2:20" ht="21" customHeight="1">
      <c r="B39" s="5" t="str">
        <f t="shared" si="0"/>
        <v>1/26</v>
      </c>
      <c r="C39" s="274" t="str">
        <f>VLOOKUP(mJAN[[#This Row],[CÓDIGO CONTABIL]],Contas_Gerencial[#All],3,FALSE)</f>
        <v>ENCARGOS</v>
      </c>
      <c r="D39" s="274" t="str">
        <f>VLOOKUP(mJAN[[#This Row],[DESCRIÇÃO CONTABIL]],Contas_Gerencial[[#All],[DESCRIÇÃO DA CONTA - NÃO UTILIZAR]:[Código2]],2,FALSE)</f>
        <v>20.04.004</v>
      </c>
      <c r="E39" s="452" t="s">
        <v>2651</v>
      </c>
      <c r="F39" s="107" t="s">
        <v>41</v>
      </c>
      <c r="G39" s="480" t="s">
        <v>982</v>
      </c>
      <c r="H39" s="107" t="s">
        <v>1788</v>
      </c>
      <c r="I39" s="481">
        <v>391</v>
      </c>
      <c r="J39" s="453" t="s">
        <v>264</v>
      </c>
      <c r="K39" s="453" t="s">
        <v>2113</v>
      </c>
      <c r="L39" s="456" t="s">
        <v>2104</v>
      </c>
      <c r="M39" s="457">
        <v>46014</v>
      </c>
      <c r="N39" s="457">
        <v>46042</v>
      </c>
      <c r="O39" s="457">
        <v>46042</v>
      </c>
      <c r="P39" s="453" t="s">
        <v>214</v>
      </c>
      <c r="Q39" s="483">
        <v>346.14</v>
      </c>
      <c r="R39" s="482">
        <v>0</v>
      </c>
      <c r="S39" s="482">
        <v>0</v>
      </c>
      <c r="T39" s="275">
        <f>SUM(mJAN[[#This Row],[PRINCIPAL]:[JUROS]])</f>
        <v>346.14</v>
      </c>
    </row>
    <row r="40" spans="2:20" ht="21" customHeight="1">
      <c r="B40" s="5" t="str">
        <f t="shared" si="0"/>
        <v>1/26</v>
      </c>
      <c r="C40" s="274" t="str">
        <f>VLOOKUP(mJAN[[#This Row],[CÓDIGO CONTABIL]],Contas_Gerencial[#All],3,FALSE)</f>
        <v>TRIBUTOS</v>
      </c>
      <c r="D40" s="274" t="str">
        <f>VLOOKUP(mJAN[[#This Row],[DESCRIÇÃO CONTABIL]],Contas_Gerencial[[#All],[DESCRIÇÃO DA CONTA - NÃO UTILIZAR]:[Código2]],2,FALSE)</f>
        <v>20.08.005</v>
      </c>
      <c r="E40" s="107" t="s">
        <v>2649</v>
      </c>
      <c r="F40" s="452" t="s">
        <v>41</v>
      </c>
      <c r="G40" s="480" t="s">
        <v>982</v>
      </c>
      <c r="H40" s="107" t="s">
        <v>1788</v>
      </c>
      <c r="I40" s="481">
        <v>391</v>
      </c>
      <c r="J40" s="453" t="s">
        <v>378</v>
      </c>
      <c r="K40" s="453" t="s">
        <v>2086</v>
      </c>
      <c r="L40" s="456" t="s">
        <v>2104</v>
      </c>
      <c r="M40" s="457">
        <v>46014</v>
      </c>
      <c r="N40" s="457">
        <v>46042</v>
      </c>
      <c r="O40" s="457">
        <v>46042</v>
      </c>
      <c r="P40" s="453" t="s">
        <v>214</v>
      </c>
      <c r="Q40" s="467">
        <v>64.05</v>
      </c>
      <c r="R40" s="467">
        <v>0</v>
      </c>
      <c r="S40" s="467">
        <v>0</v>
      </c>
      <c r="T40" s="275">
        <f>SUM(mJAN[[#This Row],[PRINCIPAL]:[JUROS]])</f>
        <v>64.05</v>
      </c>
    </row>
    <row r="41" spans="2:20" ht="21" customHeight="1">
      <c r="B41" s="5" t="str">
        <f t="shared" si="0"/>
        <v>1/26</v>
      </c>
      <c r="C41" s="274" t="str">
        <f>VLOOKUP(mJAN[[#This Row],[CÓDIGO CONTABIL]],Contas_Gerencial[#All],3,FALSE)</f>
        <v>TRIBUTOS</v>
      </c>
      <c r="D41" s="274" t="str">
        <f>VLOOKUP(mJAN[[#This Row],[DESCRIÇÃO CONTABIL]],Contas_Gerencial[[#All],[DESCRIÇÃO DA CONTA - NÃO UTILIZAR]:[Código2]],2,FALSE)</f>
        <v>20.08.004</v>
      </c>
      <c r="E41" s="452" t="s">
        <v>2648</v>
      </c>
      <c r="F41" s="107" t="s">
        <v>41</v>
      </c>
      <c r="G41" s="480" t="s">
        <v>982</v>
      </c>
      <c r="H41" s="107" t="s">
        <v>1788</v>
      </c>
      <c r="I41" s="481">
        <v>391</v>
      </c>
      <c r="J41" s="453" t="s">
        <v>378</v>
      </c>
      <c r="K41" s="453" t="s">
        <v>2085</v>
      </c>
      <c r="L41" s="456" t="s">
        <v>2104</v>
      </c>
      <c r="M41" s="457">
        <v>46014</v>
      </c>
      <c r="N41" s="457">
        <v>46042</v>
      </c>
      <c r="O41" s="457">
        <v>46042</v>
      </c>
      <c r="P41" s="453" t="s">
        <v>214</v>
      </c>
      <c r="Q41" s="482">
        <v>320.25</v>
      </c>
      <c r="R41" s="482">
        <v>0</v>
      </c>
      <c r="S41" s="482">
        <v>0</v>
      </c>
      <c r="T41" s="275">
        <f>SUM(mJAN[[#This Row],[PRINCIPAL]:[JUROS]])</f>
        <v>320.25</v>
      </c>
    </row>
    <row r="42" spans="2:20" ht="21" customHeight="1">
      <c r="B42" s="5" t="str">
        <f t="shared" si="0"/>
        <v>1/26</v>
      </c>
      <c r="C42" s="274" t="str">
        <f>VLOOKUP(mJAN[[#This Row],[CÓDIGO CONTABIL]],Contas_Gerencial[#All],3,FALSE)</f>
        <v>FOLHA DE PAGAMENTO</v>
      </c>
      <c r="D42" s="274" t="str">
        <f>VLOOKUP(mJAN[[#This Row],[DESCRIÇÃO CONTABIL]],Contas_Gerencial[[#All],[DESCRIÇÃO DA CONTA - NÃO UTILIZAR]:[Código2]],2,FALSE)</f>
        <v>20.05.021</v>
      </c>
      <c r="E42" s="452" t="s">
        <v>59</v>
      </c>
      <c r="F42" s="452" t="s">
        <v>581</v>
      </c>
      <c r="G42" s="107" t="s">
        <v>982</v>
      </c>
      <c r="H42" s="452" t="s">
        <v>1791</v>
      </c>
      <c r="I42" s="481">
        <v>391</v>
      </c>
      <c r="J42" s="453" t="s">
        <v>581</v>
      </c>
      <c r="K42" s="453" t="s">
        <v>1790</v>
      </c>
      <c r="L42" s="456" t="s">
        <v>2104</v>
      </c>
      <c r="M42" s="457">
        <v>46028</v>
      </c>
      <c r="N42" s="457">
        <v>46028</v>
      </c>
      <c r="O42" s="457">
        <v>46029</v>
      </c>
      <c r="P42" s="453" t="s">
        <v>214</v>
      </c>
      <c r="Q42" s="483">
        <v>1702.95</v>
      </c>
      <c r="R42" s="459">
        <v>0</v>
      </c>
      <c r="S42" s="459">
        <v>0</v>
      </c>
      <c r="T42" s="275">
        <f>SUM(mJAN[[#This Row],[PRINCIPAL]:[JUROS]])</f>
        <v>1702.95</v>
      </c>
    </row>
    <row r="43" spans="2:20" ht="21" customHeight="1">
      <c r="B43" s="5" t="str">
        <f t="shared" si="0"/>
        <v>1/26</v>
      </c>
      <c r="C43" s="274" t="str">
        <f>VLOOKUP(mJAN[[#This Row],[CÓDIGO CONTABIL]],Contas_Gerencial[#All],3,FALSE)</f>
        <v>ENCARGOS</v>
      </c>
      <c r="D43" s="274" t="str">
        <f>VLOOKUP(mJAN[[#This Row],[DESCRIÇÃO CONTABIL]],Contas_Gerencial[[#All],[DESCRIÇÃO DA CONTA - NÃO UTILIZAR]:[Código2]],2,FALSE)</f>
        <v>20.04.006</v>
      </c>
      <c r="E43" s="452" t="s">
        <v>1180</v>
      </c>
      <c r="F43" s="452" t="s">
        <v>581</v>
      </c>
      <c r="G43" s="480" t="s">
        <v>982</v>
      </c>
      <c r="H43" s="452" t="s">
        <v>1180</v>
      </c>
      <c r="I43" s="481">
        <v>391</v>
      </c>
      <c r="J43" s="453" t="s">
        <v>384</v>
      </c>
      <c r="K43" s="452" t="s">
        <v>1180</v>
      </c>
      <c r="L43" s="456" t="s">
        <v>2104</v>
      </c>
      <c r="M43" s="457">
        <v>46028</v>
      </c>
      <c r="N43" s="457">
        <v>46042</v>
      </c>
      <c r="O43" s="457">
        <v>46042</v>
      </c>
      <c r="P43" s="453" t="s">
        <v>214</v>
      </c>
      <c r="Q43" s="483">
        <v>152.01</v>
      </c>
      <c r="R43" s="459">
        <v>0</v>
      </c>
      <c r="S43" s="459">
        <v>0</v>
      </c>
      <c r="T43" s="275">
        <f>SUM(mJAN[[#This Row],[PRINCIPAL]:[JUROS]])</f>
        <v>152.01</v>
      </c>
    </row>
    <row r="44" spans="2:20" ht="21" customHeight="1">
      <c r="B44" s="5" t="str">
        <f t="shared" si="0"/>
        <v>1/26</v>
      </c>
      <c r="C44" s="274" t="str">
        <f>VLOOKUP(mJAN[[#This Row],[CÓDIGO CONTABIL]],Contas_Gerencial[#All],3,FALSE)</f>
        <v>ENCARGOS</v>
      </c>
      <c r="D44" s="274" t="str">
        <f>VLOOKUP(mJAN[[#This Row],[DESCRIÇÃO CONTABIL]],Contas_Gerencial[[#All],[DESCRIÇÃO DA CONTA - NÃO UTILIZAR]:[Código2]],2,FALSE)</f>
        <v>20.04.001</v>
      </c>
      <c r="E44" s="464" t="s">
        <v>2659</v>
      </c>
      <c r="F44" s="464" t="s">
        <v>581</v>
      </c>
      <c r="G44" s="986" t="s">
        <v>982</v>
      </c>
      <c r="H44" s="983" t="s">
        <v>1788</v>
      </c>
      <c r="I44" s="984">
        <v>391</v>
      </c>
      <c r="J44" s="461" t="s">
        <v>757</v>
      </c>
      <c r="K44" s="461" t="s">
        <v>2089</v>
      </c>
      <c r="L44" s="462" t="s">
        <v>2104</v>
      </c>
      <c r="M44" s="463">
        <v>46028</v>
      </c>
      <c r="N44" s="463">
        <v>46042</v>
      </c>
      <c r="O44" s="463"/>
      <c r="P44" s="461" t="s">
        <v>1</v>
      </c>
      <c r="Q44" s="985">
        <f>148.24-65</f>
        <v>83.240000000000009</v>
      </c>
      <c r="R44" s="987">
        <v>0</v>
      </c>
      <c r="S44" s="987">
        <v>0</v>
      </c>
      <c r="T44" s="275">
        <f>SUM(mJAN[[#This Row],[PRINCIPAL]:[JUROS]])</f>
        <v>83.240000000000009</v>
      </c>
    </row>
    <row r="45" spans="2:20" ht="21" customHeight="1">
      <c r="B45" s="5" t="str">
        <f t="shared" si="0"/>
        <v>1/26</v>
      </c>
      <c r="C45" s="274" t="str">
        <f>VLOOKUP(mJAN[[#This Row],[CÓDIGO CONTABIL]],Contas_Gerencial[#All],3,FALSE)</f>
        <v>BENEFICIO</v>
      </c>
      <c r="D45" s="274" t="str">
        <f>VLOOKUP(mJAN[[#This Row],[DESCRIÇÃO CONTABIL]],Contas_Gerencial[[#All],[DESCRIÇÃO DA CONTA - NÃO UTILIZAR]:[Código2]],2,FALSE)</f>
        <v>20.05.006</v>
      </c>
      <c r="E45" s="480" t="s">
        <v>24</v>
      </c>
      <c r="F45" s="452" t="s">
        <v>581</v>
      </c>
      <c r="G45" s="452" t="s">
        <v>982</v>
      </c>
      <c r="H45" s="452" t="s">
        <v>1791</v>
      </c>
      <c r="I45" s="481">
        <v>200126</v>
      </c>
      <c r="J45" s="453" t="s">
        <v>581</v>
      </c>
      <c r="K45" s="453" t="s">
        <v>2180</v>
      </c>
      <c r="L45" s="451" t="s">
        <v>2137</v>
      </c>
      <c r="M45" s="457">
        <v>46042</v>
      </c>
      <c r="N45" s="457">
        <v>46043</v>
      </c>
      <c r="O45" s="457">
        <v>46042</v>
      </c>
      <c r="P45" s="452" t="s">
        <v>214</v>
      </c>
      <c r="Q45" s="467">
        <v>1151.8</v>
      </c>
      <c r="R45" s="467">
        <v>0</v>
      </c>
      <c r="S45" s="467">
        <v>0</v>
      </c>
      <c r="T45" s="275">
        <f>SUM(mJAN[[#This Row],[PRINCIPAL]:[JUROS]])</f>
        <v>1151.8</v>
      </c>
    </row>
    <row r="46" spans="2:20" ht="21" customHeight="1">
      <c r="B46" s="5" t="str">
        <f t="shared" si="0"/>
        <v>1/26</v>
      </c>
      <c r="C46" s="274" t="str">
        <f>VLOOKUP(mJAN[[#This Row],[CÓDIGO CONTABIL]],Contas_Gerencial[#All],3,FALSE)</f>
        <v>BENEFICIO</v>
      </c>
      <c r="D46" s="274" t="str">
        <f>VLOOKUP(mJAN[[#This Row],[DESCRIÇÃO CONTABIL]],Contas_Gerencial[[#All],[DESCRIÇÃO DA CONTA - NÃO UTILIZAR]:[Código2]],2,FALSE)</f>
        <v>20.05.007</v>
      </c>
      <c r="E46" s="480" t="s">
        <v>25</v>
      </c>
      <c r="F46" s="452" t="s">
        <v>581</v>
      </c>
      <c r="G46" s="452" t="s">
        <v>982</v>
      </c>
      <c r="H46" s="452" t="s">
        <v>1791</v>
      </c>
      <c r="I46" s="481">
        <v>200126</v>
      </c>
      <c r="J46" s="453" t="s">
        <v>581</v>
      </c>
      <c r="K46" s="453" t="s">
        <v>2180</v>
      </c>
      <c r="L46" s="451" t="s">
        <v>2137</v>
      </c>
      <c r="M46" s="457">
        <v>46042</v>
      </c>
      <c r="N46" s="457">
        <v>46043</v>
      </c>
      <c r="O46" s="457">
        <v>46042</v>
      </c>
      <c r="P46" s="452" t="s">
        <v>214</v>
      </c>
      <c r="Q46" s="467">
        <v>140.4</v>
      </c>
      <c r="R46" s="467">
        <v>0</v>
      </c>
      <c r="S46" s="467">
        <v>0</v>
      </c>
      <c r="T46" s="275">
        <f>SUM(mJAN[[#This Row],[PRINCIPAL]:[JUROS]])</f>
        <v>140.4</v>
      </c>
    </row>
    <row r="47" spans="2:20" ht="21" customHeight="1">
      <c r="B47" s="5" t="str">
        <f t="shared" si="0"/>
        <v>1/26</v>
      </c>
      <c r="C47" s="274" t="str">
        <f>VLOOKUP(mJAN[[#This Row],[CÓDIGO CONTABIL]],Contas_Gerencial[#All],3,FALSE)</f>
        <v>RECEITA SUBCONTA</v>
      </c>
      <c r="D47" s="274" t="str">
        <f>VLOOKUP(mJAN[[#This Row],[DESCRIÇÃO CONTABIL]],Contas_Gerencial[[#All],[DESCRIÇÃO DA CONTA - NÃO UTILIZAR]:[Código2]],2,FALSE)</f>
        <v>10.01.001</v>
      </c>
      <c r="E47" s="107" t="s">
        <v>90</v>
      </c>
      <c r="F47" s="107" t="s">
        <v>41</v>
      </c>
      <c r="G47" s="107" t="s">
        <v>1081</v>
      </c>
      <c r="H47" s="107" t="s">
        <v>1788</v>
      </c>
      <c r="I47" s="481">
        <v>392</v>
      </c>
      <c r="J47" s="121" t="s">
        <v>41</v>
      </c>
      <c r="K47" s="121" t="s">
        <v>1792</v>
      </c>
      <c r="L47" s="456" t="s">
        <v>2104</v>
      </c>
      <c r="M47" s="457">
        <v>46014</v>
      </c>
      <c r="N47" s="457">
        <v>46037</v>
      </c>
      <c r="O47" s="457">
        <v>46035</v>
      </c>
      <c r="P47" s="452" t="s">
        <v>214</v>
      </c>
      <c r="Q47" s="483">
        <v>6403</v>
      </c>
      <c r="R47" s="482">
        <v>0</v>
      </c>
      <c r="S47" s="482">
        <v>0</v>
      </c>
      <c r="T47" s="275">
        <f>SUM(mJAN[[#This Row],[PRINCIPAL]:[JUROS]])</f>
        <v>6403</v>
      </c>
    </row>
    <row r="48" spans="2:20" ht="21" customHeight="1">
      <c r="B48" s="5" t="str">
        <f t="shared" si="0"/>
        <v>1/26</v>
      </c>
      <c r="C48" s="274" t="str">
        <f>VLOOKUP(mJAN[[#This Row],[CÓDIGO CONTABIL]],Contas_Gerencial[#All],3,FALSE)</f>
        <v>TRIBUTOS</v>
      </c>
      <c r="D48" s="274" t="str">
        <f>VLOOKUP(mJAN[[#This Row],[DESCRIÇÃO CONTABIL]],Contas_Gerencial[[#All],[DESCRIÇÃO DA CONTA - NÃO UTILIZAR]:[Código2]],2,FALSE)</f>
        <v>20.08.008</v>
      </c>
      <c r="E48" s="452" t="s">
        <v>2650</v>
      </c>
      <c r="F48" s="107" t="s">
        <v>41</v>
      </c>
      <c r="G48" s="480" t="s">
        <v>1081</v>
      </c>
      <c r="H48" s="107" t="s">
        <v>1788</v>
      </c>
      <c r="I48" s="481">
        <v>392</v>
      </c>
      <c r="J48" s="453" t="s">
        <v>378</v>
      </c>
      <c r="K48" s="453" t="s">
        <v>2087</v>
      </c>
      <c r="L48" s="456" t="s">
        <v>2104</v>
      </c>
      <c r="M48" s="457">
        <v>46014</v>
      </c>
      <c r="N48" s="457">
        <v>46042</v>
      </c>
      <c r="O48" s="457">
        <v>46042</v>
      </c>
      <c r="P48" s="453" t="s">
        <v>214</v>
      </c>
      <c r="Q48" s="482">
        <v>297.74</v>
      </c>
      <c r="R48" s="482">
        <v>0</v>
      </c>
      <c r="S48" s="482">
        <v>0</v>
      </c>
      <c r="T48" s="275">
        <f>SUM(mJAN[[#This Row],[PRINCIPAL]:[JUROS]])</f>
        <v>297.74</v>
      </c>
    </row>
    <row r="49" spans="2:20" ht="21" customHeight="1">
      <c r="B49" s="5" t="str">
        <f t="shared" si="0"/>
        <v>1/26</v>
      </c>
      <c r="C49" s="274" t="str">
        <f>VLOOKUP(mJAN[[#This Row],[CÓDIGO CONTABIL]],Contas_Gerencial[#All],3,FALSE)</f>
        <v>ENCARGOS</v>
      </c>
      <c r="D49" s="274" t="str">
        <f>VLOOKUP(mJAN[[#This Row],[DESCRIÇÃO CONTABIL]],Contas_Gerencial[[#All],[DESCRIÇÃO DA CONTA - NÃO UTILIZAR]:[Código2]],2,FALSE)</f>
        <v>20.04.004</v>
      </c>
      <c r="E49" s="452" t="s">
        <v>2651</v>
      </c>
      <c r="F49" s="107" t="s">
        <v>41</v>
      </c>
      <c r="G49" s="480" t="s">
        <v>1081</v>
      </c>
      <c r="H49" s="107" t="s">
        <v>1788</v>
      </c>
      <c r="I49" s="481">
        <v>392</v>
      </c>
      <c r="J49" s="453" t="s">
        <v>264</v>
      </c>
      <c r="K49" s="453" t="s">
        <v>2113</v>
      </c>
      <c r="L49" s="456" t="s">
        <v>2104</v>
      </c>
      <c r="M49" s="457">
        <v>46014</v>
      </c>
      <c r="N49" s="457">
        <v>46042</v>
      </c>
      <c r="O49" s="457">
        <v>46042</v>
      </c>
      <c r="P49" s="453" t="s">
        <v>214</v>
      </c>
      <c r="Q49" s="483">
        <v>345.92</v>
      </c>
      <c r="R49" s="482">
        <v>0</v>
      </c>
      <c r="S49" s="482">
        <v>0</v>
      </c>
      <c r="T49" s="275">
        <f>SUM(mJAN[[#This Row],[PRINCIPAL]:[JUROS]])</f>
        <v>345.92</v>
      </c>
    </row>
    <row r="50" spans="2:20" ht="21" customHeight="1">
      <c r="B50" s="5" t="str">
        <f t="shared" si="0"/>
        <v>1/26</v>
      </c>
      <c r="C50" s="283" t="str">
        <f>VLOOKUP(mJAN[[#This Row],[CÓDIGO CONTABIL]],Contas_Gerencial[#All],3,FALSE)</f>
        <v>TRIBUTOS</v>
      </c>
      <c r="D50" s="283" t="str">
        <f>VLOOKUP(mJAN[[#This Row],[DESCRIÇÃO CONTABIL]],Contas_Gerencial[[#All],[DESCRIÇÃO DA CONTA - NÃO UTILIZAR]:[Código2]],2,FALSE)</f>
        <v>20.08.005</v>
      </c>
      <c r="E50" s="107" t="s">
        <v>2649</v>
      </c>
      <c r="F50" s="452" t="s">
        <v>41</v>
      </c>
      <c r="G50" s="480" t="s">
        <v>1081</v>
      </c>
      <c r="H50" s="107" t="s">
        <v>1788</v>
      </c>
      <c r="I50" s="481">
        <v>392</v>
      </c>
      <c r="J50" s="453" t="s">
        <v>378</v>
      </c>
      <c r="K50" s="453" t="s">
        <v>2086</v>
      </c>
      <c r="L50" s="456" t="s">
        <v>2104</v>
      </c>
      <c r="M50" s="457">
        <v>46014</v>
      </c>
      <c r="N50" s="457">
        <v>46042</v>
      </c>
      <c r="O50" s="457">
        <v>46042</v>
      </c>
      <c r="P50" s="453" t="s">
        <v>214</v>
      </c>
      <c r="Q50" s="467">
        <v>64.03</v>
      </c>
      <c r="R50" s="467">
        <v>0</v>
      </c>
      <c r="S50" s="467">
        <v>0</v>
      </c>
      <c r="T50" s="284">
        <f>SUM(mJAN[[#This Row],[PRINCIPAL]:[JUROS]])</f>
        <v>64.03</v>
      </c>
    </row>
    <row r="51" spans="2:20" ht="21" customHeight="1">
      <c r="B51" s="5" t="str">
        <f t="shared" si="0"/>
        <v>1/26</v>
      </c>
      <c r="C51" s="274" t="str">
        <f>VLOOKUP(mJAN[[#This Row],[CÓDIGO CONTABIL]],Contas_Gerencial[#All],3,FALSE)</f>
        <v>TRIBUTOS</v>
      </c>
      <c r="D51" s="274" t="str">
        <f>VLOOKUP(mJAN[[#This Row],[DESCRIÇÃO CONTABIL]],Contas_Gerencial[[#All],[DESCRIÇÃO DA CONTA - NÃO UTILIZAR]:[Código2]],2,FALSE)</f>
        <v>20.08.004</v>
      </c>
      <c r="E51" s="452" t="s">
        <v>2648</v>
      </c>
      <c r="F51" s="107" t="s">
        <v>41</v>
      </c>
      <c r="G51" s="480" t="s">
        <v>1081</v>
      </c>
      <c r="H51" s="107" t="s">
        <v>1788</v>
      </c>
      <c r="I51" s="481">
        <v>392</v>
      </c>
      <c r="J51" s="453" t="s">
        <v>378</v>
      </c>
      <c r="K51" s="453" t="s">
        <v>2085</v>
      </c>
      <c r="L51" s="456" t="s">
        <v>2104</v>
      </c>
      <c r="M51" s="457">
        <v>46014</v>
      </c>
      <c r="N51" s="457">
        <v>46042</v>
      </c>
      <c r="O51" s="457">
        <v>46042</v>
      </c>
      <c r="P51" s="453" t="s">
        <v>214</v>
      </c>
      <c r="Q51" s="482">
        <v>320.14999999999998</v>
      </c>
      <c r="R51" s="482">
        <v>0</v>
      </c>
      <c r="S51" s="482">
        <v>0</v>
      </c>
      <c r="T51" s="275">
        <f>SUM(mJAN[[#This Row],[PRINCIPAL]:[JUROS]])</f>
        <v>320.14999999999998</v>
      </c>
    </row>
    <row r="52" spans="2:20" ht="21" customHeight="1">
      <c r="B52" s="5" t="str">
        <f t="shared" si="0"/>
        <v>1/26</v>
      </c>
      <c r="C52" s="274" t="str">
        <f>VLOOKUP(mJAN[[#This Row],[CÓDIGO CONTABIL]],Contas_Gerencial[#All],3,FALSE)</f>
        <v>FOLHA DE PAGAMENTO</v>
      </c>
      <c r="D52" s="274" t="str">
        <f>VLOOKUP(mJAN[[#This Row],[DESCRIÇÃO CONTABIL]],Contas_Gerencial[[#All],[DESCRIÇÃO DA CONTA - NÃO UTILIZAR]:[Código2]],2,FALSE)</f>
        <v>20.05.021</v>
      </c>
      <c r="E52" s="452" t="s">
        <v>59</v>
      </c>
      <c r="F52" s="452" t="s">
        <v>582</v>
      </c>
      <c r="G52" s="107" t="s">
        <v>1081</v>
      </c>
      <c r="H52" s="452" t="s">
        <v>1791</v>
      </c>
      <c r="I52" s="481">
        <v>392</v>
      </c>
      <c r="J52" s="453" t="s">
        <v>581</v>
      </c>
      <c r="K52" s="453" t="s">
        <v>1790</v>
      </c>
      <c r="L52" s="456" t="s">
        <v>2104</v>
      </c>
      <c r="M52" s="457">
        <v>46028</v>
      </c>
      <c r="N52" s="457">
        <v>46028</v>
      </c>
      <c r="O52" s="457">
        <v>46028</v>
      </c>
      <c r="P52" s="453" t="s">
        <v>214</v>
      </c>
      <c r="Q52" s="483">
        <v>0</v>
      </c>
      <c r="R52" s="459">
        <v>0</v>
      </c>
      <c r="S52" s="459">
        <v>0</v>
      </c>
      <c r="T52" s="275">
        <f>SUM(mJAN[[#This Row],[PRINCIPAL]:[JUROS]])</f>
        <v>0</v>
      </c>
    </row>
    <row r="53" spans="2:20" ht="21" customHeight="1">
      <c r="B53" s="5" t="str">
        <f t="shared" si="0"/>
        <v>1/26</v>
      </c>
      <c r="C53" s="274" t="str">
        <f>VLOOKUP(mJAN[[#This Row],[CÓDIGO CONTABIL]],Contas_Gerencial[#All],3,FALSE)</f>
        <v>ENCARGOS</v>
      </c>
      <c r="D53" s="274" t="str">
        <f>VLOOKUP(mJAN[[#This Row],[DESCRIÇÃO CONTABIL]],Contas_Gerencial[[#All],[DESCRIÇÃO DA CONTA - NÃO UTILIZAR]:[Código2]],2,FALSE)</f>
        <v>20.04.006</v>
      </c>
      <c r="E53" s="452" t="s">
        <v>1180</v>
      </c>
      <c r="F53" s="452" t="s">
        <v>582</v>
      </c>
      <c r="G53" s="480" t="s">
        <v>1081</v>
      </c>
      <c r="H53" s="452" t="s">
        <v>1180</v>
      </c>
      <c r="I53" s="481">
        <v>392</v>
      </c>
      <c r="J53" s="453" t="s">
        <v>384</v>
      </c>
      <c r="K53" s="452" t="s">
        <v>1180</v>
      </c>
      <c r="L53" s="456" t="s">
        <v>2104</v>
      </c>
      <c r="M53" s="457">
        <v>46028</v>
      </c>
      <c r="N53" s="457">
        <v>46042</v>
      </c>
      <c r="O53" s="457">
        <v>46042</v>
      </c>
      <c r="P53" s="453" t="s">
        <v>214</v>
      </c>
      <c r="Q53" s="483">
        <v>0</v>
      </c>
      <c r="R53" s="459">
        <v>0</v>
      </c>
      <c r="S53" s="459">
        <v>0</v>
      </c>
      <c r="T53" s="275">
        <f>SUM(mJAN[[#This Row],[PRINCIPAL]:[JUROS]])</f>
        <v>0</v>
      </c>
    </row>
    <row r="54" spans="2:20" ht="21" customHeight="1">
      <c r="B54" s="5" t="str">
        <f t="shared" si="0"/>
        <v>1/26</v>
      </c>
      <c r="C54" s="274" t="str">
        <f>VLOOKUP(mJAN[[#This Row],[CÓDIGO CONTABIL]],Contas_Gerencial[#All],3,FALSE)</f>
        <v>ENCARGOS</v>
      </c>
      <c r="D54" s="274" t="str">
        <f>VLOOKUP(mJAN[[#This Row],[DESCRIÇÃO CONTABIL]],Contas_Gerencial[[#All],[DESCRIÇÃO DA CONTA - NÃO UTILIZAR]:[Código2]],2,FALSE)</f>
        <v>20.04.001</v>
      </c>
      <c r="E54" s="464" t="s">
        <v>2659</v>
      </c>
      <c r="F54" s="464" t="s">
        <v>582</v>
      </c>
      <c r="G54" s="996" t="s">
        <v>1081</v>
      </c>
      <c r="H54" s="461" t="s">
        <v>1788</v>
      </c>
      <c r="I54" s="984">
        <v>392</v>
      </c>
      <c r="J54" s="461" t="s">
        <v>757</v>
      </c>
      <c r="K54" s="461" t="s">
        <v>2089</v>
      </c>
      <c r="L54" s="462" t="s">
        <v>2104</v>
      </c>
      <c r="M54" s="463">
        <v>46028</v>
      </c>
      <c r="N54" s="463">
        <v>46042</v>
      </c>
      <c r="O54" s="463"/>
      <c r="P54" s="461" t="s">
        <v>1</v>
      </c>
      <c r="Q54" s="985">
        <v>0</v>
      </c>
      <c r="R54" s="998">
        <v>0</v>
      </c>
      <c r="S54" s="998">
        <v>0</v>
      </c>
      <c r="T54" s="275">
        <f>SUM(mJAN[[#This Row],[PRINCIPAL]:[JUROS]])</f>
        <v>0</v>
      </c>
    </row>
    <row r="55" spans="2:20" ht="21" customHeight="1">
      <c r="B55" s="5" t="str">
        <f t="shared" si="0"/>
        <v>1/26</v>
      </c>
      <c r="C55" s="274" t="str">
        <f>VLOOKUP(mJAN[[#This Row],[CÓDIGO CONTABIL]],Contas_Gerencial[#All],3,FALSE)</f>
        <v>BENEFICIO</v>
      </c>
      <c r="D55" s="274" t="str">
        <f>VLOOKUP(mJAN[[#This Row],[DESCRIÇÃO CONTABIL]],Contas_Gerencial[[#All],[DESCRIÇÃO DA CONTA - NÃO UTILIZAR]:[Código2]],2,FALSE)</f>
        <v>20.05.006</v>
      </c>
      <c r="E55" s="480" t="s">
        <v>24</v>
      </c>
      <c r="F55" s="452" t="s">
        <v>582</v>
      </c>
      <c r="G55" s="452" t="s">
        <v>1081</v>
      </c>
      <c r="H55" s="452" t="s">
        <v>1791</v>
      </c>
      <c r="I55" s="481">
        <v>200126</v>
      </c>
      <c r="J55" s="453" t="s">
        <v>581</v>
      </c>
      <c r="K55" s="453" t="s">
        <v>2180</v>
      </c>
      <c r="L55" s="451" t="s">
        <v>2137</v>
      </c>
      <c r="M55" s="457">
        <v>46042</v>
      </c>
      <c r="N55" s="457">
        <v>46043</v>
      </c>
      <c r="O55" s="457">
        <v>46042</v>
      </c>
      <c r="P55" s="452" t="s">
        <v>214</v>
      </c>
      <c r="Q55" s="467">
        <v>1107.4999999999995</v>
      </c>
      <c r="R55" s="467">
        <v>0</v>
      </c>
      <c r="S55" s="467">
        <v>0</v>
      </c>
      <c r="T55" s="275">
        <f>SUM(mJAN[[#This Row],[PRINCIPAL]:[JUROS]])</f>
        <v>1107.4999999999995</v>
      </c>
    </row>
    <row r="56" spans="2:20" ht="21" customHeight="1">
      <c r="B56" s="5" t="str">
        <f t="shared" si="0"/>
        <v>1/26</v>
      </c>
      <c r="C56" s="274" t="str">
        <f>VLOOKUP(mJAN[[#This Row],[CÓDIGO CONTABIL]],Contas_Gerencial[#All],3,FALSE)</f>
        <v>BENEFICIO</v>
      </c>
      <c r="D56" s="274" t="str">
        <f>VLOOKUP(mJAN[[#This Row],[DESCRIÇÃO CONTABIL]],Contas_Gerencial[[#All],[DESCRIÇÃO DA CONTA - NÃO UTILIZAR]:[Código2]],2,FALSE)</f>
        <v>20.05.007</v>
      </c>
      <c r="E56" s="480" t="s">
        <v>25</v>
      </c>
      <c r="F56" s="452" t="s">
        <v>582</v>
      </c>
      <c r="G56" s="452" t="s">
        <v>1081</v>
      </c>
      <c r="H56" s="452" t="s">
        <v>1791</v>
      </c>
      <c r="I56" s="481">
        <v>200126</v>
      </c>
      <c r="J56" s="453" t="s">
        <v>581</v>
      </c>
      <c r="K56" s="453" t="s">
        <v>2180</v>
      </c>
      <c r="L56" s="451" t="s">
        <v>2137</v>
      </c>
      <c r="M56" s="457">
        <v>46042</v>
      </c>
      <c r="N56" s="457">
        <v>46043</v>
      </c>
      <c r="O56" s="457">
        <v>46042</v>
      </c>
      <c r="P56" s="452" t="s">
        <v>214</v>
      </c>
      <c r="Q56" s="467">
        <v>275</v>
      </c>
      <c r="R56" s="467">
        <v>0</v>
      </c>
      <c r="S56" s="467">
        <v>0</v>
      </c>
      <c r="T56" s="275">
        <f>SUM(mJAN[[#This Row],[PRINCIPAL]:[JUROS]])</f>
        <v>275</v>
      </c>
    </row>
    <row r="57" spans="2:20" ht="21" customHeight="1">
      <c r="B57" s="5" t="str">
        <f t="shared" si="0"/>
        <v>1/26</v>
      </c>
      <c r="C57" s="5" t="str">
        <f>VLOOKUP(mJAN[[#This Row],[CÓDIGO CONTABIL]],Contas_Gerencial[#All],3,FALSE)</f>
        <v>RECEITA SUBCONTA</v>
      </c>
      <c r="D57" s="5" t="str">
        <f>VLOOKUP(mJAN[[#This Row],[DESCRIÇÃO CONTABIL]],Contas_Gerencial[[#All],[DESCRIÇÃO DA CONTA - NÃO UTILIZAR]:[Código2]],2,FALSE)</f>
        <v>10.01.001</v>
      </c>
      <c r="E57" s="107" t="s">
        <v>90</v>
      </c>
      <c r="F57" s="107" t="s">
        <v>41</v>
      </c>
      <c r="G57" s="107" t="s">
        <v>1767</v>
      </c>
      <c r="H57" s="107" t="s">
        <v>1788</v>
      </c>
      <c r="I57" s="481">
        <v>393</v>
      </c>
      <c r="J57" s="121" t="s">
        <v>41</v>
      </c>
      <c r="K57" s="121" t="s">
        <v>1792</v>
      </c>
      <c r="L57" s="456" t="s">
        <v>2104</v>
      </c>
      <c r="M57" s="457">
        <v>46014</v>
      </c>
      <c r="N57" s="457">
        <v>46032</v>
      </c>
      <c r="O57" s="457">
        <v>46034</v>
      </c>
      <c r="P57" s="452" t="s">
        <v>214</v>
      </c>
      <c r="Q57" s="483">
        <v>38394.230000000003</v>
      </c>
      <c r="R57" s="482">
        <v>0</v>
      </c>
      <c r="S57" s="482">
        <v>0</v>
      </c>
      <c r="T57" s="1004">
        <f>SUM(mJAN[[#This Row],[PRINCIPAL]:[JUROS]])</f>
        <v>38394.230000000003</v>
      </c>
    </row>
    <row r="58" spans="2:20" ht="21" customHeight="1">
      <c r="B58" s="5" t="str">
        <f t="shared" si="0"/>
        <v>1/26</v>
      </c>
      <c r="C58" s="274" t="str">
        <f>VLOOKUP(mJAN[[#This Row],[CÓDIGO CONTABIL]],Contas_Gerencial[#All],3,FALSE)</f>
        <v>TRIBUTOS</v>
      </c>
      <c r="D58" s="274" t="str">
        <f>VLOOKUP(mJAN[[#This Row],[DESCRIÇÃO CONTABIL]],Contas_Gerencial[[#All],[DESCRIÇÃO DA CONTA - NÃO UTILIZAR]:[Código2]],2,FALSE)</f>
        <v>20.08.008</v>
      </c>
      <c r="E58" s="452" t="s">
        <v>2650</v>
      </c>
      <c r="F58" s="107" t="s">
        <v>41</v>
      </c>
      <c r="G58" s="480" t="s">
        <v>1767</v>
      </c>
      <c r="H58" s="107" t="s">
        <v>1788</v>
      </c>
      <c r="I58" s="481">
        <v>393</v>
      </c>
      <c r="J58" s="453" t="s">
        <v>378</v>
      </c>
      <c r="K58" s="453" t="s">
        <v>2087</v>
      </c>
      <c r="L58" s="456" t="s">
        <v>2104</v>
      </c>
      <c r="M58" s="457">
        <v>46014</v>
      </c>
      <c r="N58" s="457">
        <v>46042</v>
      </c>
      <c r="O58" s="457">
        <v>46042</v>
      </c>
      <c r="P58" s="453" t="s">
        <v>214</v>
      </c>
      <c r="Q58" s="482">
        <v>1785.33</v>
      </c>
      <c r="R58" s="482">
        <v>0</v>
      </c>
      <c r="S58" s="482">
        <v>0</v>
      </c>
      <c r="T58" s="275">
        <f>SUM(mJAN[[#This Row],[PRINCIPAL]:[JUROS]])</f>
        <v>1785.33</v>
      </c>
    </row>
    <row r="59" spans="2:20" ht="21" customHeight="1">
      <c r="B59" s="5" t="str">
        <f t="shared" si="0"/>
        <v>1/26</v>
      </c>
      <c r="C59" s="274" t="str">
        <f>VLOOKUP(mJAN[[#This Row],[CÓDIGO CONTABIL]],Contas_Gerencial[#All],3,FALSE)</f>
        <v>ENCARGOS</v>
      </c>
      <c r="D59" s="274" t="str">
        <f>VLOOKUP(mJAN[[#This Row],[DESCRIÇÃO CONTABIL]],Contas_Gerencial[[#All],[DESCRIÇÃO DA CONTA - NÃO UTILIZAR]:[Código2]],2,FALSE)</f>
        <v>20.04.004</v>
      </c>
      <c r="E59" s="452" t="s">
        <v>2651</v>
      </c>
      <c r="F59" s="107" t="s">
        <v>41</v>
      </c>
      <c r="G59" s="480" t="s">
        <v>1767</v>
      </c>
      <c r="H59" s="107" t="s">
        <v>1788</v>
      </c>
      <c r="I59" s="481">
        <v>393</v>
      </c>
      <c r="J59" s="453" t="s">
        <v>264</v>
      </c>
      <c r="K59" s="453" t="s">
        <v>2113</v>
      </c>
      <c r="L59" s="456" t="s">
        <v>2104</v>
      </c>
      <c r="M59" s="457">
        <v>46014</v>
      </c>
      <c r="N59" s="457">
        <v>46042</v>
      </c>
      <c r="O59" s="457">
        <v>46042</v>
      </c>
      <c r="P59" s="453" t="s">
        <v>214</v>
      </c>
      <c r="Q59" s="483">
        <v>2678.24</v>
      </c>
      <c r="R59" s="482">
        <v>0</v>
      </c>
      <c r="S59" s="482">
        <v>0</v>
      </c>
      <c r="T59" s="275">
        <f>SUM(mJAN[[#This Row],[PRINCIPAL]:[JUROS]])</f>
        <v>2678.24</v>
      </c>
    </row>
    <row r="60" spans="2:20" ht="21" customHeight="1">
      <c r="B60" s="5" t="str">
        <f t="shared" si="0"/>
        <v>1/26</v>
      </c>
      <c r="C60" s="274" t="str">
        <f>VLOOKUP(mJAN[[#This Row],[CÓDIGO CONTABIL]],Contas_Gerencial[#All],3,FALSE)</f>
        <v>TRIBUTOS</v>
      </c>
      <c r="D60" s="274" t="str">
        <f>VLOOKUP(mJAN[[#This Row],[DESCRIÇÃO CONTABIL]],Contas_Gerencial[[#All],[DESCRIÇÃO DA CONTA - NÃO UTILIZAR]:[Código2]],2,FALSE)</f>
        <v>20.08.005</v>
      </c>
      <c r="E60" s="107" t="s">
        <v>2649</v>
      </c>
      <c r="F60" s="452" t="s">
        <v>41</v>
      </c>
      <c r="G60" s="480" t="s">
        <v>1767</v>
      </c>
      <c r="H60" s="107" t="s">
        <v>1788</v>
      </c>
      <c r="I60" s="481">
        <v>393</v>
      </c>
      <c r="J60" s="453" t="s">
        <v>378</v>
      </c>
      <c r="K60" s="453" t="s">
        <v>2086</v>
      </c>
      <c r="L60" s="456" t="s">
        <v>2104</v>
      </c>
      <c r="M60" s="457">
        <v>46014</v>
      </c>
      <c r="N60" s="457">
        <v>46042</v>
      </c>
      <c r="O60" s="457">
        <v>46042</v>
      </c>
      <c r="P60" s="453" t="s">
        <v>214</v>
      </c>
      <c r="Q60" s="467">
        <v>383.94</v>
      </c>
      <c r="R60" s="467">
        <v>0</v>
      </c>
      <c r="S60" s="467">
        <v>0</v>
      </c>
      <c r="T60" s="275">
        <f>SUM(mJAN[[#This Row],[PRINCIPAL]:[JUROS]])</f>
        <v>383.94</v>
      </c>
    </row>
    <row r="61" spans="2:20" ht="21" customHeight="1">
      <c r="B61" s="5" t="str">
        <f t="shared" si="0"/>
        <v>1/26</v>
      </c>
      <c r="C61" s="274" t="str">
        <f>VLOOKUP(mJAN[[#This Row],[CÓDIGO CONTABIL]],Contas_Gerencial[#All],3,FALSE)</f>
        <v>TRIBUTOS</v>
      </c>
      <c r="D61" s="274" t="str">
        <f>VLOOKUP(mJAN[[#This Row],[DESCRIÇÃO CONTABIL]],Contas_Gerencial[[#All],[DESCRIÇÃO DA CONTA - NÃO UTILIZAR]:[Código2]],2,FALSE)</f>
        <v>20.08.004</v>
      </c>
      <c r="E61" s="452" t="s">
        <v>2648</v>
      </c>
      <c r="F61" s="107" t="s">
        <v>41</v>
      </c>
      <c r="G61" s="480" t="s">
        <v>1767</v>
      </c>
      <c r="H61" s="107" t="s">
        <v>1788</v>
      </c>
      <c r="I61" s="481">
        <v>393</v>
      </c>
      <c r="J61" s="453" t="s">
        <v>378</v>
      </c>
      <c r="K61" s="453" t="s">
        <v>2085</v>
      </c>
      <c r="L61" s="456" t="s">
        <v>2104</v>
      </c>
      <c r="M61" s="457">
        <v>46014</v>
      </c>
      <c r="N61" s="457">
        <v>46042</v>
      </c>
      <c r="O61" s="457">
        <v>46042</v>
      </c>
      <c r="P61" s="453" t="s">
        <v>214</v>
      </c>
      <c r="Q61" s="482">
        <v>1919.71</v>
      </c>
      <c r="R61" s="482">
        <v>0</v>
      </c>
      <c r="S61" s="482">
        <v>0</v>
      </c>
      <c r="T61" s="275">
        <f>SUM(mJAN[[#This Row],[PRINCIPAL]:[JUROS]])</f>
        <v>1919.71</v>
      </c>
    </row>
    <row r="62" spans="2:20" ht="21" customHeight="1">
      <c r="B62" s="5" t="str">
        <f t="shared" si="0"/>
        <v>1/26</v>
      </c>
      <c r="C62" s="274" t="str">
        <f>VLOOKUP(mJAN[[#This Row],[CÓDIGO CONTABIL]],Contas_Gerencial[#All],3,FALSE)</f>
        <v>FOLHA DE PAGAMENTO</v>
      </c>
      <c r="D62" s="274" t="str">
        <f>VLOOKUP(mJAN[[#This Row],[DESCRIÇÃO CONTABIL]],Contas_Gerencial[[#All],[DESCRIÇÃO DA CONTA - NÃO UTILIZAR]:[Código2]],2,FALSE)</f>
        <v>20.05.021</v>
      </c>
      <c r="E62" s="452" t="s">
        <v>59</v>
      </c>
      <c r="F62" s="452" t="s">
        <v>41</v>
      </c>
      <c r="G62" s="107" t="s">
        <v>1767</v>
      </c>
      <c r="H62" s="452" t="s">
        <v>1791</v>
      </c>
      <c r="I62" s="481">
        <v>393</v>
      </c>
      <c r="J62" s="453" t="s">
        <v>41</v>
      </c>
      <c r="K62" s="453" t="s">
        <v>1868</v>
      </c>
      <c r="L62" s="456" t="s">
        <v>2104</v>
      </c>
      <c r="M62" s="457">
        <v>46024</v>
      </c>
      <c r="N62" s="457">
        <v>46027</v>
      </c>
      <c r="O62" s="457">
        <v>46028</v>
      </c>
      <c r="P62" s="453" t="s">
        <v>214</v>
      </c>
      <c r="Q62" s="483">
        <v>10203.959999999999</v>
      </c>
      <c r="R62" s="459">
        <v>0</v>
      </c>
      <c r="S62" s="459">
        <v>0</v>
      </c>
      <c r="T62" s="275">
        <f>SUM(mJAN[[#This Row],[PRINCIPAL]:[JUROS]])</f>
        <v>10203.959999999999</v>
      </c>
    </row>
    <row r="63" spans="2:20" ht="21" customHeight="1">
      <c r="B63" s="5" t="str">
        <f t="shared" si="0"/>
        <v>1/26</v>
      </c>
      <c r="C63" s="274" t="str">
        <f>VLOOKUP(mJAN[[#This Row],[CÓDIGO CONTABIL]],Contas_Gerencial[#All],3,FALSE)</f>
        <v>ENCARGOS</v>
      </c>
      <c r="D63" s="274" t="str">
        <f>VLOOKUP(mJAN[[#This Row],[DESCRIÇÃO CONTABIL]],Contas_Gerencial[[#All],[DESCRIÇÃO DA CONTA - NÃO UTILIZAR]:[Código2]],2,FALSE)</f>
        <v>20.04.006</v>
      </c>
      <c r="E63" s="452" t="s">
        <v>1180</v>
      </c>
      <c r="F63" s="452" t="s">
        <v>41</v>
      </c>
      <c r="G63" s="480" t="s">
        <v>1767</v>
      </c>
      <c r="H63" s="452" t="s">
        <v>1180</v>
      </c>
      <c r="I63" s="481">
        <v>393</v>
      </c>
      <c r="J63" s="453" t="s">
        <v>384</v>
      </c>
      <c r="K63" s="452" t="s">
        <v>1180</v>
      </c>
      <c r="L63" s="456" t="s">
        <v>2104</v>
      </c>
      <c r="M63" s="457">
        <v>46028</v>
      </c>
      <c r="N63" s="457">
        <v>46042</v>
      </c>
      <c r="O63" s="457">
        <v>46042</v>
      </c>
      <c r="P63" s="453" t="s">
        <v>214</v>
      </c>
      <c r="Q63" s="483">
        <v>931.47</v>
      </c>
      <c r="R63" s="459">
        <v>0</v>
      </c>
      <c r="S63" s="459">
        <v>0</v>
      </c>
      <c r="T63" s="275">
        <f>SUM(mJAN[[#This Row],[PRINCIPAL]:[JUROS]])</f>
        <v>931.47</v>
      </c>
    </row>
    <row r="64" spans="2:20" ht="21" customHeight="1">
      <c r="B64" s="5" t="str">
        <f t="shared" si="0"/>
        <v>1/26</v>
      </c>
      <c r="C64" s="274" t="str">
        <f>VLOOKUP(mJAN[[#This Row],[CÓDIGO CONTABIL]],Contas_Gerencial[#All],3,FALSE)</f>
        <v>ENCARGOS</v>
      </c>
      <c r="D64" s="274" t="str">
        <f>VLOOKUP(mJAN[[#This Row],[DESCRIÇÃO CONTABIL]],Contas_Gerencial[[#All],[DESCRIÇÃO DA CONTA - NÃO UTILIZAR]:[Código2]],2,FALSE)</f>
        <v>20.04.002</v>
      </c>
      <c r="E64" s="464" t="s">
        <v>2660</v>
      </c>
      <c r="F64" s="983" t="s">
        <v>41</v>
      </c>
      <c r="G64" s="986" t="s">
        <v>1767</v>
      </c>
      <c r="H64" s="983" t="s">
        <v>1788</v>
      </c>
      <c r="I64" s="984">
        <v>393</v>
      </c>
      <c r="J64" s="461" t="s">
        <v>757</v>
      </c>
      <c r="K64" s="461" t="s">
        <v>2088</v>
      </c>
      <c r="L64" s="462" t="s">
        <v>2104</v>
      </c>
      <c r="M64" s="463">
        <v>46024</v>
      </c>
      <c r="N64" s="463">
        <v>46042</v>
      </c>
      <c r="O64" s="463"/>
      <c r="P64" s="461" t="s">
        <v>1</v>
      </c>
      <c r="Q64" s="985">
        <f>911.29+2503.42+675.34-130</f>
        <v>3960.05</v>
      </c>
      <c r="R64" s="987">
        <v>0</v>
      </c>
      <c r="S64" s="987">
        <v>0</v>
      </c>
      <c r="T64" s="988">
        <f>SUM(mJAN[[#This Row],[PRINCIPAL]:[JUROS]])</f>
        <v>3960.05</v>
      </c>
    </row>
    <row r="65" spans="2:20" ht="21" customHeight="1">
      <c r="B65" s="5" t="str">
        <f t="shared" si="0"/>
        <v>1/26</v>
      </c>
      <c r="C65" s="274" t="str">
        <f>VLOOKUP(mJAN[[#This Row],[CÓDIGO CONTABIL]],Contas_Gerencial[#All],3,FALSE)</f>
        <v>FOLHA DE PAGAMENTO</v>
      </c>
      <c r="D65" s="274" t="str">
        <f>VLOOKUP(mJAN[[#This Row],[DESCRIÇÃO CONTABIL]],Contas_Gerencial[[#All],[DESCRIÇÃO DA CONTA - NÃO UTILIZAR]:[Código2]],2,FALSE)</f>
        <v>20.05.021</v>
      </c>
      <c r="E65" s="452" t="s">
        <v>59</v>
      </c>
      <c r="F65" s="452" t="s">
        <v>581</v>
      </c>
      <c r="G65" s="107" t="s">
        <v>1767</v>
      </c>
      <c r="H65" s="452" t="s">
        <v>1791</v>
      </c>
      <c r="I65" s="481">
        <v>393</v>
      </c>
      <c r="J65" s="453" t="s">
        <v>581</v>
      </c>
      <c r="K65" s="453" t="s">
        <v>1790</v>
      </c>
      <c r="L65" s="456" t="s">
        <v>2104</v>
      </c>
      <c r="M65" s="457">
        <v>46028</v>
      </c>
      <c r="N65" s="457">
        <v>46028</v>
      </c>
      <c r="O65" s="457">
        <v>46028</v>
      </c>
      <c r="P65" s="453" t="s">
        <v>214</v>
      </c>
      <c r="Q65" s="483">
        <v>1816.96</v>
      </c>
      <c r="R65" s="459">
        <v>0</v>
      </c>
      <c r="S65" s="459">
        <v>0</v>
      </c>
      <c r="T65" s="275">
        <f>SUM(mJAN[[#This Row],[PRINCIPAL]:[JUROS]])</f>
        <v>1816.96</v>
      </c>
    </row>
    <row r="66" spans="2:20" ht="21" customHeight="1">
      <c r="B66" s="5" t="str">
        <f t="shared" si="0"/>
        <v>1/26</v>
      </c>
      <c r="C66" s="274" t="str">
        <f>VLOOKUP(mJAN[[#This Row],[CÓDIGO CONTABIL]],Contas_Gerencial[#All],3,FALSE)</f>
        <v>ENCARGOS</v>
      </c>
      <c r="D66" s="274" t="str">
        <f>VLOOKUP(mJAN[[#This Row],[DESCRIÇÃO CONTABIL]],Contas_Gerencial[[#All],[DESCRIÇÃO DA CONTA - NÃO UTILIZAR]:[Código2]],2,FALSE)</f>
        <v>20.04.006</v>
      </c>
      <c r="E66" s="452" t="s">
        <v>1180</v>
      </c>
      <c r="F66" s="452" t="s">
        <v>581</v>
      </c>
      <c r="G66" s="480" t="s">
        <v>1767</v>
      </c>
      <c r="H66" s="452" t="s">
        <v>1180</v>
      </c>
      <c r="I66" s="481">
        <v>393</v>
      </c>
      <c r="J66" s="453" t="s">
        <v>384</v>
      </c>
      <c r="K66" s="452" t="s">
        <v>1180</v>
      </c>
      <c r="L66" s="456" t="s">
        <v>2104</v>
      </c>
      <c r="M66" s="457">
        <v>46028</v>
      </c>
      <c r="N66" s="457">
        <v>46042</v>
      </c>
      <c r="O66" s="457">
        <v>46042</v>
      </c>
      <c r="P66" s="453" t="s">
        <v>214</v>
      </c>
      <c r="Q66" s="483">
        <v>152.01</v>
      </c>
      <c r="R66" s="459">
        <v>0</v>
      </c>
      <c r="S66" s="459">
        <v>0</v>
      </c>
      <c r="T66" s="275">
        <f>SUM(mJAN[[#This Row],[PRINCIPAL]:[JUROS]])</f>
        <v>152.01</v>
      </c>
    </row>
    <row r="67" spans="2:20" ht="21" customHeight="1">
      <c r="B67" s="5" t="str">
        <f t="shared" si="0"/>
        <v>1/26</v>
      </c>
      <c r="C67" s="274" t="str">
        <f>VLOOKUP(mJAN[[#This Row],[CÓDIGO CONTABIL]],Contas_Gerencial[#All],3,FALSE)</f>
        <v>ENCARGOS</v>
      </c>
      <c r="D67" s="274" t="str">
        <f>VLOOKUP(mJAN[[#This Row],[DESCRIÇÃO CONTABIL]],Contas_Gerencial[[#All],[DESCRIÇÃO DA CONTA - NÃO UTILIZAR]:[Código2]],2,FALSE)</f>
        <v>20.04.001</v>
      </c>
      <c r="E67" s="464" t="s">
        <v>2659</v>
      </c>
      <c r="F67" s="464" t="s">
        <v>581</v>
      </c>
      <c r="G67" s="986" t="s">
        <v>1767</v>
      </c>
      <c r="H67" s="983" t="s">
        <v>1788</v>
      </c>
      <c r="I67" s="984">
        <v>393</v>
      </c>
      <c r="J67" s="461" t="s">
        <v>757</v>
      </c>
      <c r="K67" s="461" t="s">
        <v>2089</v>
      </c>
      <c r="L67" s="462" t="s">
        <v>2104</v>
      </c>
      <c r="M67" s="463">
        <v>46028</v>
      </c>
      <c r="N67" s="463">
        <v>46042</v>
      </c>
      <c r="O67" s="463"/>
      <c r="P67" s="461" t="s">
        <v>1</v>
      </c>
      <c r="Q67" s="985">
        <f>148.24-65</f>
        <v>83.240000000000009</v>
      </c>
      <c r="R67" s="987">
        <v>0</v>
      </c>
      <c r="S67" s="987">
        <v>0</v>
      </c>
      <c r="T67" s="275">
        <f>SUM(mJAN[[#This Row],[PRINCIPAL]:[JUROS]])</f>
        <v>83.240000000000009</v>
      </c>
    </row>
    <row r="68" spans="2:20" ht="21" customHeight="1">
      <c r="B68" s="5" t="str">
        <f t="shared" si="0"/>
        <v>1/26</v>
      </c>
      <c r="C68" s="274" t="str">
        <f>VLOOKUP(mJAN[[#This Row],[CÓDIGO CONTABIL]],Contas_Gerencial[#All],3,FALSE)</f>
        <v>BENEFICIO</v>
      </c>
      <c r="D68" s="274" t="str">
        <f>VLOOKUP(mJAN[[#This Row],[DESCRIÇÃO CONTABIL]],Contas_Gerencial[[#All],[DESCRIÇÃO DA CONTA - NÃO UTILIZAR]:[Código2]],2,FALSE)</f>
        <v>20.05.006</v>
      </c>
      <c r="E68" s="480" t="s">
        <v>24</v>
      </c>
      <c r="F68" s="452" t="s">
        <v>41</v>
      </c>
      <c r="G68" s="452" t="s">
        <v>1767</v>
      </c>
      <c r="H68" s="452" t="s">
        <v>1819</v>
      </c>
      <c r="I68" s="481">
        <v>200126</v>
      </c>
      <c r="J68" s="453" t="s">
        <v>41</v>
      </c>
      <c r="K68" s="453" t="s">
        <v>2180</v>
      </c>
      <c r="L68" s="451" t="s">
        <v>2137</v>
      </c>
      <c r="M68" s="457">
        <v>46042</v>
      </c>
      <c r="N68" s="457">
        <v>46043</v>
      </c>
      <c r="O68" s="457">
        <v>46042</v>
      </c>
      <c r="P68" s="452" t="s">
        <v>214</v>
      </c>
      <c r="Q68" s="467">
        <v>4607.1999999999989</v>
      </c>
      <c r="R68" s="467">
        <v>0</v>
      </c>
      <c r="S68" s="467">
        <v>0</v>
      </c>
      <c r="T68" s="275">
        <f>SUM(mJAN[[#This Row],[PRINCIPAL]:[JUROS]])</f>
        <v>4607.1999999999989</v>
      </c>
    </row>
    <row r="69" spans="2:20" ht="21" customHeight="1">
      <c r="B69" s="5" t="str">
        <f t="shared" si="0"/>
        <v>1/26</v>
      </c>
      <c r="C69" s="274" t="str">
        <f>VLOOKUP(mJAN[[#This Row],[CÓDIGO CONTABIL]],Contas_Gerencial[#All],3,FALSE)</f>
        <v>BENEFICIO</v>
      </c>
      <c r="D69" s="274" t="str">
        <f>VLOOKUP(mJAN[[#This Row],[DESCRIÇÃO CONTABIL]],Contas_Gerencial[[#All],[DESCRIÇÃO DA CONTA - NÃO UTILIZAR]:[Código2]],2,FALSE)</f>
        <v>20.05.006</v>
      </c>
      <c r="E69" s="480" t="s">
        <v>24</v>
      </c>
      <c r="F69" s="452" t="s">
        <v>581</v>
      </c>
      <c r="G69" s="452" t="s">
        <v>1767</v>
      </c>
      <c r="H69" s="452" t="s">
        <v>1791</v>
      </c>
      <c r="I69" s="481">
        <v>200126</v>
      </c>
      <c r="J69" s="453" t="s">
        <v>581</v>
      </c>
      <c r="K69" s="453" t="s">
        <v>2182</v>
      </c>
      <c r="L69" s="451" t="s">
        <v>2137</v>
      </c>
      <c r="M69" s="457">
        <v>46042</v>
      </c>
      <c r="N69" s="457">
        <v>46043</v>
      </c>
      <c r="O69" s="457">
        <v>46042</v>
      </c>
      <c r="P69" s="452" t="s">
        <v>214</v>
      </c>
      <c r="Q69" s="467">
        <v>708.8</v>
      </c>
      <c r="R69" s="467">
        <v>0</v>
      </c>
      <c r="S69" s="467">
        <v>0</v>
      </c>
      <c r="T69" s="275">
        <f>SUM(mJAN[[#This Row],[PRINCIPAL]:[JUROS]])</f>
        <v>708.8</v>
      </c>
    </row>
    <row r="70" spans="2:20" ht="21" customHeight="1">
      <c r="B70" s="5" t="str">
        <f t="shared" si="0"/>
        <v>1/26</v>
      </c>
      <c r="C70" s="274" t="str">
        <f>VLOOKUP(mJAN[[#This Row],[CÓDIGO CONTABIL]],Contas_Gerencial[#All],3,FALSE)</f>
        <v>BENEFICIO</v>
      </c>
      <c r="D70" s="274" t="str">
        <f>VLOOKUP(mJAN[[#This Row],[DESCRIÇÃO CONTABIL]],Contas_Gerencial[[#All],[DESCRIÇÃO DA CONTA - NÃO UTILIZAR]:[Código2]],2,FALSE)</f>
        <v>20.05.007</v>
      </c>
      <c r="E70" s="480" t="s">
        <v>25</v>
      </c>
      <c r="F70" s="452" t="s">
        <v>41</v>
      </c>
      <c r="G70" s="452" t="s">
        <v>1767</v>
      </c>
      <c r="H70" s="452" t="s">
        <v>1819</v>
      </c>
      <c r="I70" s="481">
        <v>200126</v>
      </c>
      <c r="J70" s="453" t="s">
        <v>41</v>
      </c>
      <c r="K70" s="453" t="s">
        <v>2180</v>
      </c>
      <c r="L70" s="451" t="s">
        <v>2137</v>
      </c>
      <c r="M70" s="457">
        <v>46042</v>
      </c>
      <c r="N70" s="457">
        <v>46043</v>
      </c>
      <c r="O70" s="457">
        <v>46042</v>
      </c>
      <c r="P70" s="452" t="s">
        <v>214</v>
      </c>
      <c r="Q70" s="467">
        <v>1111</v>
      </c>
      <c r="R70" s="467">
        <v>0</v>
      </c>
      <c r="S70" s="467">
        <v>0</v>
      </c>
      <c r="T70" s="275">
        <f>SUM(mJAN[[#This Row],[PRINCIPAL]:[JUROS]])</f>
        <v>1111</v>
      </c>
    </row>
    <row r="71" spans="2:20" ht="21" customHeight="1">
      <c r="B71" s="5" t="str">
        <f t="shared" si="0"/>
        <v>1/26</v>
      </c>
      <c r="C71" s="274" t="str">
        <f>VLOOKUP(mJAN[[#This Row],[CÓDIGO CONTABIL]],Contas_Gerencial[#All],3,FALSE)</f>
        <v>BENEFICIO</v>
      </c>
      <c r="D71" s="274" t="str">
        <f>VLOOKUP(mJAN[[#This Row],[DESCRIÇÃO CONTABIL]],Contas_Gerencial[[#All],[DESCRIÇÃO DA CONTA - NÃO UTILIZAR]:[Código2]],2,FALSE)</f>
        <v>20.05.007</v>
      </c>
      <c r="E71" s="480" t="s">
        <v>25</v>
      </c>
      <c r="F71" s="452" t="s">
        <v>581</v>
      </c>
      <c r="G71" s="452" t="s">
        <v>1767</v>
      </c>
      <c r="H71" s="452" t="s">
        <v>1791</v>
      </c>
      <c r="I71" s="481">
        <v>200126</v>
      </c>
      <c r="J71" s="453" t="s">
        <v>581</v>
      </c>
      <c r="K71" s="453" t="s">
        <v>2182</v>
      </c>
      <c r="L71" s="451" t="s">
        <v>2137</v>
      </c>
      <c r="M71" s="457">
        <v>46042</v>
      </c>
      <c r="N71" s="457">
        <v>46043</v>
      </c>
      <c r="O71" s="457">
        <v>46042</v>
      </c>
      <c r="P71" s="452" t="s">
        <v>214</v>
      </c>
      <c r="Q71" s="467">
        <v>0</v>
      </c>
      <c r="R71" s="467">
        <v>0</v>
      </c>
      <c r="S71" s="467">
        <v>0</v>
      </c>
      <c r="T71" s="275">
        <f>SUM(mJAN[[#This Row],[PRINCIPAL]:[JUROS]])</f>
        <v>0</v>
      </c>
    </row>
    <row r="72" spans="2:20" ht="21" customHeight="1">
      <c r="B72" s="5" t="str">
        <f t="shared" si="0"/>
        <v>1/26</v>
      </c>
      <c r="C72" s="274" t="str">
        <f>VLOOKUP(mJAN[[#This Row],[CÓDIGO CONTABIL]],Contas_Gerencial[#All],3,FALSE)</f>
        <v>RECEITA SUBCONTA</v>
      </c>
      <c r="D72" s="274" t="str">
        <f>VLOOKUP(mJAN[[#This Row],[DESCRIÇÃO CONTABIL]],Contas_Gerencial[[#All],[DESCRIÇÃO DA CONTA - NÃO UTILIZAR]:[Código2]],2,FALSE)</f>
        <v>10.01.001</v>
      </c>
      <c r="E72" s="107" t="s">
        <v>90</v>
      </c>
      <c r="F72" s="107" t="s">
        <v>41</v>
      </c>
      <c r="G72" s="107" t="s">
        <v>49</v>
      </c>
      <c r="H72" s="107" t="s">
        <v>1788</v>
      </c>
      <c r="I72" s="481">
        <v>394</v>
      </c>
      <c r="J72" s="121" t="s">
        <v>41</v>
      </c>
      <c r="K72" s="121" t="s">
        <v>1792</v>
      </c>
      <c r="L72" s="456" t="s">
        <v>2104</v>
      </c>
      <c r="M72" s="457">
        <v>46014</v>
      </c>
      <c r="N72" s="457">
        <v>46027</v>
      </c>
      <c r="O72" s="457">
        <v>46035</v>
      </c>
      <c r="P72" s="452" t="s">
        <v>214</v>
      </c>
      <c r="Q72" s="483">
        <v>33130</v>
      </c>
      <c r="R72" s="482">
        <v>0</v>
      </c>
      <c r="S72" s="482">
        <v>0</v>
      </c>
      <c r="T72" s="275">
        <f>SUM(mJAN[[#This Row],[PRINCIPAL]:[JUROS]])</f>
        <v>33130</v>
      </c>
    </row>
    <row r="73" spans="2:20" ht="21" customHeight="1">
      <c r="B73" s="5" t="str">
        <f t="shared" si="0"/>
        <v>1/26</v>
      </c>
      <c r="C73" s="274" t="str">
        <f>VLOOKUP(mJAN[[#This Row],[CÓDIGO CONTABIL]],Contas_Gerencial[#All],3,FALSE)</f>
        <v>TRIBUTOS</v>
      </c>
      <c r="D73" s="274" t="str">
        <f>VLOOKUP(mJAN[[#This Row],[DESCRIÇÃO CONTABIL]],Contas_Gerencial[[#All],[DESCRIÇÃO DA CONTA - NÃO UTILIZAR]:[Código2]],2,FALSE)</f>
        <v>20.08.008</v>
      </c>
      <c r="E73" s="452" t="s">
        <v>2650</v>
      </c>
      <c r="F73" s="107" t="s">
        <v>41</v>
      </c>
      <c r="G73" s="480" t="s">
        <v>49</v>
      </c>
      <c r="H73" s="107" t="s">
        <v>1788</v>
      </c>
      <c r="I73" s="481">
        <v>394</v>
      </c>
      <c r="J73" s="453" t="s">
        <v>378</v>
      </c>
      <c r="K73" s="453" t="s">
        <v>2087</v>
      </c>
      <c r="L73" s="456" t="s">
        <v>2104</v>
      </c>
      <c r="M73" s="457">
        <v>46014</v>
      </c>
      <c r="N73" s="457">
        <v>46042</v>
      </c>
      <c r="O73" s="457">
        <v>46042</v>
      </c>
      <c r="P73" s="453" t="s">
        <v>214</v>
      </c>
      <c r="Q73" s="482">
        <v>1540.55</v>
      </c>
      <c r="R73" s="482">
        <v>0</v>
      </c>
      <c r="S73" s="482">
        <v>0</v>
      </c>
      <c r="T73" s="275">
        <f>SUM(mJAN[[#This Row],[PRINCIPAL]:[JUROS]])</f>
        <v>1540.55</v>
      </c>
    </row>
    <row r="74" spans="2:20" ht="21" customHeight="1">
      <c r="B74" s="5" t="str">
        <f t="shared" si="0"/>
        <v>1/26</v>
      </c>
      <c r="C74" s="274" t="str">
        <f>VLOOKUP(mJAN[[#This Row],[CÓDIGO CONTABIL]],Contas_Gerencial[#All],3,FALSE)</f>
        <v>ENCARGOS</v>
      </c>
      <c r="D74" s="274" t="str">
        <f>VLOOKUP(mJAN[[#This Row],[DESCRIÇÃO CONTABIL]],Contas_Gerencial[[#All],[DESCRIÇÃO DA CONTA - NÃO UTILIZAR]:[Código2]],2,FALSE)</f>
        <v>20.04.004</v>
      </c>
      <c r="E74" s="452" t="s">
        <v>2651</v>
      </c>
      <c r="F74" s="107" t="s">
        <v>41</v>
      </c>
      <c r="G74" s="480" t="s">
        <v>49</v>
      </c>
      <c r="H74" s="107" t="s">
        <v>1788</v>
      </c>
      <c r="I74" s="481">
        <v>394</v>
      </c>
      <c r="J74" s="453" t="s">
        <v>264</v>
      </c>
      <c r="K74" s="453" t="s">
        <v>2113</v>
      </c>
      <c r="L74" s="456" t="s">
        <v>2104</v>
      </c>
      <c r="M74" s="457">
        <v>46014</v>
      </c>
      <c r="N74" s="457">
        <v>46042</v>
      </c>
      <c r="O74" s="457">
        <v>46042</v>
      </c>
      <c r="P74" s="453" t="s">
        <v>214</v>
      </c>
      <c r="Q74" s="483">
        <v>1834.9</v>
      </c>
      <c r="R74" s="482">
        <v>0</v>
      </c>
      <c r="S74" s="482">
        <v>0</v>
      </c>
      <c r="T74" s="275">
        <f>SUM(mJAN[[#This Row],[PRINCIPAL]:[JUROS]])</f>
        <v>1834.9</v>
      </c>
    </row>
    <row r="75" spans="2:20" ht="21" customHeight="1">
      <c r="B75" s="5" t="str">
        <f t="shared" si="0"/>
        <v>1/26</v>
      </c>
      <c r="C75" s="274" t="str">
        <f>VLOOKUP(mJAN[[#This Row],[CÓDIGO CONTABIL]],Contas_Gerencial[#All],3,FALSE)</f>
        <v>TRIBUTOS</v>
      </c>
      <c r="D75" s="274" t="str">
        <f>VLOOKUP(mJAN[[#This Row],[DESCRIÇÃO CONTABIL]],Contas_Gerencial[[#All],[DESCRIÇÃO DA CONTA - NÃO UTILIZAR]:[Código2]],2,FALSE)</f>
        <v>20.08.005</v>
      </c>
      <c r="E75" s="107" t="s">
        <v>2649</v>
      </c>
      <c r="F75" s="452" t="s">
        <v>41</v>
      </c>
      <c r="G75" s="480" t="s">
        <v>49</v>
      </c>
      <c r="H75" s="107" t="s">
        <v>1788</v>
      </c>
      <c r="I75" s="481">
        <v>394</v>
      </c>
      <c r="J75" s="453" t="s">
        <v>378</v>
      </c>
      <c r="K75" s="453" t="s">
        <v>2086</v>
      </c>
      <c r="L75" s="456" t="s">
        <v>2104</v>
      </c>
      <c r="M75" s="457">
        <v>46014</v>
      </c>
      <c r="N75" s="457">
        <v>46042</v>
      </c>
      <c r="O75" s="457">
        <v>46042</v>
      </c>
      <c r="P75" s="453" t="s">
        <v>214</v>
      </c>
      <c r="Q75" s="467">
        <v>331.3</v>
      </c>
      <c r="R75" s="467">
        <v>0</v>
      </c>
      <c r="S75" s="467">
        <v>0</v>
      </c>
      <c r="T75" s="275">
        <f>SUM(mJAN[[#This Row],[PRINCIPAL]:[JUROS]])</f>
        <v>331.3</v>
      </c>
    </row>
    <row r="76" spans="2:20" ht="21" customHeight="1">
      <c r="B76" s="5" t="str">
        <f t="shared" ref="B76:B139" si="1">B75</f>
        <v>1/26</v>
      </c>
      <c r="C76" s="274" t="str">
        <f>VLOOKUP(mJAN[[#This Row],[CÓDIGO CONTABIL]],Contas_Gerencial[#All],3,FALSE)</f>
        <v>TRIBUTOS</v>
      </c>
      <c r="D76" s="274" t="str">
        <f>VLOOKUP(mJAN[[#This Row],[DESCRIÇÃO CONTABIL]],Contas_Gerencial[[#All],[DESCRIÇÃO DA CONTA - NÃO UTILIZAR]:[Código2]],2,FALSE)</f>
        <v>20.08.004</v>
      </c>
      <c r="E76" s="452" t="s">
        <v>2648</v>
      </c>
      <c r="F76" s="107" t="s">
        <v>41</v>
      </c>
      <c r="G76" s="480" t="s">
        <v>49</v>
      </c>
      <c r="H76" s="107" t="s">
        <v>1788</v>
      </c>
      <c r="I76" s="481">
        <v>394</v>
      </c>
      <c r="J76" s="453" t="s">
        <v>378</v>
      </c>
      <c r="K76" s="453" t="s">
        <v>2085</v>
      </c>
      <c r="L76" s="456" t="s">
        <v>2104</v>
      </c>
      <c r="M76" s="457">
        <v>46014</v>
      </c>
      <c r="N76" s="457">
        <v>46042</v>
      </c>
      <c r="O76" s="457">
        <v>46042</v>
      </c>
      <c r="P76" s="453" t="s">
        <v>214</v>
      </c>
      <c r="Q76" s="482">
        <v>1656.5</v>
      </c>
      <c r="R76" s="482">
        <v>0</v>
      </c>
      <c r="S76" s="482">
        <v>0</v>
      </c>
      <c r="T76" s="275">
        <f>SUM(mJAN[[#This Row],[PRINCIPAL]:[JUROS]])</f>
        <v>1656.5</v>
      </c>
    </row>
    <row r="77" spans="2:20" ht="21" customHeight="1">
      <c r="B77" s="5" t="str">
        <f t="shared" si="1"/>
        <v>1/26</v>
      </c>
      <c r="C77" s="274" t="str">
        <f>VLOOKUP(mJAN[[#This Row],[CÓDIGO CONTABIL]],Contas_Gerencial[#All],3,FALSE)</f>
        <v>FOLHA DE PAGAMENTO</v>
      </c>
      <c r="D77" s="274" t="str">
        <f>VLOOKUP(mJAN[[#This Row],[DESCRIÇÃO CONTABIL]],Contas_Gerencial[[#All],[DESCRIÇÃO DA CONTA - NÃO UTILIZAR]:[Código2]],2,FALSE)</f>
        <v>20.05.021</v>
      </c>
      <c r="E77" s="452" t="s">
        <v>59</v>
      </c>
      <c r="F77" s="452" t="s">
        <v>41</v>
      </c>
      <c r="G77" s="107" t="s">
        <v>49</v>
      </c>
      <c r="H77" s="452" t="s">
        <v>1791</v>
      </c>
      <c r="I77" s="481">
        <v>394</v>
      </c>
      <c r="J77" s="453" t="s">
        <v>41</v>
      </c>
      <c r="K77" s="453" t="s">
        <v>2139</v>
      </c>
      <c r="L77" s="456" t="s">
        <v>2104</v>
      </c>
      <c r="M77" s="457">
        <v>46024</v>
      </c>
      <c r="N77" s="457">
        <v>46027</v>
      </c>
      <c r="O77" s="457">
        <v>46028</v>
      </c>
      <c r="P77" s="453" t="s">
        <v>214</v>
      </c>
      <c r="Q77" s="483">
        <v>6830.23</v>
      </c>
      <c r="R77" s="459">
        <v>0</v>
      </c>
      <c r="S77" s="459">
        <v>0</v>
      </c>
      <c r="T77" s="275">
        <f>SUM(mJAN[[#This Row],[PRINCIPAL]:[JUROS]])</f>
        <v>6830.23</v>
      </c>
    </row>
    <row r="78" spans="2:20" ht="21" customHeight="1">
      <c r="B78" s="5" t="str">
        <f t="shared" si="1"/>
        <v>1/26</v>
      </c>
      <c r="C78" s="274" t="str">
        <f>VLOOKUP(mJAN[[#This Row],[CÓDIGO CONTABIL]],Contas_Gerencial[#All],3,FALSE)</f>
        <v>ENCARGOS</v>
      </c>
      <c r="D78" s="274" t="str">
        <f>VLOOKUP(mJAN[[#This Row],[DESCRIÇÃO CONTABIL]],Contas_Gerencial[[#All],[DESCRIÇÃO DA CONTA - NÃO UTILIZAR]:[Código2]],2,FALSE)</f>
        <v>20.04.006</v>
      </c>
      <c r="E78" s="452" t="s">
        <v>1180</v>
      </c>
      <c r="F78" s="452" t="s">
        <v>41</v>
      </c>
      <c r="G78" s="480" t="s">
        <v>49</v>
      </c>
      <c r="H78" s="452" t="s">
        <v>1180</v>
      </c>
      <c r="I78" s="481">
        <v>394</v>
      </c>
      <c r="J78" s="453" t="s">
        <v>384</v>
      </c>
      <c r="K78" s="452" t="s">
        <v>1180</v>
      </c>
      <c r="L78" s="456" t="s">
        <v>2104</v>
      </c>
      <c r="M78" s="457">
        <v>46028</v>
      </c>
      <c r="N78" s="457">
        <v>46042</v>
      </c>
      <c r="O78" s="457">
        <v>46042</v>
      </c>
      <c r="P78" s="453" t="s">
        <v>214</v>
      </c>
      <c r="Q78" s="483">
        <v>598.23</v>
      </c>
      <c r="R78" s="459">
        <v>0</v>
      </c>
      <c r="S78" s="459">
        <v>0</v>
      </c>
      <c r="T78" s="275">
        <f>SUM(mJAN[[#This Row],[PRINCIPAL]:[JUROS]])</f>
        <v>598.23</v>
      </c>
    </row>
    <row r="79" spans="2:20" ht="21" customHeight="1">
      <c r="B79" s="5" t="str">
        <f t="shared" si="1"/>
        <v>1/26</v>
      </c>
      <c r="C79" s="274" t="str">
        <f>VLOOKUP(mJAN[[#This Row],[CÓDIGO CONTABIL]],Contas_Gerencial[#All],3,FALSE)</f>
        <v>ENCARGOS</v>
      </c>
      <c r="D79" s="274" t="str">
        <f>VLOOKUP(mJAN[[#This Row],[DESCRIÇÃO CONTABIL]],Contas_Gerencial[[#All],[DESCRIÇÃO DA CONTA - NÃO UTILIZAR]:[Código2]],2,FALSE)</f>
        <v>20.04.002</v>
      </c>
      <c r="E79" s="464" t="s">
        <v>2660</v>
      </c>
      <c r="F79" s="983" t="s">
        <v>41</v>
      </c>
      <c r="G79" s="986" t="s">
        <v>49</v>
      </c>
      <c r="H79" s="983" t="s">
        <v>1788</v>
      </c>
      <c r="I79" s="984">
        <v>394</v>
      </c>
      <c r="J79" s="461" t="s">
        <v>757</v>
      </c>
      <c r="K79" s="461" t="s">
        <v>2088</v>
      </c>
      <c r="L79" s="462" t="s">
        <v>2104</v>
      </c>
      <c r="M79" s="463">
        <v>46024</v>
      </c>
      <c r="N79" s="463">
        <v>46042</v>
      </c>
      <c r="O79" s="463"/>
      <c r="P79" s="461" t="s">
        <v>1</v>
      </c>
      <c r="Q79" s="985">
        <f>581.93+1607.81+433.74-390</f>
        <v>2233.4799999999996</v>
      </c>
      <c r="R79" s="987">
        <v>0</v>
      </c>
      <c r="S79" s="987">
        <v>0</v>
      </c>
      <c r="T79" s="275">
        <f>SUM(mJAN[[#This Row],[PRINCIPAL]:[JUROS]])</f>
        <v>2233.4799999999996</v>
      </c>
    </row>
    <row r="80" spans="2:20" ht="21" customHeight="1">
      <c r="B80" s="5" t="str">
        <f t="shared" si="1"/>
        <v>1/26</v>
      </c>
      <c r="C80" s="274" t="str">
        <f>VLOOKUP(mJAN[[#This Row],[CÓDIGO CONTABIL]],Contas_Gerencial[#All],3,FALSE)</f>
        <v>FOLHA DE PAGAMENTO</v>
      </c>
      <c r="D80" s="274" t="str">
        <f>VLOOKUP(mJAN[[#This Row],[DESCRIÇÃO CONTABIL]],Contas_Gerencial[[#All],[DESCRIÇÃO DA CONTA - NÃO UTILIZAR]:[Código2]],2,FALSE)</f>
        <v>20.05.021</v>
      </c>
      <c r="E80" s="453" t="s">
        <v>59</v>
      </c>
      <c r="F80" s="453" t="s">
        <v>582</v>
      </c>
      <c r="G80" s="121" t="s">
        <v>49</v>
      </c>
      <c r="H80" s="453" t="s">
        <v>1791</v>
      </c>
      <c r="I80" s="481">
        <v>394</v>
      </c>
      <c r="J80" s="453" t="s">
        <v>582</v>
      </c>
      <c r="K80" s="453" t="s">
        <v>2077</v>
      </c>
      <c r="L80" s="456" t="s">
        <v>2104</v>
      </c>
      <c r="M80" s="457">
        <v>46024</v>
      </c>
      <c r="N80" s="457">
        <v>46027</v>
      </c>
      <c r="O80" s="457">
        <v>46028</v>
      </c>
      <c r="P80" s="453" t="s">
        <v>214</v>
      </c>
      <c r="Q80" s="483">
        <v>1888.42</v>
      </c>
      <c r="R80" s="459">
        <v>0</v>
      </c>
      <c r="S80" s="459">
        <v>0</v>
      </c>
      <c r="T80" s="275">
        <f>SUM(mJAN[[#This Row],[PRINCIPAL]:[JUROS]])</f>
        <v>1888.42</v>
      </c>
    </row>
    <row r="81" spans="2:20" ht="21" customHeight="1">
      <c r="B81" s="5" t="str">
        <f t="shared" si="1"/>
        <v>1/26</v>
      </c>
      <c r="C81" s="274" t="str">
        <f>VLOOKUP(mJAN[[#This Row],[CÓDIGO CONTABIL]],Contas_Gerencial[#All],3,FALSE)</f>
        <v>ENCARGOS</v>
      </c>
      <c r="D81" s="274" t="str">
        <f>VLOOKUP(mJAN[[#This Row],[DESCRIÇÃO CONTABIL]],Contas_Gerencial[[#All],[DESCRIÇÃO DA CONTA - NÃO UTILIZAR]:[Código2]],2,FALSE)</f>
        <v>20.04.006</v>
      </c>
      <c r="E81" s="453" t="s">
        <v>1180</v>
      </c>
      <c r="F81" s="453" t="s">
        <v>582</v>
      </c>
      <c r="G81" s="454" t="s">
        <v>49</v>
      </c>
      <c r="H81" s="453" t="s">
        <v>1180</v>
      </c>
      <c r="I81" s="481">
        <v>394</v>
      </c>
      <c r="J81" s="453" t="s">
        <v>384</v>
      </c>
      <c r="K81" s="452" t="s">
        <v>1180</v>
      </c>
      <c r="L81" s="456" t="s">
        <v>2104</v>
      </c>
      <c r="M81" s="457">
        <v>46028</v>
      </c>
      <c r="N81" s="457">
        <v>46042</v>
      </c>
      <c r="O81" s="457">
        <v>46042</v>
      </c>
      <c r="P81" s="453" t="s">
        <v>214</v>
      </c>
      <c r="Q81" s="483">
        <v>168.34</v>
      </c>
      <c r="R81" s="459">
        <v>0</v>
      </c>
      <c r="S81" s="459">
        <v>0</v>
      </c>
      <c r="T81" s="275">
        <f>SUM(mJAN[[#This Row],[PRINCIPAL]:[JUROS]])</f>
        <v>168.34</v>
      </c>
    </row>
    <row r="82" spans="2:20" ht="21" customHeight="1">
      <c r="B82" s="5" t="str">
        <f t="shared" si="1"/>
        <v>1/26</v>
      </c>
      <c r="C82" s="274" t="str">
        <f>VLOOKUP(mJAN[[#This Row],[CÓDIGO CONTABIL]],Contas_Gerencial[#All],3,FALSE)</f>
        <v>ENCARGOS</v>
      </c>
      <c r="D82" s="274" t="str">
        <f>VLOOKUP(mJAN[[#This Row],[DESCRIÇÃO CONTABIL]],Contas_Gerencial[[#All],[DESCRIÇÃO DA CONTA - NÃO UTILIZAR]:[Código2]],2,FALSE)</f>
        <v>20.04.001</v>
      </c>
      <c r="E82" s="464" t="s">
        <v>2659</v>
      </c>
      <c r="F82" s="461" t="s">
        <v>582</v>
      </c>
      <c r="G82" s="996" t="s">
        <v>49</v>
      </c>
      <c r="H82" s="992" t="s">
        <v>1788</v>
      </c>
      <c r="I82" s="984">
        <v>394</v>
      </c>
      <c r="J82" s="461" t="s">
        <v>757</v>
      </c>
      <c r="K82" s="461" t="s">
        <v>2089</v>
      </c>
      <c r="L82" s="462" t="s">
        <v>2104</v>
      </c>
      <c r="M82" s="463">
        <v>46024</v>
      </c>
      <c r="N82" s="463">
        <v>46042</v>
      </c>
      <c r="O82" s="463"/>
      <c r="P82" s="461" t="s">
        <v>1</v>
      </c>
      <c r="Q82" s="985">
        <v>166.61</v>
      </c>
      <c r="R82" s="987">
        <v>0</v>
      </c>
      <c r="S82" s="987">
        <v>0</v>
      </c>
      <c r="T82" s="275">
        <f>SUM(mJAN[[#This Row],[PRINCIPAL]:[JUROS]])</f>
        <v>166.61</v>
      </c>
    </row>
    <row r="83" spans="2:20" ht="21" customHeight="1">
      <c r="B83" s="5" t="str">
        <f t="shared" si="1"/>
        <v>1/26</v>
      </c>
      <c r="C83" s="274" t="str">
        <f>VLOOKUP(mJAN[[#This Row],[CÓDIGO CONTABIL]],Contas_Gerencial[#All],3,FALSE)</f>
        <v>FOLHA DE PAGAMENTO</v>
      </c>
      <c r="D83" s="274" t="str">
        <f>VLOOKUP(mJAN[[#This Row],[DESCRIÇÃO CONTABIL]],Contas_Gerencial[[#All],[DESCRIÇÃO DA CONTA - NÃO UTILIZAR]:[Código2]],2,FALSE)</f>
        <v>20.05.021</v>
      </c>
      <c r="E83" s="453" t="s">
        <v>59</v>
      </c>
      <c r="F83" s="453" t="s">
        <v>581</v>
      </c>
      <c r="G83" s="121" t="s">
        <v>49</v>
      </c>
      <c r="H83" s="453" t="s">
        <v>1791</v>
      </c>
      <c r="I83" s="481">
        <v>394</v>
      </c>
      <c r="J83" s="453" t="s">
        <v>581</v>
      </c>
      <c r="K83" s="453" t="s">
        <v>2092</v>
      </c>
      <c r="L83" s="456" t="s">
        <v>2104</v>
      </c>
      <c r="M83" s="457">
        <v>46028</v>
      </c>
      <c r="N83" s="457">
        <v>46028</v>
      </c>
      <c r="O83" s="457">
        <v>46028</v>
      </c>
      <c r="P83" s="453" t="s">
        <v>214</v>
      </c>
      <c r="Q83" s="483">
        <v>1898.9</v>
      </c>
      <c r="R83" s="459">
        <v>0</v>
      </c>
      <c r="S83" s="459">
        <v>0</v>
      </c>
      <c r="T83" s="275">
        <f>SUM(mJAN[[#This Row],[PRINCIPAL]:[JUROS]])</f>
        <v>1898.9</v>
      </c>
    </row>
    <row r="84" spans="2:20" ht="21" customHeight="1">
      <c r="B84" s="5" t="str">
        <f t="shared" si="1"/>
        <v>1/26</v>
      </c>
      <c r="C84" s="274" t="str">
        <f>VLOOKUP(mJAN[[#This Row],[CÓDIGO CONTABIL]],Contas_Gerencial[#All],3,FALSE)</f>
        <v>ENCARGOS</v>
      </c>
      <c r="D84" s="274" t="str">
        <f>VLOOKUP(mJAN[[#This Row],[DESCRIÇÃO CONTABIL]],Contas_Gerencial[[#All],[DESCRIÇÃO DA CONTA - NÃO UTILIZAR]:[Código2]],2,FALSE)</f>
        <v>20.04.006</v>
      </c>
      <c r="E84" s="453" t="s">
        <v>1180</v>
      </c>
      <c r="F84" s="453" t="s">
        <v>581</v>
      </c>
      <c r="G84" s="454" t="s">
        <v>49</v>
      </c>
      <c r="H84" s="453" t="s">
        <v>1180</v>
      </c>
      <c r="I84" s="481">
        <v>394</v>
      </c>
      <c r="J84" s="453" t="s">
        <v>384</v>
      </c>
      <c r="K84" s="452" t="s">
        <v>1180</v>
      </c>
      <c r="L84" s="456" t="s">
        <v>2104</v>
      </c>
      <c r="M84" s="457">
        <v>46028</v>
      </c>
      <c r="N84" s="457">
        <v>46042</v>
      </c>
      <c r="O84" s="457">
        <v>46042</v>
      </c>
      <c r="P84" s="453" t="s">
        <v>214</v>
      </c>
      <c r="Q84" s="483">
        <v>174.95</v>
      </c>
      <c r="R84" s="459">
        <v>0</v>
      </c>
      <c r="S84" s="459">
        <v>0</v>
      </c>
      <c r="T84" s="275">
        <f>SUM(mJAN[[#This Row],[PRINCIPAL]:[JUROS]])</f>
        <v>174.95</v>
      </c>
    </row>
    <row r="85" spans="2:20" ht="21" customHeight="1">
      <c r="B85" s="5" t="str">
        <f t="shared" si="1"/>
        <v>1/26</v>
      </c>
      <c r="C85" s="274" t="str">
        <f>VLOOKUP(mJAN[[#This Row],[CÓDIGO CONTABIL]],Contas_Gerencial[#All],3,FALSE)</f>
        <v>ENCARGOS</v>
      </c>
      <c r="D85" s="274" t="str">
        <f>VLOOKUP(mJAN[[#This Row],[DESCRIÇÃO CONTABIL]],Contas_Gerencial[[#All],[DESCRIÇÃO DA CONTA - NÃO UTILIZAR]:[Código2]],2,FALSE)</f>
        <v>20.04.001</v>
      </c>
      <c r="E85" s="464" t="s">
        <v>2659</v>
      </c>
      <c r="F85" s="461" t="s">
        <v>581</v>
      </c>
      <c r="G85" s="996" t="s">
        <v>49</v>
      </c>
      <c r="H85" s="992" t="s">
        <v>1788</v>
      </c>
      <c r="I85" s="984">
        <v>394</v>
      </c>
      <c r="J85" s="461" t="s">
        <v>757</v>
      </c>
      <c r="K85" s="461" t="s">
        <v>2089</v>
      </c>
      <c r="L85" s="462" t="s">
        <v>2104</v>
      </c>
      <c r="M85" s="463">
        <v>46028</v>
      </c>
      <c r="N85" s="463">
        <v>46042</v>
      </c>
      <c r="O85" s="463"/>
      <c r="P85" s="461" t="s">
        <v>1</v>
      </c>
      <c r="Q85" s="985">
        <v>174.05</v>
      </c>
      <c r="R85" s="987">
        <v>0</v>
      </c>
      <c r="S85" s="987">
        <v>0</v>
      </c>
      <c r="T85" s="275">
        <f>SUM(mJAN[[#This Row],[PRINCIPAL]:[JUROS]])</f>
        <v>174.05</v>
      </c>
    </row>
    <row r="86" spans="2:20" ht="21" customHeight="1">
      <c r="B86" s="5" t="str">
        <f t="shared" si="1"/>
        <v>1/26</v>
      </c>
      <c r="C86" s="274" t="str">
        <f>VLOOKUP(mJAN[[#This Row],[CÓDIGO CONTABIL]],Contas_Gerencial[#All],3,FALSE)</f>
        <v>BENEFICIO</v>
      </c>
      <c r="D86" s="274" t="str">
        <f>VLOOKUP(mJAN[[#This Row],[DESCRIÇÃO CONTABIL]],Contas_Gerencial[[#All],[DESCRIÇÃO DA CONTA - NÃO UTILIZAR]:[Código2]],2,FALSE)</f>
        <v>20.05.006</v>
      </c>
      <c r="E86" s="480" t="s">
        <v>24</v>
      </c>
      <c r="F86" s="452" t="s">
        <v>41</v>
      </c>
      <c r="G86" s="452" t="s">
        <v>49</v>
      </c>
      <c r="H86" s="452" t="s">
        <v>1791</v>
      </c>
      <c r="I86" s="481">
        <v>200126</v>
      </c>
      <c r="J86" s="453" t="s">
        <v>41</v>
      </c>
      <c r="K86" s="453" t="s">
        <v>2180</v>
      </c>
      <c r="L86" s="451" t="s">
        <v>2137</v>
      </c>
      <c r="M86" s="457">
        <v>46042</v>
      </c>
      <c r="N86" s="457">
        <v>46043</v>
      </c>
      <c r="O86" s="457">
        <v>46042</v>
      </c>
      <c r="P86" s="452" t="s">
        <v>214</v>
      </c>
      <c r="Q86" s="467">
        <v>3676.8999999999992</v>
      </c>
      <c r="R86" s="467">
        <v>0</v>
      </c>
      <c r="S86" s="467">
        <v>0</v>
      </c>
      <c r="T86" s="275">
        <f>SUM(mJAN[[#This Row],[PRINCIPAL]:[JUROS]])</f>
        <v>3676.8999999999992</v>
      </c>
    </row>
    <row r="87" spans="2:20" ht="21" customHeight="1">
      <c r="B87" s="5" t="str">
        <f t="shared" si="1"/>
        <v>1/26</v>
      </c>
      <c r="C87" s="274" t="str">
        <f>VLOOKUP(mJAN[[#This Row],[CÓDIGO CONTABIL]],Contas_Gerencial[#All],3,FALSE)</f>
        <v>BENEFICIO</v>
      </c>
      <c r="D87" s="274" t="str">
        <f>VLOOKUP(mJAN[[#This Row],[DESCRIÇÃO CONTABIL]],Contas_Gerencial[[#All],[DESCRIÇÃO DA CONTA - NÃO UTILIZAR]:[Código2]],2,FALSE)</f>
        <v>20.05.006</v>
      </c>
      <c r="E87" s="480" t="s">
        <v>24</v>
      </c>
      <c r="F87" s="452" t="s">
        <v>582</v>
      </c>
      <c r="G87" s="452" t="s">
        <v>49</v>
      </c>
      <c r="H87" s="452" t="s">
        <v>1791</v>
      </c>
      <c r="I87" s="481">
        <v>200126</v>
      </c>
      <c r="J87" s="453" t="s">
        <v>582</v>
      </c>
      <c r="K87" s="453" t="s">
        <v>2181</v>
      </c>
      <c r="L87" s="451" t="s">
        <v>2137</v>
      </c>
      <c r="M87" s="457">
        <v>46042</v>
      </c>
      <c r="N87" s="457">
        <v>46043</v>
      </c>
      <c r="O87" s="457">
        <v>46042</v>
      </c>
      <c r="P87" s="452" t="s">
        <v>214</v>
      </c>
      <c r="Q87" s="467">
        <v>664.49999999999989</v>
      </c>
      <c r="R87" s="467">
        <v>0</v>
      </c>
      <c r="S87" s="467">
        <v>0</v>
      </c>
      <c r="T87" s="275">
        <f>SUM(mJAN[[#This Row],[PRINCIPAL]:[JUROS]])</f>
        <v>664.49999999999989</v>
      </c>
    </row>
    <row r="88" spans="2:20" ht="21" customHeight="1">
      <c r="B88" s="5" t="str">
        <f t="shared" si="1"/>
        <v>1/26</v>
      </c>
      <c r="C88" s="274" t="str">
        <f>VLOOKUP(mJAN[[#This Row],[CÓDIGO CONTABIL]],Contas_Gerencial[#All],3,FALSE)</f>
        <v>BENEFICIO</v>
      </c>
      <c r="D88" s="274" t="str">
        <f>VLOOKUP(mJAN[[#This Row],[DESCRIÇÃO CONTABIL]],Contas_Gerencial[[#All],[DESCRIÇÃO DA CONTA - NÃO UTILIZAR]:[Código2]],2,FALSE)</f>
        <v>20.05.006</v>
      </c>
      <c r="E88" s="480" t="s">
        <v>24</v>
      </c>
      <c r="F88" s="452" t="s">
        <v>581</v>
      </c>
      <c r="G88" s="452" t="s">
        <v>49</v>
      </c>
      <c r="H88" s="452" t="s">
        <v>1791</v>
      </c>
      <c r="I88" s="481">
        <v>200126</v>
      </c>
      <c r="J88" s="453" t="s">
        <v>581</v>
      </c>
      <c r="K88" s="453" t="s">
        <v>2183</v>
      </c>
      <c r="L88" s="451" t="s">
        <v>2137</v>
      </c>
      <c r="M88" s="457">
        <v>46042</v>
      </c>
      <c r="N88" s="457">
        <v>46043</v>
      </c>
      <c r="O88" s="457">
        <v>46042</v>
      </c>
      <c r="P88" s="452" t="s">
        <v>214</v>
      </c>
      <c r="Q88" s="467">
        <v>708.8</v>
      </c>
      <c r="R88" s="467">
        <v>0</v>
      </c>
      <c r="S88" s="467">
        <v>0</v>
      </c>
      <c r="T88" s="275">
        <f>SUM(mJAN[[#This Row],[PRINCIPAL]:[JUROS]])</f>
        <v>708.8</v>
      </c>
    </row>
    <row r="89" spans="2:20" ht="21" customHeight="1">
      <c r="B89" s="5" t="str">
        <f t="shared" si="1"/>
        <v>1/26</v>
      </c>
      <c r="C89" s="274" t="str">
        <f>VLOOKUP(mJAN[[#This Row],[CÓDIGO CONTABIL]],Contas_Gerencial[#All],3,FALSE)</f>
        <v>BENEFICIO</v>
      </c>
      <c r="D89" s="274" t="str">
        <f>VLOOKUP(mJAN[[#This Row],[DESCRIÇÃO CONTABIL]],Contas_Gerencial[[#All],[DESCRIÇÃO DA CONTA - NÃO UTILIZAR]:[Código2]],2,FALSE)</f>
        <v>20.05.007</v>
      </c>
      <c r="E89" s="480" t="s">
        <v>25</v>
      </c>
      <c r="F89" s="452" t="s">
        <v>41</v>
      </c>
      <c r="G89" s="452" t="s">
        <v>49</v>
      </c>
      <c r="H89" s="452" t="s">
        <v>1791</v>
      </c>
      <c r="I89" s="481">
        <v>200126</v>
      </c>
      <c r="J89" s="453" t="s">
        <v>41</v>
      </c>
      <c r="K89" s="453" t="s">
        <v>2180</v>
      </c>
      <c r="L89" s="451" t="s">
        <v>2137</v>
      </c>
      <c r="M89" s="457">
        <v>46042</v>
      </c>
      <c r="N89" s="457">
        <v>46043</v>
      </c>
      <c r="O89" s="457">
        <v>46042</v>
      </c>
      <c r="P89" s="452" t="s">
        <v>214</v>
      </c>
      <c r="Q89" s="467">
        <v>1034</v>
      </c>
      <c r="R89" s="467">
        <v>0</v>
      </c>
      <c r="S89" s="467">
        <v>0</v>
      </c>
      <c r="T89" s="275">
        <f>SUM(mJAN[[#This Row],[PRINCIPAL]:[JUROS]])</f>
        <v>1034</v>
      </c>
    </row>
    <row r="90" spans="2:20" ht="21" customHeight="1">
      <c r="B90" s="5" t="str">
        <f t="shared" si="1"/>
        <v>1/26</v>
      </c>
      <c r="C90" s="274" t="str">
        <f>VLOOKUP(mJAN[[#This Row],[CÓDIGO CONTABIL]],Contas_Gerencial[#All],3,FALSE)</f>
        <v>BENEFICIO</v>
      </c>
      <c r="D90" s="274" t="str">
        <f>VLOOKUP(mJAN[[#This Row],[DESCRIÇÃO CONTABIL]],Contas_Gerencial[[#All],[DESCRIÇÃO DA CONTA - NÃO UTILIZAR]:[Código2]],2,FALSE)</f>
        <v>20.05.007</v>
      </c>
      <c r="E90" s="480" t="s">
        <v>25</v>
      </c>
      <c r="F90" s="452" t="s">
        <v>582</v>
      </c>
      <c r="G90" s="452" t="s">
        <v>49</v>
      </c>
      <c r="H90" s="452" t="s">
        <v>1791</v>
      </c>
      <c r="I90" s="481">
        <v>200126</v>
      </c>
      <c r="J90" s="453" t="s">
        <v>582</v>
      </c>
      <c r="K90" s="453" t="s">
        <v>2181</v>
      </c>
      <c r="L90" s="451" t="s">
        <v>2137</v>
      </c>
      <c r="M90" s="457">
        <v>46042</v>
      </c>
      <c r="N90" s="457">
        <v>46043</v>
      </c>
      <c r="O90" s="457">
        <v>46042</v>
      </c>
      <c r="P90" s="452" t="s">
        <v>214</v>
      </c>
      <c r="Q90" s="467">
        <v>154</v>
      </c>
      <c r="R90" s="467">
        <v>0</v>
      </c>
      <c r="S90" s="467">
        <v>0</v>
      </c>
      <c r="T90" s="275">
        <f>SUM(mJAN[[#This Row],[PRINCIPAL]:[JUROS]])</f>
        <v>154</v>
      </c>
    </row>
    <row r="91" spans="2:20" ht="21" customHeight="1">
      <c r="B91" s="5" t="str">
        <f t="shared" si="1"/>
        <v>1/26</v>
      </c>
      <c r="C91" s="274" t="str">
        <f>VLOOKUP(mJAN[[#This Row],[CÓDIGO CONTABIL]],Contas_Gerencial[#All],3,FALSE)</f>
        <v>BENEFICIO</v>
      </c>
      <c r="D91" s="274" t="str">
        <f>VLOOKUP(mJAN[[#This Row],[DESCRIÇÃO CONTABIL]],Contas_Gerencial[[#All],[DESCRIÇÃO DA CONTA - NÃO UTILIZAR]:[Código2]],2,FALSE)</f>
        <v>20.05.007</v>
      </c>
      <c r="E91" s="480" t="s">
        <v>25</v>
      </c>
      <c r="F91" s="452" t="s">
        <v>581</v>
      </c>
      <c r="G91" s="452" t="s">
        <v>49</v>
      </c>
      <c r="H91" s="452" t="s">
        <v>1791</v>
      </c>
      <c r="I91" s="481">
        <v>200126</v>
      </c>
      <c r="J91" s="453" t="s">
        <v>581</v>
      </c>
      <c r="K91" s="453" t="s">
        <v>2183</v>
      </c>
      <c r="L91" s="451" t="s">
        <v>2137</v>
      </c>
      <c r="M91" s="457">
        <v>46042</v>
      </c>
      <c r="N91" s="457">
        <v>46043</v>
      </c>
      <c r="O91" s="457">
        <v>46042</v>
      </c>
      <c r="P91" s="452" t="s">
        <v>214</v>
      </c>
      <c r="Q91" s="467">
        <v>114</v>
      </c>
      <c r="R91" s="467">
        <v>0</v>
      </c>
      <c r="S91" s="467">
        <v>0</v>
      </c>
      <c r="T91" s="275">
        <f>SUM(mJAN[[#This Row],[PRINCIPAL]:[JUROS]])</f>
        <v>114</v>
      </c>
    </row>
    <row r="92" spans="2:20" ht="21" customHeight="1">
      <c r="B92" s="5" t="str">
        <f t="shared" si="1"/>
        <v>1/26</v>
      </c>
      <c r="C92" s="5" t="str">
        <f>VLOOKUP(mJAN[[#This Row],[CÓDIGO CONTABIL]],Contas_Gerencial[#All],3,FALSE)</f>
        <v>RECEITA SUBCONTA</v>
      </c>
      <c r="D92" s="5" t="str">
        <f>VLOOKUP(mJAN[[#This Row],[DESCRIÇÃO CONTABIL]],Contas_Gerencial[[#All],[DESCRIÇÃO DA CONTA - NÃO UTILIZAR]:[Código2]],2,FALSE)</f>
        <v>10.01.001</v>
      </c>
      <c r="E92" s="452" t="s">
        <v>90</v>
      </c>
      <c r="F92" s="452" t="s">
        <v>582</v>
      </c>
      <c r="G92" s="480" t="s">
        <v>653</v>
      </c>
      <c r="H92" s="452" t="s">
        <v>1788</v>
      </c>
      <c r="I92" s="481">
        <v>155</v>
      </c>
      <c r="J92" s="453" t="s">
        <v>582</v>
      </c>
      <c r="K92" s="453" t="s">
        <v>1792</v>
      </c>
      <c r="L92" s="456" t="s">
        <v>2104</v>
      </c>
      <c r="M92" s="457">
        <v>46014</v>
      </c>
      <c r="N92" s="457">
        <v>46037</v>
      </c>
      <c r="O92" s="457">
        <v>46036</v>
      </c>
      <c r="P92" s="452" t="s">
        <v>214</v>
      </c>
      <c r="Q92" s="1334">
        <v>33255</v>
      </c>
      <c r="R92" s="459">
        <v>0</v>
      </c>
      <c r="S92" s="459">
        <v>0</v>
      </c>
      <c r="T92" s="1004">
        <f>SUM(mJAN[[#This Row],[PRINCIPAL]:[JUROS]])</f>
        <v>33255</v>
      </c>
    </row>
    <row r="93" spans="2:20" ht="21" customHeight="1">
      <c r="B93" s="5" t="str">
        <f t="shared" si="1"/>
        <v>1/26</v>
      </c>
      <c r="C93" s="274" t="str">
        <f>VLOOKUP(mJAN[[#This Row],[CÓDIGO CONTABIL]],Contas_Gerencial[#All],3,FALSE)</f>
        <v>ENCARGOS</v>
      </c>
      <c r="D93" s="274" t="str">
        <f>VLOOKUP(mJAN[[#This Row],[DESCRIÇÃO CONTABIL]],Contas_Gerencial[[#All],[DESCRIÇÃO DA CONTA - NÃO UTILIZAR]:[Código2]],2,FALSE)</f>
        <v>20.04.004</v>
      </c>
      <c r="E93" s="452" t="s">
        <v>2651</v>
      </c>
      <c r="F93" s="452" t="s">
        <v>582</v>
      </c>
      <c r="G93" s="480" t="s">
        <v>653</v>
      </c>
      <c r="H93" s="452" t="s">
        <v>1788</v>
      </c>
      <c r="I93" s="481">
        <v>155</v>
      </c>
      <c r="J93" s="453" t="s">
        <v>264</v>
      </c>
      <c r="K93" s="453" t="s">
        <v>2113</v>
      </c>
      <c r="L93" s="456" t="s">
        <v>2104</v>
      </c>
      <c r="M93" s="457">
        <v>46014</v>
      </c>
      <c r="N93" s="457">
        <v>46042</v>
      </c>
      <c r="O93" s="457">
        <v>46042</v>
      </c>
      <c r="P93" s="453" t="s">
        <v>214</v>
      </c>
      <c r="Q93" s="482">
        <v>1212.76</v>
      </c>
      <c r="R93" s="459">
        <v>0</v>
      </c>
      <c r="S93" s="459">
        <v>0</v>
      </c>
      <c r="T93" s="275">
        <f>SUM(mJAN[[#This Row],[PRINCIPAL]:[JUROS]])</f>
        <v>1212.76</v>
      </c>
    </row>
    <row r="94" spans="2:20" ht="21" customHeight="1">
      <c r="B94" s="5" t="str">
        <f t="shared" si="1"/>
        <v>1/26</v>
      </c>
      <c r="C94" s="274" t="str">
        <f>VLOOKUP(mJAN[[#This Row],[CÓDIGO CONTABIL]],Contas_Gerencial[#All],3,FALSE)</f>
        <v>TRIBUTOS</v>
      </c>
      <c r="D94" s="274" t="str">
        <f>VLOOKUP(mJAN[[#This Row],[DESCRIÇÃO CONTABIL]],Contas_Gerencial[[#All],[DESCRIÇÃO DA CONTA - NÃO UTILIZAR]:[Código2]],2,FALSE)</f>
        <v>20.08.004</v>
      </c>
      <c r="E94" s="452" t="s">
        <v>2648</v>
      </c>
      <c r="F94" s="452" t="s">
        <v>582</v>
      </c>
      <c r="G94" s="480" t="s">
        <v>653</v>
      </c>
      <c r="H94" s="452" t="s">
        <v>1788</v>
      </c>
      <c r="I94" s="481">
        <v>155</v>
      </c>
      <c r="J94" s="453" t="s">
        <v>654</v>
      </c>
      <c r="K94" s="453" t="s">
        <v>2114</v>
      </c>
      <c r="L94" s="456" t="s">
        <v>2104</v>
      </c>
      <c r="M94" s="457">
        <v>46014</v>
      </c>
      <c r="N94" s="457">
        <v>46042</v>
      </c>
      <c r="O94" s="457">
        <v>46042</v>
      </c>
      <c r="P94" s="453" t="s">
        <v>214</v>
      </c>
      <c r="Q94" s="458">
        <v>756.59</v>
      </c>
      <c r="R94" s="459">
        <v>0</v>
      </c>
      <c r="S94" s="459">
        <v>0</v>
      </c>
      <c r="T94" s="275">
        <f>SUM(mJAN[[#This Row],[PRINCIPAL]:[JUROS]])</f>
        <v>756.59</v>
      </c>
    </row>
    <row r="95" spans="2:20" ht="21" customHeight="1">
      <c r="B95" s="5" t="str">
        <f t="shared" si="1"/>
        <v>1/26</v>
      </c>
      <c r="C95" s="274" t="str">
        <f>VLOOKUP(mJAN[[#This Row],[CÓDIGO CONTABIL]],Contas_Gerencial[#All],3,FALSE)</f>
        <v>TRIBUTOS</v>
      </c>
      <c r="D95" s="274" t="str">
        <f>VLOOKUP(mJAN[[#This Row],[DESCRIÇÃO CONTABIL]],Contas_Gerencial[[#All],[DESCRIÇÃO DA CONTA - NÃO UTILIZAR]:[Código2]],2,FALSE)</f>
        <v>20.08.001</v>
      </c>
      <c r="E95" s="464" t="s">
        <v>2112</v>
      </c>
      <c r="F95" s="464" t="s">
        <v>582</v>
      </c>
      <c r="G95" s="986" t="s">
        <v>653</v>
      </c>
      <c r="H95" s="464" t="s">
        <v>1788</v>
      </c>
      <c r="I95" s="984">
        <v>155</v>
      </c>
      <c r="J95" s="461" t="s">
        <v>654</v>
      </c>
      <c r="K95" s="461" t="s">
        <v>1907</v>
      </c>
      <c r="L95" s="462" t="s">
        <v>2104</v>
      </c>
      <c r="M95" s="463">
        <v>46031</v>
      </c>
      <c r="N95" s="463">
        <v>46042</v>
      </c>
      <c r="O95" s="463"/>
      <c r="P95" s="461" t="s">
        <v>1</v>
      </c>
      <c r="Q95" s="993">
        <v>0</v>
      </c>
      <c r="R95" s="465">
        <v>0</v>
      </c>
      <c r="S95" s="465">
        <v>0</v>
      </c>
      <c r="T95" s="275">
        <f>SUM(mJAN[[#This Row],[PRINCIPAL]:[JUROS]])</f>
        <v>0</v>
      </c>
    </row>
    <row r="96" spans="2:20" ht="21" customHeight="1">
      <c r="B96" s="5" t="str">
        <f t="shared" si="1"/>
        <v>1/26</v>
      </c>
      <c r="C96" s="274" t="str">
        <f>VLOOKUP(mJAN[[#This Row],[CÓDIGO CONTABIL]],Contas_Gerencial[#All],3,FALSE)</f>
        <v>TRIBUTOS</v>
      </c>
      <c r="D96" s="274" t="str">
        <f>VLOOKUP(mJAN[[#This Row],[DESCRIÇÃO CONTABIL]],Contas_Gerencial[[#All],[DESCRIÇÃO DA CONTA - NÃO UTILIZAR]:[Código2]],2,FALSE)</f>
        <v>20.08.002</v>
      </c>
      <c r="E96" s="464" t="s">
        <v>589</v>
      </c>
      <c r="F96" s="464" t="s">
        <v>582</v>
      </c>
      <c r="G96" s="986" t="s">
        <v>653</v>
      </c>
      <c r="H96" s="464" t="s">
        <v>1788</v>
      </c>
      <c r="I96" s="984">
        <v>155</v>
      </c>
      <c r="J96" s="461" t="s">
        <v>654</v>
      </c>
      <c r="K96" s="461" t="s">
        <v>1907</v>
      </c>
      <c r="L96" s="462" t="s">
        <v>2104</v>
      </c>
      <c r="M96" s="463">
        <v>46031</v>
      </c>
      <c r="N96" s="463">
        <v>46042</v>
      </c>
      <c r="O96" s="463"/>
      <c r="P96" s="461" t="s">
        <v>1</v>
      </c>
      <c r="Q96" s="985">
        <v>1129.5668800879623</v>
      </c>
      <c r="R96" s="465">
        <v>0</v>
      </c>
      <c r="S96" s="465">
        <v>0</v>
      </c>
      <c r="T96" s="275">
        <f>SUM(mJAN[[#This Row],[PRINCIPAL]:[JUROS]])</f>
        <v>1129.5668800879623</v>
      </c>
    </row>
    <row r="97" spans="2:20" ht="21" customHeight="1">
      <c r="B97" s="5" t="str">
        <f t="shared" si="1"/>
        <v>1/26</v>
      </c>
      <c r="C97" s="274" t="str">
        <f>VLOOKUP(mJAN[[#This Row],[CÓDIGO CONTABIL]],Contas_Gerencial[#All],3,FALSE)</f>
        <v>FOLHA DE PAGAMENTO</v>
      </c>
      <c r="D97" s="274" t="str">
        <f>VLOOKUP(mJAN[[#This Row],[DESCRIÇÃO CONTABIL]],Contas_Gerencial[[#All],[DESCRIÇÃO DA CONTA - NÃO UTILIZAR]:[Código2]],2,FALSE)</f>
        <v>20.05.021</v>
      </c>
      <c r="E97" s="452" t="s">
        <v>59</v>
      </c>
      <c r="F97" s="453" t="s">
        <v>582</v>
      </c>
      <c r="G97" s="454" t="s">
        <v>653</v>
      </c>
      <c r="H97" s="452" t="s">
        <v>1791</v>
      </c>
      <c r="I97" s="481">
        <v>155</v>
      </c>
      <c r="J97" s="453" t="s">
        <v>582</v>
      </c>
      <c r="K97" s="452" t="s">
        <v>1794</v>
      </c>
      <c r="L97" s="456" t="s">
        <v>2104</v>
      </c>
      <c r="M97" s="457">
        <v>46024</v>
      </c>
      <c r="N97" s="457">
        <v>46027</v>
      </c>
      <c r="O97" s="457">
        <v>46028</v>
      </c>
      <c r="P97" s="453" t="s">
        <v>214</v>
      </c>
      <c r="Q97" s="458">
        <v>5431.49</v>
      </c>
      <c r="R97" s="459">
        <v>0</v>
      </c>
      <c r="S97" s="459">
        <v>0</v>
      </c>
      <c r="T97" s="275">
        <f>SUM(mJAN[[#This Row],[PRINCIPAL]:[JUROS]])</f>
        <v>5431.49</v>
      </c>
    </row>
    <row r="98" spans="2:20" ht="21" customHeight="1">
      <c r="B98" s="5" t="str">
        <f t="shared" si="1"/>
        <v>1/26</v>
      </c>
      <c r="C98" s="274" t="str">
        <f>VLOOKUP(mJAN[[#This Row],[CÓDIGO CONTABIL]],Contas_Gerencial[#All],3,FALSE)</f>
        <v>ENCARGOS</v>
      </c>
      <c r="D98" s="274" t="str">
        <f>VLOOKUP(mJAN[[#This Row],[DESCRIÇÃO CONTABIL]],Contas_Gerencial[[#All],[DESCRIÇÃO DA CONTA - NÃO UTILIZAR]:[Código2]],2,FALSE)</f>
        <v>20.04.006</v>
      </c>
      <c r="E98" s="452" t="s">
        <v>1180</v>
      </c>
      <c r="F98" s="452" t="s">
        <v>582</v>
      </c>
      <c r="G98" s="480" t="s">
        <v>653</v>
      </c>
      <c r="H98" s="452" t="s">
        <v>1180</v>
      </c>
      <c r="I98" s="481">
        <v>155</v>
      </c>
      <c r="J98" s="453" t="s">
        <v>384</v>
      </c>
      <c r="K98" s="453" t="s">
        <v>1180</v>
      </c>
      <c r="L98" s="456" t="s">
        <v>2104</v>
      </c>
      <c r="M98" s="457">
        <v>46028</v>
      </c>
      <c r="N98" s="457">
        <v>46042</v>
      </c>
      <c r="O98" s="457">
        <v>46042</v>
      </c>
      <c r="P98" s="453" t="s">
        <v>214</v>
      </c>
      <c r="Q98" s="458">
        <v>489.77</v>
      </c>
      <c r="R98" s="459">
        <v>0</v>
      </c>
      <c r="S98" s="459">
        <v>0</v>
      </c>
      <c r="T98" s="275">
        <f>SUM(mJAN[[#This Row],[PRINCIPAL]:[JUROS]])</f>
        <v>489.77</v>
      </c>
    </row>
    <row r="99" spans="2:20" ht="21" customHeight="1">
      <c r="B99" s="5" t="str">
        <f t="shared" si="1"/>
        <v>1/26</v>
      </c>
      <c r="C99" s="274" t="str">
        <f>VLOOKUP(mJAN[[#This Row],[CÓDIGO CONTABIL]],Contas_Gerencial[#All],3,FALSE)</f>
        <v>ENCARGOS</v>
      </c>
      <c r="D99" s="274" t="str">
        <f>VLOOKUP(mJAN[[#This Row],[DESCRIÇÃO CONTABIL]],Contas_Gerencial[[#All],[DESCRIÇÃO DA CONTA - NÃO UTILIZAR]:[Código2]],2,FALSE)</f>
        <v>20.04.001</v>
      </c>
      <c r="E99" s="464" t="s">
        <v>2659</v>
      </c>
      <c r="F99" s="464" t="s">
        <v>582</v>
      </c>
      <c r="G99" s="464" t="s">
        <v>653</v>
      </c>
      <c r="H99" s="464" t="s">
        <v>1788</v>
      </c>
      <c r="I99" s="984">
        <v>155</v>
      </c>
      <c r="J99" s="461" t="s">
        <v>757</v>
      </c>
      <c r="K99" s="461" t="s">
        <v>2089</v>
      </c>
      <c r="L99" s="462" t="s">
        <v>2104</v>
      </c>
      <c r="M99" s="463">
        <v>46024</v>
      </c>
      <c r="N99" s="463">
        <v>46042</v>
      </c>
      <c r="O99" s="463"/>
      <c r="P99" s="741" t="s">
        <v>1</v>
      </c>
      <c r="Q99" s="484">
        <v>482.68</v>
      </c>
      <c r="R99" s="465">
        <v>0</v>
      </c>
      <c r="S99" s="465">
        <v>0</v>
      </c>
      <c r="T99" s="275">
        <f>SUM(mJAN[[#This Row],[PRINCIPAL]:[JUROS]])</f>
        <v>482.68</v>
      </c>
    </row>
    <row r="100" spans="2:20" ht="21" customHeight="1">
      <c r="B100" s="5" t="str">
        <f t="shared" si="1"/>
        <v>1/26</v>
      </c>
      <c r="C100" s="274" t="str">
        <f>VLOOKUP(mJAN[[#This Row],[CÓDIGO CONTABIL]],Contas_Gerencial[#All],3,FALSE)</f>
        <v>BENEFICIO</v>
      </c>
      <c r="D100" s="274" t="str">
        <f>VLOOKUP(mJAN[[#This Row],[DESCRIÇÃO CONTABIL]],Contas_Gerencial[[#All],[DESCRIÇÃO DA CONTA - NÃO UTILIZAR]:[Código2]],2,FALSE)</f>
        <v>20.05.006</v>
      </c>
      <c r="E100" s="480" t="s">
        <v>24</v>
      </c>
      <c r="F100" s="452" t="s">
        <v>582</v>
      </c>
      <c r="G100" s="452" t="s">
        <v>653</v>
      </c>
      <c r="H100" s="452" t="s">
        <v>1791</v>
      </c>
      <c r="I100" s="481">
        <v>200126</v>
      </c>
      <c r="J100" s="453" t="s">
        <v>582</v>
      </c>
      <c r="K100" s="453" t="s">
        <v>2180</v>
      </c>
      <c r="L100" s="451" t="s">
        <v>2137</v>
      </c>
      <c r="M100" s="457">
        <v>46042</v>
      </c>
      <c r="N100" s="457">
        <v>46043</v>
      </c>
      <c r="O100" s="457">
        <v>46042</v>
      </c>
      <c r="P100" s="452" t="s">
        <v>214</v>
      </c>
      <c r="Q100" s="467">
        <v>1993.5</v>
      </c>
      <c r="R100" s="467">
        <v>0</v>
      </c>
      <c r="S100" s="467">
        <v>0</v>
      </c>
      <c r="T100" s="275">
        <f>SUM(mJAN[[#This Row],[PRINCIPAL]:[JUROS]])</f>
        <v>1993.5</v>
      </c>
    </row>
    <row r="101" spans="2:20" ht="21" customHeight="1">
      <c r="B101" s="5" t="str">
        <f t="shared" si="1"/>
        <v>1/26</v>
      </c>
      <c r="C101" s="274" t="str">
        <f>VLOOKUP(mJAN[[#This Row],[CÓDIGO CONTABIL]],Contas_Gerencial[#All],3,FALSE)</f>
        <v>BENEFICIO</v>
      </c>
      <c r="D101" s="274" t="str">
        <f>VLOOKUP(mJAN[[#This Row],[DESCRIÇÃO CONTABIL]],Contas_Gerencial[[#All],[DESCRIÇÃO DA CONTA - NÃO UTILIZAR]:[Código2]],2,FALSE)</f>
        <v>20.05.007</v>
      </c>
      <c r="E101" s="480" t="s">
        <v>25</v>
      </c>
      <c r="F101" s="452" t="s">
        <v>582</v>
      </c>
      <c r="G101" s="452" t="s">
        <v>653</v>
      </c>
      <c r="H101" s="452" t="s">
        <v>1791</v>
      </c>
      <c r="I101" s="481">
        <v>200126</v>
      </c>
      <c r="J101" s="453" t="s">
        <v>582</v>
      </c>
      <c r="K101" s="453" t="s">
        <v>2180</v>
      </c>
      <c r="L101" s="451" t="s">
        <v>2137</v>
      </c>
      <c r="M101" s="457">
        <v>46042</v>
      </c>
      <c r="N101" s="457">
        <v>46043</v>
      </c>
      <c r="O101" s="457">
        <v>46042</v>
      </c>
      <c r="P101" s="452" t="s">
        <v>214</v>
      </c>
      <c r="Q101" s="467">
        <v>311.60000000000002</v>
      </c>
      <c r="R101" s="467">
        <v>0</v>
      </c>
      <c r="S101" s="467">
        <v>0</v>
      </c>
      <c r="T101" s="275">
        <f>SUM(mJAN[[#This Row],[PRINCIPAL]:[JUROS]])</f>
        <v>311.60000000000002</v>
      </c>
    </row>
    <row r="102" spans="2:20" ht="21" customHeight="1">
      <c r="B102" s="5" t="str">
        <f t="shared" si="1"/>
        <v>1/26</v>
      </c>
      <c r="C102" s="5" t="str">
        <f>VLOOKUP(mJAN[[#This Row],[CÓDIGO CONTABIL]],Contas_Gerencial[#All],3,FALSE)</f>
        <v>RECEITA SUBCONTA</v>
      </c>
      <c r="D102" s="5" t="str">
        <f>VLOOKUP(mJAN[[#This Row],[DESCRIÇÃO CONTABIL]],Contas_Gerencial[[#All],[DESCRIÇÃO DA CONTA - NÃO UTILIZAR]:[Código2]],2,FALSE)</f>
        <v>10.01.001</v>
      </c>
      <c r="E102" s="452" t="s">
        <v>90</v>
      </c>
      <c r="F102" s="452" t="s">
        <v>582</v>
      </c>
      <c r="G102" s="480" t="s">
        <v>583</v>
      </c>
      <c r="H102" s="452" t="s">
        <v>1788</v>
      </c>
      <c r="I102" s="481">
        <v>154</v>
      </c>
      <c r="J102" s="453" t="s">
        <v>582</v>
      </c>
      <c r="K102" s="453" t="s">
        <v>1792</v>
      </c>
      <c r="L102" s="456" t="s">
        <v>2104</v>
      </c>
      <c r="M102" s="457">
        <v>46014</v>
      </c>
      <c r="N102" s="457">
        <v>46051</v>
      </c>
      <c r="O102" s="457">
        <v>46048</v>
      </c>
      <c r="P102" s="452" t="s">
        <v>214</v>
      </c>
      <c r="Q102" s="1006">
        <v>12740</v>
      </c>
      <c r="R102" s="459">
        <v>0</v>
      </c>
      <c r="S102" s="459">
        <v>0</v>
      </c>
      <c r="T102" s="1004">
        <f>SUM(mJAN[[#This Row],[PRINCIPAL]:[JUROS]])</f>
        <v>12740</v>
      </c>
    </row>
    <row r="103" spans="2:20" ht="21" customHeight="1">
      <c r="B103" s="5" t="str">
        <f t="shared" si="1"/>
        <v>1/26</v>
      </c>
      <c r="C103" s="274" t="str">
        <f>VLOOKUP(mJAN[[#This Row],[CÓDIGO CONTABIL]],Contas_Gerencial[#All],3,FALSE)</f>
        <v>ENCARGOS</v>
      </c>
      <c r="D103" s="274" t="str">
        <f>VLOOKUP(mJAN[[#This Row],[DESCRIÇÃO CONTABIL]],Contas_Gerencial[[#All],[DESCRIÇÃO DA CONTA - NÃO UTILIZAR]:[Código2]],2,FALSE)</f>
        <v>20.04.004</v>
      </c>
      <c r="E103" s="452" t="s">
        <v>2651</v>
      </c>
      <c r="F103" s="452" t="s">
        <v>582</v>
      </c>
      <c r="G103" s="480" t="s">
        <v>583</v>
      </c>
      <c r="H103" s="452" t="s">
        <v>1788</v>
      </c>
      <c r="I103" s="481">
        <v>154</v>
      </c>
      <c r="J103" s="453" t="s">
        <v>264</v>
      </c>
      <c r="K103" s="453" t="s">
        <v>2113</v>
      </c>
      <c r="L103" s="456" t="s">
        <v>2104</v>
      </c>
      <c r="M103" s="457">
        <v>46014</v>
      </c>
      <c r="N103" s="457">
        <v>46042</v>
      </c>
      <c r="O103" s="457">
        <v>46042</v>
      </c>
      <c r="P103" s="453" t="s">
        <v>214</v>
      </c>
      <c r="Q103" s="482">
        <v>533.61</v>
      </c>
      <c r="R103" s="459">
        <v>0</v>
      </c>
      <c r="S103" s="459">
        <v>0</v>
      </c>
      <c r="T103" s="275">
        <f>SUM(mJAN[[#This Row],[PRINCIPAL]:[JUROS]])</f>
        <v>533.61</v>
      </c>
    </row>
    <row r="104" spans="2:20" ht="21" customHeight="1">
      <c r="B104" s="5" t="str">
        <f t="shared" si="1"/>
        <v>1/26</v>
      </c>
      <c r="C104" s="274" t="str">
        <f>VLOOKUP(mJAN[[#This Row],[CÓDIGO CONTABIL]],Contas_Gerencial[#All],3,FALSE)</f>
        <v>TRIBUTOS</v>
      </c>
      <c r="D104" s="274" t="str">
        <f>VLOOKUP(mJAN[[#This Row],[DESCRIÇÃO CONTABIL]],Contas_Gerencial[[#All],[DESCRIÇÃO DA CONTA - NÃO UTILIZAR]:[Código2]],2,FALSE)</f>
        <v>20.08.004</v>
      </c>
      <c r="E104" s="452" t="s">
        <v>2648</v>
      </c>
      <c r="F104" s="452" t="s">
        <v>582</v>
      </c>
      <c r="G104" s="480" t="s">
        <v>583</v>
      </c>
      <c r="H104" s="452" t="s">
        <v>1788</v>
      </c>
      <c r="I104" s="481">
        <v>154</v>
      </c>
      <c r="J104" s="453" t="s">
        <v>654</v>
      </c>
      <c r="K104" s="453" t="s">
        <v>2114</v>
      </c>
      <c r="L104" s="456" t="s">
        <v>2104</v>
      </c>
      <c r="M104" s="457">
        <v>46031</v>
      </c>
      <c r="N104" s="457">
        <v>46042</v>
      </c>
      <c r="O104" s="457">
        <v>46042</v>
      </c>
      <c r="P104" s="453" t="s">
        <v>214</v>
      </c>
      <c r="Q104" s="458">
        <v>422.97</v>
      </c>
      <c r="R104" s="459">
        <v>0</v>
      </c>
      <c r="S104" s="459">
        <v>0</v>
      </c>
      <c r="T104" s="275">
        <f>SUM(mJAN[[#This Row],[PRINCIPAL]:[JUROS]])</f>
        <v>422.97</v>
      </c>
    </row>
    <row r="105" spans="2:20" ht="21" customHeight="1">
      <c r="B105" s="5" t="str">
        <f t="shared" si="1"/>
        <v>1/26</v>
      </c>
      <c r="C105" s="274" t="str">
        <f>VLOOKUP(mJAN[[#This Row],[CÓDIGO CONTABIL]],Contas_Gerencial[#All],3,FALSE)</f>
        <v>TRIBUTOS</v>
      </c>
      <c r="D105" s="274" t="str">
        <f>VLOOKUP(mJAN[[#This Row],[DESCRIÇÃO CONTABIL]],Contas_Gerencial[[#All],[DESCRIÇÃO DA CONTA - NÃO UTILIZAR]:[Código2]],2,FALSE)</f>
        <v>20.08.001</v>
      </c>
      <c r="E105" s="464" t="s">
        <v>2112</v>
      </c>
      <c r="F105" s="464" t="s">
        <v>582</v>
      </c>
      <c r="G105" s="986" t="s">
        <v>583</v>
      </c>
      <c r="H105" s="464" t="s">
        <v>1788</v>
      </c>
      <c r="I105" s="984">
        <v>154</v>
      </c>
      <c r="J105" s="461" t="s">
        <v>654</v>
      </c>
      <c r="K105" s="461" t="s">
        <v>1907</v>
      </c>
      <c r="L105" s="462" t="s">
        <v>2104</v>
      </c>
      <c r="M105" s="463">
        <v>46031</v>
      </c>
      <c r="N105" s="463">
        <v>46042</v>
      </c>
      <c r="O105" s="463"/>
      <c r="P105" s="461" t="s">
        <v>1</v>
      </c>
      <c r="Q105" s="993">
        <v>0</v>
      </c>
      <c r="R105" s="465">
        <v>0</v>
      </c>
      <c r="S105" s="465">
        <v>0</v>
      </c>
      <c r="T105" s="275">
        <f>SUM(mJAN[[#This Row],[PRINCIPAL]:[JUROS]])</f>
        <v>0</v>
      </c>
    </row>
    <row r="106" spans="2:20" ht="21" customHeight="1">
      <c r="B106" s="5" t="str">
        <f t="shared" si="1"/>
        <v>1/26</v>
      </c>
      <c r="C106" s="274" t="str">
        <f>VLOOKUP(mJAN[[#This Row],[CÓDIGO CONTABIL]],Contas_Gerencial[#All],3,FALSE)</f>
        <v>TRIBUTOS</v>
      </c>
      <c r="D106" s="274" t="str">
        <f>VLOOKUP(mJAN[[#This Row],[DESCRIÇÃO CONTABIL]],Contas_Gerencial[[#All],[DESCRIÇÃO DA CONTA - NÃO UTILIZAR]:[Código2]],2,FALSE)</f>
        <v>20.08.002</v>
      </c>
      <c r="E106" s="464" t="s">
        <v>589</v>
      </c>
      <c r="F106" s="464" t="s">
        <v>582</v>
      </c>
      <c r="G106" s="986" t="s">
        <v>583</v>
      </c>
      <c r="H106" s="464" t="s">
        <v>1788</v>
      </c>
      <c r="I106" s="984">
        <v>154</v>
      </c>
      <c r="J106" s="461" t="s">
        <v>654</v>
      </c>
      <c r="K106" s="461" t="s">
        <v>1907</v>
      </c>
      <c r="L106" s="462" t="s">
        <v>2104</v>
      </c>
      <c r="M106" s="463">
        <v>46031</v>
      </c>
      <c r="N106" s="463">
        <v>46042</v>
      </c>
      <c r="O106" s="463"/>
      <c r="P106" s="461" t="s">
        <v>1</v>
      </c>
      <c r="Q106" s="985">
        <v>631.47492440741769</v>
      </c>
      <c r="R106" s="465">
        <v>0</v>
      </c>
      <c r="S106" s="465">
        <v>0</v>
      </c>
      <c r="T106" s="275">
        <f>SUM(mJAN[[#This Row],[PRINCIPAL]:[JUROS]])</f>
        <v>631.47492440741769</v>
      </c>
    </row>
    <row r="107" spans="2:20" ht="21" customHeight="1">
      <c r="B107" s="5" t="str">
        <f t="shared" si="1"/>
        <v>1/26</v>
      </c>
      <c r="C107" s="274" t="str">
        <f>VLOOKUP(mJAN[[#This Row],[CÓDIGO CONTABIL]],Contas_Gerencial[#All],3,FALSE)</f>
        <v>FOLHA DE PAGAMENTO</v>
      </c>
      <c r="D107" s="274" t="str">
        <f>VLOOKUP(mJAN[[#This Row],[DESCRIÇÃO CONTABIL]],Contas_Gerencial[[#All],[DESCRIÇÃO DA CONTA - NÃO UTILIZAR]:[Código2]],2,FALSE)</f>
        <v>20.05.021</v>
      </c>
      <c r="E107" s="452" t="s">
        <v>59</v>
      </c>
      <c r="F107" s="453" t="s">
        <v>582</v>
      </c>
      <c r="G107" s="480" t="s">
        <v>583</v>
      </c>
      <c r="H107" s="452" t="s">
        <v>1791</v>
      </c>
      <c r="I107" s="481">
        <v>154</v>
      </c>
      <c r="J107" s="453" t="s">
        <v>582</v>
      </c>
      <c r="K107" s="452" t="s">
        <v>1793</v>
      </c>
      <c r="L107" s="456" t="s">
        <v>2104</v>
      </c>
      <c r="M107" s="457">
        <v>46024</v>
      </c>
      <c r="N107" s="457">
        <v>46027</v>
      </c>
      <c r="O107" s="457">
        <v>46028</v>
      </c>
      <c r="P107" s="453" t="s">
        <v>214</v>
      </c>
      <c r="Q107" s="458">
        <v>3340.9</v>
      </c>
      <c r="R107" s="459">
        <v>0</v>
      </c>
      <c r="S107" s="459">
        <v>0</v>
      </c>
      <c r="T107" s="275">
        <f>SUM(mJAN[[#This Row],[PRINCIPAL]:[JUROS]])</f>
        <v>3340.9</v>
      </c>
    </row>
    <row r="108" spans="2:20" ht="21" customHeight="1">
      <c r="B108" s="5" t="str">
        <f t="shared" si="1"/>
        <v>1/26</v>
      </c>
      <c r="C108" s="274" t="str">
        <f>VLOOKUP(mJAN[[#This Row],[CÓDIGO CONTABIL]],Contas_Gerencial[#All],3,FALSE)</f>
        <v>ENCARGOS</v>
      </c>
      <c r="D108" s="274" t="str">
        <f>VLOOKUP(mJAN[[#This Row],[DESCRIÇÃO CONTABIL]],Contas_Gerencial[[#All],[DESCRIÇÃO DA CONTA - NÃO UTILIZAR]:[Código2]],2,FALSE)</f>
        <v>20.04.006</v>
      </c>
      <c r="E108" s="452" t="s">
        <v>1180</v>
      </c>
      <c r="F108" s="452" t="s">
        <v>582</v>
      </c>
      <c r="G108" s="480" t="s">
        <v>583</v>
      </c>
      <c r="H108" s="452" t="s">
        <v>1180</v>
      </c>
      <c r="I108" s="481">
        <v>154</v>
      </c>
      <c r="J108" s="453" t="s">
        <v>384</v>
      </c>
      <c r="K108" s="453" t="s">
        <v>1180</v>
      </c>
      <c r="L108" s="456" t="s">
        <v>2104</v>
      </c>
      <c r="M108" s="457">
        <v>46028</v>
      </c>
      <c r="N108" s="457">
        <v>46042</v>
      </c>
      <c r="O108" s="457">
        <v>46042</v>
      </c>
      <c r="P108" s="453" t="s">
        <v>214</v>
      </c>
      <c r="Q108" s="458">
        <v>304.02</v>
      </c>
      <c r="R108" s="459">
        <v>0</v>
      </c>
      <c r="S108" s="459">
        <v>0</v>
      </c>
      <c r="T108" s="275">
        <f>SUM(mJAN[[#This Row],[PRINCIPAL]:[JUROS]])</f>
        <v>304.02</v>
      </c>
    </row>
    <row r="109" spans="2:20" ht="21" customHeight="1">
      <c r="B109" s="5" t="str">
        <f t="shared" si="1"/>
        <v>1/26</v>
      </c>
      <c r="C109" s="274" t="str">
        <f>VLOOKUP(mJAN[[#This Row],[CÓDIGO CONTABIL]],Contas_Gerencial[#All],3,FALSE)</f>
        <v>ENCARGOS</v>
      </c>
      <c r="D109" s="274" t="str">
        <f>VLOOKUP(mJAN[[#This Row],[DESCRIÇÃO CONTABIL]],Contas_Gerencial[[#All],[DESCRIÇÃO DA CONTA - NÃO UTILIZAR]:[Código2]],2,FALSE)</f>
        <v>20.04.001</v>
      </c>
      <c r="E109" s="464" t="s">
        <v>2659</v>
      </c>
      <c r="F109" s="464" t="s">
        <v>582</v>
      </c>
      <c r="G109" s="464" t="s">
        <v>583</v>
      </c>
      <c r="H109" s="464" t="s">
        <v>1788</v>
      </c>
      <c r="I109" s="984">
        <v>154</v>
      </c>
      <c r="J109" s="461" t="s">
        <v>757</v>
      </c>
      <c r="K109" s="461" t="s">
        <v>2089</v>
      </c>
      <c r="L109" s="462" t="s">
        <v>2104</v>
      </c>
      <c r="M109" s="463">
        <v>46024</v>
      </c>
      <c r="N109" s="463">
        <v>46042</v>
      </c>
      <c r="O109" s="463"/>
      <c r="P109" s="741" t="s">
        <v>1</v>
      </c>
      <c r="Q109" s="484">
        <f>296.48-65</f>
        <v>231.48000000000002</v>
      </c>
      <c r="R109" s="465">
        <v>0</v>
      </c>
      <c r="S109" s="465">
        <v>0</v>
      </c>
      <c r="T109" s="275">
        <f>SUM(mJAN[[#This Row],[PRINCIPAL]:[JUROS]])</f>
        <v>231.48000000000002</v>
      </c>
    </row>
    <row r="110" spans="2:20" ht="21" customHeight="1">
      <c r="B110" s="5" t="str">
        <f t="shared" si="1"/>
        <v>1/26</v>
      </c>
      <c r="C110" s="274" t="str">
        <f>VLOOKUP(mJAN[[#This Row],[CÓDIGO CONTABIL]],Contas_Gerencial[#All],3,FALSE)</f>
        <v>BENEFICIO</v>
      </c>
      <c r="D110" s="274" t="str">
        <f>VLOOKUP(mJAN[[#This Row],[DESCRIÇÃO CONTABIL]],Contas_Gerencial[[#All],[DESCRIÇÃO DA CONTA - NÃO UTILIZAR]:[Código2]],2,FALSE)</f>
        <v>20.05.006</v>
      </c>
      <c r="E110" s="480" t="s">
        <v>24</v>
      </c>
      <c r="F110" s="452" t="s">
        <v>582</v>
      </c>
      <c r="G110" s="452" t="s">
        <v>583</v>
      </c>
      <c r="H110" s="452" t="s">
        <v>1791</v>
      </c>
      <c r="I110" s="481">
        <v>200126</v>
      </c>
      <c r="J110" s="453" t="s">
        <v>582</v>
      </c>
      <c r="K110" s="453" t="s">
        <v>2180</v>
      </c>
      <c r="L110" s="451" t="s">
        <v>2137</v>
      </c>
      <c r="M110" s="457">
        <v>46042</v>
      </c>
      <c r="N110" s="457">
        <v>46043</v>
      </c>
      <c r="O110" s="457">
        <v>46042</v>
      </c>
      <c r="P110" s="452" t="s">
        <v>214</v>
      </c>
      <c r="Q110" s="467">
        <v>1151.8</v>
      </c>
      <c r="R110" s="467">
        <v>0</v>
      </c>
      <c r="S110" s="467">
        <v>0</v>
      </c>
      <c r="T110" s="275">
        <f>SUM(mJAN[[#This Row],[PRINCIPAL]:[JUROS]])</f>
        <v>1151.8</v>
      </c>
    </row>
    <row r="111" spans="2:20" ht="21" customHeight="1">
      <c r="B111" s="5" t="str">
        <f t="shared" si="1"/>
        <v>1/26</v>
      </c>
      <c r="C111" s="274" t="str">
        <f>VLOOKUP(mJAN[[#This Row],[CÓDIGO CONTABIL]],Contas_Gerencial[#All],3,FALSE)</f>
        <v>BENEFICIO</v>
      </c>
      <c r="D111" s="274" t="str">
        <f>VLOOKUP(mJAN[[#This Row],[DESCRIÇÃO CONTABIL]],Contas_Gerencial[[#All],[DESCRIÇÃO DA CONTA - NÃO UTILIZAR]:[Código2]],2,FALSE)</f>
        <v>20.05.007</v>
      </c>
      <c r="E111" s="480" t="s">
        <v>25</v>
      </c>
      <c r="F111" s="452" t="s">
        <v>582</v>
      </c>
      <c r="G111" s="452" t="s">
        <v>583</v>
      </c>
      <c r="H111" s="452" t="s">
        <v>1791</v>
      </c>
      <c r="I111" s="481">
        <v>200126</v>
      </c>
      <c r="J111" s="453" t="s">
        <v>582</v>
      </c>
      <c r="K111" s="453" t="s">
        <v>2180</v>
      </c>
      <c r="L111" s="451" t="s">
        <v>2137</v>
      </c>
      <c r="M111" s="457">
        <v>46042</v>
      </c>
      <c r="N111" s="457">
        <v>46043</v>
      </c>
      <c r="O111" s="457">
        <v>46042</v>
      </c>
      <c r="P111" s="452" t="s">
        <v>214</v>
      </c>
      <c r="Q111" s="467">
        <v>286</v>
      </c>
      <c r="R111" s="467">
        <v>0</v>
      </c>
      <c r="S111" s="467">
        <v>0</v>
      </c>
      <c r="T111" s="275">
        <f>SUM(mJAN[[#This Row],[PRINCIPAL]:[JUROS]])</f>
        <v>286</v>
      </c>
    </row>
    <row r="112" spans="2:20" ht="21" customHeight="1">
      <c r="B112" s="5" t="str">
        <f t="shared" si="1"/>
        <v>1/26</v>
      </c>
      <c r="C112" s="274" t="str">
        <f>VLOOKUP(mJAN[[#This Row],[CÓDIGO CONTABIL]],Contas_Gerencial[#All],3,FALSE)</f>
        <v>RECEITA SUBCONTA</v>
      </c>
      <c r="D112" s="274" t="str">
        <f>VLOOKUP(mJAN[[#This Row],[DESCRIÇÃO CONTABIL]],Contas_Gerencial[[#All],[DESCRIÇÃO DA CONTA - NÃO UTILIZAR]:[Código2]],2,FALSE)</f>
        <v>10.01.001</v>
      </c>
      <c r="E112" s="452" t="s">
        <v>90</v>
      </c>
      <c r="F112" s="452" t="s">
        <v>582</v>
      </c>
      <c r="G112" s="480" t="s">
        <v>638</v>
      </c>
      <c r="H112" s="452" t="s">
        <v>1788</v>
      </c>
      <c r="I112" s="481">
        <v>153</v>
      </c>
      <c r="J112" s="453" t="s">
        <v>582</v>
      </c>
      <c r="K112" s="453" t="s">
        <v>1792</v>
      </c>
      <c r="L112" s="456" t="s">
        <v>2104</v>
      </c>
      <c r="M112" s="457">
        <v>46014</v>
      </c>
      <c r="N112" s="457">
        <v>46027</v>
      </c>
      <c r="O112" s="457">
        <v>46052</v>
      </c>
      <c r="P112" s="452" t="s">
        <v>214</v>
      </c>
      <c r="Q112" s="1006">
        <v>5812</v>
      </c>
      <c r="R112" s="459">
        <v>0</v>
      </c>
      <c r="S112" s="459">
        <v>0</v>
      </c>
      <c r="T112" s="275">
        <f>SUM(mJAN[[#This Row],[PRINCIPAL]:[JUROS]])</f>
        <v>5812</v>
      </c>
    </row>
    <row r="113" spans="2:20" ht="21" customHeight="1">
      <c r="B113" s="5" t="str">
        <f t="shared" si="1"/>
        <v>1/26</v>
      </c>
      <c r="C113" s="274" t="str">
        <f>VLOOKUP(mJAN[[#This Row],[CÓDIGO CONTABIL]],Contas_Gerencial[#All],3,FALSE)</f>
        <v>ENCARGOS</v>
      </c>
      <c r="D113" s="274" t="str">
        <f>VLOOKUP(mJAN[[#This Row],[DESCRIÇÃO CONTABIL]],Contas_Gerencial[[#All],[DESCRIÇÃO DA CONTA - NÃO UTILIZAR]:[Código2]],2,FALSE)</f>
        <v>20.04.004</v>
      </c>
      <c r="E113" s="452" t="s">
        <v>2651</v>
      </c>
      <c r="F113" s="452" t="s">
        <v>582</v>
      </c>
      <c r="G113" s="480" t="s">
        <v>638</v>
      </c>
      <c r="H113" s="452" t="s">
        <v>1788</v>
      </c>
      <c r="I113" s="481">
        <v>153</v>
      </c>
      <c r="J113" s="453" t="s">
        <v>264</v>
      </c>
      <c r="K113" s="453" t="s">
        <v>2113</v>
      </c>
      <c r="L113" s="456" t="s">
        <v>2104</v>
      </c>
      <c r="M113" s="457">
        <v>46042</v>
      </c>
      <c r="N113" s="457">
        <v>46042</v>
      </c>
      <c r="O113" s="457">
        <v>46042</v>
      </c>
      <c r="P113" s="453" t="s">
        <v>214</v>
      </c>
      <c r="Q113" s="482">
        <v>443.98</v>
      </c>
      <c r="R113" s="459">
        <v>0</v>
      </c>
      <c r="S113" s="459">
        <v>0</v>
      </c>
      <c r="T113" s="275">
        <f>SUM(mJAN[[#This Row],[PRINCIPAL]:[JUROS]])</f>
        <v>443.98</v>
      </c>
    </row>
    <row r="114" spans="2:20" ht="21" customHeight="1">
      <c r="B114" s="5" t="str">
        <f t="shared" si="1"/>
        <v>1/26</v>
      </c>
      <c r="C114" s="274" t="str">
        <f>VLOOKUP(mJAN[[#This Row],[CÓDIGO CONTABIL]],Contas_Gerencial[#All],3,FALSE)</f>
        <v>TRIBUTOS</v>
      </c>
      <c r="D114" s="274" t="str">
        <f>VLOOKUP(mJAN[[#This Row],[DESCRIÇÃO CONTABIL]],Contas_Gerencial[[#All],[DESCRIÇÃO DA CONTA - NÃO UTILIZAR]:[Código2]],2,FALSE)</f>
        <v>20.08.004</v>
      </c>
      <c r="E114" s="452" t="s">
        <v>2648</v>
      </c>
      <c r="F114" s="452" t="s">
        <v>582</v>
      </c>
      <c r="G114" s="480" t="s">
        <v>638</v>
      </c>
      <c r="H114" s="452" t="s">
        <v>1788</v>
      </c>
      <c r="I114" s="481">
        <v>153</v>
      </c>
      <c r="J114" s="453" t="s">
        <v>654</v>
      </c>
      <c r="K114" s="453" t="s">
        <v>2114</v>
      </c>
      <c r="L114" s="456" t="s">
        <v>2104</v>
      </c>
      <c r="M114" s="457">
        <v>46031</v>
      </c>
      <c r="N114" s="457">
        <v>46042</v>
      </c>
      <c r="O114" s="457">
        <v>46042</v>
      </c>
      <c r="P114" s="453" t="s">
        <v>214</v>
      </c>
      <c r="Q114" s="458">
        <v>192.96</v>
      </c>
      <c r="R114" s="459">
        <v>0</v>
      </c>
      <c r="S114" s="459">
        <v>0</v>
      </c>
      <c r="T114" s="275">
        <f>SUM(mJAN[[#This Row],[PRINCIPAL]:[JUROS]])</f>
        <v>192.96</v>
      </c>
    </row>
    <row r="115" spans="2:20" ht="21" customHeight="1">
      <c r="B115" s="5" t="str">
        <f t="shared" si="1"/>
        <v>1/26</v>
      </c>
      <c r="C115" s="274" t="str">
        <f>VLOOKUP(mJAN[[#This Row],[CÓDIGO CONTABIL]],Contas_Gerencial[#All],3,FALSE)</f>
        <v>TRIBUTOS</v>
      </c>
      <c r="D115" s="274" t="str">
        <f>VLOOKUP(mJAN[[#This Row],[DESCRIÇÃO CONTABIL]],Contas_Gerencial[[#All],[DESCRIÇÃO DA CONTA - NÃO UTILIZAR]:[Código2]],2,FALSE)</f>
        <v>20.08.001</v>
      </c>
      <c r="E115" s="464" t="s">
        <v>2112</v>
      </c>
      <c r="F115" s="464" t="s">
        <v>582</v>
      </c>
      <c r="G115" s="986" t="s">
        <v>638</v>
      </c>
      <c r="H115" s="464" t="s">
        <v>1788</v>
      </c>
      <c r="I115" s="984">
        <v>153</v>
      </c>
      <c r="J115" s="461" t="s">
        <v>654</v>
      </c>
      <c r="K115" s="461" t="s">
        <v>1907</v>
      </c>
      <c r="L115" s="462" t="s">
        <v>2104</v>
      </c>
      <c r="M115" s="463">
        <v>46031</v>
      </c>
      <c r="N115" s="463">
        <v>46042</v>
      </c>
      <c r="O115" s="463"/>
      <c r="P115" s="461" t="s">
        <v>1</v>
      </c>
      <c r="Q115" s="993">
        <v>0</v>
      </c>
      <c r="R115" s="465">
        <v>0</v>
      </c>
      <c r="S115" s="465">
        <v>0</v>
      </c>
      <c r="T115" s="275">
        <f>SUM(mJAN[[#This Row],[PRINCIPAL]:[JUROS]])</f>
        <v>0</v>
      </c>
    </row>
    <row r="116" spans="2:20" ht="21" customHeight="1">
      <c r="B116" s="5" t="str">
        <f t="shared" si="1"/>
        <v>1/26</v>
      </c>
      <c r="C116" s="274" t="str">
        <f>VLOOKUP(mJAN[[#This Row],[CÓDIGO CONTABIL]],Contas_Gerencial[#All],3,FALSE)</f>
        <v>TRIBUTOS</v>
      </c>
      <c r="D116" s="274" t="str">
        <f>VLOOKUP(mJAN[[#This Row],[DESCRIÇÃO CONTABIL]],Contas_Gerencial[[#All],[DESCRIÇÃO DA CONTA - NÃO UTILIZAR]:[Código2]],2,FALSE)</f>
        <v>20.08.002</v>
      </c>
      <c r="E116" s="464" t="s">
        <v>589</v>
      </c>
      <c r="F116" s="464" t="s">
        <v>582</v>
      </c>
      <c r="G116" s="986" t="s">
        <v>638</v>
      </c>
      <c r="H116" s="464" t="s">
        <v>1788</v>
      </c>
      <c r="I116" s="984">
        <v>153</v>
      </c>
      <c r="J116" s="461" t="s">
        <v>654</v>
      </c>
      <c r="K116" s="461" t="s">
        <v>1907</v>
      </c>
      <c r="L116" s="462" t="s">
        <v>2104</v>
      </c>
      <c r="M116" s="463">
        <v>46031</v>
      </c>
      <c r="N116" s="463">
        <v>46042</v>
      </c>
      <c r="O116" s="463"/>
      <c r="P116" s="461" t="s">
        <v>1</v>
      </c>
      <c r="Q116" s="985">
        <v>288.07945531051109</v>
      </c>
      <c r="R116" s="465">
        <v>0</v>
      </c>
      <c r="S116" s="465">
        <v>0</v>
      </c>
      <c r="T116" s="275">
        <f>SUM(mJAN[[#This Row],[PRINCIPAL]:[JUROS]])</f>
        <v>288.07945531051109</v>
      </c>
    </row>
    <row r="117" spans="2:20" ht="21" customHeight="1">
      <c r="B117" s="5" t="str">
        <f t="shared" si="1"/>
        <v>1/26</v>
      </c>
      <c r="C117" s="274" t="str">
        <f>VLOOKUP(mJAN[[#This Row],[CÓDIGO CONTABIL]],Contas_Gerencial[#All],3,FALSE)</f>
        <v>FOLHA DE PAGAMENTO</v>
      </c>
      <c r="D117" s="274" t="str">
        <f>VLOOKUP(mJAN[[#This Row],[DESCRIÇÃO CONTABIL]],Contas_Gerencial[[#All],[DESCRIÇÃO DA CONTA - NÃO UTILIZAR]:[Código2]],2,FALSE)</f>
        <v>20.05.021</v>
      </c>
      <c r="E117" s="452" t="s">
        <v>59</v>
      </c>
      <c r="F117" s="453" t="s">
        <v>582</v>
      </c>
      <c r="G117" s="480" t="s">
        <v>638</v>
      </c>
      <c r="H117" s="452" t="s">
        <v>1791</v>
      </c>
      <c r="I117" s="481">
        <v>153</v>
      </c>
      <c r="J117" s="453" t="s">
        <v>582</v>
      </c>
      <c r="K117" s="452" t="s">
        <v>1790</v>
      </c>
      <c r="L117" s="456" t="s">
        <v>2104</v>
      </c>
      <c r="M117" s="457">
        <v>46024</v>
      </c>
      <c r="N117" s="457">
        <v>46027</v>
      </c>
      <c r="O117" s="457">
        <v>46028</v>
      </c>
      <c r="P117" s="453" t="s">
        <v>214</v>
      </c>
      <c r="Q117" s="458">
        <v>1767.95</v>
      </c>
      <c r="R117" s="459">
        <v>0</v>
      </c>
      <c r="S117" s="459">
        <v>0</v>
      </c>
      <c r="T117" s="275">
        <f>SUM(mJAN[[#This Row],[PRINCIPAL]:[JUROS]])</f>
        <v>1767.95</v>
      </c>
    </row>
    <row r="118" spans="2:20" ht="21" customHeight="1">
      <c r="B118" s="5" t="str">
        <f t="shared" si="1"/>
        <v>1/26</v>
      </c>
      <c r="C118" s="274" t="str">
        <f>VLOOKUP(mJAN[[#This Row],[CÓDIGO CONTABIL]],Contas_Gerencial[#All],3,FALSE)</f>
        <v>ENCARGOS</v>
      </c>
      <c r="D118" s="274" t="str">
        <f>VLOOKUP(mJAN[[#This Row],[DESCRIÇÃO CONTABIL]],Contas_Gerencial[[#All],[DESCRIÇÃO DA CONTA - NÃO UTILIZAR]:[Código2]],2,FALSE)</f>
        <v>20.04.006</v>
      </c>
      <c r="E118" s="452" t="s">
        <v>1180</v>
      </c>
      <c r="F118" s="452" t="s">
        <v>582</v>
      </c>
      <c r="G118" s="480" t="s">
        <v>638</v>
      </c>
      <c r="H118" s="452" t="s">
        <v>1180</v>
      </c>
      <c r="I118" s="481">
        <v>153</v>
      </c>
      <c r="J118" s="453" t="s">
        <v>384</v>
      </c>
      <c r="K118" s="453" t="s">
        <v>1180</v>
      </c>
      <c r="L118" s="456" t="s">
        <v>2104</v>
      </c>
      <c r="M118" s="457">
        <v>46028</v>
      </c>
      <c r="N118" s="457">
        <v>46042</v>
      </c>
      <c r="O118" s="457">
        <v>46042</v>
      </c>
      <c r="P118" s="453" t="s">
        <v>214</v>
      </c>
      <c r="Q118" s="458">
        <v>152.01</v>
      </c>
      <c r="R118" s="459">
        <v>0</v>
      </c>
      <c r="S118" s="459">
        <v>0</v>
      </c>
      <c r="T118" s="275">
        <f>SUM(mJAN[[#This Row],[PRINCIPAL]:[JUROS]])</f>
        <v>152.01</v>
      </c>
    </row>
    <row r="119" spans="2:20" ht="21" customHeight="1">
      <c r="B119" s="5" t="str">
        <f t="shared" si="1"/>
        <v>1/26</v>
      </c>
      <c r="C119" s="274" t="str">
        <f>VLOOKUP(mJAN[[#This Row],[CÓDIGO CONTABIL]],Contas_Gerencial[#All],3,FALSE)</f>
        <v>ENCARGOS</v>
      </c>
      <c r="D119" s="274" t="str">
        <f>VLOOKUP(mJAN[[#This Row],[DESCRIÇÃO CONTABIL]],Contas_Gerencial[[#All],[DESCRIÇÃO DA CONTA - NÃO UTILIZAR]:[Código2]],2,FALSE)</f>
        <v>20.04.001</v>
      </c>
      <c r="E119" s="464" t="s">
        <v>2659</v>
      </c>
      <c r="F119" s="464" t="s">
        <v>582</v>
      </c>
      <c r="G119" s="464" t="s">
        <v>638</v>
      </c>
      <c r="H119" s="464" t="s">
        <v>1788</v>
      </c>
      <c r="I119" s="984">
        <v>153</v>
      </c>
      <c r="J119" s="461" t="s">
        <v>757</v>
      </c>
      <c r="K119" s="461" t="s">
        <v>2089</v>
      </c>
      <c r="L119" s="462" t="s">
        <v>2104</v>
      </c>
      <c r="M119" s="463">
        <v>46024</v>
      </c>
      <c r="N119" s="463">
        <v>46042</v>
      </c>
      <c r="O119" s="463"/>
      <c r="P119" s="741" t="s">
        <v>1</v>
      </c>
      <c r="Q119" s="484">
        <f>148.24-130</f>
        <v>18.240000000000009</v>
      </c>
      <c r="R119" s="465">
        <v>0</v>
      </c>
      <c r="S119" s="465">
        <v>0</v>
      </c>
      <c r="T119" s="275">
        <f>SUM(mJAN[[#This Row],[PRINCIPAL]:[JUROS]])</f>
        <v>18.240000000000009</v>
      </c>
    </row>
    <row r="120" spans="2:20" ht="21" customHeight="1">
      <c r="B120" s="5" t="str">
        <f t="shared" si="1"/>
        <v>1/26</v>
      </c>
      <c r="C120" s="274" t="str">
        <f>VLOOKUP(mJAN[[#This Row],[CÓDIGO CONTABIL]],Contas_Gerencial[#All],3,FALSE)</f>
        <v>BENEFICIO</v>
      </c>
      <c r="D120" s="274" t="str">
        <f>VLOOKUP(mJAN[[#This Row],[DESCRIÇÃO CONTABIL]],Contas_Gerencial[[#All],[DESCRIÇÃO DA CONTA - NÃO UTILIZAR]:[Código2]],2,FALSE)</f>
        <v>20.05.006</v>
      </c>
      <c r="E120" s="480" t="s">
        <v>24</v>
      </c>
      <c r="F120" s="452" t="s">
        <v>582</v>
      </c>
      <c r="G120" s="452" t="s">
        <v>638</v>
      </c>
      <c r="H120" s="452" t="s">
        <v>1791</v>
      </c>
      <c r="I120" s="481">
        <v>200126</v>
      </c>
      <c r="J120" s="453" t="s">
        <v>582</v>
      </c>
      <c r="K120" s="453" t="s">
        <v>2180</v>
      </c>
      <c r="L120" s="451" t="s">
        <v>2137</v>
      </c>
      <c r="M120" s="457">
        <v>46042</v>
      </c>
      <c r="N120" s="457">
        <v>46043</v>
      </c>
      <c r="O120" s="457">
        <v>46042</v>
      </c>
      <c r="P120" s="452" t="s">
        <v>214</v>
      </c>
      <c r="Q120" s="467">
        <v>1151.8</v>
      </c>
      <c r="R120" s="467">
        <v>0</v>
      </c>
      <c r="S120" s="467">
        <v>0</v>
      </c>
      <c r="T120" s="275">
        <f>SUM(mJAN[[#This Row],[PRINCIPAL]:[JUROS]])</f>
        <v>1151.8</v>
      </c>
    </row>
    <row r="121" spans="2:20" ht="21" customHeight="1">
      <c r="B121" s="5" t="str">
        <f t="shared" si="1"/>
        <v>1/26</v>
      </c>
      <c r="C121" s="274" t="str">
        <f>VLOOKUP(mJAN[[#This Row],[CÓDIGO CONTABIL]],Contas_Gerencial[#All],3,FALSE)</f>
        <v>BENEFICIO</v>
      </c>
      <c r="D121" s="274" t="str">
        <f>VLOOKUP(mJAN[[#This Row],[DESCRIÇÃO CONTABIL]],Contas_Gerencial[[#All],[DESCRIÇÃO DA CONTA - NÃO UTILIZAR]:[Código2]],2,FALSE)</f>
        <v>20.05.007</v>
      </c>
      <c r="E121" s="480" t="s">
        <v>25</v>
      </c>
      <c r="F121" s="452" t="s">
        <v>582</v>
      </c>
      <c r="G121" s="452" t="s">
        <v>638</v>
      </c>
      <c r="H121" s="452" t="s">
        <v>1791</v>
      </c>
      <c r="I121" s="481">
        <v>200126</v>
      </c>
      <c r="J121" s="453" t="s">
        <v>582</v>
      </c>
      <c r="K121" s="453" t="s">
        <v>2180</v>
      </c>
      <c r="L121" s="451" t="s">
        <v>2137</v>
      </c>
      <c r="M121" s="457">
        <v>46042</v>
      </c>
      <c r="N121" s="457">
        <v>46043</v>
      </c>
      <c r="O121" s="457">
        <v>46042</v>
      </c>
      <c r="P121" s="452" t="s">
        <v>214</v>
      </c>
      <c r="Q121" s="467">
        <v>286</v>
      </c>
      <c r="R121" s="467">
        <v>0</v>
      </c>
      <c r="S121" s="467">
        <v>0</v>
      </c>
      <c r="T121" s="275">
        <f>SUM(mJAN[[#This Row],[PRINCIPAL]:[JUROS]])</f>
        <v>286</v>
      </c>
    </row>
    <row r="122" spans="2:20" ht="21" customHeight="1">
      <c r="B122" s="5" t="str">
        <f t="shared" si="1"/>
        <v>1/26</v>
      </c>
      <c r="C122" s="274" t="str">
        <f>VLOOKUP(mJAN[[#This Row],[CÓDIGO CONTABIL]],Contas_Gerencial[#All],3,FALSE)</f>
        <v>RECEITA SUBCONTA</v>
      </c>
      <c r="D122" s="274" t="str">
        <f>VLOOKUP(mJAN[[#This Row],[DESCRIÇÃO CONTABIL]],Contas_Gerencial[[#All],[DESCRIÇÃO DA CONTA - NÃO UTILIZAR]:[Código2]],2,FALSE)</f>
        <v>10.01.001</v>
      </c>
      <c r="E122" s="485" t="s">
        <v>90</v>
      </c>
      <c r="F122" s="485" t="s">
        <v>582</v>
      </c>
      <c r="G122" s="486" t="s">
        <v>1082</v>
      </c>
      <c r="H122" s="485" t="s">
        <v>1788</v>
      </c>
      <c r="I122" s="474">
        <v>156</v>
      </c>
      <c r="J122" s="477" t="s">
        <v>582</v>
      </c>
      <c r="K122" s="477" t="s">
        <v>2284</v>
      </c>
      <c r="L122" s="475" t="s">
        <v>2104</v>
      </c>
      <c r="M122" s="476">
        <v>46014</v>
      </c>
      <c r="N122" s="476">
        <v>46037</v>
      </c>
      <c r="O122" s="476"/>
      <c r="P122" s="867" t="s">
        <v>215</v>
      </c>
      <c r="Q122" s="488">
        <v>5952</v>
      </c>
      <c r="R122" s="487">
        <v>0</v>
      </c>
      <c r="S122" s="487">
        <v>0</v>
      </c>
      <c r="T122" s="275">
        <f>SUM(mJAN[[#This Row],[PRINCIPAL]:[JUROS]])</f>
        <v>5952</v>
      </c>
    </row>
    <row r="123" spans="2:20" ht="21" customHeight="1">
      <c r="B123" s="5" t="str">
        <f t="shared" si="1"/>
        <v>1/26</v>
      </c>
      <c r="C123" s="274" t="str">
        <f>VLOOKUP(mJAN[[#This Row],[CÓDIGO CONTABIL]],Contas_Gerencial[#All],3,FALSE)</f>
        <v>ENCARGOS</v>
      </c>
      <c r="D123" s="274" t="str">
        <f>VLOOKUP(mJAN[[#This Row],[DESCRIÇÃO CONTABIL]],Contas_Gerencial[[#All],[DESCRIÇÃO DA CONTA - NÃO UTILIZAR]:[Código2]],2,FALSE)</f>
        <v>20.04.004</v>
      </c>
      <c r="E123" s="452" t="s">
        <v>2651</v>
      </c>
      <c r="F123" s="452" t="s">
        <v>582</v>
      </c>
      <c r="G123" s="480" t="s">
        <v>1082</v>
      </c>
      <c r="H123" s="452" t="s">
        <v>1788</v>
      </c>
      <c r="I123" s="481">
        <v>156</v>
      </c>
      <c r="J123" s="453" t="s">
        <v>264</v>
      </c>
      <c r="K123" s="453" t="s">
        <v>2113</v>
      </c>
      <c r="L123" s="456" t="s">
        <v>2104</v>
      </c>
      <c r="M123" s="457">
        <v>46014</v>
      </c>
      <c r="N123" s="457">
        <v>46042</v>
      </c>
      <c r="O123" s="457">
        <v>46042</v>
      </c>
      <c r="P123" s="453" t="s">
        <v>214</v>
      </c>
      <c r="Q123" s="482">
        <v>296.3</v>
      </c>
      <c r="R123" s="459">
        <v>0</v>
      </c>
      <c r="S123" s="459">
        <v>0</v>
      </c>
      <c r="T123" s="275">
        <f>SUM(mJAN[[#This Row],[PRINCIPAL]:[JUROS]])</f>
        <v>296.3</v>
      </c>
    </row>
    <row r="124" spans="2:20" ht="21" customHeight="1">
      <c r="B124" s="5" t="str">
        <f t="shared" si="1"/>
        <v>1/26</v>
      </c>
      <c r="C124" s="283" t="str">
        <f>VLOOKUP(mJAN[[#This Row],[CÓDIGO CONTABIL]],Contas_Gerencial[#All],3,FALSE)</f>
        <v>TRIBUTOS</v>
      </c>
      <c r="D124" s="283" t="str">
        <f>VLOOKUP(mJAN[[#This Row],[DESCRIÇÃO CONTABIL]],Contas_Gerencial[[#All],[DESCRIÇÃO DA CONTA - NÃO UTILIZAR]:[Código2]],2,FALSE)</f>
        <v>20.08.004</v>
      </c>
      <c r="E124" s="452" t="s">
        <v>2648</v>
      </c>
      <c r="F124" s="452" t="s">
        <v>582</v>
      </c>
      <c r="G124" s="480" t="s">
        <v>1082</v>
      </c>
      <c r="H124" s="452" t="s">
        <v>1788</v>
      </c>
      <c r="I124" s="481">
        <v>156</v>
      </c>
      <c r="J124" s="453" t="s">
        <v>654</v>
      </c>
      <c r="K124" s="453" t="s">
        <v>2114</v>
      </c>
      <c r="L124" s="456" t="s">
        <v>2104</v>
      </c>
      <c r="M124" s="457">
        <v>46031</v>
      </c>
      <c r="N124" s="457">
        <v>46042</v>
      </c>
      <c r="O124" s="457">
        <v>46042</v>
      </c>
      <c r="P124" s="453" t="s">
        <v>214</v>
      </c>
      <c r="Q124" s="458">
        <v>197.61</v>
      </c>
      <c r="R124" s="459">
        <v>0</v>
      </c>
      <c r="S124" s="459">
        <v>0</v>
      </c>
      <c r="T124" s="284">
        <f>SUM(mJAN[[#This Row],[PRINCIPAL]:[JUROS]])</f>
        <v>197.61</v>
      </c>
    </row>
    <row r="125" spans="2:20" ht="21" customHeight="1">
      <c r="B125" s="5" t="str">
        <f t="shared" si="1"/>
        <v>1/26</v>
      </c>
      <c r="C125" s="283" t="str">
        <f>VLOOKUP(mJAN[[#This Row],[CÓDIGO CONTABIL]],Contas_Gerencial[#All],3,FALSE)</f>
        <v>TRIBUTOS</v>
      </c>
      <c r="D125" s="283" t="str">
        <f>VLOOKUP(mJAN[[#This Row],[DESCRIÇÃO CONTABIL]],Contas_Gerencial[[#All],[DESCRIÇÃO DA CONTA - NÃO UTILIZAR]:[Código2]],2,FALSE)</f>
        <v>20.08.001</v>
      </c>
      <c r="E125" s="452" t="s">
        <v>2112</v>
      </c>
      <c r="F125" s="452" t="s">
        <v>582</v>
      </c>
      <c r="G125" s="480" t="s">
        <v>1082</v>
      </c>
      <c r="H125" s="452" t="s">
        <v>1788</v>
      </c>
      <c r="I125" s="481">
        <v>156</v>
      </c>
      <c r="J125" s="453" t="s">
        <v>654</v>
      </c>
      <c r="K125" s="453" t="s">
        <v>1907</v>
      </c>
      <c r="L125" s="456" t="s">
        <v>2104</v>
      </c>
      <c r="M125" s="457">
        <v>46031</v>
      </c>
      <c r="N125" s="457">
        <v>46042</v>
      </c>
      <c r="O125" s="457">
        <v>46042</v>
      </c>
      <c r="P125" s="453" t="s">
        <v>214</v>
      </c>
      <c r="Q125" s="458">
        <v>0</v>
      </c>
      <c r="R125" s="459">
        <v>0</v>
      </c>
      <c r="S125" s="459">
        <v>0</v>
      </c>
      <c r="T125" s="284">
        <f>SUM(mJAN[[#This Row],[PRINCIPAL]:[JUROS]])</f>
        <v>0</v>
      </c>
    </row>
    <row r="126" spans="2:20" ht="21" customHeight="1">
      <c r="B126" s="5" t="str">
        <f t="shared" si="1"/>
        <v>1/26</v>
      </c>
      <c r="C126" s="274" t="str">
        <f>VLOOKUP(mJAN[[#This Row],[CÓDIGO CONTABIL]],Contas_Gerencial[#All],3,FALSE)</f>
        <v>TRIBUTOS</v>
      </c>
      <c r="D126" s="274" t="str">
        <f>VLOOKUP(mJAN[[#This Row],[DESCRIÇÃO CONTABIL]],Contas_Gerencial[[#All],[DESCRIÇÃO DA CONTA - NÃO UTILIZAR]:[Código2]],2,FALSE)</f>
        <v>20.08.002</v>
      </c>
      <c r="E126" s="464" t="s">
        <v>589</v>
      </c>
      <c r="F126" s="464" t="s">
        <v>582</v>
      </c>
      <c r="G126" s="986" t="s">
        <v>1082</v>
      </c>
      <c r="H126" s="464" t="s">
        <v>1788</v>
      </c>
      <c r="I126" s="984">
        <v>156</v>
      </c>
      <c r="J126" s="461" t="s">
        <v>654</v>
      </c>
      <c r="K126" s="461" t="s">
        <v>1907</v>
      </c>
      <c r="L126" s="462" t="s">
        <v>2104</v>
      </c>
      <c r="M126" s="463">
        <v>46031</v>
      </c>
      <c r="N126" s="463">
        <v>46042</v>
      </c>
      <c r="O126" s="463"/>
      <c r="P126" s="461" t="s">
        <v>1</v>
      </c>
      <c r="Q126" s="985">
        <v>295.01874019410911</v>
      </c>
      <c r="R126" s="465">
        <v>0</v>
      </c>
      <c r="S126" s="465">
        <v>0</v>
      </c>
      <c r="T126" s="275">
        <f>SUM(mJAN[[#This Row],[PRINCIPAL]:[JUROS]])</f>
        <v>295.01874019410911</v>
      </c>
    </row>
    <row r="127" spans="2:20" ht="21" customHeight="1">
      <c r="B127" s="5" t="str">
        <f t="shared" si="1"/>
        <v>1/26</v>
      </c>
      <c r="C127" s="274" t="str">
        <f>VLOOKUP(mJAN[[#This Row],[CÓDIGO CONTABIL]],Contas_Gerencial[#All],3,FALSE)</f>
        <v>FOLHA DE PAGAMENTO</v>
      </c>
      <c r="D127" s="274" t="str">
        <f>VLOOKUP(mJAN[[#This Row],[DESCRIÇÃO CONTABIL]],Contas_Gerencial[[#All],[DESCRIÇÃO DA CONTA - NÃO UTILIZAR]:[Código2]],2,FALSE)</f>
        <v>20.05.021</v>
      </c>
      <c r="E127" s="452" t="s">
        <v>59</v>
      </c>
      <c r="F127" s="453" t="s">
        <v>582</v>
      </c>
      <c r="G127" s="480" t="s">
        <v>1082</v>
      </c>
      <c r="H127" s="452" t="s">
        <v>1791</v>
      </c>
      <c r="I127" s="481">
        <v>156</v>
      </c>
      <c r="J127" s="453" t="s">
        <v>582</v>
      </c>
      <c r="K127" s="452" t="s">
        <v>2063</v>
      </c>
      <c r="L127" s="456" t="s">
        <v>2104</v>
      </c>
      <c r="M127" s="457">
        <v>46024</v>
      </c>
      <c r="N127" s="457">
        <v>46027</v>
      </c>
      <c r="O127" s="457">
        <v>46028</v>
      </c>
      <c r="P127" s="453" t="s">
        <v>214</v>
      </c>
      <c r="Q127" s="458">
        <v>1702.95</v>
      </c>
      <c r="R127" s="459">
        <v>0</v>
      </c>
      <c r="S127" s="459">
        <v>0</v>
      </c>
      <c r="T127" s="275">
        <f>SUM(mJAN[[#This Row],[PRINCIPAL]:[JUROS]])</f>
        <v>1702.95</v>
      </c>
    </row>
    <row r="128" spans="2:20" ht="21" customHeight="1">
      <c r="B128" s="5" t="str">
        <f t="shared" si="1"/>
        <v>1/26</v>
      </c>
      <c r="C128" s="274" t="str">
        <f>VLOOKUP(mJAN[[#This Row],[CÓDIGO CONTABIL]],Contas_Gerencial[#All],3,FALSE)</f>
        <v>ENCARGOS</v>
      </c>
      <c r="D128" s="274" t="str">
        <f>VLOOKUP(mJAN[[#This Row],[DESCRIÇÃO CONTABIL]],Contas_Gerencial[[#All],[DESCRIÇÃO DA CONTA - NÃO UTILIZAR]:[Código2]],2,FALSE)</f>
        <v>20.04.006</v>
      </c>
      <c r="E128" s="452" t="s">
        <v>1180</v>
      </c>
      <c r="F128" s="452" t="s">
        <v>582</v>
      </c>
      <c r="G128" s="480" t="s">
        <v>1082</v>
      </c>
      <c r="H128" s="452" t="s">
        <v>1180</v>
      </c>
      <c r="I128" s="481">
        <v>156</v>
      </c>
      <c r="J128" s="453" t="s">
        <v>384</v>
      </c>
      <c r="K128" s="453" t="s">
        <v>1180</v>
      </c>
      <c r="L128" s="456" t="s">
        <v>2104</v>
      </c>
      <c r="M128" s="457">
        <v>46028</v>
      </c>
      <c r="N128" s="457">
        <v>46042</v>
      </c>
      <c r="O128" s="457">
        <v>46042</v>
      </c>
      <c r="P128" s="453" t="s">
        <v>214</v>
      </c>
      <c r="Q128" s="458">
        <v>152.01</v>
      </c>
      <c r="R128" s="459">
        <v>0</v>
      </c>
      <c r="S128" s="459">
        <v>0</v>
      </c>
      <c r="T128" s="275">
        <f>SUM(mJAN[[#This Row],[PRINCIPAL]:[JUROS]])</f>
        <v>152.01</v>
      </c>
    </row>
    <row r="129" spans="2:20" ht="21" customHeight="1">
      <c r="B129" s="5" t="str">
        <f t="shared" si="1"/>
        <v>1/26</v>
      </c>
      <c r="C129" s="274" t="str">
        <f>VLOOKUP(mJAN[[#This Row],[CÓDIGO CONTABIL]],Contas_Gerencial[#All],3,FALSE)</f>
        <v>ENCARGOS</v>
      </c>
      <c r="D129" s="274" t="str">
        <f>VLOOKUP(mJAN[[#This Row],[DESCRIÇÃO CONTABIL]],Contas_Gerencial[[#All],[DESCRIÇÃO DA CONTA - NÃO UTILIZAR]:[Código2]],2,FALSE)</f>
        <v>20.04.001</v>
      </c>
      <c r="E129" s="464" t="s">
        <v>2659</v>
      </c>
      <c r="F129" s="464" t="s">
        <v>582</v>
      </c>
      <c r="G129" s="464" t="s">
        <v>1082</v>
      </c>
      <c r="H129" s="464" t="s">
        <v>1788</v>
      </c>
      <c r="I129" s="984">
        <v>156</v>
      </c>
      <c r="J129" s="461" t="s">
        <v>757</v>
      </c>
      <c r="K129" s="461" t="s">
        <v>2089</v>
      </c>
      <c r="L129" s="462" t="s">
        <v>2104</v>
      </c>
      <c r="M129" s="463">
        <v>46024</v>
      </c>
      <c r="N129" s="463">
        <v>46042</v>
      </c>
      <c r="O129" s="463"/>
      <c r="P129" s="741" t="s">
        <v>1</v>
      </c>
      <c r="Q129" s="484">
        <f>148.24-65</f>
        <v>83.240000000000009</v>
      </c>
      <c r="R129" s="465">
        <v>0</v>
      </c>
      <c r="S129" s="465">
        <v>0</v>
      </c>
      <c r="T129" s="275">
        <f>SUM(mJAN[[#This Row],[PRINCIPAL]:[JUROS]])</f>
        <v>83.240000000000009</v>
      </c>
    </row>
    <row r="130" spans="2:20" ht="21" customHeight="1">
      <c r="B130" s="5" t="str">
        <f t="shared" si="1"/>
        <v>1/26</v>
      </c>
      <c r="C130" s="274" t="str">
        <f>VLOOKUP(mJAN[[#This Row],[CÓDIGO CONTABIL]],Contas_Gerencial[#All],3,FALSE)</f>
        <v>BENEFICIO</v>
      </c>
      <c r="D130" s="274" t="str">
        <f>VLOOKUP(mJAN[[#This Row],[DESCRIÇÃO CONTABIL]],Contas_Gerencial[[#All],[DESCRIÇÃO DA CONTA - NÃO UTILIZAR]:[Código2]],2,FALSE)</f>
        <v>20.05.006</v>
      </c>
      <c r="E130" s="480" t="s">
        <v>24</v>
      </c>
      <c r="F130" s="452" t="s">
        <v>582</v>
      </c>
      <c r="G130" s="480" t="s">
        <v>1082</v>
      </c>
      <c r="H130" s="452" t="s">
        <v>1791</v>
      </c>
      <c r="I130" s="481">
        <v>200126</v>
      </c>
      <c r="J130" s="453" t="s">
        <v>581</v>
      </c>
      <c r="K130" s="453" t="s">
        <v>2180</v>
      </c>
      <c r="L130" s="451" t="s">
        <v>2137</v>
      </c>
      <c r="M130" s="457">
        <v>46042</v>
      </c>
      <c r="N130" s="457">
        <v>46043</v>
      </c>
      <c r="O130" s="457">
        <v>46042</v>
      </c>
      <c r="P130" s="452" t="s">
        <v>214</v>
      </c>
      <c r="Q130" s="467">
        <v>1151.8</v>
      </c>
      <c r="R130" s="467">
        <v>0</v>
      </c>
      <c r="S130" s="467">
        <v>0</v>
      </c>
      <c r="T130" s="275">
        <f>SUM(mJAN[[#This Row],[PRINCIPAL]:[JUROS]])</f>
        <v>1151.8</v>
      </c>
    </row>
    <row r="131" spans="2:20" ht="21" customHeight="1">
      <c r="B131" s="5" t="str">
        <f t="shared" si="1"/>
        <v>1/26</v>
      </c>
      <c r="C131" s="274" t="str">
        <f>VLOOKUP(mJAN[[#This Row],[CÓDIGO CONTABIL]],Contas_Gerencial[#All],3,FALSE)</f>
        <v>BENEFICIO</v>
      </c>
      <c r="D131" s="274" t="str">
        <f>VLOOKUP(mJAN[[#This Row],[DESCRIÇÃO CONTABIL]],Contas_Gerencial[[#All],[DESCRIÇÃO DA CONTA - NÃO UTILIZAR]:[Código2]],2,FALSE)</f>
        <v>20.05.007</v>
      </c>
      <c r="E131" s="480" t="s">
        <v>25</v>
      </c>
      <c r="F131" s="452" t="s">
        <v>582</v>
      </c>
      <c r="G131" s="480" t="s">
        <v>1082</v>
      </c>
      <c r="H131" s="452" t="s">
        <v>1791</v>
      </c>
      <c r="I131" s="481">
        <v>200126</v>
      </c>
      <c r="J131" s="453" t="s">
        <v>581</v>
      </c>
      <c r="K131" s="453" t="s">
        <v>2180</v>
      </c>
      <c r="L131" s="451" t="s">
        <v>2137</v>
      </c>
      <c r="M131" s="457">
        <v>46042</v>
      </c>
      <c r="N131" s="457">
        <v>46043</v>
      </c>
      <c r="O131" s="457">
        <v>46042</v>
      </c>
      <c r="P131" s="452" t="s">
        <v>214</v>
      </c>
      <c r="Q131" s="467">
        <v>512.20000000000005</v>
      </c>
      <c r="R131" s="467">
        <v>0</v>
      </c>
      <c r="S131" s="467">
        <v>0</v>
      </c>
      <c r="T131" s="275">
        <f>SUM(mJAN[[#This Row],[PRINCIPAL]:[JUROS]])</f>
        <v>512.20000000000005</v>
      </c>
    </row>
    <row r="132" spans="2:20" ht="21" customHeight="1">
      <c r="B132" s="5" t="str">
        <f t="shared" si="1"/>
        <v>1/26</v>
      </c>
      <c r="C132" s="274" t="str">
        <f>VLOOKUP(mJAN[[#This Row],[CÓDIGO CONTABIL]],Contas_Gerencial[#All],3,FALSE)</f>
        <v>RECEITA SUBCONTA</v>
      </c>
      <c r="D132" s="274" t="str">
        <f>VLOOKUP(mJAN[[#This Row],[DESCRIÇÃO CONTABIL]],Contas_Gerencial[[#All],[DESCRIÇÃO DA CONTA - NÃO UTILIZAR]:[Código2]],2,FALSE)</f>
        <v>10.01.001</v>
      </c>
      <c r="E132" s="452" t="s">
        <v>90</v>
      </c>
      <c r="F132" s="452" t="s">
        <v>581</v>
      </c>
      <c r="G132" s="480" t="s">
        <v>595</v>
      </c>
      <c r="H132" s="452" t="s">
        <v>1788</v>
      </c>
      <c r="I132" s="481">
        <v>0</v>
      </c>
      <c r="J132" s="453" t="s">
        <v>581</v>
      </c>
      <c r="K132" s="453" t="s">
        <v>1792</v>
      </c>
      <c r="L132" s="456" t="s">
        <v>2104</v>
      </c>
      <c r="M132" s="457">
        <v>46014</v>
      </c>
      <c r="N132" s="457">
        <v>46027</v>
      </c>
      <c r="O132" s="457">
        <v>46027</v>
      </c>
      <c r="P132" s="452" t="s">
        <v>214</v>
      </c>
      <c r="Q132" s="458">
        <v>0</v>
      </c>
      <c r="R132" s="459">
        <v>0</v>
      </c>
      <c r="S132" s="459">
        <v>0</v>
      </c>
      <c r="T132" s="275">
        <f>SUM(mJAN[[#This Row],[PRINCIPAL]:[JUROS]])</f>
        <v>0</v>
      </c>
    </row>
    <row r="133" spans="2:20" ht="21" customHeight="1">
      <c r="B133" s="5" t="str">
        <f t="shared" si="1"/>
        <v>1/26</v>
      </c>
      <c r="C133" s="274" t="str">
        <f>VLOOKUP(mJAN[[#This Row],[CÓDIGO CONTABIL]],Contas_Gerencial[#All],3,FALSE)</f>
        <v>FOLHA DE PAGAMENTO</v>
      </c>
      <c r="D133" s="274" t="str">
        <f>VLOOKUP(mJAN[[#This Row],[DESCRIÇÃO CONTABIL]],Contas_Gerencial[[#All],[DESCRIÇÃO DA CONTA - NÃO UTILIZAR]:[Código2]],2,FALSE)</f>
        <v>20.05.021</v>
      </c>
      <c r="E133" s="452" t="s">
        <v>59</v>
      </c>
      <c r="F133" s="452" t="s">
        <v>581</v>
      </c>
      <c r="G133" s="480" t="s">
        <v>595</v>
      </c>
      <c r="H133" s="452" t="s">
        <v>1791</v>
      </c>
      <c r="I133" s="481">
        <v>0</v>
      </c>
      <c r="J133" s="453" t="s">
        <v>581</v>
      </c>
      <c r="K133" s="453" t="s">
        <v>1973</v>
      </c>
      <c r="L133" s="456" t="s">
        <v>2104</v>
      </c>
      <c r="M133" s="457">
        <v>46028</v>
      </c>
      <c r="N133" s="457">
        <v>46028</v>
      </c>
      <c r="O133" s="457">
        <v>46028</v>
      </c>
      <c r="P133" s="453" t="s">
        <v>214</v>
      </c>
      <c r="Q133" s="483">
        <v>4435.1000000000004</v>
      </c>
      <c r="R133" s="459">
        <v>0</v>
      </c>
      <c r="S133" s="459">
        <v>0</v>
      </c>
      <c r="T133" s="275">
        <f>SUM(mJAN[[#This Row],[PRINCIPAL]:[JUROS]])</f>
        <v>4435.1000000000004</v>
      </c>
    </row>
    <row r="134" spans="2:20" ht="21" customHeight="1">
      <c r="B134" s="5" t="str">
        <f t="shared" si="1"/>
        <v>1/26</v>
      </c>
      <c r="C134" s="274" t="str">
        <f>VLOOKUP(mJAN[[#This Row],[CÓDIGO CONTABIL]],Contas_Gerencial[#All],3,FALSE)</f>
        <v>ENCARGOS</v>
      </c>
      <c r="D134" s="274" t="str">
        <f>VLOOKUP(mJAN[[#This Row],[DESCRIÇÃO CONTABIL]],Contas_Gerencial[[#All],[DESCRIÇÃO DA CONTA - NÃO UTILIZAR]:[Código2]],2,FALSE)</f>
        <v>20.04.006</v>
      </c>
      <c r="E134" s="452" t="s">
        <v>1180</v>
      </c>
      <c r="F134" s="453" t="s">
        <v>581</v>
      </c>
      <c r="G134" s="480" t="s">
        <v>595</v>
      </c>
      <c r="H134" s="452" t="s">
        <v>1180</v>
      </c>
      <c r="I134" s="481">
        <v>0</v>
      </c>
      <c r="J134" s="453" t="s">
        <v>384</v>
      </c>
      <c r="K134" s="452" t="s">
        <v>1180</v>
      </c>
      <c r="L134" s="456" t="s">
        <v>2104</v>
      </c>
      <c r="M134" s="457">
        <v>46028</v>
      </c>
      <c r="N134" s="457">
        <v>46042</v>
      </c>
      <c r="O134" s="457">
        <v>46042</v>
      </c>
      <c r="P134" s="453" t="s">
        <v>214</v>
      </c>
      <c r="Q134" s="458">
        <v>270.68</v>
      </c>
      <c r="R134" s="459">
        <v>0</v>
      </c>
      <c r="S134" s="459">
        <v>0</v>
      </c>
      <c r="T134" s="275">
        <f>SUM(mJAN[[#This Row],[PRINCIPAL]:[JUROS]])</f>
        <v>270.68</v>
      </c>
    </row>
    <row r="135" spans="2:20" ht="21" customHeight="1">
      <c r="B135" s="5" t="str">
        <f t="shared" si="1"/>
        <v>1/26</v>
      </c>
      <c r="C135" s="274" t="str">
        <f>VLOOKUP(mJAN[[#This Row],[CÓDIGO CONTABIL]],Contas_Gerencial[#All],3,FALSE)</f>
        <v>ENCARGOS</v>
      </c>
      <c r="D135" s="274" t="str">
        <f>VLOOKUP(mJAN[[#This Row],[DESCRIÇÃO CONTABIL]],Contas_Gerencial[[#All],[DESCRIÇÃO DA CONTA - NÃO UTILIZAR]:[Código2]],2,FALSE)</f>
        <v>20.04.001</v>
      </c>
      <c r="E135" s="464" t="s">
        <v>2659</v>
      </c>
      <c r="F135" s="464" t="s">
        <v>581</v>
      </c>
      <c r="G135" s="986" t="s">
        <v>595</v>
      </c>
      <c r="H135" s="464" t="s">
        <v>1788</v>
      </c>
      <c r="I135" s="984">
        <v>0</v>
      </c>
      <c r="J135" s="461" t="s">
        <v>757</v>
      </c>
      <c r="K135" s="461" t="s">
        <v>2089</v>
      </c>
      <c r="L135" s="462" t="s">
        <v>2104</v>
      </c>
      <c r="M135" s="463">
        <v>46028</v>
      </c>
      <c r="N135" s="463">
        <v>46042</v>
      </c>
      <c r="O135" s="463"/>
      <c r="P135" s="464" t="s">
        <v>1</v>
      </c>
      <c r="Q135" s="993">
        <v>466.4</v>
      </c>
      <c r="R135" s="465">
        <v>0</v>
      </c>
      <c r="S135" s="465">
        <v>0</v>
      </c>
      <c r="T135" s="275">
        <f>SUM(mJAN[[#This Row],[PRINCIPAL]:[JUROS]])</f>
        <v>466.4</v>
      </c>
    </row>
    <row r="136" spans="2:20" ht="21" customHeight="1">
      <c r="B136" s="5" t="str">
        <f t="shared" si="1"/>
        <v>1/26</v>
      </c>
      <c r="C136" s="274" t="str">
        <f>VLOOKUP(mJAN[[#This Row],[CÓDIGO CONTABIL]],Contas_Gerencial[#All],3,FALSE)</f>
        <v>BENEFICIO</v>
      </c>
      <c r="D136" s="274" t="str">
        <f>VLOOKUP(mJAN[[#This Row],[DESCRIÇÃO CONTABIL]],Contas_Gerencial[[#All],[DESCRIÇÃO DA CONTA - NÃO UTILIZAR]:[Código2]],2,FALSE)</f>
        <v>20.05.006</v>
      </c>
      <c r="E136" s="480" t="s">
        <v>24</v>
      </c>
      <c r="F136" s="452" t="s">
        <v>581</v>
      </c>
      <c r="G136" s="480" t="s">
        <v>595</v>
      </c>
      <c r="H136" s="452" t="s">
        <v>1791</v>
      </c>
      <c r="I136" s="481">
        <v>200126</v>
      </c>
      <c r="J136" s="453" t="s">
        <v>581</v>
      </c>
      <c r="K136" s="453" t="s">
        <v>2180</v>
      </c>
      <c r="L136" s="451" t="s">
        <v>2137</v>
      </c>
      <c r="M136" s="457">
        <v>46042</v>
      </c>
      <c r="N136" s="457">
        <v>46043</v>
      </c>
      <c r="O136" s="457">
        <v>46042</v>
      </c>
      <c r="P136" s="452" t="s">
        <v>214</v>
      </c>
      <c r="Q136" s="467">
        <v>2303.6</v>
      </c>
      <c r="R136" s="467">
        <v>0</v>
      </c>
      <c r="S136" s="467">
        <v>0</v>
      </c>
      <c r="T136" s="275">
        <f>SUM(mJAN[[#This Row],[PRINCIPAL]:[JUROS]])</f>
        <v>2303.6</v>
      </c>
    </row>
    <row r="137" spans="2:20" ht="21" customHeight="1">
      <c r="B137" s="5" t="str">
        <f t="shared" si="1"/>
        <v>1/26</v>
      </c>
      <c r="C137" s="274" t="str">
        <f>VLOOKUP(mJAN[[#This Row],[CÓDIGO CONTABIL]],Contas_Gerencial[#All],3,FALSE)</f>
        <v>BENEFICIO</v>
      </c>
      <c r="D137" s="274" t="str">
        <f>VLOOKUP(mJAN[[#This Row],[DESCRIÇÃO CONTABIL]],Contas_Gerencial[[#All],[DESCRIÇÃO DA CONTA - NÃO UTILIZAR]:[Código2]],2,FALSE)</f>
        <v>20.05.007</v>
      </c>
      <c r="E137" s="480" t="s">
        <v>25</v>
      </c>
      <c r="F137" s="452" t="s">
        <v>581</v>
      </c>
      <c r="G137" s="480" t="s">
        <v>595</v>
      </c>
      <c r="H137" s="452" t="s">
        <v>1791</v>
      </c>
      <c r="I137" s="481">
        <v>200126</v>
      </c>
      <c r="J137" s="453" t="s">
        <v>581</v>
      </c>
      <c r="K137" s="453" t="s">
        <v>2180</v>
      </c>
      <c r="L137" s="451" t="s">
        <v>2137</v>
      </c>
      <c r="M137" s="457">
        <v>46042</v>
      </c>
      <c r="N137" s="457">
        <v>46043</v>
      </c>
      <c r="O137" s="457">
        <v>46042</v>
      </c>
      <c r="P137" s="452" t="s">
        <v>214</v>
      </c>
      <c r="Q137" s="467">
        <v>572</v>
      </c>
      <c r="R137" s="467">
        <v>0</v>
      </c>
      <c r="S137" s="467">
        <v>0</v>
      </c>
      <c r="T137" s="275">
        <f>SUM(mJAN[[#This Row],[PRINCIPAL]:[JUROS]])</f>
        <v>572</v>
      </c>
    </row>
    <row r="138" spans="2:20" ht="21" customHeight="1">
      <c r="B138" s="5" t="str">
        <f t="shared" si="1"/>
        <v>1/26</v>
      </c>
      <c r="C138" s="274" t="str">
        <f>VLOOKUP(mJAN[[#This Row],[CÓDIGO CONTABIL]],Contas_Gerencial[#All],3,FALSE)</f>
        <v>RECEITA SUBCONTA</v>
      </c>
      <c r="D138" s="274" t="str">
        <f>VLOOKUP(mJAN[[#This Row],[DESCRIÇÃO CONTABIL]],Contas_Gerencial[[#All],[DESCRIÇÃO DA CONTA - NÃO UTILIZAR]:[Código2]],2,FALSE)</f>
        <v>10.01.001</v>
      </c>
      <c r="E138" s="452" t="s">
        <v>90</v>
      </c>
      <c r="F138" s="452" t="s">
        <v>581</v>
      </c>
      <c r="G138" s="480" t="s">
        <v>1130</v>
      </c>
      <c r="H138" s="452" t="s">
        <v>1788</v>
      </c>
      <c r="I138" s="481">
        <v>0</v>
      </c>
      <c r="J138" s="453" t="s">
        <v>581</v>
      </c>
      <c r="K138" s="453" t="s">
        <v>1792</v>
      </c>
      <c r="L138" s="456" t="s">
        <v>2104</v>
      </c>
      <c r="M138" s="457">
        <v>46014</v>
      </c>
      <c r="N138" s="457">
        <v>46027</v>
      </c>
      <c r="O138" s="457">
        <v>46027</v>
      </c>
      <c r="P138" s="452" t="s">
        <v>214</v>
      </c>
      <c r="Q138" s="458">
        <v>0</v>
      </c>
      <c r="R138" s="459">
        <v>0</v>
      </c>
      <c r="S138" s="459">
        <v>0</v>
      </c>
      <c r="T138" s="275">
        <f>SUM(mJAN[[#This Row],[PRINCIPAL]:[JUROS]])</f>
        <v>0</v>
      </c>
    </row>
    <row r="139" spans="2:20" ht="21" customHeight="1">
      <c r="B139" s="5" t="str">
        <f t="shared" si="1"/>
        <v>1/26</v>
      </c>
      <c r="C139" s="274" t="str">
        <f>VLOOKUP(mJAN[[#This Row],[CÓDIGO CONTABIL]],Contas_Gerencial[#All],3,FALSE)</f>
        <v>FOLHA DE PAGAMENTO</v>
      </c>
      <c r="D139" s="274" t="str">
        <f>VLOOKUP(mJAN[[#This Row],[DESCRIÇÃO CONTABIL]],Contas_Gerencial[[#All],[DESCRIÇÃO DA CONTA - NÃO UTILIZAR]:[Código2]],2,FALSE)</f>
        <v>20.05.021</v>
      </c>
      <c r="E139" s="452" t="s">
        <v>59</v>
      </c>
      <c r="F139" s="453" t="s">
        <v>581</v>
      </c>
      <c r="G139" s="453" t="s">
        <v>1130</v>
      </c>
      <c r="H139" s="453" t="s">
        <v>1791</v>
      </c>
      <c r="I139" s="481" t="s">
        <v>2065</v>
      </c>
      <c r="J139" s="453" t="s">
        <v>581</v>
      </c>
      <c r="K139" s="503" t="s">
        <v>2152</v>
      </c>
      <c r="L139" s="456" t="s">
        <v>2104</v>
      </c>
      <c r="M139" s="457">
        <v>46028</v>
      </c>
      <c r="N139" s="457">
        <v>46028</v>
      </c>
      <c r="O139" s="457">
        <v>46028</v>
      </c>
      <c r="P139" s="453" t="s">
        <v>214</v>
      </c>
      <c r="Q139" s="483">
        <v>3173.66</v>
      </c>
      <c r="R139" s="459">
        <v>0</v>
      </c>
      <c r="S139" s="459">
        <v>0</v>
      </c>
      <c r="T139" s="275">
        <f>SUM(mJAN[[#This Row],[PRINCIPAL]:[JUROS]])</f>
        <v>3173.66</v>
      </c>
    </row>
    <row r="140" spans="2:20" ht="21" customHeight="1">
      <c r="B140" s="5" t="str">
        <f t="shared" ref="B140:B203" si="2">B139</f>
        <v>1/26</v>
      </c>
      <c r="C140" s="274" t="str">
        <f>VLOOKUP(mJAN[[#This Row],[CÓDIGO CONTABIL]],Contas_Gerencial[#All],3,FALSE)</f>
        <v>ENCARGOS</v>
      </c>
      <c r="D140" s="274" t="str">
        <f>VLOOKUP(mJAN[[#This Row],[DESCRIÇÃO CONTABIL]],Contas_Gerencial[[#All],[DESCRIÇÃO DA CONTA - NÃO UTILIZAR]:[Código2]],2,FALSE)</f>
        <v>20.04.006</v>
      </c>
      <c r="E140" s="452" t="s">
        <v>1180</v>
      </c>
      <c r="F140" s="453" t="s">
        <v>581</v>
      </c>
      <c r="G140" s="453" t="s">
        <v>1130</v>
      </c>
      <c r="H140" s="452" t="s">
        <v>1180</v>
      </c>
      <c r="I140" s="481" t="s">
        <v>2065</v>
      </c>
      <c r="J140" s="453" t="s">
        <v>384</v>
      </c>
      <c r="K140" s="452" t="s">
        <v>1180</v>
      </c>
      <c r="L140" s="456" t="s">
        <v>2104</v>
      </c>
      <c r="M140" s="457">
        <v>46028</v>
      </c>
      <c r="N140" s="457">
        <v>46042</v>
      </c>
      <c r="O140" s="457">
        <v>46042</v>
      </c>
      <c r="P140" s="453" t="s">
        <v>214</v>
      </c>
      <c r="Q140" s="483">
        <v>294.05</v>
      </c>
      <c r="R140" s="459">
        <v>0</v>
      </c>
      <c r="S140" s="459">
        <v>0</v>
      </c>
      <c r="T140" s="275">
        <f>SUM(mJAN[[#This Row],[PRINCIPAL]:[JUROS]])</f>
        <v>294.05</v>
      </c>
    </row>
    <row r="141" spans="2:20" ht="21" customHeight="1">
      <c r="B141" s="5" t="str">
        <f t="shared" si="2"/>
        <v>1/26</v>
      </c>
      <c r="C141" s="274" t="str">
        <f>VLOOKUP(mJAN[[#This Row],[CÓDIGO CONTABIL]],Contas_Gerencial[#All],3,FALSE)</f>
        <v>ENCARGOS</v>
      </c>
      <c r="D141" s="274" t="str">
        <f>VLOOKUP(mJAN[[#This Row],[DESCRIÇÃO CONTABIL]],Contas_Gerencial[[#All],[DESCRIÇÃO DA CONTA - NÃO UTILIZAR]:[Código2]],2,FALSE)</f>
        <v>20.04.001</v>
      </c>
      <c r="E141" s="464" t="s">
        <v>2659</v>
      </c>
      <c r="F141" s="464" t="s">
        <v>581</v>
      </c>
      <c r="G141" s="461" t="s">
        <v>1130</v>
      </c>
      <c r="H141" s="464" t="s">
        <v>1788</v>
      </c>
      <c r="I141" s="984" t="s">
        <v>2065</v>
      </c>
      <c r="J141" s="461" t="s">
        <v>757</v>
      </c>
      <c r="K141" s="461" t="s">
        <v>2089</v>
      </c>
      <c r="L141" s="462" t="s">
        <v>2104</v>
      </c>
      <c r="M141" s="463">
        <v>46028</v>
      </c>
      <c r="N141" s="463">
        <v>46042</v>
      </c>
      <c r="O141" s="463"/>
      <c r="P141" s="464" t="s">
        <v>1</v>
      </c>
      <c r="Q141" s="993">
        <f>285.27-65</f>
        <v>220.26999999999998</v>
      </c>
      <c r="R141" s="465">
        <v>0</v>
      </c>
      <c r="S141" s="465">
        <v>0</v>
      </c>
      <c r="T141" s="275">
        <f>SUM(mJAN[[#This Row],[PRINCIPAL]:[JUROS]])</f>
        <v>220.26999999999998</v>
      </c>
    </row>
    <row r="142" spans="2:20" ht="21" customHeight="1">
      <c r="B142" s="5" t="str">
        <f t="shared" si="2"/>
        <v>1/26</v>
      </c>
      <c r="C142" s="274" t="str">
        <f>VLOOKUP(mJAN[[#This Row],[CÓDIGO CONTABIL]],Contas_Gerencial[#All],3,FALSE)</f>
        <v>BENEFICIO</v>
      </c>
      <c r="D142" s="274" t="str">
        <f>VLOOKUP(mJAN[[#This Row],[DESCRIÇÃO CONTABIL]],Contas_Gerencial[[#All],[DESCRIÇÃO DA CONTA - NÃO UTILIZAR]:[Código2]],2,FALSE)</f>
        <v>20.05.006</v>
      </c>
      <c r="E142" s="480" t="s">
        <v>24</v>
      </c>
      <c r="F142" s="452" t="s">
        <v>581</v>
      </c>
      <c r="G142" s="480" t="s">
        <v>1130</v>
      </c>
      <c r="H142" s="452" t="s">
        <v>1791</v>
      </c>
      <c r="I142" s="481">
        <v>200126</v>
      </c>
      <c r="J142" s="453" t="s">
        <v>581</v>
      </c>
      <c r="K142" s="453" t="s">
        <v>2180</v>
      </c>
      <c r="L142" s="451" t="s">
        <v>2137</v>
      </c>
      <c r="M142" s="457">
        <v>46042</v>
      </c>
      <c r="N142" s="457">
        <v>46043</v>
      </c>
      <c r="O142" s="457">
        <v>46042</v>
      </c>
      <c r="P142" s="452" t="s">
        <v>214</v>
      </c>
      <c r="Q142" s="467">
        <v>3322.5</v>
      </c>
      <c r="R142" s="467">
        <v>0</v>
      </c>
      <c r="S142" s="467">
        <v>0</v>
      </c>
      <c r="T142" s="275">
        <f>SUM(mJAN[[#This Row],[PRINCIPAL]:[JUROS]])</f>
        <v>3322.5</v>
      </c>
    </row>
    <row r="143" spans="2:20" ht="21" customHeight="1">
      <c r="B143" s="5" t="str">
        <f t="shared" si="2"/>
        <v>1/26</v>
      </c>
      <c r="C143" s="274" t="str">
        <f>VLOOKUP(mJAN[[#This Row],[CÓDIGO CONTABIL]],Contas_Gerencial[#All],3,FALSE)</f>
        <v>BENEFICIO</v>
      </c>
      <c r="D143" s="274" t="str">
        <f>VLOOKUP(mJAN[[#This Row],[DESCRIÇÃO CONTABIL]],Contas_Gerencial[[#All],[DESCRIÇÃO DA CONTA - NÃO UTILIZAR]:[Código2]],2,FALSE)</f>
        <v>20.05.007</v>
      </c>
      <c r="E143" s="480" t="s">
        <v>25</v>
      </c>
      <c r="F143" s="452" t="s">
        <v>581</v>
      </c>
      <c r="G143" s="480" t="s">
        <v>1130</v>
      </c>
      <c r="H143" s="452" t="s">
        <v>1791</v>
      </c>
      <c r="I143" s="481">
        <v>200126</v>
      </c>
      <c r="J143" s="453" t="s">
        <v>581</v>
      </c>
      <c r="K143" s="453" t="s">
        <v>2180</v>
      </c>
      <c r="L143" s="451" t="s">
        <v>2137</v>
      </c>
      <c r="M143" s="457">
        <v>46042</v>
      </c>
      <c r="N143" s="457">
        <v>46043</v>
      </c>
      <c r="O143" s="457">
        <v>46042</v>
      </c>
      <c r="P143" s="452" t="s">
        <v>214</v>
      </c>
      <c r="Q143" s="467">
        <v>825</v>
      </c>
      <c r="R143" s="467">
        <v>0</v>
      </c>
      <c r="S143" s="467">
        <v>0</v>
      </c>
      <c r="T143" s="275">
        <f>SUM(mJAN[[#This Row],[PRINCIPAL]:[JUROS]])</f>
        <v>825</v>
      </c>
    </row>
    <row r="144" spans="2:20" ht="21" customHeight="1">
      <c r="B144" s="5" t="str">
        <f t="shared" si="2"/>
        <v>1/26</v>
      </c>
      <c r="C144" s="990" t="str">
        <f>VLOOKUP(mJAN[[#This Row],[CÓDIGO CONTABIL]],Contas_Gerencial[#All],3,FALSE)</f>
        <v>FOLHA DE PAGAMENTO</v>
      </c>
      <c r="D144" s="990" t="str">
        <f>VLOOKUP(mJAN[[#This Row],[DESCRIÇÃO CONTABIL]],Contas_Gerencial[[#All],[DESCRIÇÃO DA CONTA - NÃO UTILIZAR]:[Código2]],2,FALSE)</f>
        <v>20.05.021</v>
      </c>
      <c r="E144" s="452" t="s">
        <v>59</v>
      </c>
      <c r="F144" s="453" t="s">
        <v>581</v>
      </c>
      <c r="G144" s="453" t="s">
        <v>653</v>
      </c>
      <c r="H144" s="453" t="s">
        <v>1791</v>
      </c>
      <c r="I144" s="716">
        <v>155</v>
      </c>
      <c r="J144" s="453" t="s">
        <v>581</v>
      </c>
      <c r="K144" s="453" t="s">
        <v>2145</v>
      </c>
      <c r="L144" s="456" t="s">
        <v>2104</v>
      </c>
      <c r="M144" s="457">
        <v>46028</v>
      </c>
      <c r="N144" s="457">
        <v>46028</v>
      </c>
      <c r="O144" s="457">
        <v>46028</v>
      </c>
      <c r="P144" s="453" t="s">
        <v>214</v>
      </c>
      <c r="Q144" s="483">
        <v>1637.95</v>
      </c>
      <c r="R144" s="459">
        <v>0</v>
      </c>
      <c r="S144" s="459">
        <v>0</v>
      </c>
      <c r="T144" s="991">
        <f>SUM(mJAN[[#This Row],[PRINCIPAL]:[JUROS]])</f>
        <v>1637.95</v>
      </c>
    </row>
    <row r="145" spans="2:20" ht="21" customHeight="1">
      <c r="B145" s="5" t="str">
        <f t="shared" si="2"/>
        <v>1/26</v>
      </c>
      <c r="C145" s="990" t="str">
        <f>VLOOKUP(mJAN[[#This Row],[CÓDIGO CONTABIL]],Contas_Gerencial[#All],3,FALSE)</f>
        <v>ENCARGOS</v>
      </c>
      <c r="D145" s="990" t="str">
        <f>VLOOKUP(mJAN[[#This Row],[DESCRIÇÃO CONTABIL]],Contas_Gerencial[[#All],[DESCRIÇÃO DA CONTA - NÃO UTILIZAR]:[Código2]],2,FALSE)</f>
        <v>20.04.006</v>
      </c>
      <c r="E145" s="452" t="s">
        <v>1180</v>
      </c>
      <c r="F145" s="453" t="s">
        <v>581</v>
      </c>
      <c r="G145" s="453" t="s">
        <v>653</v>
      </c>
      <c r="H145" s="452" t="s">
        <v>1180</v>
      </c>
      <c r="I145" s="481">
        <v>155</v>
      </c>
      <c r="J145" s="453" t="s">
        <v>384</v>
      </c>
      <c r="K145" s="452" t="s">
        <v>1180</v>
      </c>
      <c r="L145" s="456" t="s">
        <v>2104</v>
      </c>
      <c r="M145" s="457">
        <v>46028</v>
      </c>
      <c r="N145" s="457">
        <v>46042</v>
      </c>
      <c r="O145" s="457">
        <v>46042</v>
      </c>
      <c r="P145" s="452" t="s">
        <v>214</v>
      </c>
      <c r="Q145" s="483">
        <v>152.01</v>
      </c>
      <c r="R145" s="459">
        <v>0</v>
      </c>
      <c r="S145" s="459">
        <v>0</v>
      </c>
      <c r="T145" s="991">
        <f>SUM(mJAN[[#This Row],[PRINCIPAL]:[JUROS]])</f>
        <v>152.01</v>
      </c>
    </row>
    <row r="146" spans="2:20" ht="21" customHeight="1">
      <c r="B146" s="5" t="str">
        <f t="shared" si="2"/>
        <v>1/26</v>
      </c>
      <c r="C146" s="990" t="str">
        <f>VLOOKUP(mJAN[[#This Row],[CÓDIGO CONTABIL]],Contas_Gerencial[#All],3,FALSE)</f>
        <v>ENCARGOS</v>
      </c>
      <c r="D146" s="990" t="str">
        <f>VLOOKUP(mJAN[[#This Row],[DESCRIÇÃO CONTABIL]],Contas_Gerencial[[#All],[DESCRIÇÃO DA CONTA - NÃO UTILIZAR]:[Código2]],2,FALSE)</f>
        <v>20.04.001</v>
      </c>
      <c r="E146" s="464" t="s">
        <v>2659</v>
      </c>
      <c r="F146" s="464" t="s">
        <v>581</v>
      </c>
      <c r="G146" s="461" t="s">
        <v>653</v>
      </c>
      <c r="H146" s="464" t="s">
        <v>1788</v>
      </c>
      <c r="I146" s="984">
        <v>155</v>
      </c>
      <c r="J146" s="461" t="s">
        <v>757</v>
      </c>
      <c r="K146" s="461" t="s">
        <v>2089</v>
      </c>
      <c r="L146" s="462" t="s">
        <v>2104</v>
      </c>
      <c r="M146" s="463">
        <v>46028</v>
      </c>
      <c r="N146" s="463">
        <v>46042</v>
      </c>
      <c r="O146" s="463"/>
      <c r="P146" s="464" t="s">
        <v>1</v>
      </c>
      <c r="Q146" s="993">
        <v>148.24</v>
      </c>
      <c r="R146" s="465">
        <v>0</v>
      </c>
      <c r="S146" s="465">
        <v>0</v>
      </c>
      <c r="T146" s="991">
        <f>SUM(mJAN[[#This Row],[PRINCIPAL]:[JUROS]])</f>
        <v>148.24</v>
      </c>
    </row>
    <row r="147" spans="2:20" ht="21" customHeight="1">
      <c r="B147" s="5" t="str">
        <f t="shared" si="2"/>
        <v>1/26</v>
      </c>
      <c r="C147" s="990" t="str">
        <f>VLOOKUP(mJAN[[#This Row],[CÓDIGO CONTABIL]],Contas_Gerencial[#All],3,FALSE)</f>
        <v>BENEFICIO</v>
      </c>
      <c r="D147" s="990" t="str">
        <f>VLOOKUP(mJAN[[#This Row],[DESCRIÇÃO CONTABIL]],Contas_Gerencial[[#All],[DESCRIÇÃO DA CONTA - NÃO UTILIZAR]:[Código2]],2,FALSE)</f>
        <v>20.05.006</v>
      </c>
      <c r="E147" s="480" t="s">
        <v>24</v>
      </c>
      <c r="F147" s="452" t="s">
        <v>581</v>
      </c>
      <c r="G147" s="453" t="s">
        <v>653</v>
      </c>
      <c r="H147" s="452" t="s">
        <v>1791</v>
      </c>
      <c r="I147" s="481">
        <v>200126</v>
      </c>
      <c r="J147" s="453" t="s">
        <v>581</v>
      </c>
      <c r="K147" s="453" t="s">
        <v>2184</v>
      </c>
      <c r="L147" s="451" t="s">
        <v>2137</v>
      </c>
      <c r="M147" s="457">
        <v>46042</v>
      </c>
      <c r="N147" s="457">
        <v>46043</v>
      </c>
      <c r="O147" s="457">
        <v>46042</v>
      </c>
      <c r="P147" s="452" t="s">
        <v>214</v>
      </c>
      <c r="Q147" s="467">
        <v>1018.9</v>
      </c>
      <c r="R147" s="467">
        <v>0</v>
      </c>
      <c r="S147" s="467">
        <v>0</v>
      </c>
      <c r="T147" s="991">
        <f>SUM(mJAN[[#This Row],[PRINCIPAL]:[JUROS]])</f>
        <v>1018.9</v>
      </c>
    </row>
    <row r="148" spans="2:20" ht="21" customHeight="1">
      <c r="B148" s="5" t="str">
        <f t="shared" si="2"/>
        <v>1/26</v>
      </c>
      <c r="C148" s="990" t="str">
        <f>VLOOKUP(mJAN[[#This Row],[CÓDIGO CONTABIL]],Contas_Gerencial[#All],3,FALSE)</f>
        <v>BENEFICIO</v>
      </c>
      <c r="D148" s="990" t="str">
        <f>VLOOKUP(mJAN[[#This Row],[DESCRIÇÃO CONTABIL]],Contas_Gerencial[[#All],[DESCRIÇÃO DA CONTA - NÃO UTILIZAR]:[Código2]],2,FALSE)</f>
        <v>20.05.007</v>
      </c>
      <c r="E148" s="480" t="s">
        <v>25</v>
      </c>
      <c r="F148" s="452" t="s">
        <v>581</v>
      </c>
      <c r="G148" s="453" t="s">
        <v>653</v>
      </c>
      <c r="H148" s="452" t="s">
        <v>1791</v>
      </c>
      <c r="I148" s="481">
        <v>200126</v>
      </c>
      <c r="J148" s="453" t="s">
        <v>581</v>
      </c>
      <c r="K148" s="453" t="s">
        <v>2184</v>
      </c>
      <c r="L148" s="451" t="s">
        <v>2137</v>
      </c>
      <c r="M148" s="457">
        <v>46042</v>
      </c>
      <c r="N148" s="457">
        <v>46043</v>
      </c>
      <c r="O148" s="457">
        <v>46042</v>
      </c>
      <c r="P148" s="452" t="s">
        <v>214</v>
      </c>
      <c r="Q148" s="467">
        <v>154</v>
      </c>
      <c r="R148" s="467">
        <v>0</v>
      </c>
      <c r="S148" s="467">
        <v>0</v>
      </c>
      <c r="T148" s="991">
        <f>SUM(mJAN[[#This Row],[PRINCIPAL]:[JUROS]])</f>
        <v>154</v>
      </c>
    </row>
    <row r="149" spans="2:20" ht="21" customHeight="1">
      <c r="B149" s="5" t="str">
        <f t="shared" si="2"/>
        <v>1/26</v>
      </c>
      <c r="C149" s="274" t="str">
        <f>VLOOKUP(mJAN[[#This Row],[CÓDIGO CONTABIL]],Contas_Gerencial[#All],3,FALSE)</f>
        <v>RECEITA SUBCONTA</v>
      </c>
      <c r="D149" s="274" t="str">
        <f>VLOOKUP(mJAN[[#This Row],[DESCRIÇÃO CONTABIL]],Contas_Gerencial[[#All],[DESCRIÇÃO DA CONTA - NÃO UTILIZAR]:[Código2]],2,FALSE)</f>
        <v>10.01.001</v>
      </c>
      <c r="E149" s="452" t="s">
        <v>90</v>
      </c>
      <c r="F149" s="452" t="s">
        <v>581</v>
      </c>
      <c r="G149" s="480" t="s">
        <v>1834</v>
      </c>
      <c r="H149" s="452" t="s">
        <v>1788</v>
      </c>
      <c r="I149" s="481">
        <v>182</v>
      </c>
      <c r="J149" s="453" t="s">
        <v>581</v>
      </c>
      <c r="K149" s="453" t="s">
        <v>1792</v>
      </c>
      <c r="L149" s="456" t="s">
        <v>2104</v>
      </c>
      <c r="M149" s="457">
        <v>46014</v>
      </c>
      <c r="N149" s="457">
        <v>46032</v>
      </c>
      <c r="O149" s="457">
        <v>46037</v>
      </c>
      <c r="P149" s="452" t="s">
        <v>214</v>
      </c>
      <c r="Q149" s="458">
        <v>6104</v>
      </c>
      <c r="R149" s="459">
        <v>0</v>
      </c>
      <c r="S149" s="459">
        <v>0</v>
      </c>
      <c r="T149" s="275">
        <f>SUM(mJAN[[#This Row],[PRINCIPAL]:[JUROS]])</f>
        <v>6104</v>
      </c>
    </row>
    <row r="150" spans="2:20" ht="21" customHeight="1">
      <c r="B150" s="5" t="str">
        <f t="shared" si="2"/>
        <v>1/26</v>
      </c>
      <c r="C150" s="274" t="str">
        <f>VLOOKUP(mJAN[[#This Row],[CÓDIGO CONTABIL]],Contas_Gerencial[#All],3,FALSE)</f>
        <v>ENCARGOS</v>
      </c>
      <c r="D150" s="274" t="str">
        <f>VLOOKUP(mJAN[[#This Row],[DESCRIÇÃO CONTABIL]],Contas_Gerencial[[#All],[DESCRIÇÃO DA CONTA - NÃO UTILIZAR]:[Código2]],2,FALSE)</f>
        <v>20.04.004</v>
      </c>
      <c r="E150" s="452" t="s">
        <v>2651</v>
      </c>
      <c r="F150" s="452" t="s">
        <v>581</v>
      </c>
      <c r="G150" s="480" t="s">
        <v>1834</v>
      </c>
      <c r="H150" s="452" t="s">
        <v>1788</v>
      </c>
      <c r="I150" s="481">
        <v>182</v>
      </c>
      <c r="J150" s="453" t="s">
        <v>264</v>
      </c>
      <c r="K150" s="453" t="s">
        <v>2113</v>
      </c>
      <c r="L150" s="456" t="s">
        <v>2104</v>
      </c>
      <c r="M150" s="457">
        <v>46014</v>
      </c>
      <c r="N150" s="457">
        <v>46042</v>
      </c>
      <c r="O150" s="457">
        <v>46042</v>
      </c>
      <c r="P150" s="453" t="s">
        <v>214</v>
      </c>
      <c r="Q150" s="482">
        <v>313.02999999999997</v>
      </c>
      <c r="R150" s="459">
        <v>0</v>
      </c>
      <c r="S150" s="459">
        <v>0</v>
      </c>
      <c r="T150" s="275">
        <f>SUM(mJAN[[#This Row],[PRINCIPAL]:[JUROS]])</f>
        <v>313.02999999999997</v>
      </c>
    </row>
    <row r="151" spans="2:20" ht="21" customHeight="1">
      <c r="B151" s="5" t="str">
        <f t="shared" si="2"/>
        <v>1/26</v>
      </c>
      <c r="C151" s="274" t="str">
        <f>VLOOKUP(mJAN[[#This Row],[CÓDIGO CONTABIL]],Contas_Gerencial[#All],3,FALSE)</f>
        <v>TRIBUTOS</v>
      </c>
      <c r="D151" s="274" t="str">
        <f>VLOOKUP(mJAN[[#This Row],[DESCRIÇÃO CONTABIL]],Contas_Gerencial[[#All],[DESCRIÇÃO DA CONTA - NÃO UTILIZAR]:[Código2]],2,FALSE)</f>
        <v>20.08.004</v>
      </c>
      <c r="E151" s="452" t="s">
        <v>2648</v>
      </c>
      <c r="F151" s="452" t="s">
        <v>581</v>
      </c>
      <c r="G151" s="480" t="s">
        <v>1834</v>
      </c>
      <c r="H151" s="452" t="s">
        <v>1788</v>
      </c>
      <c r="I151" s="481">
        <v>182</v>
      </c>
      <c r="J151" s="453" t="s">
        <v>654</v>
      </c>
      <c r="K151" s="453" t="s">
        <v>2114</v>
      </c>
      <c r="L151" s="456" t="s">
        <v>2104</v>
      </c>
      <c r="M151" s="457">
        <v>46014</v>
      </c>
      <c r="N151" s="457">
        <v>46042</v>
      </c>
      <c r="O151" s="457">
        <v>46042</v>
      </c>
      <c r="P151" s="453" t="s">
        <v>214</v>
      </c>
      <c r="Q151" s="458">
        <v>263.69</v>
      </c>
      <c r="R151" s="459">
        <v>0</v>
      </c>
      <c r="S151" s="459">
        <v>0</v>
      </c>
      <c r="T151" s="275">
        <f>SUM(mJAN[[#This Row],[PRINCIPAL]:[JUROS]])</f>
        <v>263.69</v>
      </c>
    </row>
    <row r="152" spans="2:20" ht="21" customHeight="1">
      <c r="B152" s="5" t="str">
        <f t="shared" si="2"/>
        <v>1/26</v>
      </c>
      <c r="C152" s="274" t="str">
        <f>VLOOKUP(mJAN[[#This Row],[CÓDIGO CONTABIL]],Contas_Gerencial[#All],3,FALSE)</f>
        <v>TRIBUTOS</v>
      </c>
      <c r="D152" s="274" t="str">
        <f>VLOOKUP(mJAN[[#This Row],[DESCRIÇÃO CONTABIL]],Contas_Gerencial[[#All],[DESCRIÇÃO DA CONTA - NÃO UTILIZAR]:[Código2]],2,FALSE)</f>
        <v>20.08.001</v>
      </c>
      <c r="E152" s="464" t="s">
        <v>2112</v>
      </c>
      <c r="F152" s="464" t="s">
        <v>581</v>
      </c>
      <c r="G152" s="986" t="s">
        <v>1834</v>
      </c>
      <c r="H152" s="464" t="s">
        <v>1788</v>
      </c>
      <c r="I152" s="984">
        <v>182</v>
      </c>
      <c r="J152" s="461" t="s">
        <v>654</v>
      </c>
      <c r="K152" s="461" t="s">
        <v>1907</v>
      </c>
      <c r="L152" s="462" t="s">
        <v>2104</v>
      </c>
      <c r="M152" s="463">
        <v>46031</v>
      </c>
      <c r="N152" s="463">
        <v>46042</v>
      </c>
      <c r="O152" s="463"/>
      <c r="P152" s="461" t="s">
        <v>1</v>
      </c>
      <c r="Q152" s="993">
        <v>-0.2398159001267004</v>
      </c>
      <c r="R152" s="465">
        <v>0</v>
      </c>
      <c r="S152" s="465">
        <v>0</v>
      </c>
      <c r="T152" s="275">
        <f>SUM(mJAN[[#This Row],[PRINCIPAL]:[JUROS]])</f>
        <v>-0.2398159001267004</v>
      </c>
    </row>
    <row r="153" spans="2:20" ht="21" customHeight="1">
      <c r="B153" s="5" t="str">
        <f t="shared" si="2"/>
        <v>1/26</v>
      </c>
      <c r="C153" s="274" t="str">
        <f>VLOOKUP(mJAN[[#This Row],[CÓDIGO CONTABIL]],Contas_Gerencial[#All],3,FALSE)</f>
        <v>TRIBUTOS</v>
      </c>
      <c r="D153" s="274" t="str">
        <f>VLOOKUP(mJAN[[#This Row],[DESCRIÇÃO CONTABIL]],Contas_Gerencial[[#All],[DESCRIÇÃO DA CONTA - NÃO UTILIZAR]:[Código2]],2,FALSE)</f>
        <v>20.08.002</v>
      </c>
      <c r="E153" s="464" t="s">
        <v>589</v>
      </c>
      <c r="F153" s="464" t="s">
        <v>581</v>
      </c>
      <c r="G153" s="986" t="s">
        <v>1834</v>
      </c>
      <c r="H153" s="464" t="s">
        <v>1788</v>
      </c>
      <c r="I153" s="984">
        <v>182</v>
      </c>
      <c r="J153" s="461" t="s">
        <v>654</v>
      </c>
      <c r="K153" s="461" t="s">
        <v>1907</v>
      </c>
      <c r="L153" s="462" t="s">
        <v>2104</v>
      </c>
      <c r="M153" s="463">
        <v>46031</v>
      </c>
      <c r="N153" s="463">
        <v>46042</v>
      </c>
      <c r="O153" s="463"/>
      <c r="P153" s="461" t="s">
        <v>1</v>
      </c>
      <c r="Q153" s="985">
        <v>395.01319416792353</v>
      </c>
      <c r="R153" s="465">
        <v>0</v>
      </c>
      <c r="S153" s="465">
        <v>0</v>
      </c>
      <c r="T153" s="275">
        <f>SUM(mJAN[[#This Row],[PRINCIPAL]:[JUROS]])</f>
        <v>395.01319416792353</v>
      </c>
    </row>
    <row r="154" spans="2:20" ht="21" customHeight="1">
      <c r="B154" s="5" t="str">
        <f t="shared" si="2"/>
        <v>1/26</v>
      </c>
      <c r="C154" s="274" t="str">
        <f>VLOOKUP(mJAN[[#This Row],[CÓDIGO CONTABIL]],Contas_Gerencial[#All],3,FALSE)</f>
        <v>FOLHA DE PAGAMENTO</v>
      </c>
      <c r="D154" s="274" t="str">
        <f>VLOOKUP(mJAN[[#This Row],[DESCRIÇÃO CONTABIL]],Contas_Gerencial[[#All],[DESCRIÇÃO DA CONTA - NÃO UTILIZAR]:[Código2]],2,FALSE)</f>
        <v>20.05.021</v>
      </c>
      <c r="E154" s="452" t="s">
        <v>59</v>
      </c>
      <c r="F154" s="453" t="s">
        <v>581</v>
      </c>
      <c r="G154" s="480" t="s">
        <v>1834</v>
      </c>
      <c r="H154" s="452" t="s">
        <v>1791</v>
      </c>
      <c r="I154" s="481">
        <v>182</v>
      </c>
      <c r="J154" s="453" t="s">
        <v>581</v>
      </c>
      <c r="K154" s="452" t="s">
        <v>2153</v>
      </c>
      <c r="L154" s="456" t="s">
        <v>2104</v>
      </c>
      <c r="M154" s="457">
        <v>46028</v>
      </c>
      <c r="N154" s="457">
        <v>46028</v>
      </c>
      <c r="O154" s="457">
        <v>46028</v>
      </c>
      <c r="P154" s="453" t="s">
        <v>214</v>
      </c>
      <c r="Q154" s="458">
        <v>1767.95</v>
      </c>
      <c r="R154" s="459">
        <v>0</v>
      </c>
      <c r="S154" s="459">
        <v>0</v>
      </c>
      <c r="T154" s="275">
        <f>SUM(mJAN[[#This Row],[PRINCIPAL]:[JUROS]])</f>
        <v>1767.95</v>
      </c>
    </row>
    <row r="155" spans="2:20" ht="21" customHeight="1">
      <c r="B155" s="5" t="str">
        <f t="shared" si="2"/>
        <v>1/26</v>
      </c>
      <c r="C155" s="274" t="str">
        <f>VLOOKUP(mJAN[[#This Row],[CÓDIGO CONTABIL]],Contas_Gerencial[#All],3,FALSE)</f>
        <v>ENCARGOS</v>
      </c>
      <c r="D155" s="274" t="str">
        <f>VLOOKUP(mJAN[[#This Row],[DESCRIÇÃO CONTABIL]],Contas_Gerencial[[#All],[DESCRIÇÃO DA CONTA - NÃO UTILIZAR]:[Código2]],2,FALSE)</f>
        <v>20.04.006</v>
      </c>
      <c r="E155" s="452" t="s">
        <v>1180</v>
      </c>
      <c r="F155" s="452" t="s">
        <v>581</v>
      </c>
      <c r="G155" s="480" t="s">
        <v>1834</v>
      </c>
      <c r="H155" s="452" t="s">
        <v>1180</v>
      </c>
      <c r="I155" s="481">
        <v>182</v>
      </c>
      <c r="J155" s="453" t="s">
        <v>384</v>
      </c>
      <c r="K155" s="453" t="s">
        <v>1180</v>
      </c>
      <c r="L155" s="456" t="s">
        <v>2104</v>
      </c>
      <c r="M155" s="457">
        <v>46028</v>
      </c>
      <c r="N155" s="457">
        <v>46042</v>
      </c>
      <c r="O155" s="457">
        <v>46042</v>
      </c>
      <c r="P155" s="452" t="s">
        <v>214</v>
      </c>
      <c r="Q155" s="458">
        <v>152.01</v>
      </c>
      <c r="R155" s="459">
        <v>0</v>
      </c>
      <c r="S155" s="459">
        <v>0</v>
      </c>
      <c r="T155" s="275">
        <f>SUM(mJAN[[#This Row],[PRINCIPAL]:[JUROS]])</f>
        <v>152.01</v>
      </c>
    </row>
    <row r="156" spans="2:20" ht="21" customHeight="1">
      <c r="B156" s="5" t="str">
        <f t="shared" si="2"/>
        <v>1/26</v>
      </c>
      <c r="C156" s="274" t="str">
        <f>VLOOKUP(mJAN[[#This Row],[CÓDIGO CONTABIL]],Contas_Gerencial[#All],3,FALSE)</f>
        <v>ENCARGOS</v>
      </c>
      <c r="D156" s="274" t="str">
        <f>VLOOKUP(mJAN[[#This Row],[DESCRIÇÃO CONTABIL]],Contas_Gerencial[[#All],[DESCRIÇÃO DA CONTA - NÃO UTILIZAR]:[Código2]],2,FALSE)</f>
        <v>20.04.001</v>
      </c>
      <c r="E156" s="464" t="s">
        <v>2659</v>
      </c>
      <c r="F156" s="464" t="s">
        <v>581</v>
      </c>
      <c r="G156" s="464" t="s">
        <v>1834</v>
      </c>
      <c r="H156" s="464" t="s">
        <v>1788</v>
      </c>
      <c r="I156" s="984">
        <v>182</v>
      </c>
      <c r="J156" s="461" t="s">
        <v>757</v>
      </c>
      <c r="K156" s="461" t="s">
        <v>2089</v>
      </c>
      <c r="L156" s="462" t="s">
        <v>2104</v>
      </c>
      <c r="M156" s="463">
        <v>46028</v>
      </c>
      <c r="N156" s="463">
        <v>46042</v>
      </c>
      <c r="O156" s="463"/>
      <c r="P156" s="741" t="s">
        <v>1</v>
      </c>
      <c r="Q156" s="484">
        <f>148.24-130</f>
        <v>18.240000000000009</v>
      </c>
      <c r="R156" s="465">
        <v>0</v>
      </c>
      <c r="S156" s="465">
        <v>0</v>
      </c>
      <c r="T156" s="275">
        <f>SUM(mJAN[[#This Row],[PRINCIPAL]:[JUROS]])</f>
        <v>18.240000000000009</v>
      </c>
    </row>
    <row r="157" spans="2:20" ht="21" customHeight="1">
      <c r="B157" s="5" t="str">
        <f t="shared" si="2"/>
        <v>1/26</v>
      </c>
      <c r="C157" s="274" t="str">
        <f>VLOOKUP(mJAN[[#This Row],[CÓDIGO CONTABIL]],Contas_Gerencial[#All],3,FALSE)</f>
        <v>BENEFICIO</v>
      </c>
      <c r="D157" s="274" t="str">
        <f>VLOOKUP(mJAN[[#This Row],[DESCRIÇÃO CONTABIL]],Contas_Gerencial[[#All],[DESCRIÇÃO DA CONTA - NÃO UTILIZAR]:[Código2]],2,FALSE)</f>
        <v>20.05.006</v>
      </c>
      <c r="E157" s="480" t="s">
        <v>24</v>
      </c>
      <c r="F157" s="452" t="s">
        <v>581</v>
      </c>
      <c r="G157" s="480" t="s">
        <v>1834</v>
      </c>
      <c r="H157" s="452" t="s">
        <v>1791</v>
      </c>
      <c r="I157" s="481">
        <v>200126</v>
      </c>
      <c r="J157" s="453" t="s">
        <v>581</v>
      </c>
      <c r="K157" s="453" t="s">
        <v>2180</v>
      </c>
      <c r="L157" s="451" t="s">
        <v>2137</v>
      </c>
      <c r="M157" s="457">
        <v>46042</v>
      </c>
      <c r="N157" s="457">
        <v>46043</v>
      </c>
      <c r="O157" s="457">
        <v>46042</v>
      </c>
      <c r="P157" s="452" t="s">
        <v>214</v>
      </c>
      <c r="Q157" s="467">
        <v>1151.8</v>
      </c>
      <c r="R157" s="467">
        <v>0</v>
      </c>
      <c r="S157" s="467">
        <v>0</v>
      </c>
      <c r="T157" s="275">
        <f>SUM(mJAN[[#This Row],[PRINCIPAL]:[JUROS]])</f>
        <v>1151.8</v>
      </c>
    </row>
    <row r="158" spans="2:20" ht="21" customHeight="1">
      <c r="B158" s="5" t="str">
        <f t="shared" si="2"/>
        <v>1/26</v>
      </c>
      <c r="C158" s="981" t="str">
        <f>VLOOKUP(mJAN[[#This Row],[CÓDIGO CONTABIL]],Contas_Gerencial[#All],3,FALSE)</f>
        <v>BENEFICIO</v>
      </c>
      <c r="D158" s="981" t="str">
        <f>VLOOKUP(mJAN[[#This Row],[DESCRIÇÃO CONTABIL]],Contas_Gerencial[[#All],[DESCRIÇÃO DA CONTA - NÃO UTILIZAR]:[Código2]],2,FALSE)</f>
        <v>20.05.007</v>
      </c>
      <c r="E158" s="480" t="s">
        <v>25</v>
      </c>
      <c r="F158" s="452" t="s">
        <v>581</v>
      </c>
      <c r="G158" s="480" t="s">
        <v>1834</v>
      </c>
      <c r="H158" s="452" t="s">
        <v>1791</v>
      </c>
      <c r="I158" s="481">
        <v>200126</v>
      </c>
      <c r="J158" s="453" t="s">
        <v>581</v>
      </c>
      <c r="K158" s="453" t="s">
        <v>2180</v>
      </c>
      <c r="L158" s="451" t="s">
        <v>2137</v>
      </c>
      <c r="M158" s="457">
        <v>46042</v>
      </c>
      <c r="N158" s="457">
        <v>46043</v>
      </c>
      <c r="O158" s="457">
        <v>46042</v>
      </c>
      <c r="P158" s="452" t="s">
        <v>214</v>
      </c>
      <c r="Q158" s="467">
        <v>286</v>
      </c>
      <c r="R158" s="467">
        <v>0</v>
      </c>
      <c r="S158" s="467">
        <v>0</v>
      </c>
      <c r="T158" s="982">
        <f>SUM(mJAN[[#This Row],[PRINCIPAL]:[JUROS]])</f>
        <v>286</v>
      </c>
    </row>
    <row r="159" spans="2:20" ht="21" customHeight="1">
      <c r="B159" s="5" t="str">
        <f t="shared" si="2"/>
        <v>1/26</v>
      </c>
      <c r="C159" s="981" t="str">
        <f>VLOOKUP(mJAN[[#This Row],[CÓDIGO CONTABIL]],Contas_Gerencial[#All],3,FALSE)</f>
        <v>RECEITA SUBCONTA</v>
      </c>
      <c r="D159" s="981" t="str">
        <f>VLOOKUP(mJAN[[#This Row],[DESCRIÇÃO CONTABIL]],Contas_Gerencial[[#All],[DESCRIÇÃO DA CONTA - NÃO UTILIZAR]:[Código2]],2,FALSE)</f>
        <v>10.01.001</v>
      </c>
      <c r="E159" s="107" t="s">
        <v>90</v>
      </c>
      <c r="F159" s="452" t="s">
        <v>581</v>
      </c>
      <c r="G159" s="107" t="s">
        <v>1137</v>
      </c>
      <c r="H159" s="107" t="s">
        <v>1788</v>
      </c>
      <c r="I159" s="481">
        <v>178</v>
      </c>
      <c r="J159" s="121" t="s">
        <v>581</v>
      </c>
      <c r="K159" s="121" t="s">
        <v>1792</v>
      </c>
      <c r="L159" s="456" t="s">
        <v>2104</v>
      </c>
      <c r="M159" s="457">
        <v>46014</v>
      </c>
      <c r="N159" s="457">
        <v>46027</v>
      </c>
      <c r="O159" s="457">
        <v>46037</v>
      </c>
      <c r="P159" s="452" t="s">
        <v>214</v>
      </c>
      <c r="Q159" s="483">
        <v>35740</v>
      </c>
      <c r="R159" s="482">
        <v>0</v>
      </c>
      <c r="S159" s="482">
        <v>0</v>
      </c>
      <c r="T159" s="982">
        <f>SUM(mJAN[[#This Row],[PRINCIPAL]:[JUROS]])</f>
        <v>35740</v>
      </c>
    </row>
    <row r="160" spans="2:20" ht="21" customHeight="1">
      <c r="B160" s="5" t="str">
        <f t="shared" si="2"/>
        <v>1/26</v>
      </c>
      <c r="C160" s="981" t="str">
        <f>VLOOKUP(mJAN[[#This Row],[CÓDIGO CONTABIL]],Contas_Gerencial[#All],3,FALSE)</f>
        <v>ENCARGOS</v>
      </c>
      <c r="D160" s="981" t="str">
        <f>VLOOKUP(mJAN[[#This Row],[DESCRIÇÃO CONTABIL]],Contas_Gerencial[[#All],[DESCRIÇÃO DA CONTA - NÃO UTILIZAR]:[Código2]],2,FALSE)</f>
        <v>20.04.004</v>
      </c>
      <c r="E160" s="452" t="s">
        <v>2651</v>
      </c>
      <c r="F160" s="452" t="s">
        <v>581</v>
      </c>
      <c r="G160" s="480" t="s">
        <v>1137</v>
      </c>
      <c r="H160" s="452" t="s">
        <v>1788</v>
      </c>
      <c r="I160" s="481">
        <v>178</v>
      </c>
      <c r="J160" s="453" t="s">
        <v>264</v>
      </c>
      <c r="K160" s="453" t="s">
        <v>2113</v>
      </c>
      <c r="L160" s="456" t="s">
        <v>2104</v>
      </c>
      <c r="M160" s="457">
        <v>46014</v>
      </c>
      <c r="N160" s="457">
        <v>46042</v>
      </c>
      <c r="O160" s="457">
        <v>46042</v>
      </c>
      <c r="P160" s="453" t="s">
        <v>214</v>
      </c>
      <c r="Q160" s="458">
        <v>1642</v>
      </c>
      <c r="R160" s="459">
        <v>0</v>
      </c>
      <c r="S160" s="459">
        <v>0</v>
      </c>
      <c r="T160" s="982">
        <f>SUM(mJAN[[#This Row],[PRINCIPAL]:[JUROS]])</f>
        <v>1642</v>
      </c>
    </row>
    <row r="161" spans="2:20" ht="21" customHeight="1">
      <c r="B161" s="5" t="str">
        <f t="shared" si="2"/>
        <v>1/26</v>
      </c>
      <c r="C161" s="981" t="str">
        <f>VLOOKUP(mJAN[[#This Row],[CÓDIGO CONTABIL]],Contas_Gerencial[#All],3,FALSE)</f>
        <v>TRIBUTOS</v>
      </c>
      <c r="D161" s="981" t="str">
        <f>VLOOKUP(mJAN[[#This Row],[DESCRIÇÃO CONTABIL]],Contas_Gerencial[[#All],[DESCRIÇÃO DA CONTA - NÃO UTILIZAR]:[Código2]],2,FALSE)</f>
        <v>20.08.004</v>
      </c>
      <c r="E161" s="452" t="s">
        <v>2648</v>
      </c>
      <c r="F161" s="452" t="s">
        <v>581</v>
      </c>
      <c r="G161" s="480" t="s">
        <v>1137</v>
      </c>
      <c r="H161" s="452" t="s">
        <v>1788</v>
      </c>
      <c r="I161" s="481">
        <v>178</v>
      </c>
      <c r="J161" s="453" t="s">
        <v>654</v>
      </c>
      <c r="K161" s="453" t="s">
        <v>2114</v>
      </c>
      <c r="L161" s="456" t="s">
        <v>2104</v>
      </c>
      <c r="M161" s="457">
        <v>46014</v>
      </c>
      <c r="N161" s="457">
        <v>46042</v>
      </c>
      <c r="O161" s="457">
        <v>46042</v>
      </c>
      <c r="P161" s="453" t="s">
        <v>214</v>
      </c>
      <c r="Q161" s="458">
        <v>0</v>
      </c>
      <c r="R161" s="459">
        <v>0</v>
      </c>
      <c r="S161" s="459">
        <v>0</v>
      </c>
      <c r="T161" s="982">
        <f>SUM(mJAN[[#This Row],[PRINCIPAL]:[JUROS]])</f>
        <v>0</v>
      </c>
    </row>
    <row r="162" spans="2:20" ht="21" customHeight="1">
      <c r="B162" s="5" t="str">
        <f t="shared" si="2"/>
        <v>1/26</v>
      </c>
      <c r="C162" s="981" t="str">
        <f>VLOOKUP(mJAN[[#This Row],[CÓDIGO CONTABIL]],Contas_Gerencial[#All],3,FALSE)</f>
        <v>TRIBUTOS</v>
      </c>
      <c r="D162" s="981" t="str">
        <f>VLOOKUP(mJAN[[#This Row],[DESCRIÇÃO CONTABIL]],Contas_Gerencial[[#All],[DESCRIÇÃO DA CONTA - NÃO UTILIZAR]:[Código2]],2,FALSE)</f>
        <v>20.08.001</v>
      </c>
      <c r="E162" s="464" t="s">
        <v>2112</v>
      </c>
      <c r="F162" s="464" t="s">
        <v>581</v>
      </c>
      <c r="G162" s="986" t="s">
        <v>1137</v>
      </c>
      <c r="H162" s="464" t="s">
        <v>1788</v>
      </c>
      <c r="I162" s="984">
        <v>178</v>
      </c>
      <c r="J162" s="461" t="s">
        <v>654</v>
      </c>
      <c r="K162" s="461" t="s">
        <v>1907</v>
      </c>
      <c r="L162" s="462" t="s">
        <v>2104</v>
      </c>
      <c r="M162" s="463">
        <v>46031</v>
      </c>
      <c r="N162" s="463">
        <v>46042</v>
      </c>
      <c r="O162" s="463"/>
      <c r="P162" s="461" t="s">
        <v>1</v>
      </c>
      <c r="Q162" s="993">
        <v>1542.5350708858482</v>
      </c>
      <c r="R162" s="465">
        <v>0</v>
      </c>
      <c r="S162" s="465">
        <v>0</v>
      </c>
      <c r="T162" s="982">
        <f>SUM(mJAN[[#This Row],[PRINCIPAL]:[JUROS]])</f>
        <v>1542.5350708858482</v>
      </c>
    </row>
    <row r="163" spans="2:20" ht="21" customHeight="1">
      <c r="B163" s="5" t="str">
        <f t="shared" si="2"/>
        <v>1/26</v>
      </c>
      <c r="C163" s="981" t="str">
        <f>VLOOKUP(mJAN[[#This Row],[CÓDIGO CONTABIL]],Contas_Gerencial[#All],3,FALSE)</f>
        <v>TRIBUTOS</v>
      </c>
      <c r="D163" s="981" t="str">
        <f>VLOOKUP(mJAN[[#This Row],[DESCRIÇÃO CONTABIL]],Contas_Gerencial[[#All],[DESCRIÇÃO DA CONTA - NÃO UTILIZAR]:[Código2]],2,FALSE)</f>
        <v>20.08.002</v>
      </c>
      <c r="E163" s="464" t="s">
        <v>589</v>
      </c>
      <c r="F163" s="464" t="s">
        <v>581</v>
      </c>
      <c r="G163" s="986" t="s">
        <v>1137</v>
      </c>
      <c r="H163" s="464" t="s">
        <v>1788</v>
      </c>
      <c r="I163" s="984">
        <v>178</v>
      </c>
      <c r="J163" s="461" t="s">
        <v>654</v>
      </c>
      <c r="K163" s="461" t="s">
        <v>1907</v>
      </c>
      <c r="L163" s="462" t="s">
        <v>2104</v>
      </c>
      <c r="M163" s="463">
        <v>46031</v>
      </c>
      <c r="N163" s="463">
        <v>46042</v>
      </c>
      <c r="O163" s="463"/>
      <c r="P163" s="461" t="s">
        <v>1</v>
      </c>
      <c r="Q163" s="985">
        <v>2312.8721427853188</v>
      </c>
      <c r="R163" s="465">
        <v>0</v>
      </c>
      <c r="S163" s="465">
        <v>0</v>
      </c>
      <c r="T163" s="982">
        <f>SUM(mJAN[[#This Row],[PRINCIPAL]:[JUROS]])</f>
        <v>2312.8721427853188</v>
      </c>
    </row>
    <row r="164" spans="2:20" ht="21" customHeight="1">
      <c r="B164" s="5" t="str">
        <f t="shared" si="2"/>
        <v>1/26</v>
      </c>
      <c r="C164" s="981" t="str">
        <f>VLOOKUP(mJAN[[#This Row],[CÓDIGO CONTABIL]],Contas_Gerencial[#All],3,FALSE)</f>
        <v>FOLHA DE PAGAMENTO</v>
      </c>
      <c r="D164" s="981" t="str">
        <f>VLOOKUP(mJAN[[#This Row],[DESCRIÇÃO CONTABIL]],Contas_Gerencial[[#All],[DESCRIÇÃO DA CONTA - NÃO UTILIZAR]:[Código2]],2,FALSE)</f>
        <v>20.05.021</v>
      </c>
      <c r="E164" s="452" t="s">
        <v>59</v>
      </c>
      <c r="F164" s="453" t="s">
        <v>581</v>
      </c>
      <c r="G164" s="480" t="s">
        <v>1137</v>
      </c>
      <c r="H164" s="452" t="s">
        <v>1791</v>
      </c>
      <c r="I164" s="481">
        <v>178</v>
      </c>
      <c r="J164" s="453" t="s">
        <v>581</v>
      </c>
      <c r="K164" s="452" t="s">
        <v>2146</v>
      </c>
      <c r="L164" s="456" t="s">
        <v>2104</v>
      </c>
      <c r="M164" s="457">
        <v>46028</v>
      </c>
      <c r="N164" s="457">
        <v>46028</v>
      </c>
      <c r="O164" s="457">
        <v>46028</v>
      </c>
      <c r="P164" s="453" t="s">
        <v>214</v>
      </c>
      <c r="Q164" s="458">
        <v>8383.5300000000007</v>
      </c>
      <c r="R164" s="459">
        <v>0</v>
      </c>
      <c r="S164" s="459">
        <v>0</v>
      </c>
      <c r="T164" s="982">
        <f>SUM(mJAN[[#This Row],[PRINCIPAL]:[JUROS]])</f>
        <v>8383.5300000000007</v>
      </c>
    </row>
    <row r="165" spans="2:20" ht="21" customHeight="1">
      <c r="B165" s="5" t="str">
        <f t="shared" si="2"/>
        <v>1/26</v>
      </c>
      <c r="C165" s="981" t="str">
        <f>VLOOKUP(mJAN[[#This Row],[CÓDIGO CONTABIL]],Contas_Gerencial[#All],3,FALSE)</f>
        <v>ENCARGOS</v>
      </c>
      <c r="D165" s="981" t="str">
        <f>VLOOKUP(mJAN[[#This Row],[DESCRIÇÃO CONTABIL]],Contas_Gerencial[[#All],[DESCRIÇÃO DA CONTA - NÃO UTILIZAR]:[Código2]],2,FALSE)</f>
        <v>20.04.006</v>
      </c>
      <c r="E165" s="452" t="s">
        <v>1180</v>
      </c>
      <c r="F165" s="452" t="s">
        <v>581</v>
      </c>
      <c r="G165" s="480" t="s">
        <v>1137</v>
      </c>
      <c r="H165" s="452" t="s">
        <v>1180</v>
      </c>
      <c r="I165" s="481">
        <v>178</v>
      </c>
      <c r="J165" s="453" t="s">
        <v>384</v>
      </c>
      <c r="K165" s="453" t="s">
        <v>1180</v>
      </c>
      <c r="L165" s="456" t="s">
        <v>2104</v>
      </c>
      <c r="M165" s="457">
        <v>46028</v>
      </c>
      <c r="N165" s="457">
        <v>46042</v>
      </c>
      <c r="O165" s="457">
        <v>46042</v>
      </c>
      <c r="P165" s="453" t="s">
        <v>214</v>
      </c>
      <c r="Q165" s="458">
        <v>721.51</v>
      </c>
      <c r="R165" s="459">
        <v>0</v>
      </c>
      <c r="S165" s="459">
        <v>0</v>
      </c>
      <c r="T165" s="982">
        <f>SUM(mJAN[[#This Row],[PRINCIPAL]:[JUROS]])</f>
        <v>721.51</v>
      </c>
    </row>
    <row r="166" spans="2:20" ht="21" customHeight="1">
      <c r="B166" s="5" t="str">
        <f t="shared" si="2"/>
        <v>1/26</v>
      </c>
      <c r="C166" s="981" t="str">
        <f>VLOOKUP(mJAN[[#This Row],[CÓDIGO CONTABIL]],Contas_Gerencial[#All],3,FALSE)</f>
        <v>ENCARGOS</v>
      </c>
      <c r="D166" s="981" t="str">
        <f>VLOOKUP(mJAN[[#This Row],[DESCRIÇÃO CONTABIL]],Contas_Gerencial[[#All],[DESCRIÇÃO DA CONTA - NÃO UTILIZAR]:[Código2]],2,FALSE)</f>
        <v>20.04.001</v>
      </c>
      <c r="E166" s="464" t="s">
        <v>2659</v>
      </c>
      <c r="F166" s="464" t="s">
        <v>581</v>
      </c>
      <c r="G166" s="464" t="s">
        <v>1137</v>
      </c>
      <c r="H166" s="464" t="s">
        <v>1788</v>
      </c>
      <c r="I166" s="984">
        <v>178</v>
      </c>
      <c r="J166" s="461" t="s">
        <v>757</v>
      </c>
      <c r="K166" s="461" t="s">
        <v>2089</v>
      </c>
      <c r="L166" s="462" t="s">
        <v>2104</v>
      </c>
      <c r="M166" s="463">
        <v>46028</v>
      </c>
      <c r="N166" s="463">
        <v>46042</v>
      </c>
      <c r="O166" s="463"/>
      <c r="P166" s="741" t="s">
        <v>1</v>
      </c>
      <c r="Q166" s="484">
        <f>773.67-65</f>
        <v>708.67</v>
      </c>
      <c r="R166" s="465">
        <v>0</v>
      </c>
      <c r="S166" s="465">
        <v>0</v>
      </c>
      <c r="T166" s="982">
        <f>SUM(mJAN[[#This Row],[PRINCIPAL]:[JUROS]])</f>
        <v>708.67</v>
      </c>
    </row>
    <row r="167" spans="2:20" ht="21" customHeight="1">
      <c r="B167" s="5" t="str">
        <f t="shared" si="2"/>
        <v>1/26</v>
      </c>
      <c r="C167" s="981" t="str">
        <f>VLOOKUP(mJAN[[#This Row],[CÓDIGO CONTABIL]],Contas_Gerencial[#All],3,FALSE)</f>
        <v>BENEFICIO</v>
      </c>
      <c r="D167" s="981" t="str">
        <f>VLOOKUP(mJAN[[#This Row],[DESCRIÇÃO CONTABIL]],Contas_Gerencial[[#All],[DESCRIÇÃO DA CONTA - NÃO UTILIZAR]:[Código2]],2,FALSE)</f>
        <v>20.05.006</v>
      </c>
      <c r="E167" s="480" t="s">
        <v>24</v>
      </c>
      <c r="F167" s="452" t="s">
        <v>581</v>
      </c>
      <c r="G167" s="480" t="s">
        <v>1137</v>
      </c>
      <c r="H167" s="452" t="s">
        <v>1791</v>
      </c>
      <c r="I167" s="481">
        <v>200126</v>
      </c>
      <c r="J167" s="453" t="s">
        <v>581</v>
      </c>
      <c r="K167" s="453" t="s">
        <v>2180</v>
      </c>
      <c r="L167" s="451" t="s">
        <v>2137</v>
      </c>
      <c r="M167" s="457">
        <v>46042</v>
      </c>
      <c r="N167" s="457">
        <v>46043</v>
      </c>
      <c r="O167" s="457">
        <v>46042</v>
      </c>
      <c r="P167" s="452" t="s">
        <v>214</v>
      </c>
      <c r="Q167" s="467">
        <v>1875</v>
      </c>
      <c r="R167" s="467">
        <v>0</v>
      </c>
      <c r="S167" s="467">
        <v>0</v>
      </c>
      <c r="T167" s="982">
        <f>SUM(mJAN[[#This Row],[PRINCIPAL]:[JUROS]])</f>
        <v>1875</v>
      </c>
    </row>
    <row r="168" spans="2:20" ht="21" customHeight="1">
      <c r="B168" s="5" t="str">
        <f t="shared" si="2"/>
        <v>1/26</v>
      </c>
      <c r="C168" s="981" t="str">
        <f>VLOOKUP(mJAN[[#This Row],[CÓDIGO CONTABIL]],Contas_Gerencial[#All],3,FALSE)</f>
        <v>BENEFICIO</v>
      </c>
      <c r="D168" s="981" t="str">
        <f>VLOOKUP(mJAN[[#This Row],[DESCRIÇÃO CONTABIL]],Contas_Gerencial[[#All],[DESCRIÇÃO DA CONTA - NÃO UTILIZAR]:[Código2]],2,FALSE)</f>
        <v>20.05.007</v>
      </c>
      <c r="E168" s="480" t="s">
        <v>25</v>
      </c>
      <c r="F168" s="452" t="s">
        <v>581</v>
      </c>
      <c r="G168" s="480" t="s">
        <v>1137</v>
      </c>
      <c r="H168" s="452" t="s">
        <v>1791</v>
      </c>
      <c r="I168" s="481">
        <v>200126</v>
      </c>
      <c r="J168" s="453" t="s">
        <v>581</v>
      </c>
      <c r="K168" s="453" t="s">
        <v>2180</v>
      </c>
      <c r="L168" s="451" t="s">
        <v>2137</v>
      </c>
      <c r="M168" s="457">
        <v>46042</v>
      </c>
      <c r="N168" s="457">
        <v>46043</v>
      </c>
      <c r="O168" s="457">
        <v>46042</v>
      </c>
      <c r="P168" s="452" t="s">
        <v>214</v>
      </c>
      <c r="Q168" s="467">
        <v>0</v>
      </c>
      <c r="R168" s="467">
        <v>0</v>
      </c>
      <c r="S168" s="467">
        <v>0</v>
      </c>
      <c r="T168" s="982">
        <f>SUM(mJAN[[#This Row],[PRINCIPAL]:[JUROS]])</f>
        <v>0</v>
      </c>
    </row>
    <row r="169" spans="2:20" ht="21" customHeight="1">
      <c r="B169" s="5" t="str">
        <f t="shared" si="2"/>
        <v>1/26</v>
      </c>
      <c r="C169" s="981" t="str">
        <f>VLOOKUP(mJAN[[#This Row],[CÓDIGO CONTABIL]],Contas_Gerencial[#All],3,FALSE)</f>
        <v>RECEITA SUBCONTA</v>
      </c>
      <c r="D169" s="981" t="str">
        <f>VLOOKUP(mJAN[[#This Row],[DESCRIÇÃO CONTABIL]],Contas_Gerencial[[#All],[DESCRIÇÃO DA CONTA - NÃO UTILIZAR]:[Código2]],2,FALSE)</f>
        <v>10.01.001</v>
      </c>
      <c r="E169" s="107" t="s">
        <v>90</v>
      </c>
      <c r="F169" s="452" t="s">
        <v>581</v>
      </c>
      <c r="G169" s="107" t="s">
        <v>1508</v>
      </c>
      <c r="H169" s="107" t="s">
        <v>1788</v>
      </c>
      <c r="I169" s="481">
        <v>179</v>
      </c>
      <c r="J169" s="121" t="s">
        <v>581</v>
      </c>
      <c r="K169" s="121" t="s">
        <v>1792</v>
      </c>
      <c r="L169" s="456" t="s">
        <v>2104</v>
      </c>
      <c r="M169" s="457">
        <v>46014</v>
      </c>
      <c r="N169" s="457">
        <v>46032</v>
      </c>
      <c r="O169" s="457">
        <v>46034</v>
      </c>
      <c r="P169" s="452" t="s">
        <v>214</v>
      </c>
      <c r="Q169" s="1008">
        <v>1562</v>
      </c>
      <c r="R169" s="482">
        <v>0</v>
      </c>
      <c r="S169" s="482">
        <v>0</v>
      </c>
      <c r="T169" s="982">
        <f>SUM(mJAN[[#This Row],[PRINCIPAL]:[JUROS]])</f>
        <v>1562</v>
      </c>
    </row>
    <row r="170" spans="2:20" ht="21" customHeight="1">
      <c r="B170" s="5" t="str">
        <f t="shared" si="2"/>
        <v>1/26</v>
      </c>
      <c r="C170" s="981" t="str">
        <f>VLOOKUP(mJAN[[#This Row],[CÓDIGO CONTABIL]],Contas_Gerencial[#All],3,FALSE)</f>
        <v>ENCARGOS</v>
      </c>
      <c r="D170" s="981" t="str">
        <f>VLOOKUP(mJAN[[#This Row],[DESCRIÇÃO CONTABIL]],Contas_Gerencial[[#All],[DESCRIÇÃO DA CONTA - NÃO UTILIZAR]:[Código2]],2,FALSE)</f>
        <v>20.04.004</v>
      </c>
      <c r="E170" s="452" t="s">
        <v>2651</v>
      </c>
      <c r="F170" s="452" t="s">
        <v>581</v>
      </c>
      <c r="G170" s="480" t="s">
        <v>1508</v>
      </c>
      <c r="H170" s="452" t="s">
        <v>1788</v>
      </c>
      <c r="I170" s="481">
        <v>179</v>
      </c>
      <c r="J170" s="453" t="s">
        <v>264</v>
      </c>
      <c r="K170" s="453" t="s">
        <v>2113</v>
      </c>
      <c r="L170" s="456" t="s">
        <v>2104</v>
      </c>
      <c r="M170" s="457">
        <v>46014</v>
      </c>
      <c r="N170" s="457">
        <v>46042</v>
      </c>
      <c r="O170" s="457">
        <v>46042</v>
      </c>
      <c r="P170" s="453" t="s">
        <v>214</v>
      </c>
      <c r="Q170" s="458">
        <v>88.4</v>
      </c>
      <c r="R170" s="459">
        <v>0</v>
      </c>
      <c r="S170" s="459">
        <v>0</v>
      </c>
      <c r="T170" s="982">
        <f>SUM(mJAN[[#This Row],[PRINCIPAL]:[JUROS]])</f>
        <v>88.4</v>
      </c>
    </row>
    <row r="171" spans="2:20" ht="21" customHeight="1">
      <c r="B171" s="5" t="str">
        <f t="shared" si="2"/>
        <v>1/26</v>
      </c>
      <c r="C171" s="981" t="str">
        <f>VLOOKUP(mJAN[[#This Row],[CÓDIGO CONTABIL]],Contas_Gerencial[#All],3,FALSE)</f>
        <v>TRIBUTOS</v>
      </c>
      <c r="D171" s="981" t="str">
        <f>VLOOKUP(mJAN[[#This Row],[DESCRIÇÃO CONTABIL]],Contas_Gerencial[[#All],[DESCRIÇÃO DA CONTA - NÃO UTILIZAR]:[Código2]],2,FALSE)</f>
        <v>20.08.004</v>
      </c>
      <c r="E171" s="452" t="s">
        <v>2648</v>
      </c>
      <c r="F171" s="452" t="s">
        <v>581</v>
      </c>
      <c r="G171" s="480" t="s">
        <v>1508</v>
      </c>
      <c r="H171" s="452" t="s">
        <v>1788</v>
      </c>
      <c r="I171" s="481">
        <v>179</v>
      </c>
      <c r="J171" s="453" t="s">
        <v>654</v>
      </c>
      <c r="K171" s="453" t="s">
        <v>2114</v>
      </c>
      <c r="L171" s="456" t="s">
        <v>2104</v>
      </c>
      <c r="M171" s="457">
        <v>46014</v>
      </c>
      <c r="N171" s="457">
        <v>46042</v>
      </c>
      <c r="O171" s="457">
        <v>46042</v>
      </c>
      <c r="P171" s="453" t="s">
        <v>214</v>
      </c>
      <c r="Q171" s="458">
        <v>0</v>
      </c>
      <c r="R171" s="459">
        <v>0</v>
      </c>
      <c r="S171" s="459">
        <v>0</v>
      </c>
      <c r="T171" s="982">
        <f>SUM(mJAN[[#This Row],[PRINCIPAL]:[JUROS]])</f>
        <v>0</v>
      </c>
    </row>
    <row r="172" spans="2:20" ht="21" customHeight="1">
      <c r="B172" s="5" t="str">
        <f t="shared" si="2"/>
        <v>1/26</v>
      </c>
      <c r="C172" s="981" t="str">
        <f>VLOOKUP(mJAN[[#This Row],[CÓDIGO CONTABIL]],Contas_Gerencial[#All],3,FALSE)</f>
        <v>TRIBUTOS</v>
      </c>
      <c r="D172" s="981" t="str">
        <f>VLOOKUP(mJAN[[#This Row],[DESCRIÇÃO CONTABIL]],Contas_Gerencial[[#All],[DESCRIÇÃO DA CONTA - NÃO UTILIZAR]:[Código2]],2,FALSE)</f>
        <v>20.08.001</v>
      </c>
      <c r="E172" s="464" t="s">
        <v>2112</v>
      </c>
      <c r="F172" s="464" t="s">
        <v>581</v>
      </c>
      <c r="G172" s="986" t="s">
        <v>1508</v>
      </c>
      <c r="H172" s="464" t="s">
        <v>1788</v>
      </c>
      <c r="I172" s="984">
        <v>179</v>
      </c>
      <c r="J172" s="461" t="s">
        <v>654</v>
      </c>
      <c r="K172" s="461" t="s">
        <v>1907</v>
      </c>
      <c r="L172" s="462" t="s">
        <v>2104</v>
      </c>
      <c r="M172" s="463">
        <v>46031</v>
      </c>
      <c r="N172" s="463">
        <v>46011</v>
      </c>
      <c r="O172" s="463"/>
      <c r="P172" s="461" t="s">
        <v>1</v>
      </c>
      <c r="Q172" s="993">
        <v>67.415774502621574</v>
      </c>
      <c r="R172" s="465">
        <v>0</v>
      </c>
      <c r="S172" s="465">
        <v>0</v>
      </c>
      <c r="T172" s="982">
        <f>SUM(mJAN[[#This Row],[PRINCIPAL]:[JUROS]])</f>
        <v>67.415774502621574</v>
      </c>
    </row>
    <row r="173" spans="2:20" ht="21" customHeight="1">
      <c r="B173" s="5" t="str">
        <f t="shared" si="2"/>
        <v>1/26</v>
      </c>
      <c r="C173" s="981" t="str">
        <f>VLOOKUP(mJAN[[#This Row],[CÓDIGO CONTABIL]],Contas_Gerencial[#All],3,FALSE)</f>
        <v>TRIBUTOS</v>
      </c>
      <c r="D173" s="981" t="str">
        <f>VLOOKUP(mJAN[[#This Row],[DESCRIÇÃO CONTABIL]],Contas_Gerencial[[#All],[DESCRIÇÃO DA CONTA - NÃO UTILIZAR]:[Código2]],2,FALSE)</f>
        <v>20.08.002</v>
      </c>
      <c r="E173" s="464" t="s">
        <v>589</v>
      </c>
      <c r="F173" s="464" t="s">
        <v>581</v>
      </c>
      <c r="G173" s="464" t="s">
        <v>1508</v>
      </c>
      <c r="H173" s="464" t="s">
        <v>1788</v>
      </c>
      <c r="I173" s="984">
        <v>179</v>
      </c>
      <c r="J173" s="461" t="s">
        <v>654</v>
      </c>
      <c r="K173" s="461" t="s">
        <v>1907</v>
      </c>
      <c r="L173" s="462" t="s">
        <v>2104</v>
      </c>
      <c r="M173" s="463">
        <v>46031</v>
      </c>
      <c r="N173" s="463">
        <v>46011</v>
      </c>
      <c r="O173" s="463"/>
      <c r="P173" s="741" t="s">
        <v>1</v>
      </c>
      <c r="Q173" s="484">
        <v>101.08299627953745</v>
      </c>
      <c r="R173" s="465">
        <v>0</v>
      </c>
      <c r="S173" s="465">
        <v>0</v>
      </c>
      <c r="T173" s="982">
        <f>SUM(mJAN[[#This Row],[PRINCIPAL]:[JUROS]])</f>
        <v>101.08299627953745</v>
      </c>
    </row>
    <row r="174" spans="2:20" ht="21" customHeight="1">
      <c r="B174" s="5" t="str">
        <f t="shared" si="2"/>
        <v>1/26</v>
      </c>
      <c r="C174" s="981" t="str">
        <f>VLOOKUP(mJAN[[#This Row],[CÓDIGO CONTABIL]],Contas_Gerencial[#All],3,FALSE)</f>
        <v>RECEITA SUBCONTA</v>
      </c>
      <c r="D174" s="981" t="str">
        <f>VLOOKUP(mJAN[[#This Row],[DESCRIÇÃO CONTABIL]],Contas_Gerencial[[#All],[DESCRIÇÃO DA CONTA - NÃO UTILIZAR]:[Código2]],2,FALSE)</f>
        <v>10.01.001</v>
      </c>
      <c r="E174" s="107" t="s">
        <v>90</v>
      </c>
      <c r="F174" s="452" t="s">
        <v>581</v>
      </c>
      <c r="G174" s="107" t="s">
        <v>1630</v>
      </c>
      <c r="H174" s="107" t="s">
        <v>1788</v>
      </c>
      <c r="I174" s="481">
        <v>177</v>
      </c>
      <c r="J174" s="121" t="s">
        <v>581</v>
      </c>
      <c r="K174" s="121" t="s">
        <v>1792</v>
      </c>
      <c r="L174" s="456" t="s">
        <v>2104</v>
      </c>
      <c r="M174" s="457">
        <v>46014</v>
      </c>
      <c r="N174" s="457">
        <v>46027</v>
      </c>
      <c r="O174" s="457">
        <v>46024</v>
      </c>
      <c r="P174" s="452" t="s">
        <v>214</v>
      </c>
      <c r="Q174" s="482">
        <v>11388</v>
      </c>
      <c r="R174" s="482">
        <v>0</v>
      </c>
      <c r="S174" s="482">
        <v>0</v>
      </c>
      <c r="T174" s="982">
        <f>SUM(mJAN[[#This Row],[PRINCIPAL]:[JUROS]])</f>
        <v>11388</v>
      </c>
    </row>
    <row r="175" spans="2:20" ht="21" customHeight="1">
      <c r="B175" s="5" t="str">
        <f t="shared" si="2"/>
        <v>1/26</v>
      </c>
      <c r="C175" s="981" t="str">
        <f>VLOOKUP(mJAN[[#This Row],[CÓDIGO CONTABIL]],Contas_Gerencial[#All],3,FALSE)</f>
        <v>ENCARGOS</v>
      </c>
      <c r="D175" s="981" t="str">
        <f>VLOOKUP(mJAN[[#This Row],[DESCRIÇÃO CONTABIL]],Contas_Gerencial[[#All],[DESCRIÇÃO DA CONTA - NÃO UTILIZAR]:[Código2]],2,FALSE)</f>
        <v>20.04.004</v>
      </c>
      <c r="E175" s="452" t="s">
        <v>2651</v>
      </c>
      <c r="F175" s="452" t="s">
        <v>581</v>
      </c>
      <c r="G175" s="480" t="s">
        <v>1630</v>
      </c>
      <c r="H175" s="452" t="s">
        <v>1788</v>
      </c>
      <c r="I175" s="481">
        <v>177</v>
      </c>
      <c r="J175" s="453" t="s">
        <v>264</v>
      </c>
      <c r="K175" s="453" t="s">
        <v>2113</v>
      </c>
      <c r="L175" s="456" t="s">
        <v>2104</v>
      </c>
      <c r="M175" s="989">
        <v>46014</v>
      </c>
      <c r="N175" s="457">
        <v>46042</v>
      </c>
      <c r="O175" s="457">
        <v>46042</v>
      </c>
      <c r="P175" s="453" t="s">
        <v>214</v>
      </c>
      <c r="Q175" s="458">
        <v>158.29</v>
      </c>
      <c r="R175" s="459">
        <v>0</v>
      </c>
      <c r="S175" s="459">
        <v>0</v>
      </c>
      <c r="T175" s="982">
        <f>SUM(mJAN[[#This Row],[PRINCIPAL]:[JUROS]])</f>
        <v>158.29</v>
      </c>
    </row>
    <row r="176" spans="2:20" ht="21" customHeight="1">
      <c r="B176" s="5" t="str">
        <f t="shared" si="2"/>
        <v>1/26</v>
      </c>
      <c r="C176" s="981" t="str">
        <f>VLOOKUP(mJAN[[#This Row],[CÓDIGO CONTABIL]],Contas_Gerencial[#All],3,FALSE)</f>
        <v>TRIBUTOS</v>
      </c>
      <c r="D176" s="981" t="str">
        <f>VLOOKUP(mJAN[[#This Row],[DESCRIÇÃO CONTABIL]],Contas_Gerencial[[#All],[DESCRIÇÃO DA CONTA - NÃO UTILIZAR]:[Código2]],2,FALSE)</f>
        <v>20.08.004</v>
      </c>
      <c r="E176" s="452" t="s">
        <v>2648</v>
      </c>
      <c r="F176" s="452" t="s">
        <v>581</v>
      </c>
      <c r="G176" s="480" t="s">
        <v>1630</v>
      </c>
      <c r="H176" s="452" t="s">
        <v>1788</v>
      </c>
      <c r="I176" s="481">
        <v>177</v>
      </c>
      <c r="J176" s="453" t="s">
        <v>654</v>
      </c>
      <c r="K176" s="453" t="s">
        <v>2114</v>
      </c>
      <c r="L176" s="456" t="s">
        <v>2104</v>
      </c>
      <c r="M176" s="457">
        <v>46014</v>
      </c>
      <c r="N176" s="457">
        <v>46042</v>
      </c>
      <c r="O176" s="457">
        <v>46042</v>
      </c>
      <c r="P176" s="453" t="s">
        <v>214</v>
      </c>
      <c r="Q176" s="458">
        <v>0</v>
      </c>
      <c r="R176" s="459">
        <v>0</v>
      </c>
      <c r="S176" s="459">
        <v>0</v>
      </c>
      <c r="T176" s="982">
        <f>SUM(mJAN[[#This Row],[PRINCIPAL]:[JUROS]])</f>
        <v>0</v>
      </c>
    </row>
    <row r="177" spans="2:20" ht="21" customHeight="1">
      <c r="B177" s="5" t="str">
        <f t="shared" si="2"/>
        <v>1/26</v>
      </c>
      <c r="C177" s="981" t="str">
        <f>VLOOKUP(mJAN[[#This Row],[CÓDIGO CONTABIL]],Contas_Gerencial[#All],3,FALSE)</f>
        <v>TRIBUTOS</v>
      </c>
      <c r="D177" s="981" t="str">
        <f>VLOOKUP(mJAN[[#This Row],[DESCRIÇÃO CONTABIL]],Contas_Gerencial[[#All],[DESCRIÇÃO DA CONTA - NÃO UTILIZAR]:[Código2]],2,FALSE)</f>
        <v>20.08.001</v>
      </c>
      <c r="E177" s="464" t="s">
        <v>2112</v>
      </c>
      <c r="F177" s="464" t="s">
        <v>581</v>
      </c>
      <c r="G177" s="986" t="s">
        <v>1630</v>
      </c>
      <c r="H177" s="464" t="s">
        <v>1788</v>
      </c>
      <c r="I177" s="984">
        <v>177</v>
      </c>
      <c r="J177" s="461" t="s">
        <v>654</v>
      </c>
      <c r="K177" s="461" t="s">
        <v>1907</v>
      </c>
      <c r="L177" s="462" t="s">
        <v>2104</v>
      </c>
      <c r="M177" s="463">
        <v>46028</v>
      </c>
      <c r="N177" s="463">
        <v>46042</v>
      </c>
      <c r="O177" s="463"/>
      <c r="P177" s="461" t="s">
        <v>1</v>
      </c>
      <c r="Q177" s="993">
        <v>491.50501922910018</v>
      </c>
      <c r="R177" s="465">
        <v>0</v>
      </c>
      <c r="S177" s="465">
        <v>0</v>
      </c>
      <c r="T177" s="982">
        <f>SUM(mJAN[[#This Row],[PRINCIPAL]:[JUROS]])</f>
        <v>491.50501922910018</v>
      </c>
    </row>
    <row r="178" spans="2:20" ht="21" customHeight="1">
      <c r="B178" s="5" t="str">
        <f t="shared" si="2"/>
        <v>1/26</v>
      </c>
      <c r="C178" s="981" t="str">
        <f>VLOOKUP(mJAN[[#This Row],[CÓDIGO CONTABIL]],Contas_Gerencial[#All],3,FALSE)</f>
        <v>TRIBUTOS</v>
      </c>
      <c r="D178" s="981" t="str">
        <f>VLOOKUP(mJAN[[#This Row],[DESCRIÇÃO CONTABIL]],Contas_Gerencial[[#All],[DESCRIÇÃO DA CONTA - NÃO UTILIZAR]:[Código2]],2,FALSE)</f>
        <v>20.08.002</v>
      </c>
      <c r="E178" s="464" t="s">
        <v>589</v>
      </c>
      <c r="F178" s="464" t="s">
        <v>581</v>
      </c>
      <c r="G178" s="986" t="s">
        <v>1630</v>
      </c>
      <c r="H178" s="464" t="s">
        <v>1788</v>
      </c>
      <c r="I178" s="984">
        <v>177</v>
      </c>
      <c r="J178" s="461" t="s">
        <v>654</v>
      </c>
      <c r="K178" s="461" t="s">
        <v>1907</v>
      </c>
      <c r="L178" s="462" t="s">
        <v>2104</v>
      </c>
      <c r="M178" s="463">
        <v>46028</v>
      </c>
      <c r="N178" s="463">
        <v>46042</v>
      </c>
      <c r="O178" s="463"/>
      <c r="P178" s="461" t="s">
        <v>1</v>
      </c>
      <c r="Q178" s="985">
        <v>736.9610509803922</v>
      </c>
      <c r="R178" s="465">
        <v>0</v>
      </c>
      <c r="S178" s="465">
        <v>0</v>
      </c>
      <c r="T178" s="982">
        <f>SUM(mJAN[[#This Row],[PRINCIPAL]:[JUROS]])</f>
        <v>736.9610509803922</v>
      </c>
    </row>
    <row r="179" spans="2:20" ht="21" customHeight="1">
      <c r="B179" s="5" t="str">
        <f t="shared" si="2"/>
        <v>1/26</v>
      </c>
      <c r="C179" s="981" t="str">
        <f>VLOOKUP(mJAN[[#This Row],[CÓDIGO CONTABIL]],Contas_Gerencial[#All],3,FALSE)</f>
        <v>FOLHA DE PAGAMENTO</v>
      </c>
      <c r="D179" s="981" t="str">
        <f>VLOOKUP(mJAN[[#This Row],[DESCRIÇÃO CONTABIL]],Contas_Gerencial[[#All],[DESCRIÇÃO DA CONTA - NÃO UTILIZAR]:[Código2]],2,FALSE)</f>
        <v>20.05.021</v>
      </c>
      <c r="E179" s="452" t="s">
        <v>59</v>
      </c>
      <c r="F179" s="453" t="s">
        <v>581</v>
      </c>
      <c r="G179" s="480" t="s">
        <v>1630</v>
      </c>
      <c r="H179" s="452" t="s">
        <v>1791</v>
      </c>
      <c r="I179" s="481">
        <v>177</v>
      </c>
      <c r="J179" s="453" t="s">
        <v>581</v>
      </c>
      <c r="K179" s="452" t="s">
        <v>1793</v>
      </c>
      <c r="L179" s="456" t="s">
        <v>2104</v>
      </c>
      <c r="M179" s="457">
        <v>46028</v>
      </c>
      <c r="N179" s="457">
        <v>46028</v>
      </c>
      <c r="O179" s="457">
        <v>46028</v>
      </c>
      <c r="P179" s="453" t="s">
        <v>214</v>
      </c>
      <c r="Q179" s="458">
        <v>3068.6</v>
      </c>
      <c r="R179" s="459">
        <v>0</v>
      </c>
      <c r="S179" s="459">
        <v>0</v>
      </c>
      <c r="T179" s="982">
        <f>SUM(mJAN[[#This Row],[PRINCIPAL]:[JUROS]])</f>
        <v>3068.6</v>
      </c>
    </row>
    <row r="180" spans="2:20" ht="21" customHeight="1">
      <c r="B180" s="5" t="str">
        <f t="shared" si="2"/>
        <v>1/26</v>
      </c>
      <c r="C180" s="981" t="str">
        <f>VLOOKUP(mJAN[[#This Row],[CÓDIGO CONTABIL]],Contas_Gerencial[#All],3,FALSE)</f>
        <v>ENCARGOS</v>
      </c>
      <c r="D180" s="981" t="str">
        <f>VLOOKUP(mJAN[[#This Row],[DESCRIÇÃO CONTABIL]],Contas_Gerencial[[#All],[DESCRIÇÃO DA CONTA - NÃO UTILIZAR]:[Código2]],2,FALSE)</f>
        <v>20.04.006</v>
      </c>
      <c r="E180" s="452" t="s">
        <v>1180</v>
      </c>
      <c r="F180" s="452" t="s">
        <v>581</v>
      </c>
      <c r="G180" s="480" t="s">
        <v>1630</v>
      </c>
      <c r="H180" s="452" t="s">
        <v>1180</v>
      </c>
      <c r="I180" s="481">
        <v>177</v>
      </c>
      <c r="J180" s="453" t="s">
        <v>384</v>
      </c>
      <c r="K180" s="453" t="s">
        <v>1180</v>
      </c>
      <c r="L180" s="456" t="s">
        <v>2104</v>
      </c>
      <c r="M180" s="457">
        <v>46028</v>
      </c>
      <c r="N180" s="457">
        <v>46042</v>
      </c>
      <c r="O180" s="457">
        <v>46042</v>
      </c>
      <c r="P180" s="453" t="s">
        <v>214</v>
      </c>
      <c r="Q180" s="458">
        <v>256.24</v>
      </c>
      <c r="R180" s="459">
        <v>0</v>
      </c>
      <c r="S180" s="459">
        <v>0</v>
      </c>
      <c r="T180" s="982">
        <f>SUM(mJAN[[#This Row],[PRINCIPAL]:[JUROS]])</f>
        <v>256.24</v>
      </c>
    </row>
    <row r="181" spans="2:20" ht="21" customHeight="1">
      <c r="B181" s="5" t="str">
        <f t="shared" si="2"/>
        <v>1/26</v>
      </c>
      <c r="C181" s="981" t="str">
        <f>VLOOKUP(mJAN[[#This Row],[CÓDIGO CONTABIL]],Contas_Gerencial[#All],3,FALSE)</f>
        <v>ENCARGOS</v>
      </c>
      <c r="D181" s="981" t="str">
        <f>VLOOKUP(mJAN[[#This Row],[DESCRIÇÃO CONTABIL]],Contas_Gerencial[[#All],[DESCRIÇÃO DA CONTA - NÃO UTILIZAR]:[Código2]],2,FALSE)</f>
        <v>20.04.001</v>
      </c>
      <c r="E181" s="464" t="s">
        <v>2659</v>
      </c>
      <c r="F181" s="464" t="s">
        <v>581</v>
      </c>
      <c r="G181" s="464" t="s">
        <v>1630</v>
      </c>
      <c r="H181" s="464" t="s">
        <v>1788</v>
      </c>
      <c r="I181" s="984">
        <v>177</v>
      </c>
      <c r="J181" s="461" t="s">
        <v>757</v>
      </c>
      <c r="K181" s="461" t="s">
        <v>2089</v>
      </c>
      <c r="L181" s="462" t="s">
        <v>2104</v>
      </c>
      <c r="M181" s="463">
        <v>46028</v>
      </c>
      <c r="N181" s="463">
        <v>46042</v>
      </c>
      <c r="O181" s="463"/>
      <c r="P181" s="741" t="s">
        <v>1</v>
      </c>
      <c r="Q181" s="484">
        <f>242.72-65</f>
        <v>177.72</v>
      </c>
      <c r="R181" s="465">
        <v>0</v>
      </c>
      <c r="S181" s="465">
        <v>0</v>
      </c>
      <c r="T181" s="982">
        <f>SUM(mJAN[[#This Row],[PRINCIPAL]:[JUROS]])</f>
        <v>177.72</v>
      </c>
    </row>
    <row r="182" spans="2:20" ht="21" customHeight="1">
      <c r="B182" s="5" t="str">
        <f t="shared" si="2"/>
        <v>1/26</v>
      </c>
      <c r="C182" s="981" t="str">
        <f>VLOOKUP(mJAN[[#This Row],[CÓDIGO CONTABIL]],Contas_Gerencial[#All],3,FALSE)</f>
        <v>BENEFICIO</v>
      </c>
      <c r="D182" s="981" t="str">
        <f>VLOOKUP(mJAN[[#This Row],[DESCRIÇÃO CONTABIL]],Contas_Gerencial[[#All],[DESCRIÇÃO DA CONTA - NÃO UTILIZAR]:[Código2]],2,FALSE)</f>
        <v>20.05.006</v>
      </c>
      <c r="E182" s="480" t="s">
        <v>24</v>
      </c>
      <c r="F182" s="452" t="s">
        <v>581</v>
      </c>
      <c r="G182" s="480" t="s">
        <v>1630</v>
      </c>
      <c r="H182" s="452" t="s">
        <v>1791</v>
      </c>
      <c r="I182" s="481">
        <v>200126</v>
      </c>
      <c r="J182" s="453" t="s">
        <v>581</v>
      </c>
      <c r="K182" s="453" t="s">
        <v>2180</v>
      </c>
      <c r="L182" s="451" t="s">
        <v>2137</v>
      </c>
      <c r="M182" s="457">
        <v>46042</v>
      </c>
      <c r="N182" s="457">
        <v>46043</v>
      </c>
      <c r="O182" s="457">
        <v>46042</v>
      </c>
      <c r="P182" s="452" t="s">
        <v>214</v>
      </c>
      <c r="Q182" s="467">
        <v>1050</v>
      </c>
      <c r="R182" s="467">
        <v>0</v>
      </c>
      <c r="S182" s="467">
        <v>0</v>
      </c>
      <c r="T182" s="982">
        <f>SUM(mJAN[[#This Row],[PRINCIPAL]:[JUROS]])</f>
        <v>1050</v>
      </c>
    </row>
    <row r="183" spans="2:20" ht="21" customHeight="1">
      <c r="B183" s="5" t="str">
        <f t="shared" si="2"/>
        <v>1/26</v>
      </c>
      <c r="C183" s="981" t="str">
        <f>VLOOKUP(mJAN[[#This Row],[CÓDIGO CONTABIL]],Contas_Gerencial[#All],3,FALSE)</f>
        <v>BENEFICIO</v>
      </c>
      <c r="D183" s="981" t="str">
        <f>VLOOKUP(mJAN[[#This Row],[DESCRIÇÃO CONTABIL]],Contas_Gerencial[[#All],[DESCRIÇÃO DA CONTA - NÃO UTILIZAR]:[Código2]],2,FALSE)</f>
        <v>20.05.007</v>
      </c>
      <c r="E183" s="480" t="s">
        <v>25</v>
      </c>
      <c r="F183" s="452" t="s">
        <v>581</v>
      </c>
      <c r="G183" s="480" t="s">
        <v>1630</v>
      </c>
      <c r="H183" s="452" t="s">
        <v>1791</v>
      </c>
      <c r="I183" s="481">
        <v>200126</v>
      </c>
      <c r="J183" s="453" t="s">
        <v>581</v>
      </c>
      <c r="K183" s="453" t="s">
        <v>2180</v>
      </c>
      <c r="L183" s="451" t="s">
        <v>2137</v>
      </c>
      <c r="M183" s="457">
        <v>46042</v>
      </c>
      <c r="N183" s="457">
        <v>46043</v>
      </c>
      <c r="O183" s="457">
        <v>46042</v>
      </c>
      <c r="P183" s="452" t="s">
        <v>214</v>
      </c>
      <c r="Q183" s="467">
        <v>0</v>
      </c>
      <c r="R183" s="467">
        <v>0</v>
      </c>
      <c r="S183" s="467">
        <v>0</v>
      </c>
      <c r="T183" s="982">
        <f>SUM(mJAN[[#This Row],[PRINCIPAL]:[JUROS]])</f>
        <v>0</v>
      </c>
    </row>
    <row r="184" spans="2:20" ht="21" customHeight="1">
      <c r="B184" s="5" t="str">
        <f t="shared" si="2"/>
        <v>1/26</v>
      </c>
      <c r="C184" s="981" t="str">
        <f>VLOOKUP(mJAN[[#This Row],[CÓDIGO CONTABIL]],Contas_Gerencial[#All],3,FALSE)</f>
        <v>RECEITA SUBCONTA</v>
      </c>
      <c r="D184" s="981" t="str">
        <f>VLOOKUP(mJAN[[#This Row],[DESCRIÇÃO CONTABIL]],Contas_Gerencial[[#All],[DESCRIÇÃO DA CONTA - NÃO UTILIZAR]:[Código2]],2,FALSE)</f>
        <v>10.01.001</v>
      </c>
      <c r="E184" s="107" t="s">
        <v>90</v>
      </c>
      <c r="F184" s="452" t="s">
        <v>581</v>
      </c>
      <c r="G184" s="107" t="s">
        <v>1634</v>
      </c>
      <c r="H184" s="107" t="s">
        <v>1788</v>
      </c>
      <c r="I184" s="481">
        <v>180</v>
      </c>
      <c r="J184" s="121" t="s">
        <v>581</v>
      </c>
      <c r="K184" s="121" t="s">
        <v>1792</v>
      </c>
      <c r="L184" s="456" t="s">
        <v>2104</v>
      </c>
      <c r="M184" s="457">
        <v>46014</v>
      </c>
      <c r="N184" s="457">
        <v>46024</v>
      </c>
      <c r="O184" s="457">
        <v>46028</v>
      </c>
      <c r="P184" s="452" t="s">
        <v>214</v>
      </c>
      <c r="Q184" s="482">
        <v>5964</v>
      </c>
      <c r="R184" s="482">
        <v>0</v>
      </c>
      <c r="S184" s="482">
        <v>0</v>
      </c>
      <c r="T184" s="982">
        <f>SUM(mJAN[[#This Row],[PRINCIPAL]:[JUROS]])</f>
        <v>5964</v>
      </c>
    </row>
    <row r="185" spans="2:20" ht="21" customHeight="1">
      <c r="B185" s="5" t="str">
        <f t="shared" si="2"/>
        <v>1/26</v>
      </c>
      <c r="C185" s="981" t="str">
        <f>VLOOKUP(mJAN[[#This Row],[CÓDIGO CONTABIL]],Contas_Gerencial[#All],3,FALSE)</f>
        <v>ENCARGOS</v>
      </c>
      <c r="D185" s="981" t="str">
        <f>VLOOKUP(mJAN[[#This Row],[DESCRIÇÃO CONTABIL]],Contas_Gerencial[[#All],[DESCRIÇÃO DA CONTA - NÃO UTILIZAR]:[Código2]],2,FALSE)</f>
        <v>20.04.004</v>
      </c>
      <c r="E185" s="452" t="s">
        <v>2651</v>
      </c>
      <c r="F185" s="452" t="s">
        <v>581</v>
      </c>
      <c r="G185" s="480" t="s">
        <v>1634</v>
      </c>
      <c r="H185" s="452" t="s">
        <v>1788</v>
      </c>
      <c r="I185" s="481">
        <v>180</v>
      </c>
      <c r="J185" s="453" t="s">
        <v>264</v>
      </c>
      <c r="K185" s="453" t="s">
        <v>2113</v>
      </c>
      <c r="L185" s="456" t="s">
        <v>2104</v>
      </c>
      <c r="M185" s="457">
        <v>46014</v>
      </c>
      <c r="N185" s="457">
        <v>46042</v>
      </c>
      <c r="O185" s="457">
        <v>46042</v>
      </c>
      <c r="P185" s="453" t="s">
        <v>214</v>
      </c>
      <c r="Q185" s="458">
        <v>283.60000000000002</v>
      </c>
      <c r="R185" s="459">
        <v>0</v>
      </c>
      <c r="S185" s="459">
        <v>0</v>
      </c>
      <c r="T185" s="982">
        <f>SUM(mJAN[[#This Row],[PRINCIPAL]:[JUROS]])</f>
        <v>283.60000000000002</v>
      </c>
    </row>
    <row r="186" spans="2:20" ht="21" customHeight="1">
      <c r="B186" s="5" t="str">
        <f t="shared" si="2"/>
        <v>1/26</v>
      </c>
      <c r="C186" s="981" t="str">
        <f>VLOOKUP(mJAN[[#This Row],[CÓDIGO CONTABIL]],Contas_Gerencial[#All],3,FALSE)</f>
        <v>TRIBUTOS</v>
      </c>
      <c r="D186" s="981" t="str">
        <f>VLOOKUP(mJAN[[#This Row],[DESCRIÇÃO CONTABIL]],Contas_Gerencial[[#All],[DESCRIÇÃO DA CONTA - NÃO UTILIZAR]:[Código2]],2,FALSE)</f>
        <v>20.08.004</v>
      </c>
      <c r="E186" s="452" t="s">
        <v>2648</v>
      </c>
      <c r="F186" s="452" t="s">
        <v>581</v>
      </c>
      <c r="G186" s="480" t="s">
        <v>1634</v>
      </c>
      <c r="H186" s="452" t="s">
        <v>1788</v>
      </c>
      <c r="I186" s="481">
        <v>180</v>
      </c>
      <c r="J186" s="453" t="s">
        <v>654</v>
      </c>
      <c r="K186" s="453" t="s">
        <v>2114</v>
      </c>
      <c r="L186" s="456" t="s">
        <v>2104</v>
      </c>
      <c r="M186" s="457">
        <v>46014</v>
      </c>
      <c r="N186" s="457">
        <v>46042</v>
      </c>
      <c r="O186" s="457">
        <v>46042</v>
      </c>
      <c r="P186" s="453" t="s">
        <v>214</v>
      </c>
      <c r="Q186" s="458">
        <v>257.64</v>
      </c>
      <c r="R186" s="459">
        <v>0</v>
      </c>
      <c r="S186" s="459">
        <v>0</v>
      </c>
      <c r="T186" s="982">
        <f>SUM(mJAN[[#This Row],[PRINCIPAL]:[JUROS]])</f>
        <v>257.64</v>
      </c>
    </row>
    <row r="187" spans="2:20" ht="21" customHeight="1">
      <c r="B187" s="5" t="str">
        <f t="shared" si="2"/>
        <v>1/26</v>
      </c>
      <c r="C187" s="981" t="str">
        <f>VLOOKUP(mJAN[[#This Row],[CÓDIGO CONTABIL]],Contas_Gerencial[#All],3,FALSE)</f>
        <v>TRIBUTOS</v>
      </c>
      <c r="D187" s="981" t="str">
        <f>VLOOKUP(mJAN[[#This Row],[DESCRIÇÃO CONTABIL]],Contas_Gerencial[[#All],[DESCRIÇÃO DA CONTA - NÃO UTILIZAR]:[Código2]],2,FALSE)</f>
        <v>20.08.001</v>
      </c>
      <c r="E187" s="464" t="s">
        <v>2112</v>
      </c>
      <c r="F187" s="464" t="s">
        <v>581</v>
      </c>
      <c r="G187" s="986" t="s">
        <v>1634</v>
      </c>
      <c r="H187" s="464" t="s">
        <v>1788</v>
      </c>
      <c r="I187" s="984">
        <v>180</v>
      </c>
      <c r="J187" s="461" t="s">
        <v>654</v>
      </c>
      <c r="K187" s="461" t="s">
        <v>1907</v>
      </c>
      <c r="L187" s="462" t="s">
        <v>2104</v>
      </c>
      <c r="M187" s="463">
        <v>46031</v>
      </c>
      <c r="N187" s="463">
        <v>46042</v>
      </c>
      <c r="O187" s="463"/>
      <c r="P187" s="461" t="s">
        <v>1</v>
      </c>
      <c r="Q187" s="993">
        <v>-0.23</v>
      </c>
      <c r="R187" s="465">
        <v>0</v>
      </c>
      <c r="S187" s="465">
        <v>0</v>
      </c>
      <c r="T187" s="982">
        <f>SUM(mJAN[[#This Row],[PRINCIPAL]:[JUROS]])</f>
        <v>-0.23</v>
      </c>
    </row>
    <row r="188" spans="2:20" ht="21" customHeight="1">
      <c r="B188" s="5" t="str">
        <f t="shared" si="2"/>
        <v>1/26</v>
      </c>
      <c r="C188" s="981" t="str">
        <f>VLOOKUP(mJAN[[#This Row],[CÓDIGO CONTABIL]],Contas_Gerencial[#All],3,FALSE)</f>
        <v>TRIBUTOS</v>
      </c>
      <c r="D188" s="981" t="str">
        <f>VLOOKUP(mJAN[[#This Row],[DESCRIÇÃO CONTABIL]],Contas_Gerencial[[#All],[DESCRIÇÃO DA CONTA - NÃO UTILIZAR]:[Código2]],2,FALSE)</f>
        <v>20.08.002</v>
      </c>
      <c r="E188" s="464" t="s">
        <v>589</v>
      </c>
      <c r="F188" s="464" t="s">
        <v>581</v>
      </c>
      <c r="G188" s="986" t="s">
        <v>1634</v>
      </c>
      <c r="H188" s="464" t="s">
        <v>1788</v>
      </c>
      <c r="I188" s="984">
        <v>180</v>
      </c>
      <c r="J188" s="461" t="s">
        <v>654</v>
      </c>
      <c r="K188" s="461" t="s">
        <v>1907</v>
      </c>
      <c r="L188" s="462" t="s">
        <v>2104</v>
      </c>
      <c r="M188" s="463">
        <v>46031</v>
      </c>
      <c r="N188" s="463">
        <v>46042</v>
      </c>
      <c r="O188" s="463"/>
      <c r="P188" s="461" t="s">
        <v>1</v>
      </c>
      <c r="Q188" s="985">
        <v>385.95325852187028</v>
      </c>
      <c r="R188" s="465">
        <v>0</v>
      </c>
      <c r="S188" s="465">
        <v>0</v>
      </c>
      <c r="T188" s="982">
        <f>SUM(mJAN[[#This Row],[PRINCIPAL]:[JUROS]])</f>
        <v>385.95325852187028</v>
      </c>
    </row>
    <row r="189" spans="2:20" ht="21" customHeight="1">
      <c r="B189" s="5" t="str">
        <f t="shared" si="2"/>
        <v>1/26</v>
      </c>
      <c r="C189" s="981" t="str">
        <f>VLOOKUP(mJAN[[#This Row],[CÓDIGO CONTABIL]],Contas_Gerencial[#All],3,FALSE)</f>
        <v>FOLHA DE PAGAMENTO</v>
      </c>
      <c r="D189" s="981" t="str">
        <f>VLOOKUP(mJAN[[#This Row],[DESCRIÇÃO CONTABIL]],Contas_Gerencial[[#All],[DESCRIÇÃO DA CONTA - NÃO UTILIZAR]:[Código2]],2,FALSE)</f>
        <v>20.05.021</v>
      </c>
      <c r="E189" s="452" t="s">
        <v>59</v>
      </c>
      <c r="F189" s="453" t="s">
        <v>581</v>
      </c>
      <c r="G189" s="480" t="s">
        <v>1634</v>
      </c>
      <c r="H189" s="452" t="s">
        <v>1791</v>
      </c>
      <c r="I189" s="481">
        <v>180</v>
      </c>
      <c r="J189" s="453" t="s">
        <v>581</v>
      </c>
      <c r="K189" s="452" t="s">
        <v>1790</v>
      </c>
      <c r="L189" s="456" t="s">
        <v>2104</v>
      </c>
      <c r="M189" s="457">
        <v>46028</v>
      </c>
      <c r="N189" s="457">
        <v>46028</v>
      </c>
      <c r="O189" s="457">
        <v>46028</v>
      </c>
      <c r="P189" s="453" t="s">
        <v>214</v>
      </c>
      <c r="Q189" s="458">
        <v>1832.95</v>
      </c>
      <c r="R189" s="459">
        <v>0</v>
      </c>
      <c r="S189" s="459">
        <v>0</v>
      </c>
      <c r="T189" s="982">
        <f>SUM(mJAN[[#This Row],[PRINCIPAL]:[JUROS]])</f>
        <v>1832.95</v>
      </c>
    </row>
    <row r="190" spans="2:20" ht="21" customHeight="1">
      <c r="B190" s="5" t="str">
        <f t="shared" si="2"/>
        <v>1/26</v>
      </c>
      <c r="C190" s="981" t="str">
        <f>VLOOKUP(mJAN[[#This Row],[CÓDIGO CONTABIL]],Contas_Gerencial[#All],3,FALSE)</f>
        <v>ENCARGOS</v>
      </c>
      <c r="D190" s="981" t="str">
        <f>VLOOKUP(mJAN[[#This Row],[DESCRIÇÃO CONTABIL]],Contas_Gerencial[[#All],[DESCRIÇÃO DA CONTA - NÃO UTILIZAR]:[Código2]],2,FALSE)</f>
        <v>20.04.006</v>
      </c>
      <c r="E190" s="452" t="s">
        <v>1180</v>
      </c>
      <c r="F190" s="452" t="s">
        <v>581</v>
      </c>
      <c r="G190" s="480" t="s">
        <v>1634</v>
      </c>
      <c r="H190" s="452" t="s">
        <v>1180</v>
      </c>
      <c r="I190" s="481">
        <v>180</v>
      </c>
      <c r="J190" s="453" t="s">
        <v>384</v>
      </c>
      <c r="K190" s="453" t="s">
        <v>1180</v>
      </c>
      <c r="L190" s="456" t="s">
        <v>2104</v>
      </c>
      <c r="M190" s="457">
        <v>46028</v>
      </c>
      <c r="N190" s="457">
        <v>46042</v>
      </c>
      <c r="O190" s="457">
        <v>46042</v>
      </c>
      <c r="P190" s="453" t="s">
        <v>214</v>
      </c>
      <c r="Q190" s="458">
        <v>152.01</v>
      </c>
      <c r="R190" s="459">
        <v>0</v>
      </c>
      <c r="S190" s="459">
        <v>0</v>
      </c>
      <c r="T190" s="982">
        <f>SUM(mJAN[[#This Row],[PRINCIPAL]:[JUROS]])</f>
        <v>152.01</v>
      </c>
    </row>
    <row r="191" spans="2:20" ht="21" customHeight="1">
      <c r="B191" s="5" t="str">
        <f t="shared" si="2"/>
        <v>1/26</v>
      </c>
      <c r="C191" s="981" t="str">
        <f>VLOOKUP(mJAN[[#This Row],[CÓDIGO CONTABIL]],Contas_Gerencial[#All],3,FALSE)</f>
        <v>ENCARGOS</v>
      </c>
      <c r="D191" s="981" t="str">
        <f>VLOOKUP(mJAN[[#This Row],[DESCRIÇÃO CONTABIL]],Contas_Gerencial[[#All],[DESCRIÇÃO DA CONTA - NÃO UTILIZAR]:[Código2]],2,FALSE)</f>
        <v>20.04.001</v>
      </c>
      <c r="E191" s="464" t="s">
        <v>2659</v>
      </c>
      <c r="F191" s="464" t="s">
        <v>581</v>
      </c>
      <c r="G191" s="464" t="s">
        <v>1634</v>
      </c>
      <c r="H191" s="464" t="s">
        <v>1788</v>
      </c>
      <c r="I191" s="984">
        <v>180</v>
      </c>
      <c r="J191" s="461" t="s">
        <v>757</v>
      </c>
      <c r="K191" s="461" t="s">
        <v>2089</v>
      </c>
      <c r="L191" s="462" t="s">
        <v>2104</v>
      </c>
      <c r="M191" s="463">
        <v>46028</v>
      </c>
      <c r="N191" s="463">
        <v>46042</v>
      </c>
      <c r="O191" s="463"/>
      <c r="P191" s="741" t="s">
        <v>1</v>
      </c>
      <c r="Q191" s="484">
        <f>148.24-195</f>
        <v>-46.759999999999991</v>
      </c>
      <c r="R191" s="465">
        <v>0</v>
      </c>
      <c r="S191" s="465">
        <v>0</v>
      </c>
      <c r="T191" s="982">
        <f>SUM(mJAN[[#This Row],[PRINCIPAL]:[JUROS]])</f>
        <v>-46.759999999999991</v>
      </c>
    </row>
    <row r="192" spans="2:20" ht="21" customHeight="1">
      <c r="B192" s="5" t="str">
        <f t="shared" si="2"/>
        <v>1/26</v>
      </c>
      <c r="C192" s="981" t="str">
        <f>VLOOKUP(mJAN[[#This Row],[CÓDIGO CONTABIL]],Contas_Gerencial[#All],3,FALSE)</f>
        <v>BENEFICIO</v>
      </c>
      <c r="D192" s="981" t="str">
        <f>VLOOKUP(mJAN[[#This Row],[DESCRIÇÃO CONTABIL]],Contas_Gerencial[[#All],[DESCRIÇÃO DA CONTA - NÃO UTILIZAR]:[Código2]],2,FALSE)</f>
        <v>20.05.006</v>
      </c>
      <c r="E192" s="480" t="s">
        <v>24</v>
      </c>
      <c r="F192" s="452" t="s">
        <v>581</v>
      </c>
      <c r="G192" s="480" t="s">
        <v>1634</v>
      </c>
      <c r="H192" s="452" t="s">
        <v>1791</v>
      </c>
      <c r="I192" s="481">
        <v>200126</v>
      </c>
      <c r="J192" s="453" t="s">
        <v>581</v>
      </c>
      <c r="K192" s="453" t="s">
        <v>2180</v>
      </c>
      <c r="L192" s="451" t="s">
        <v>2137</v>
      </c>
      <c r="M192" s="457">
        <v>46042</v>
      </c>
      <c r="N192" s="457">
        <v>46043</v>
      </c>
      <c r="O192" s="457">
        <v>46042</v>
      </c>
      <c r="P192" s="452" t="s">
        <v>214</v>
      </c>
      <c r="Q192" s="467">
        <v>1151.8</v>
      </c>
      <c r="R192" s="467">
        <v>0</v>
      </c>
      <c r="S192" s="467">
        <v>0</v>
      </c>
      <c r="T192" s="982">
        <f>SUM(mJAN[[#This Row],[PRINCIPAL]:[JUROS]])</f>
        <v>1151.8</v>
      </c>
    </row>
    <row r="193" spans="2:20" ht="21" customHeight="1">
      <c r="B193" s="5" t="str">
        <f t="shared" si="2"/>
        <v>1/26</v>
      </c>
      <c r="C193" s="981" t="str">
        <f>VLOOKUP(mJAN[[#This Row],[CÓDIGO CONTABIL]],Contas_Gerencial[#All],3,FALSE)</f>
        <v>BENEFICIO</v>
      </c>
      <c r="D193" s="981" t="str">
        <f>VLOOKUP(mJAN[[#This Row],[DESCRIÇÃO CONTABIL]],Contas_Gerencial[[#All],[DESCRIÇÃO DA CONTA - NÃO UTILIZAR]:[Código2]],2,FALSE)</f>
        <v>20.05.007</v>
      </c>
      <c r="E193" s="480" t="s">
        <v>25</v>
      </c>
      <c r="F193" s="452" t="s">
        <v>581</v>
      </c>
      <c r="G193" s="480" t="s">
        <v>1634</v>
      </c>
      <c r="H193" s="452" t="s">
        <v>1791</v>
      </c>
      <c r="I193" s="481">
        <v>200126</v>
      </c>
      <c r="J193" s="453" t="s">
        <v>581</v>
      </c>
      <c r="K193" s="453" t="s">
        <v>2180</v>
      </c>
      <c r="L193" s="451" t="s">
        <v>2137</v>
      </c>
      <c r="M193" s="457">
        <v>46042</v>
      </c>
      <c r="N193" s="457">
        <v>46043</v>
      </c>
      <c r="O193" s="457">
        <v>46042</v>
      </c>
      <c r="P193" s="452" t="s">
        <v>214</v>
      </c>
      <c r="Q193" s="467">
        <v>197.6</v>
      </c>
      <c r="R193" s="467">
        <v>0</v>
      </c>
      <c r="S193" s="467">
        <v>0</v>
      </c>
      <c r="T193" s="982">
        <f>SUM(mJAN[[#This Row],[PRINCIPAL]:[JUROS]])</f>
        <v>197.6</v>
      </c>
    </row>
    <row r="194" spans="2:20" ht="21" customHeight="1">
      <c r="B194" s="5" t="str">
        <f t="shared" si="2"/>
        <v>1/26</v>
      </c>
      <c r="C194" s="981" t="str">
        <f>VLOOKUP(mJAN[[#This Row],[CÓDIGO CONTABIL]],Contas_Gerencial[#All],3,FALSE)</f>
        <v>RECEITA SUBCONTA</v>
      </c>
      <c r="D194" s="981" t="str">
        <f>VLOOKUP(mJAN[[#This Row],[DESCRIÇÃO CONTABIL]],Contas_Gerencial[[#All],[DESCRIÇÃO DA CONTA - NÃO UTILIZAR]:[Código2]],2,FALSE)</f>
        <v>10.01.001</v>
      </c>
      <c r="E194" s="107" t="s">
        <v>90</v>
      </c>
      <c r="F194" s="452" t="s">
        <v>581</v>
      </c>
      <c r="G194" s="107" t="s">
        <v>1768</v>
      </c>
      <c r="H194" s="107" t="s">
        <v>1788</v>
      </c>
      <c r="I194" s="481">
        <v>181</v>
      </c>
      <c r="J194" s="121" t="s">
        <v>581</v>
      </c>
      <c r="K194" s="121" t="s">
        <v>1792</v>
      </c>
      <c r="L194" s="456" t="s">
        <v>2104</v>
      </c>
      <c r="M194" s="457">
        <v>46014</v>
      </c>
      <c r="N194" s="457">
        <v>46037</v>
      </c>
      <c r="O194" s="457">
        <v>46037</v>
      </c>
      <c r="P194" s="452" t="s">
        <v>214</v>
      </c>
      <c r="Q194" s="482">
        <v>8960</v>
      </c>
      <c r="R194" s="482">
        <v>0</v>
      </c>
      <c r="S194" s="482">
        <v>0</v>
      </c>
      <c r="T194" s="982">
        <f>SUM(mJAN[[#This Row],[PRINCIPAL]:[JUROS]])</f>
        <v>8960</v>
      </c>
    </row>
    <row r="195" spans="2:20" ht="21" customHeight="1">
      <c r="B195" s="5" t="str">
        <f t="shared" si="2"/>
        <v>1/26</v>
      </c>
      <c r="C195" s="981" t="str">
        <f>VLOOKUP(mJAN[[#This Row],[CÓDIGO CONTABIL]],Contas_Gerencial[#All],3,FALSE)</f>
        <v>ENCARGOS</v>
      </c>
      <c r="D195" s="981" t="str">
        <f>VLOOKUP(mJAN[[#This Row],[DESCRIÇÃO CONTABIL]],Contas_Gerencial[[#All],[DESCRIÇÃO DA CONTA - NÃO UTILIZAR]:[Código2]],2,FALSE)</f>
        <v>20.04.004</v>
      </c>
      <c r="E195" s="452" t="s">
        <v>2651</v>
      </c>
      <c r="F195" s="452" t="s">
        <v>581</v>
      </c>
      <c r="G195" s="480" t="s">
        <v>1768</v>
      </c>
      <c r="H195" s="452" t="s">
        <v>1788</v>
      </c>
      <c r="I195" s="481">
        <v>181</v>
      </c>
      <c r="J195" s="453" t="s">
        <v>264</v>
      </c>
      <c r="K195" s="453" t="s">
        <v>2113</v>
      </c>
      <c r="L195" s="456" t="s">
        <v>2104</v>
      </c>
      <c r="M195" s="457">
        <v>46014</v>
      </c>
      <c r="N195" s="457">
        <v>46042</v>
      </c>
      <c r="O195" s="457">
        <v>46042</v>
      </c>
      <c r="P195" s="453" t="s">
        <v>214</v>
      </c>
      <c r="Q195" s="458">
        <v>529.58000000000004</v>
      </c>
      <c r="R195" s="459">
        <v>0</v>
      </c>
      <c r="S195" s="459">
        <v>0</v>
      </c>
      <c r="T195" s="982">
        <f>SUM(mJAN[[#This Row],[PRINCIPAL]:[JUROS]])</f>
        <v>529.58000000000004</v>
      </c>
    </row>
    <row r="196" spans="2:20" ht="21" customHeight="1">
      <c r="B196" s="5" t="str">
        <f t="shared" si="2"/>
        <v>1/26</v>
      </c>
      <c r="C196" s="981" t="str">
        <f>VLOOKUP(mJAN[[#This Row],[CÓDIGO CONTABIL]],Contas_Gerencial[#All],3,FALSE)</f>
        <v>TRIBUTOS</v>
      </c>
      <c r="D196" s="981" t="str">
        <f>VLOOKUP(mJAN[[#This Row],[DESCRIÇÃO CONTABIL]],Contas_Gerencial[[#All],[DESCRIÇÃO DA CONTA - NÃO UTILIZAR]:[Código2]],2,FALSE)</f>
        <v>20.08.004</v>
      </c>
      <c r="E196" s="452" t="s">
        <v>2648</v>
      </c>
      <c r="F196" s="452" t="s">
        <v>581</v>
      </c>
      <c r="G196" s="480" t="s">
        <v>1768</v>
      </c>
      <c r="H196" s="452" t="s">
        <v>1788</v>
      </c>
      <c r="I196" s="481">
        <v>181</v>
      </c>
      <c r="J196" s="453" t="s">
        <v>654</v>
      </c>
      <c r="K196" s="453" t="s">
        <v>2114</v>
      </c>
      <c r="L196" s="456" t="s">
        <v>2104</v>
      </c>
      <c r="M196" s="457">
        <v>46014</v>
      </c>
      <c r="N196" s="457">
        <v>46042</v>
      </c>
      <c r="O196" s="457">
        <v>46042</v>
      </c>
      <c r="P196" s="453" t="s">
        <v>214</v>
      </c>
      <c r="Q196" s="458">
        <v>0</v>
      </c>
      <c r="R196" s="459">
        <v>0</v>
      </c>
      <c r="S196" s="459">
        <v>0</v>
      </c>
      <c r="T196" s="982">
        <f>SUM(mJAN[[#This Row],[PRINCIPAL]:[JUROS]])</f>
        <v>0</v>
      </c>
    </row>
    <row r="197" spans="2:20" ht="21" customHeight="1">
      <c r="B197" s="5" t="str">
        <f t="shared" si="2"/>
        <v>1/26</v>
      </c>
      <c r="C197" s="981" t="str">
        <f>VLOOKUP(mJAN[[#This Row],[CÓDIGO CONTABIL]],Contas_Gerencial[#All],3,FALSE)</f>
        <v>TRIBUTOS</v>
      </c>
      <c r="D197" s="981" t="str">
        <f>VLOOKUP(mJAN[[#This Row],[DESCRIÇÃO CONTABIL]],Contas_Gerencial[[#All],[DESCRIÇÃO DA CONTA - NÃO UTILIZAR]:[Código2]],2,FALSE)</f>
        <v>20.08.001</v>
      </c>
      <c r="E197" s="464" t="s">
        <v>2112</v>
      </c>
      <c r="F197" s="464" t="s">
        <v>581</v>
      </c>
      <c r="G197" s="986" t="s">
        <v>1768</v>
      </c>
      <c r="H197" s="464" t="s">
        <v>1788</v>
      </c>
      <c r="I197" s="984">
        <v>181</v>
      </c>
      <c r="J197" s="461" t="s">
        <v>654</v>
      </c>
      <c r="K197" s="461" t="s">
        <v>1907</v>
      </c>
      <c r="L197" s="462" t="s">
        <v>2104</v>
      </c>
      <c r="M197" s="463">
        <v>46031</v>
      </c>
      <c r="N197" s="463">
        <v>46042</v>
      </c>
      <c r="O197" s="463"/>
      <c r="P197" s="461" t="s">
        <v>1</v>
      </c>
      <c r="Q197" s="993">
        <v>386.71276539275885</v>
      </c>
      <c r="R197" s="465">
        <v>0</v>
      </c>
      <c r="S197" s="465">
        <v>0</v>
      </c>
      <c r="T197" s="982">
        <f>SUM(mJAN[[#This Row],[PRINCIPAL]:[JUROS]])</f>
        <v>386.71276539275885</v>
      </c>
    </row>
    <row r="198" spans="2:20" ht="21" customHeight="1">
      <c r="B198" s="5" t="str">
        <f t="shared" si="2"/>
        <v>1/26</v>
      </c>
      <c r="C198" s="981" t="str">
        <f>VLOOKUP(mJAN[[#This Row],[CÓDIGO CONTABIL]],Contas_Gerencial[#All],3,FALSE)</f>
        <v>TRIBUTOS</v>
      </c>
      <c r="D198" s="981" t="str">
        <f>VLOOKUP(mJAN[[#This Row],[DESCRIÇÃO CONTABIL]],Contas_Gerencial[[#All],[DESCRIÇÃO DA CONTA - NÃO UTILIZAR]:[Código2]],2,FALSE)</f>
        <v>20.08.002</v>
      </c>
      <c r="E198" s="464" t="s">
        <v>589</v>
      </c>
      <c r="F198" s="464" t="s">
        <v>581</v>
      </c>
      <c r="G198" s="986" t="s">
        <v>1768</v>
      </c>
      <c r="H198" s="464" t="s">
        <v>1788</v>
      </c>
      <c r="I198" s="984">
        <v>181</v>
      </c>
      <c r="J198" s="461" t="s">
        <v>654</v>
      </c>
      <c r="K198" s="461" t="s">
        <v>1907</v>
      </c>
      <c r="L198" s="462" t="s">
        <v>2104</v>
      </c>
      <c r="M198" s="463">
        <v>46031</v>
      </c>
      <c r="N198" s="463">
        <v>46042</v>
      </c>
      <c r="O198" s="463"/>
      <c r="P198" s="461" t="s">
        <v>1</v>
      </c>
      <c r="Q198" s="985">
        <v>579.83588134741069</v>
      </c>
      <c r="R198" s="465">
        <v>0</v>
      </c>
      <c r="S198" s="465">
        <v>0</v>
      </c>
      <c r="T198" s="982">
        <f>SUM(mJAN[[#This Row],[PRINCIPAL]:[JUROS]])</f>
        <v>579.83588134741069</v>
      </c>
    </row>
    <row r="199" spans="2:20" ht="21" customHeight="1">
      <c r="B199" s="5" t="str">
        <f t="shared" si="2"/>
        <v>1/26</v>
      </c>
      <c r="C199" s="981" t="str">
        <f>VLOOKUP(mJAN[[#This Row],[CÓDIGO CONTABIL]],Contas_Gerencial[#All],3,FALSE)</f>
        <v>FOLHA DE PAGAMENTO</v>
      </c>
      <c r="D199" s="981" t="str">
        <f>VLOOKUP(mJAN[[#This Row],[DESCRIÇÃO CONTABIL]],Contas_Gerencial[[#All],[DESCRIÇÃO DA CONTA - NÃO UTILIZAR]:[Código2]],2,FALSE)</f>
        <v>20.05.021</v>
      </c>
      <c r="E199" s="452" t="s">
        <v>59</v>
      </c>
      <c r="F199" s="453" t="s">
        <v>581</v>
      </c>
      <c r="G199" s="480" t="s">
        <v>1768</v>
      </c>
      <c r="H199" s="452" t="s">
        <v>1791</v>
      </c>
      <c r="I199" s="481">
        <v>181</v>
      </c>
      <c r="J199" s="453" t="s">
        <v>581</v>
      </c>
      <c r="K199" s="452" t="s">
        <v>1793</v>
      </c>
      <c r="L199" s="456" t="s">
        <v>2104</v>
      </c>
      <c r="M199" s="457">
        <v>46028</v>
      </c>
      <c r="N199" s="457">
        <v>46028</v>
      </c>
      <c r="O199" s="457">
        <v>46028</v>
      </c>
      <c r="P199" s="453" t="s">
        <v>214</v>
      </c>
      <c r="Q199" s="458">
        <v>3075.13</v>
      </c>
      <c r="R199" s="459">
        <v>0</v>
      </c>
      <c r="S199" s="459">
        <v>0</v>
      </c>
      <c r="T199" s="982">
        <f>SUM(mJAN[[#This Row],[PRINCIPAL]:[JUROS]])</f>
        <v>3075.13</v>
      </c>
    </row>
    <row r="200" spans="2:20" ht="21" customHeight="1">
      <c r="B200" s="5" t="str">
        <f t="shared" si="2"/>
        <v>1/26</v>
      </c>
      <c r="C200" s="981" t="str">
        <f>VLOOKUP(mJAN[[#This Row],[CÓDIGO CONTABIL]],Contas_Gerencial[#All],3,FALSE)</f>
        <v>ENCARGOS</v>
      </c>
      <c r="D200" s="981" t="str">
        <f>VLOOKUP(mJAN[[#This Row],[DESCRIÇÃO CONTABIL]],Contas_Gerencial[[#All],[DESCRIÇÃO DA CONTA - NÃO UTILIZAR]:[Código2]],2,FALSE)</f>
        <v>20.04.006</v>
      </c>
      <c r="E200" s="452" t="s">
        <v>1180</v>
      </c>
      <c r="F200" s="452" t="s">
        <v>581</v>
      </c>
      <c r="G200" s="480" t="s">
        <v>1768</v>
      </c>
      <c r="H200" s="452" t="s">
        <v>1180</v>
      </c>
      <c r="I200" s="481">
        <v>181</v>
      </c>
      <c r="J200" s="453" t="s">
        <v>384</v>
      </c>
      <c r="K200" s="453" t="s">
        <v>1180</v>
      </c>
      <c r="L200" s="456" t="s">
        <v>2104</v>
      </c>
      <c r="M200" s="457">
        <v>46028</v>
      </c>
      <c r="N200" s="457">
        <v>46042</v>
      </c>
      <c r="O200" s="457">
        <v>46042</v>
      </c>
      <c r="P200" s="453" t="s">
        <v>214</v>
      </c>
      <c r="Q200" s="458">
        <v>256.24</v>
      </c>
      <c r="R200" s="459">
        <v>0</v>
      </c>
      <c r="S200" s="459">
        <v>0</v>
      </c>
      <c r="T200" s="982">
        <f>SUM(mJAN[[#This Row],[PRINCIPAL]:[JUROS]])</f>
        <v>256.24</v>
      </c>
    </row>
    <row r="201" spans="2:20" ht="21" customHeight="1">
      <c r="B201" s="5" t="str">
        <f t="shared" si="2"/>
        <v>1/26</v>
      </c>
      <c r="C201" s="981" t="str">
        <f>VLOOKUP(mJAN[[#This Row],[CÓDIGO CONTABIL]],Contas_Gerencial[#All],3,FALSE)</f>
        <v>ENCARGOS</v>
      </c>
      <c r="D201" s="981" t="str">
        <f>VLOOKUP(mJAN[[#This Row],[DESCRIÇÃO CONTABIL]],Contas_Gerencial[[#All],[DESCRIÇÃO DA CONTA - NÃO UTILIZAR]:[Código2]],2,FALSE)</f>
        <v>20.04.001</v>
      </c>
      <c r="E201" s="464" t="s">
        <v>2659</v>
      </c>
      <c r="F201" s="464" t="s">
        <v>581</v>
      </c>
      <c r="G201" s="464" t="s">
        <v>1768</v>
      </c>
      <c r="H201" s="464" t="s">
        <v>1788</v>
      </c>
      <c r="I201" s="984">
        <v>181</v>
      </c>
      <c r="J201" s="461" t="s">
        <v>757</v>
      </c>
      <c r="K201" s="461" t="s">
        <v>2089</v>
      </c>
      <c r="L201" s="462" t="s">
        <v>2104</v>
      </c>
      <c r="M201" s="463">
        <v>46028</v>
      </c>
      <c r="N201" s="463">
        <v>46042</v>
      </c>
      <c r="O201" s="463"/>
      <c r="P201" s="741" t="s">
        <v>1</v>
      </c>
      <c r="Q201" s="484">
        <v>242.72</v>
      </c>
      <c r="R201" s="465">
        <v>0</v>
      </c>
      <c r="S201" s="465">
        <v>0</v>
      </c>
      <c r="T201" s="982">
        <f>SUM(mJAN[[#This Row],[PRINCIPAL]:[JUROS]])</f>
        <v>242.72</v>
      </c>
    </row>
    <row r="202" spans="2:20" ht="21" customHeight="1">
      <c r="B202" s="5" t="str">
        <f t="shared" si="2"/>
        <v>1/26</v>
      </c>
      <c r="C202" s="981" t="str">
        <f>VLOOKUP(mJAN[[#This Row],[CÓDIGO CONTABIL]],Contas_Gerencial[#All],3,FALSE)</f>
        <v>BENEFICIO</v>
      </c>
      <c r="D202" s="981" t="str">
        <f>VLOOKUP(mJAN[[#This Row],[DESCRIÇÃO CONTABIL]],Contas_Gerencial[[#All],[DESCRIÇÃO DA CONTA - NÃO UTILIZAR]:[Código2]],2,FALSE)</f>
        <v>20.05.006</v>
      </c>
      <c r="E202" s="480" t="s">
        <v>24</v>
      </c>
      <c r="F202" s="452" t="s">
        <v>581</v>
      </c>
      <c r="G202" s="480" t="s">
        <v>1768</v>
      </c>
      <c r="H202" s="452" t="s">
        <v>1791</v>
      </c>
      <c r="I202" s="481">
        <v>200126</v>
      </c>
      <c r="J202" s="453" t="s">
        <v>581</v>
      </c>
      <c r="K202" s="453" t="s">
        <v>2180</v>
      </c>
      <c r="L202" s="451" t="s">
        <v>2137</v>
      </c>
      <c r="M202" s="457">
        <v>46042</v>
      </c>
      <c r="N202" s="457">
        <v>46043</v>
      </c>
      <c r="O202" s="457">
        <v>46042</v>
      </c>
      <c r="P202" s="452" t="s">
        <v>214</v>
      </c>
      <c r="Q202" s="467">
        <v>775</v>
      </c>
      <c r="R202" s="467">
        <v>0</v>
      </c>
      <c r="S202" s="467">
        <v>0</v>
      </c>
      <c r="T202" s="982">
        <f>SUM(mJAN[[#This Row],[PRINCIPAL]:[JUROS]])</f>
        <v>775</v>
      </c>
    </row>
    <row r="203" spans="2:20" ht="21" customHeight="1">
      <c r="B203" s="5" t="str">
        <f t="shared" si="2"/>
        <v>1/26</v>
      </c>
      <c r="C203" s="981" t="str">
        <f>VLOOKUP(mJAN[[#This Row],[CÓDIGO CONTABIL]],Contas_Gerencial[#All],3,FALSE)</f>
        <v>BENEFICIO</v>
      </c>
      <c r="D203" s="981" t="str">
        <f>VLOOKUP(mJAN[[#This Row],[DESCRIÇÃO CONTABIL]],Contas_Gerencial[[#All],[DESCRIÇÃO DA CONTA - NÃO UTILIZAR]:[Código2]],2,FALSE)</f>
        <v>20.05.007</v>
      </c>
      <c r="E203" s="480" t="s">
        <v>25</v>
      </c>
      <c r="F203" s="452" t="s">
        <v>581</v>
      </c>
      <c r="G203" s="480" t="s">
        <v>1768</v>
      </c>
      <c r="H203" s="452" t="s">
        <v>1791</v>
      </c>
      <c r="I203" s="481">
        <v>200126</v>
      </c>
      <c r="J203" s="453" t="s">
        <v>581</v>
      </c>
      <c r="K203" s="453" t="s">
        <v>2180</v>
      </c>
      <c r="L203" s="451" t="s">
        <v>2137</v>
      </c>
      <c r="M203" s="457">
        <v>46042</v>
      </c>
      <c r="N203" s="457">
        <v>46043</v>
      </c>
      <c r="O203" s="457">
        <v>46042</v>
      </c>
      <c r="P203" s="452" t="s">
        <v>214</v>
      </c>
      <c r="Q203" s="467">
        <v>0</v>
      </c>
      <c r="R203" s="467">
        <v>0</v>
      </c>
      <c r="S203" s="467">
        <v>0</v>
      </c>
      <c r="T203" s="982">
        <f>SUM(mJAN[[#This Row],[PRINCIPAL]:[JUROS]])</f>
        <v>0</v>
      </c>
    </row>
    <row r="204" spans="2:20" ht="21" customHeight="1">
      <c r="B204" s="5" t="str">
        <f t="shared" ref="B204:B268" si="3">B203</f>
        <v>1/26</v>
      </c>
      <c r="C204" s="981" t="str">
        <f>VLOOKUP(mJAN[[#This Row],[CÓDIGO CONTABIL]],Contas_Gerencial[#All],3,FALSE)</f>
        <v>RECEITA SUBCONTA</v>
      </c>
      <c r="D204" s="981" t="str">
        <f>VLOOKUP(mJAN[[#This Row],[DESCRIÇÃO CONTABIL]],Contas_Gerencial[[#All],[DESCRIÇÃO DA CONTA - NÃO UTILIZAR]:[Código2]],2,FALSE)</f>
        <v>10.01.001</v>
      </c>
      <c r="E204" s="107" t="s">
        <v>90</v>
      </c>
      <c r="F204" s="452" t="s">
        <v>581</v>
      </c>
      <c r="G204" s="107" t="s">
        <v>1003</v>
      </c>
      <c r="H204" s="107" t="s">
        <v>1788</v>
      </c>
      <c r="I204" s="481">
        <v>183</v>
      </c>
      <c r="J204" s="121" t="s">
        <v>581</v>
      </c>
      <c r="K204" s="121" t="s">
        <v>1792</v>
      </c>
      <c r="L204" s="456" t="s">
        <v>2104</v>
      </c>
      <c r="M204" s="457">
        <v>46014</v>
      </c>
      <c r="N204" s="457">
        <v>46037</v>
      </c>
      <c r="O204" s="457">
        <v>46037</v>
      </c>
      <c r="P204" s="452" t="s">
        <v>214</v>
      </c>
      <c r="Q204" s="482">
        <v>18328</v>
      </c>
      <c r="R204" s="482">
        <v>0</v>
      </c>
      <c r="S204" s="482">
        <v>0</v>
      </c>
      <c r="T204" s="982">
        <f>SUM(mJAN[[#This Row],[PRINCIPAL]:[JUROS]])</f>
        <v>18328</v>
      </c>
    </row>
    <row r="205" spans="2:20" ht="21" customHeight="1">
      <c r="B205" s="5" t="str">
        <f t="shared" si="3"/>
        <v>1/26</v>
      </c>
      <c r="C205" s="981" t="str">
        <f>VLOOKUP(mJAN[[#This Row],[CÓDIGO CONTABIL]],Contas_Gerencial[#All],3,FALSE)</f>
        <v>ENCARGOS</v>
      </c>
      <c r="D205" s="981" t="str">
        <f>VLOOKUP(mJAN[[#This Row],[DESCRIÇÃO CONTABIL]],Contas_Gerencial[[#All],[DESCRIÇÃO DA CONTA - NÃO UTILIZAR]:[Código2]],2,FALSE)</f>
        <v>20.04.004</v>
      </c>
      <c r="E205" s="452" t="s">
        <v>2651</v>
      </c>
      <c r="F205" s="452" t="s">
        <v>581</v>
      </c>
      <c r="G205" s="480" t="s">
        <v>1003</v>
      </c>
      <c r="H205" s="452" t="s">
        <v>1788</v>
      </c>
      <c r="I205" s="481">
        <v>183</v>
      </c>
      <c r="J205" s="453" t="s">
        <v>264</v>
      </c>
      <c r="K205" s="453" t="s">
        <v>2113</v>
      </c>
      <c r="L205" s="456" t="s">
        <v>2104</v>
      </c>
      <c r="M205" s="457">
        <v>46014</v>
      </c>
      <c r="N205" s="457">
        <v>46042</v>
      </c>
      <c r="O205" s="457">
        <v>46042</v>
      </c>
      <c r="P205" s="453" t="s">
        <v>214</v>
      </c>
      <c r="Q205" s="458">
        <v>1197.76</v>
      </c>
      <c r="R205" s="459">
        <v>0</v>
      </c>
      <c r="S205" s="459">
        <v>0</v>
      </c>
      <c r="T205" s="982">
        <f>SUM(mJAN[[#This Row],[PRINCIPAL]:[JUROS]])</f>
        <v>1197.76</v>
      </c>
    </row>
    <row r="206" spans="2:20" ht="21" customHeight="1">
      <c r="B206" s="5" t="str">
        <f t="shared" si="3"/>
        <v>1/26</v>
      </c>
      <c r="C206" s="981" t="str">
        <f>VLOOKUP(mJAN[[#This Row],[CÓDIGO CONTABIL]],Contas_Gerencial[#All],3,FALSE)</f>
        <v>TRIBUTOS</v>
      </c>
      <c r="D206" s="981" t="str">
        <f>VLOOKUP(mJAN[[#This Row],[DESCRIÇÃO CONTABIL]],Contas_Gerencial[[#All],[DESCRIÇÃO DA CONTA - NÃO UTILIZAR]:[Código2]],2,FALSE)</f>
        <v>20.08.004</v>
      </c>
      <c r="E206" s="452" t="s">
        <v>2648</v>
      </c>
      <c r="F206" s="452" t="s">
        <v>581</v>
      </c>
      <c r="G206" s="480" t="s">
        <v>1003</v>
      </c>
      <c r="H206" s="452" t="s">
        <v>1788</v>
      </c>
      <c r="I206" s="481">
        <v>183</v>
      </c>
      <c r="J206" s="453" t="s">
        <v>654</v>
      </c>
      <c r="K206" s="453" t="s">
        <v>2114</v>
      </c>
      <c r="L206" s="456" t="s">
        <v>2104</v>
      </c>
      <c r="M206" s="457">
        <v>46014</v>
      </c>
      <c r="N206" s="457">
        <v>46042</v>
      </c>
      <c r="O206" s="457">
        <v>46042</v>
      </c>
      <c r="P206" s="453" t="s">
        <v>214</v>
      </c>
      <c r="Q206" s="458">
        <v>791.75</v>
      </c>
      <c r="R206" s="459">
        <v>0</v>
      </c>
      <c r="S206" s="459">
        <v>0</v>
      </c>
      <c r="T206" s="982">
        <f>SUM(mJAN[[#This Row],[PRINCIPAL]:[JUROS]])</f>
        <v>791.75</v>
      </c>
    </row>
    <row r="207" spans="2:20" ht="21" customHeight="1">
      <c r="B207" s="5" t="str">
        <f t="shared" si="3"/>
        <v>1/26</v>
      </c>
      <c r="C207" s="981" t="str">
        <f>VLOOKUP(mJAN[[#This Row],[CÓDIGO CONTABIL]],Contas_Gerencial[#All],3,FALSE)</f>
        <v>TRIBUTOS</v>
      </c>
      <c r="D207" s="981" t="str">
        <f>VLOOKUP(mJAN[[#This Row],[DESCRIÇÃO CONTABIL]],Contas_Gerencial[[#All],[DESCRIÇÃO DA CONTA - NÃO UTILIZAR]:[Código2]],2,FALSE)</f>
        <v>20.08.001</v>
      </c>
      <c r="E207" s="464" t="s">
        <v>2112</v>
      </c>
      <c r="F207" s="464" t="s">
        <v>581</v>
      </c>
      <c r="G207" s="986" t="s">
        <v>1003</v>
      </c>
      <c r="H207" s="464" t="s">
        <v>1788</v>
      </c>
      <c r="I207" s="984">
        <v>183</v>
      </c>
      <c r="J207" s="461" t="s">
        <v>654</v>
      </c>
      <c r="K207" s="461" t="s">
        <v>1907</v>
      </c>
      <c r="L207" s="462" t="s">
        <v>2104</v>
      </c>
      <c r="M207" s="463">
        <v>46031</v>
      </c>
      <c r="N207" s="463">
        <v>46042</v>
      </c>
      <c r="O207" s="463"/>
      <c r="P207" s="461" t="s">
        <v>1</v>
      </c>
      <c r="Q207" s="993">
        <v>-0.72</v>
      </c>
      <c r="R207" s="465">
        <v>0</v>
      </c>
      <c r="S207" s="465">
        <v>0</v>
      </c>
      <c r="T207" s="982">
        <f>SUM(mJAN[[#This Row],[PRINCIPAL]:[JUROS]])</f>
        <v>-0.72</v>
      </c>
    </row>
    <row r="208" spans="2:20" ht="21" customHeight="1">
      <c r="B208" s="5" t="str">
        <f t="shared" si="3"/>
        <v>1/26</v>
      </c>
      <c r="C208" s="981" t="str">
        <f>VLOOKUP(mJAN[[#This Row],[CÓDIGO CONTABIL]],Contas_Gerencial[#All],3,FALSE)</f>
        <v>TRIBUTOS</v>
      </c>
      <c r="D208" s="981" t="str">
        <f>VLOOKUP(mJAN[[#This Row],[DESCRIÇÃO CONTABIL]],Contas_Gerencial[[#All],[DESCRIÇÃO DA CONTA - NÃO UTILIZAR]:[Código2]],2,FALSE)</f>
        <v>20.08.002</v>
      </c>
      <c r="E208" s="464" t="s">
        <v>589</v>
      </c>
      <c r="F208" s="464" t="s">
        <v>581</v>
      </c>
      <c r="G208" s="986" t="s">
        <v>1003</v>
      </c>
      <c r="H208" s="464" t="s">
        <v>1788</v>
      </c>
      <c r="I208" s="984">
        <v>183</v>
      </c>
      <c r="J208" s="461" t="s">
        <v>654</v>
      </c>
      <c r="K208" s="461" t="s">
        <v>1907</v>
      </c>
      <c r="L208" s="462" t="s">
        <v>2104</v>
      </c>
      <c r="M208" s="463">
        <v>46031</v>
      </c>
      <c r="N208" s="463">
        <v>46042</v>
      </c>
      <c r="O208" s="463"/>
      <c r="P208" s="461" t="s">
        <v>1</v>
      </c>
      <c r="Q208" s="985">
        <v>1186.0750037204625</v>
      </c>
      <c r="R208" s="465">
        <v>0</v>
      </c>
      <c r="S208" s="465">
        <v>0</v>
      </c>
      <c r="T208" s="982">
        <f>SUM(mJAN[[#This Row],[PRINCIPAL]:[JUROS]])</f>
        <v>1186.0750037204625</v>
      </c>
    </row>
    <row r="209" spans="2:20" ht="21" customHeight="1">
      <c r="B209" s="5" t="str">
        <f t="shared" si="3"/>
        <v>1/26</v>
      </c>
      <c r="C209" s="981" t="str">
        <f>VLOOKUP(mJAN[[#This Row],[CÓDIGO CONTABIL]],Contas_Gerencial[#All],3,FALSE)</f>
        <v>FOLHA DE PAGAMENTO</v>
      </c>
      <c r="D209" s="981" t="str">
        <f>VLOOKUP(mJAN[[#This Row],[DESCRIÇÃO CONTABIL]],Contas_Gerencial[[#All],[DESCRIÇÃO DA CONTA - NÃO UTILIZAR]:[Código2]],2,FALSE)</f>
        <v>20.05.021</v>
      </c>
      <c r="E209" s="452" t="s">
        <v>59</v>
      </c>
      <c r="F209" s="453" t="s">
        <v>581</v>
      </c>
      <c r="G209" s="480" t="s">
        <v>1003</v>
      </c>
      <c r="H209" s="452" t="s">
        <v>1791</v>
      </c>
      <c r="I209" s="481">
        <v>183</v>
      </c>
      <c r="J209" s="453" t="s">
        <v>581</v>
      </c>
      <c r="K209" s="452" t="s">
        <v>1793</v>
      </c>
      <c r="L209" s="456" t="s">
        <v>2104</v>
      </c>
      <c r="M209" s="457">
        <v>46028</v>
      </c>
      <c r="N209" s="457">
        <v>46028</v>
      </c>
      <c r="O209" s="457">
        <v>46028</v>
      </c>
      <c r="P209" s="453" t="s">
        <v>214</v>
      </c>
      <c r="Q209" s="458">
        <v>4930.42</v>
      </c>
      <c r="R209" s="459">
        <v>0</v>
      </c>
      <c r="S209" s="459">
        <v>0</v>
      </c>
      <c r="T209" s="982">
        <f>SUM(mJAN[[#This Row],[PRINCIPAL]:[JUROS]])</f>
        <v>4930.42</v>
      </c>
    </row>
    <row r="210" spans="2:20" ht="21" customHeight="1">
      <c r="B210" s="5" t="str">
        <f t="shared" si="3"/>
        <v>1/26</v>
      </c>
      <c r="C210" s="981" t="str">
        <f>VLOOKUP(mJAN[[#This Row],[CÓDIGO CONTABIL]],Contas_Gerencial[#All],3,FALSE)</f>
        <v>ENCARGOS</v>
      </c>
      <c r="D210" s="981" t="str">
        <f>VLOOKUP(mJAN[[#This Row],[DESCRIÇÃO CONTABIL]],Contas_Gerencial[[#All],[DESCRIÇÃO DA CONTA - NÃO UTILIZAR]:[Código2]],2,FALSE)</f>
        <v>20.04.006</v>
      </c>
      <c r="E210" s="452" t="s">
        <v>1180</v>
      </c>
      <c r="F210" s="452" t="s">
        <v>581</v>
      </c>
      <c r="G210" s="480" t="s">
        <v>1003</v>
      </c>
      <c r="H210" s="452" t="s">
        <v>1180</v>
      </c>
      <c r="I210" s="481">
        <v>183</v>
      </c>
      <c r="J210" s="453" t="s">
        <v>384</v>
      </c>
      <c r="K210" s="453" t="s">
        <v>1180</v>
      </c>
      <c r="L210" s="456" t="s">
        <v>2104</v>
      </c>
      <c r="M210" s="457">
        <v>46028</v>
      </c>
      <c r="N210" s="457">
        <v>46042</v>
      </c>
      <c r="O210" s="457">
        <v>46042</v>
      </c>
      <c r="P210" s="453" t="s">
        <v>214</v>
      </c>
      <c r="Q210" s="458">
        <v>446.06</v>
      </c>
      <c r="R210" s="459">
        <v>0</v>
      </c>
      <c r="S210" s="459">
        <v>0</v>
      </c>
      <c r="T210" s="982">
        <f>SUM(mJAN[[#This Row],[PRINCIPAL]:[JUROS]])</f>
        <v>446.06</v>
      </c>
    </row>
    <row r="211" spans="2:20" ht="21" customHeight="1">
      <c r="B211" s="5" t="str">
        <f t="shared" si="3"/>
        <v>1/26</v>
      </c>
      <c r="C211" s="981" t="str">
        <f>VLOOKUP(mJAN[[#This Row],[CÓDIGO CONTABIL]],Contas_Gerencial[#All],3,FALSE)</f>
        <v>ENCARGOS</v>
      </c>
      <c r="D211" s="981" t="str">
        <f>VLOOKUP(mJAN[[#This Row],[DESCRIÇÃO CONTABIL]],Contas_Gerencial[[#All],[DESCRIÇÃO DA CONTA - NÃO UTILIZAR]:[Código2]],2,FALSE)</f>
        <v>20.04.001</v>
      </c>
      <c r="E211" s="464" t="s">
        <v>2659</v>
      </c>
      <c r="F211" s="464" t="s">
        <v>581</v>
      </c>
      <c r="G211" s="464" t="s">
        <v>1003</v>
      </c>
      <c r="H211" s="464" t="s">
        <v>1788</v>
      </c>
      <c r="I211" s="984">
        <v>183</v>
      </c>
      <c r="J211" s="461" t="s">
        <v>757</v>
      </c>
      <c r="K211" s="461" t="s">
        <v>2089</v>
      </c>
      <c r="L211" s="462" t="s">
        <v>2104</v>
      </c>
      <c r="M211" s="463">
        <v>46028</v>
      </c>
      <c r="N211" s="463">
        <v>46042</v>
      </c>
      <c r="O211" s="463"/>
      <c r="P211" s="741" t="s">
        <v>1</v>
      </c>
      <c r="Q211" s="484">
        <f>433.51-130</f>
        <v>303.51</v>
      </c>
      <c r="R211" s="465">
        <v>0</v>
      </c>
      <c r="S211" s="465">
        <v>0</v>
      </c>
      <c r="T211" s="982">
        <f>SUM(mJAN[[#This Row],[PRINCIPAL]:[JUROS]])</f>
        <v>303.51</v>
      </c>
    </row>
    <row r="212" spans="2:20" ht="21" customHeight="1">
      <c r="B212" s="5" t="str">
        <f t="shared" si="3"/>
        <v>1/26</v>
      </c>
      <c r="C212" s="981" t="str">
        <f>VLOOKUP(mJAN[[#This Row],[CÓDIGO CONTABIL]],Contas_Gerencial[#All],3,FALSE)</f>
        <v>BENEFICIO</v>
      </c>
      <c r="D212" s="981" t="str">
        <f>VLOOKUP(mJAN[[#This Row],[DESCRIÇÃO CONTABIL]],Contas_Gerencial[[#All],[DESCRIÇÃO DA CONTA - NÃO UTILIZAR]:[Código2]],2,FALSE)</f>
        <v>20.05.006</v>
      </c>
      <c r="E212" s="480" t="s">
        <v>24</v>
      </c>
      <c r="F212" s="452" t="s">
        <v>581</v>
      </c>
      <c r="G212" s="452" t="s">
        <v>1003</v>
      </c>
      <c r="H212" s="452" t="s">
        <v>1791</v>
      </c>
      <c r="I212" s="481">
        <v>200126</v>
      </c>
      <c r="J212" s="453" t="s">
        <v>581</v>
      </c>
      <c r="K212" s="453" t="s">
        <v>2180</v>
      </c>
      <c r="L212" s="451" t="s">
        <v>2137</v>
      </c>
      <c r="M212" s="457">
        <v>46042</v>
      </c>
      <c r="N212" s="457">
        <v>46043</v>
      </c>
      <c r="O212" s="457">
        <v>46042</v>
      </c>
      <c r="P212" s="452" t="s">
        <v>214</v>
      </c>
      <c r="Q212" s="467">
        <v>2480.8000000000002</v>
      </c>
      <c r="R212" s="467">
        <v>0</v>
      </c>
      <c r="S212" s="467">
        <v>0</v>
      </c>
      <c r="T212" s="982">
        <f>SUM(mJAN[[#This Row],[PRINCIPAL]:[JUROS]])</f>
        <v>2480.8000000000002</v>
      </c>
    </row>
    <row r="213" spans="2:20" ht="21" customHeight="1">
      <c r="B213" s="5" t="str">
        <f t="shared" si="3"/>
        <v>1/26</v>
      </c>
      <c r="C213" s="981" t="str">
        <f>VLOOKUP(mJAN[[#This Row],[CÓDIGO CONTABIL]],Contas_Gerencial[#All],3,FALSE)</f>
        <v>BENEFICIO</v>
      </c>
      <c r="D213" s="981" t="str">
        <f>VLOOKUP(mJAN[[#This Row],[DESCRIÇÃO CONTABIL]],Contas_Gerencial[[#All],[DESCRIÇÃO DA CONTA - NÃO UTILIZAR]:[Código2]],2,FALSE)</f>
        <v>20.05.007</v>
      </c>
      <c r="E213" s="480" t="s">
        <v>25</v>
      </c>
      <c r="F213" s="452" t="s">
        <v>581</v>
      </c>
      <c r="G213" s="452" t="s">
        <v>1003</v>
      </c>
      <c r="H213" s="452" t="s">
        <v>1791</v>
      </c>
      <c r="I213" s="481">
        <v>200126</v>
      </c>
      <c r="J213" s="453" t="s">
        <v>581</v>
      </c>
      <c r="K213" s="453" t="s">
        <v>2180</v>
      </c>
      <c r="L213" s="451" t="s">
        <v>2137</v>
      </c>
      <c r="M213" s="457">
        <v>46042</v>
      </c>
      <c r="N213" s="457">
        <v>46043</v>
      </c>
      <c r="O213" s="457">
        <v>46042</v>
      </c>
      <c r="P213" s="452" t="s">
        <v>214</v>
      </c>
      <c r="Q213" s="467">
        <v>382.2</v>
      </c>
      <c r="R213" s="467">
        <v>0</v>
      </c>
      <c r="S213" s="467">
        <v>0</v>
      </c>
      <c r="T213" s="982">
        <f>SUM(mJAN[[#This Row],[PRINCIPAL]:[JUROS]])</f>
        <v>382.2</v>
      </c>
    </row>
    <row r="214" spans="2:20" ht="21" customHeight="1">
      <c r="B214" s="5" t="str">
        <f t="shared" si="3"/>
        <v>1/26</v>
      </c>
      <c r="C214" s="981" t="str">
        <f>VLOOKUP(mJAN[[#This Row],[CÓDIGO CONTABIL]],Contas_Gerencial[#All],3,FALSE)</f>
        <v>RECEITA SUBCONTA</v>
      </c>
      <c r="D214" s="981" t="str">
        <f>VLOOKUP(mJAN[[#This Row],[DESCRIÇÃO CONTABIL]],Contas_Gerencial[[#All],[DESCRIÇÃO DA CONTA - NÃO UTILIZAR]:[Código2]],2,FALSE)</f>
        <v>10.01.001</v>
      </c>
      <c r="E214" s="107" t="s">
        <v>90</v>
      </c>
      <c r="F214" s="452" t="s">
        <v>581</v>
      </c>
      <c r="G214" s="107" t="s">
        <v>1991</v>
      </c>
      <c r="H214" s="107" t="s">
        <v>1788</v>
      </c>
      <c r="I214" s="481">
        <v>184</v>
      </c>
      <c r="J214" s="121" t="s">
        <v>581</v>
      </c>
      <c r="K214" s="121" t="s">
        <v>1792</v>
      </c>
      <c r="L214" s="456" t="s">
        <v>2104</v>
      </c>
      <c r="M214" s="457">
        <v>46014</v>
      </c>
      <c r="N214" s="457">
        <v>46032</v>
      </c>
      <c r="O214" s="457">
        <v>46031</v>
      </c>
      <c r="P214" s="452" t="s">
        <v>214</v>
      </c>
      <c r="Q214" s="482">
        <v>5697</v>
      </c>
      <c r="R214" s="482">
        <v>0</v>
      </c>
      <c r="S214" s="482">
        <v>0</v>
      </c>
      <c r="T214" s="982">
        <f>SUM(mJAN[[#This Row],[PRINCIPAL]:[JUROS]])</f>
        <v>5697</v>
      </c>
    </row>
    <row r="215" spans="2:20" ht="21" customHeight="1">
      <c r="B215" s="5" t="str">
        <f t="shared" si="3"/>
        <v>1/26</v>
      </c>
      <c r="C215" s="981" t="str">
        <f>VLOOKUP(mJAN[[#This Row],[CÓDIGO CONTABIL]],Contas_Gerencial[#All],3,FALSE)</f>
        <v>ENCARGOS</v>
      </c>
      <c r="D215" s="981" t="str">
        <f>VLOOKUP(mJAN[[#This Row],[DESCRIÇÃO CONTABIL]],Contas_Gerencial[[#All],[DESCRIÇÃO DA CONTA - NÃO UTILIZAR]:[Código2]],2,FALSE)</f>
        <v>20.04.004</v>
      </c>
      <c r="E215" s="452" t="s">
        <v>2651</v>
      </c>
      <c r="F215" s="452" t="s">
        <v>581</v>
      </c>
      <c r="G215" s="480" t="s">
        <v>1991</v>
      </c>
      <c r="H215" s="452" t="s">
        <v>1788</v>
      </c>
      <c r="I215" s="481">
        <v>184</v>
      </c>
      <c r="J215" s="453" t="s">
        <v>264</v>
      </c>
      <c r="K215" s="453" t="s">
        <v>2113</v>
      </c>
      <c r="L215" s="456" t="s">
        <v>2104</v>
      </c>
      <c r="M215" s="457">
        <v>46014</v>
      </c>
      <c r="N215" s="457">
        <v>46042</v>
      </c>
      <c r="O215" s="457">
        <v>46042</v>
      </c>
      <c r="P215" s="453" t="s">
        <v>214</v>
      </c>
      <c r="Q215" s="458">
        <v>298.23</v>
      </c>
      <c r="R215" s="459">
        <v>0</v>
      </c>
      <c r="S215" s="459">
        <v>0</v>
      </c>
      <c r="T215" s="982">
        <f>SUM(mJAN[[#This Row],[PRINCIPAL]:[JUROS]])</f>
        <v>298.23</v>
      </c>
    </row>
    <row r="216" spans="2:20" ht="21" customHeight="1">
      <c r="B216" s="5" t="str">
        <f t="shared" si="3"/>
        <v>1/26</v>
      </c>
      <c r="C216" s="981" t="str">
        <f>VLOOKUP(mJAN[[#This Row],[CÓDIGO CONTABIL]],Contas_Gerencial[#All],3,FALSE)</f>
        <v>TRIBUTOS</v>
      </c>
      <c r="D216" s="981" t="str">
        <f>VLOOKUP(mJAN[[#This Row],[DESCRIÇÃO CONTABIL]],Contas_Gerencial[[#All],[DESCRIÇÃO DA CONTA - NÃO UTILIZAR]:[Código2]],2,FALSE)</f>
        <v>20.08.004</v>
      </c>
      <c r="E216" s="452" t="s">
        <v>2648</v>
      </c>
      <c r="F216" s="452" t="s">
        <v>581</v>
      </c>
      <c r="G216" s="480" t="s">
        <v>1991</v>
      </c>
      <c r="H216" s="452" t="s">
        <v>1788</v>
      </c>
      <c r="I216" s="481">
        <v>184</v>
      </c>
      <c r="J216" s="453" t="s">
        <v>654</v>
      </c>
      <c r="K216" s="453" t="s">
        <v>2114</v>
      </c>
      <c r="L216" s="456" t="s">
        <v>2104</v>
      </c>
      <c r="M216" s="457">
        <v>46014</v>
      </c>
      <c r="N216" s="457">
        <v>46042</v>
      </c>
      <c r="O216" s="457">
        <v>46042</v>
      </c>
      <c r="P216" s="453" t="s">
        <v>214</v>
      </c>
      <c r="Q216" s="458">
        <v>0</v>
      </c>
      <c r="R216" s="459">
        <v>0</v>
      </c>
      <c r="S216" s="459">
        <v>0</v>
      </c>
      <c r="T216" s="982">
        <f>SUM(mJAN[[#This Row],[PRINCIPAL]:[JUROS]])</f>
        <v>0</v>
      </c>
    </row>
    <row r="217" spans="2:20" ht="21" customHeight="1">
      <c r="B217" s="5" t="str">
        <f t="shared" si="3"/>
        <v>1/26</v>
      </c>
      <c r="C217" s="981" t="str">
        <f>VLOOKUP(mJAN[[#This Row],[CÓDIGO CONTABIL]],Contas_Gerencial[#All],3,FALSE)</f>
        <v>TRIBUTOS</v>
      </c>
      <c r="D217" s="981" t="str">
        <f>VLOOKUP(mJAN[[#This Row],[DESCRIÇÃO CONTABIL]],Contas_Gerencial[[#All],[DESCRIÇÃO DA CONTA - NÃO UTILIZAR]:[Código2]],2,FALSE)</f>
        <v>20.08.001</v>
      </c>
      <c r="E217" s="464" t="s">
        <v>2112</v>
      </c>
      <c r="F217" s="464" t="s">
        <v>581</v>
      </c>
      <c r="G217" s="986" t="s">
        <v>1991</v>
      </c>
      <c r="H217" s="464" t="s">
        <v>1788</v>
      </c>
      <c r="I217" s="984">
        <v>184</v>
      </c>
      <c r="J217" s="461" t="s">
        <v>654</v>
      </c>
      <c r="K217" s="461" t="s">
        <v>1907</v>
      </c>
      <c r="L217" s="462" t="s">
        <v>2104</v>
      </c>
      <c r="M217" s="463">
        <v>46031</v>
      </c>
      <c r="N217" s="463">
        <v>46042</v>
      </c>
      <c r="O217" s="463"/>
      <c r="P217" s="461" t="s">
        <v>1</v>
      </c>
      <c r="Q217" s="993">
        <v>245.88198933510569</v>
      </c>
      <c r="R217" s="465">
        <v>0</v>
      </c>
      <c r="S217" s="465">
        <v>0</v>
      </c>
      <c r="T217" s="982">
        <f>SUM(mJAN[[#This Row],[PRINCIPAL]:[JUROS]])</f>
        <v>245.88198933510569</v>
      </c>
    </row>
    <row r="218" spans="2:20" ht="21" customHeight="1">
      <c r="B218" s="5" t="str">
        <f t="shared" si="3"/>
        <v>1/26</v>
      </c>
      <c r="C218" s="981" t="str">
        <f>VLOOKUP(mJAN[[#This Row],[CÓDIGO CONTABIL]],Contas_Gerencial[#All],3,FALSE)</f>
        <v>TRIBUTOS</v>
      </c>
      <c r="D218" s="981" t="str">
        <f>VLOOKUP(mJAN[[#This Row],[DESCRIÇÃO CONTABIL]],Contas_Gerencial[[#All],[DESCRIÇÃO DA CONTA - NÃO UTILIZAR]:[Código2]],2,FALSE)</f>
        <v>20.08.002</v>
      </c>
      <c r="E218" s="464" t="s">
        <v>589</v>
      </c>
      <c r="F218" s="464" t="s">
        <v>581</v>
      </c>
      <c r="G218" s="986" t="s">
        <v>1991</v>
      </c>
      <c r="H218" s="464" t="s">
        <v>1788</v>
      </c>
      <c r="I218" s="984">
        <v>184</v>
      </c>
      <c r="J218" s="461" t="s">
        <v>654</v>
      </c>
      <c r="K218" s="461" t="s">
        <v>1907</v>
      </c>
      <c r="L218" s="462" t="s">
        <v>2104</v>
      </c>
      <c r="M218" s="463">
        <v>46031</v>
      </c>
      <c r="N218" s="463">
        <v>46042</v>
      </c>
      <c r="O218" s="463"/>
      <c r="P218" s="461" t="s">
        <v>1</v>
      </c>
      <c r="Q218" s="993">
        <v>368.67466696832577</v>
      </c>
      <c r="R218" s="465">
        <v>0</v>
      </c>
      <c r="S218" s="465">
        <v>0</v>
      </c>
      <c r="T218" s="982">
        <f>SUM(mJAN[[#This Row],[PRINCIPAL]:[JUROS]])</f>
        <v>368.67466696832577</v>
      </c>
    </row>
    <row r="219" spans="2:20" ht="21" customHeight="1">
      <c r="B219" s="5" t="str">
        <f t="shared" si="3"/>
        <v>1/26</v>
      </c>
      <c r="C219" s="981" t="str">
        <f>VLOOKUP(mJAN[[#This Row],[CÓDIGO CONTABIL]],Contas_Gerencial[#All],3,FALSE)</f>
        <v>FOLHA DE PAGAMENTO</v>
      </c>
      <c r="D219" s="981" t="str">
        <f>VLOOKUP(mJAN[[#This Row],[DESCRIÇÃO CONTABIL]],Contas_Gerencial[[#All],[DESCRIÇÃO DA CONTA - NÃO UTILIZAR]:[Código2]],2,FALSE)</f>
        <v>20.05.021</v>
      </c>
      <c r="E219" s="452" t="s">
        <v>59</v>
      </c>
      <c r="F219" s="453" t="s">
        <v>581</v>
      </c>
      <c r="G219" s="480" t="s">
        <v>1991</v>
      </c>
      <c r="H219" s="452" t="s">
        <v>1791</v>
      </c>
      <c r="I219" s="481">
        <v>184</v>
      </c>
      <c r="J219" s="453" t="s">
        <v>581</v>
      </c>
      <c r="K219" s="452" t="s">
        <v>1790</v>
      </c>
      <c r="L219" s="456" t="s">
        <v>2104</v>
      </c>
      <c r="M219" s="457">
        <v>46028</v>
      </c>
      <c r="N219" s="457">
        <v>46028</v>
      </c>
      <c r="O219" s="457">
        <v>46028</v>
      </c>
      <c r="P219" s="453" t="s">
        <v>214</v>
      </c>
      <c r="Q219" s="458">
        <v>1522.44</v>
      </c>
      <c r="R219" s="459">
        <v>0</v>
      </c>
      <c r="S219" s="459">
        <v>0</v>
      </c>
      <c r="T219" s="982">
        <f>SUM(mJAN[[#This Row],[PRINCIPAL]:[JUROS]])</f>
        <v>1522.44</v>
      </c>
    </row>
    <row r="220" spans="2:20" ht="21" customHeight="1">
      <c r="B220" s="5" t="str">
        <f t="shared" si="3"/>
        <v>1/26</v>
      </c>
      <c r="C220" s="981" t="str">
        <f>VLOOKUP(mJAN[[#This Row],[CÓDIGO CONTABIL]],Contas_Gerencial[#All],3,FALSE)</f>
        <v>ENCARGOS</v>
      </c>
      <c r="D220" s="981" t="str">
        <f>VLOOKUP(mJAN[[#This Row],[DESCRIÇÃO CONTABIL]],Contas_Gerencial[[#All],[DESCRIÇÃO DA CONTA - NÃO UTILIZAR]:[Código2]],2,FALSE)</f>
        <v>20.04.006</v>
      </c>
      <c r="E220" s="452" t="s">
        <v>1180</v>
      </c>
      <c r="F220" s="452" t="s">
        <v>581</v>
      </c>
      <c r="G220" s="480" t="s">
        <v>1991</v>
      </c>
      <c r="H220" s="452" t="s">
        <v>1180</v>
      </c>
      <c r="I220" s="481">
        <v>184</v>
      </c>
      <c r="J220" s="453" t="s">
        <v>384</v>
      </c>
      <c r="K220" s="453" t="s">
        <v>1180</v>
      </c>
      <c r="L220" s="456" t="s">
        <v>2104</v>
      </c>
      <c r="M220" s="457">
        <v>46028</v>
      </c>
      <c r="N220" s="457">
        <v>46042</v>
      </c>
      <c r="O220" s="457">
        <v>46042</v>
      </c>
      <c r="P220" s="453" t="s">
        <v>214</v>
      </c>
      <c r="Q220" s="458">
        <v>128.12</v>
      </c>
      <c r="R220" s="459">
        <v>0</v>
      </c>
      <c r="S220" s="459">
        <v>0</v>
      </c>
      <c r="T220" s="982">
        <f>SUM(mJAN[[#This Row],[PRINCIPAL]:[JUROS]])</f>
        <v>128.12</v>
      </c>
    </row>
    <row r="221" spans="2:20" ht="21" customHeight="1">
      <c r="B221" s="5" t="str">
        <f t="shared" si="3"/>
        <v>1/26</v>
      </c>
      <c r="C221" s="981" t="str">
        <f>VLOOKUP(mJAN[[#This Row],[CÓDIGO CONTABIL]],Contas_Gerencial[#All],3,FALSE)</f>
        <v>ENCARGOS</v>
      </c>
      <c r="D221" s="981" t="str">
        <f>VLOOKUP(mJAN[[#This Row],[DESCRIÇÃO CONTABIL]],Contas_Gerencial[[#All],[DESCRIÇÃO DA CONTA - NÃO UTILIZAR]:[Código2]],2,FALSE)</f>
        <v>20.04.001</v>
      </c>
      <c r="E221" s="464" t="s">
        <v>2659</v>
      </c>
      <c r="F221" s="464" t="s">
        <v>581</v>
      </c>
      <c r="G221" s="464" t="s">
        <v>1991</v>
      </c>
      <c r="H221" s="464" t="s">
        <v>1788</v>
      </c>
      <c r="I221" s="984">
        <v>184</v>
      </c>
      <c r="J221" s="461" t="s">
        <v>757</v>
      </c>
      <c r="K221" s="461" t="s">
        <v>2089</v>
      </c>
      <c r="L221" s="462" t="s">
        <v>2104</v>
      </c>
      <c r="M221" s="463">
        <v>46028</v>
      </c>
      <c r="N221" s="463">
        <v>46042</v>
      </c>
      <c r="O221" s="463"/>
      <c r="P221" s="741" t="s">
        <v>1</v>
      </c>
      <c r="Q221" s="484">
        <v>121.36</v>
      </c>
      <c r="R221" s="465">
        <v>0</v>
      </c>
      <c r="S221" s="465">
        <v>0</v>
      </c>
      <c r="T221" s="982">
        <f>SUM(mJAN[[#This Row],[PRINCIPAL]:[JUROS]])</f>
        <v>121.36</v>
      </c>
    </row>
    <row r="222" spans="2:20" ht="21" customHeight="1">
      <c r="B222" s="5" t="str">
        <f t="shared" si="3"/>
        <v>1/26</v>
      </c>
      <c r="C222" s="981" t="str">
        <f>VLOOKUP(mJAN[[#This Row],[CÓDIGO CONTABIL]],Contas_Gerencial[#All],3,FALSE)</f>
        <v>BENEFICIO</v>
      </c>
      <c r="D222" s="981" t="str">
        <f>VLOOKUP(mJAN[[#This Row],[DESCRIÇÃO CONTABIL]],Contas_Gerencial[[#All],[DESCRIÇÃO DA CONTA - NÃO UTILIZAR]:[Código2]],2,FALSE)</f>
        <v>20.05.006</v>
      </c>
      <c r="E222" s="480" t="s">
        <v>24</v>
      </c>
      <c r="F222" s="452" t="s">
        <v>581</v>
      </c>
      <c r="G222" s="480" t="s">
        <v>1991</v>
      </c>
      <c r="H222" s="452" t="s">
        <v>1791</v>
      </c>
      <c r="I222" s="481">
        <v>200126</v>
      </c>
      <c r="J222" s="453" t="s">
        <v>581</v>
      </c>
      <c r="K222" s="453" t="s">
        <v>2180</v>
      </c>
      <c r="L222" s="451" t="s">
        <v>2137</v>
      </c>
      <c r="M222" s="457">
        <v>46042</v>
      </c>
      <c r="N222" s="457">
        <v>46043</v>
      </c>
      <c r="O222" s="457">
        <v>46042</v>
      </c>
      <c r="P222" s="452" t="s">
        <v>214</v>
      </c>
      <c r="Q222" s="467">
        <v>550</v>
      </c>
      <c r="R222" s="467">
        <v>0</v>
      </c>
      <c r="S222" s="467">
        <v>0</v>
      </c>
      <c r="T222" s="982">
        <f>SUM(mJAN[[#This Row],[PRINCIPAL]:[JUROS]])</f>
        <v>550</v>
      </c>
    </row>
    <row r="223" spans="2:20" ht="21" customHeight="1">
      <c r="B223" s="5" t="str">
        <f t="shared" si="3"/>
        <v>1/26</v>
      </c>
      <c r="C223" s="981" t="str">
        <f>VLOOKUP(mJAN[[#This Row],[CÓDIGO CONTABIL]],Contas_Gerencial[#All],3,FALSE)</f>
        <v>BENEFICIO</v>
      </c>
      <c r="D223" s="981" t="str">
        <f>VLOOKUP(mJAN[[#This Row],[DESCRIÇÃO CONTABIL]],Contas_Gerencial[[#All],[DESCRIÇÃO DA CONTA - NÃO UTILIZAR]:[Código2]],2,FALSE)</f>
        <v>20.05.007</v>
      </c>
      <c r="E223" s="480" t="s">
        <v>25</v>
      </c>
      <c r="F223" s="452" t="s">
        <v>581</v>
      </c>
      <c r="G223" s="480" t="s">
        <v>1991</v>
      </c>
      <c r="H223" s="452" t="s">
        <v>1791</v>
      </c>
      <c r="I223" s="481">
        <v>200126</v>
      </c>
      <c r="J223" s="453" t="s">
        <v>581</v>
      </c>
      <c r="K223" s="453" t="s">
        <v>2180</v>
      </c>
      <c r="L223" s="451" t="s">
        <v>2137</v>
      </c>
      <c r="M223" s="457">
        <v>46042</v>
      </c>
      <c r="N223" s="457">
        <v>46043</v>
      </c>
      <c r="O223" s="457">
        <v>46042</v>
      </c>
      <c r="P223" s="452" t="s">
        <v>214</v>
      </c>
      <c r="Q223" s="467">
        <v>0</v>
      </c>
      <c r="R223" s="467">
        <v>0</v>
      </c>
      <c r="S223" s="467">
        <v>0</v>
      </c>
      <c r="T223" s="982">
        <f>SUM(mJAN[[#This Row],[PRINCIPAL]:[JUROS]])</f>
        <v>0</v>
      </c>
    </row>
    <row r="224" spans="2:20" ht="21" customHeight="1">
      <c r="B224" s="5" t="str">
        <f t="shared" si="3"/>
        <v>1/26</v>
      </c>
      <c r="C224" s="981" t="str">
        <f>VLOOKUP(mJAN[[#This Row],[CÓDIGO CONTABIL]],Contas_Gerencial[#All],3,FALSE)</f>
        <v>RECEITA SUBCONTA</v>
      </c>
      <c r="D224" s="981" t="str">
        <f>VLOOKUP(mJAN[[#This Row],[DESCRIÇÃO CONTABIL]],Contas_Gerencial[[#All],[DESCRIÇÃO DA CONTA - NÃO UTILIZAR]:[Código2]],2,FALSE)</f>
        <v>10.01.001</v>
      </c>
      <c r="E224" s="107" t="s">
        <v>90</v>
      </c>
      <c r="F224" s="452" t="s">
        <v>581</v>
      </c>
      <c r="G224" s="107" t="s">
        <v>1659</v>
      </c>
      <c r="H224" s="107" t="s">
        <v>1788</v>
      </c>
      <c r="I224" s="481">
        <v>185</v>
      </c>
      <c r="J224" s="121" t="s">
        <v>581</v>
      </c>
      <c r="K224" s="121" t="s">
        <v>1792</v>
      </c>
      <c r="L224" s="456" t="s">
        <v>2104</v>
      </c>
      <c r="M224" s="457">
        <v>46014</v>
      </c>
      <c r="N224" s="457">
        <v>46027</v>
      </c>
      <c r="O224" s="457">
        <v>46031</v>
      </c>
      <c r="P224" s="452" t="s">
        <v>214</v>
      </c>
      <c r="Q224" s="482">
        <v>5707</v>
      </c>
      <c r="R224" s="482">
        <v>0</v>
      </c>
      <c r="S224" s="482">
        <v>0</v>
      </c>
      <c r="T224" s="982">
        <f>SUM(mJAN[[#This Row],[PRINCIPAL]:[JUROS]])</f>
        <v>5707</v>
      </c>
    </row>
    <row r="225" spans="2:20" ht="21" customHeight="1">
      <c r="B225" s="5" t="str">
        <f t="shared" si="3"/>
        <v>1/26</v>
      </c>
      <c r="C225" s="981" t="str">
        <f>VLOOKUP(mJAN[[#This Row],[CÓDIGO CONTABIL]],Contas_Gerencial[#All],3,FALSE)</f>
        <v>ENCARGOS</v>
      </c>
      <c r="D225" s="981" t="str">
        <f>VLOOKUP(mJAN[[#This Row],[DESCRIÇÃO CONTABIL]],Contas_Gerencial[[#All],[DESCRIÇÃO DA CONTA - NÃO UTILIZAR]:[Código2]],2,FALSE)</f>
        <v>20.04.004</v>
      </c>
      <c r="E225" s="452" t="s">
        <v>2651</v>
      </c>
      <c r="F225" s="452" t="s">
        <v>581</v>
      </c>
      <c r="G225" s="480" t="s">
        <v>1659</v>
      </c>
      <c r="H225" s="452" t="s">
        <v>1788</v>
      </c>
      <c r="I225" s="481">
        <v>185</v>
      </c>
      <c r="J225" s="453" t="s">
        <v>264</v>
      </c>
      <c r="K225" s="453" t="s">
        <v>2113</v>
      </c>
      <c r="L225" s="456" t="s">
        <v>2104</v>
      </c>
      <c r="M225" s="457">
        <v>46042</v>
      </c>
      <c r="N225" s="457">
        <v>46042</v>
      </c>
      <c r="O225" s="457">
        <v>46042</v>
      </c>
      <c r="P225" s="453" t="s">
        <v>214</v>
      </c>
      <c r="Q225" s="458">
        <v>0</v>
      </c>
      <c r="R225" s="459">
        <v>0</v>
      </c>
      <c r="S225" s="459">
        <v>0</v>
      </c>
      <c r="T225" s="982">
        <f>SUM(mJAN[[#This Row],[PRINCIPAL]:[JUROS]])</f>
        <v>0</v>
      </c>
    </row>
    <row r="226" spans="2:20" ht="21" customHeight="1">
      <c r="B226" s="5" t="str">
        <f t="shared" si="3"/>
        <v>1/26</v>
      </c>
      <c r="C226" s="981" t="str">
        <f>VLOOKUP(mJAN[[#This Row],[CÓDIGO CONTABIL]],Contas_Gerencial[#All],3,FALSE)</f>
        <v>TRIBUTOS</v>
      </c>
      <c r="D226" s="981" t="str">
        <f>VLOOKUP(mJAN[[#This Row],[DESCRIÇÃO CONTABIL]],Contas_Gerencial[[#All],[DESCRIÇÃO DA CONTA - NÃO UTILIZAR]:[Código2]],2,FALSE)</f>
        <v>20.08.004</v>
      </c>
      <c r="E226" s="452" t="s">
        <v>2648</v>
      </c>
      <c r="F226" s="452" t="s">
        <v>581</v>
      </c>
      <c r="G226" s="480" t="s">
        <v>1659</v>
      </c>
      <c r="H226" s="452" t="s">
        <v>1788</v>
      </c>
      <c r="I226" s="481">
        <v>185</v>
      </c>
      <c r="J226" s="453" t="s">
        <v>654</v>
      </c>
      <c r="K226" s="453" t="s">
        <v>2114</v>
      </c>
      <c r="L226" s="456" t="s">
        <v>2104</v>
      </c>
      <c r="M226" s="457">
        <v>46042</v>
      </c>
      <c r="N226" s="457">
        <v>46042</v>
      </c>
      <c r="O226" s="457">
        <v>46042</v>
      </c>
      <c r="P226" s="453" t="s">
        <v>214</v>
      </c>
      <c r="Q226" s="458">
        <v>0</v>
      </c>
      <c r="R226" s="459">
        <v>0</v>
      </c>
      <c r="S226" s="459">
        <v>0</v>
      </c>
      <c r="T226" s="982">
        <f>SUM(mJAN[[#This Row],[PRINCIPAL]:[JUROS]])</f>
        <v>0</v>
      </c>
    </row>
    <row r="227" spans="2:20" ht="21" customHeight="1">
      <c r="B227" s="5" t="str">
        <f t="shared" si="3"/>
        <v>1/26</v>
      </c>
      <c r="C227" s="981" t="str">
        <f>VLOOKUP(mJAN[[#This Row],[CÓDIGO CONTABIL]],Contas_Gerencial[#All],3,FALSE)</f>
        <v>TRIBUTOS</v>
      </c>
      <c r="D227" s="981" t="str">
        <f>VLOOKUP(mJAN[[#This Row],[DESCRIÇÃO CONTABIL]],Contas_Gerencial[[#All],[DESCRIÇÃO DA CONTA - NÃO UTILIZAR]:[Código2]],2,FALSE)</f>
        <v>20.08.001</v>
      </c>
      <c r="E227" s="464" t="s">
        <v>2112</v>
      </c>
      <c r="F227" s="464" t="s">
        <v>581</v>
      </c>
      <c r="G227" s="986" t="s">
        <v>1659</v>
      </c>
      <c r="H227" s="464" t="s">
        <v>1788</v>
      </c>
      <c r="I227" s="984">
        <v>185</v>
      </c>
      <c r="J227" s="461" t="s">
        <v>654</v>
      </c>
      <c r="K227" s="461" t="s">
        <v>1907</v>
      </c>
      <c r="L227" s="462" t="s">
        <v>2104</v>
      </c>
      <c r="M227" s="463">
        <v>46031</v>
      </c>
      <c r="N227" s="463">
        <v>46042</v>
      </c>
      <c r="O227" s="463"/>
      <c r="P227" s="461" t="s">
        <v>1</v>
      </c>
      <c r="Q227" s="993">
        <v>246.31358840362441</v>
      </c>
      <c r="R227" s="465">
        <v>0</v>
      </c>
      <c r="S227" s="465">
        <v>0</v>
      </c>
      <c r="T227" s="982">
        <f>SUM(mJAN[[#This Row],[PRINCIPAL]:[JUROS]])</f>
        <v>246.31358840362441</v>
      </c>
    </row>
    <row r="228" spans="2:20" ht="21" customHeight="1">
      <c r="B228" s="5" t="str">
        <f t="shared" si="3"/>
        <v>1/26</v>
      </c>
      <c r="C228" s="981" t="str">
        <f>VLOOKUP(mJAN[[#This Row],[CÓDIGO CONTABIL]],Contas_Gerencial[#All],3,FALSE)</f>
        <v>TRIBUTOS</v>
      </c>
      <c r="D228" s="981" t="str">
        <f>VLOOKUP(mJAN[[#This Row],[DESCRIÇÃO CONTABIL]],Contas_Gerencial[[#All],[DESCRIÇÃO DA CONTA - NÃO UTILIZAR]:[Código2]],2,FALSE)</f>
        <v>20.08.002</v>
      </c>
      <c r="E228" s="464" t="s">
        <v>589</v>
      </c>
      <c r="F228" s="464" t="s">
        <v>581</v>
      </c>
      <c r="G228" s="986" t="s">
        <v>1659</v>
      </c>
      <c r="H228" s="464" t="s">
        <v>1788</v>
      </c>
      <c r="I228" s="984">
        <v>185</v>
      </c>
      <c r="J228" s="461" t="s">
        <v>654</v>
      </c>
      <c r="K228" s="461" t="s">
        <v>1907</v>
      </c>
      <c r="L228" s="462" t="s">
        <v>2104</v>
      </c>
      <c r="M228" s="463">
        <v>46031</v>
      </c>
      <c r="N228" s="463">
        <v>46042</v>
      </c>
      <c r="O228" s="463"/>
      <c r="P228" s="461" t="s">
        <v>1</v>
      </c>
      <c r="Q228" s="993">
        <v>369.32180522875819</v>
      </c>
      <c r="R228" s="465">
        <v>0</v>
      </c>
      <c r="S228" s="465">
        <v>0</v>
      </c>
      <c r="T228" s="982">
        <f>SUM(mJAN[[#This Row],[PRINCIPAL]:[JUROS]])</f>
        <v>369.32180522875819</v>
      </c>
    </row>
    <row r="229" spans="2:20" ht="21" customHeight="1">
      <c r="B229" s="5" t="str">
        <f t="shared" si="3"/>
        <v>1/26</v>
      </c>
      <c r="C229" s="981" t="str">
        <f>VLOOKUP(mJAN[[#This Row],[CÓDIGO CONTABIL]],Contas_Gerencial[#All],3,FALSE)</f>
        <v>FOLHA DE PAGAMENTO</v>
      </c>
      <c r="D229" s="981" t="str">
        <f>VLOOKUP(mJAN[[#This Row],[DESCRIÇÃO CONTABIL]],Contas_Gerencial[[#All],[DESCRIÇÃO DA CONTA - NÃO UTILIZAR]:[Código2]],2,FALSE)</f>
        <v>20.05.021</v>
      </c>
      <c r="E229" s="452" t="s">
        <v>59</v>
      </c>
      <c r="F229" s="453" t="s">
        <v>581</v>
      </c>
      <c r="G229" s="480" t="s">
        <v>1659</v>
      </c>
      <c r="H229" s="452" t="s">
        <v>1791</v>
      </c>
      <c r="I229" s="481">
        <v>185</v>
      </c>
      <c r="J229" s="453" t="s">
        <v>581</v>
      </c>
      <c r="K229" s="452" t="s">
        <v>1790</v>
      </c>
      <c r="L229" s="456" t="s">
        <v>2104</v>
      </c>
      <c r="M229" s="457">
        <v>46028</v>
      </c>
      <c r="N229" s="457">
        <v>46028</v>
      </c>
      <c r="O229" s="457">
        <v>46028</v>
      </c>
      <c r="P229" s="453" t="s">
        <v>214</v>
      </c>
      <c r="Q229" s="458">
        <v>1506.86</v>
      </c>
      <c r="R229" s="459">
        <v>0</v>
      </c>
      <c r="S229" s="459">
        <v>0</v>
      </c>
      <c r="T229" s="982">
        <f>SUM(mJAN[[#This Row],[PRINCIPAL]:[JUROS]])</f>
        <v>1506.86</v>
      </c>
    </row>
    <row r="230" spans="2:20" ht="21" customHeight="1">
      <c r="B230" s="5" t="str">
        <f t="shared" si="3"/>
        <v>1/26</v>
      </c>
      <c r="C230" s="981" t="str">
        <f>VLOOKUP(mJAN[[#This Row],[CÓDIGO CONTABIL]],Contas_Gerencial[#All],3,FALSE)</f>
        <v>ENCARGOS</v>
      </c>
      <c r="D230" s="981" t="str">
        <f>VLOOKUP(mJAN[[#This Row],[DESCRIÇÃO CONTABIL]],Contas_Gerencial[[#All],[DESCRIÇÃO DA CONTA - NÃO UTILIZAR]:[Código2]],2,FALSE)</f>
        <v>20.04.006</v>
      </c>
      <c r="E230" s="452" t="s">
        <v>1180</v>
      </c>
      <c r="F230" s="452" t="s">
        <v>581</v>
      </c>
      <c r="G230" s="480" t="s">
        <v>1659</v>
      </c>
      <c r="H230" s="452" t="s">
        <v>1180</v>
      </c>
      <c r="I230" s="481">
        <v>185</v>
      </c>
      <c r="J230" s="453" t="s">
        <v>384</v>
      </c>
      <c r="K230" s="453" t="s">
        <v>1180</v>
      </c>
      <c r="L230" s="456" t="s">
        <v>2104</v>
      </c>
      <c r="M230" s="457">
        <v>46028</v>
      </c>
      <c r="N230" s="457">
        <v>46042</v>
      </c>
      <c r="O230" s="457">
        <v>46042</v>
      </c>
      <c r="P230" s="453" t="s">
        <v>214</v>
      </c>
      <c r="Q230" s="458">
        <v>128.12</v>
      </c>
      <c r="R230" s="459">
        <v>0</v>
      </c>
      <c r="S230" s="459">
        <v>0</v>
      </c>
      <c r="T230" s="982">
        <f>SUM(mJAN[[#This Row],[PRINCIPAL]:[JUROS]])</f>
        <v>128.12</v>
      </c>
    </row>
    <row r="231" spans="2:20" ht="21" customHeight="1">
      <c r="B231" s="5" t="str">
        <f t="shared" si="3"/>
        <v>1/26</v>
      </c>
      <c r="C231" s="981" t="str">
        <f>VLOOKUP(mJAN[[#This Row],[CÓDIGO CONTABIL]],Contas_Gerencial[#All],3,FALSE)</f>
        <v>ENCARGOS</v>
      </c>
      <c r="D231" s="981" t="str">
        <f>VLOOKUP(mJAN[[#This Row],[DESCRIÇÃO CONTABIL]],Contas_Gerencial[[#All],[DESCRIÇÃO DA CONTA - NÃO UTILIZAR]:[Código2]],2,FALSE)</f>
        <v>20.04.001</v>
      </c>
      <c r="E231" s="464" t="s">
        <v>2659</v>
      </c>
      <c r="F231" s="464" t="s">
        <v>581</v>
      </c>
      <c r="G231" s="464" t="s">
        <v>1659</v>
      </c>
      <c r="H231" s="464" t="s">
        <v>1788</v>
      </c>
      <c r="I231" s="984">
        <v>185</v>
      </c>
      <c r="J231" s="461" t="s">
        <v>757</v>
      </c>
      <c r="K231" s="461" t="s">
        <v>2089</v>
      </c>
      <c r="L231" s="462" t="s">
        <v>2104</v>
      </c>
      <c r="M231" s="463">
        <v>46028</v>
      </c>
      <c r="N231" s="463">
        <v>46042</v>
      </c>
      <c r="O231" s="463"/>
      <c r="P231" s="741" t="s">
        <v>1</v>
      </c>
      <c r="Q231" s="484">
        <v>121.36</v>
      </c>
      <c r="R231" s="465">
        <v>0</v>
      </c>
      <c r="S231" s="465">
        <v>0</v>
      </c>
      <c r="T231" s="982">
        <f>SUM(mJAN[[#This Row],[PRINCIPAL]:[JUROS]])</f>
        <v>121.36</v>
      </c>
    </row>
    <row r="232" spans="2:20" ht="21" customHeight="1">
      <c r="B232" s="5" t="str">
        <f t="shared" si="3"/>
        <v>1/26</v>
      </c>
      <c r="C232" s="981" t="str">
        <f>VLOOKUP(mJAN[[#This Row],[CÓDIGO CONTABIL]],Contas_Gerencial[#All],3,FALSE)</f>
        <v>BENEFICIO</v>
      </c>
      <c r="D232" s="981" t="str">
        <f>VLOOKUP(mJAN[[#This Row],[DESCRIÇÃO CONTABIL]],Contas_Gerencial[[#All],[DESCRIÇÃO DA CONTA - NÃO UTILIZAR]:[Código2]],2,FALSE)</f>
        <v>20.05.006</v>
      </c>
      <c r="E232" s="480" t="s">
        <v>24</v>
      </c>
      <c r="F232" s="452" t="s">
        <v>581</v>
      </c>
      <c r="G232" s="452" t="s">
        <v>1659</v>
      </c>
      <c r="H232" s="452" t="s">
        <v>1791</v>
      </c>
      <c r="I232" s="481">
        <v>200126</v>
      </c>
      <c r="J232" s="453" t="s">
        <v>581</v>
      </c>
      <c r="K232" s="453" t="s">
        <v>2180</v>
      </c>
      <c r="L232" s="451" t="s">
        <v>2137</v>
      </c>
      <c r="M232" s="457">
        <v>46042</v>
      </c>
      <c r="N232" s="457">
        <v>46043</v>
      </c>
      <c r="O232" s="457">
        <v>46042</v>
      </c>
      <c r="P232" s="452" t="s">
        <v>214</v>
      </c>
      <c r="Q232" s="467">
        <v>525</v>
      </c>
      <c r="R232" s="467">
        <v>0</v>
      </c>
      <c r="S232" s="467">
        <v>0</v>
      </c>
      <c r="T232" s="982">
        <f>SUM(mJAN[[#This Row],[PRINCIPAL]:[JUROS]])</f>
        <v>525</v>
      </c>
    </row>
    <row r="233" spans="2:20" ht="21" customHeight="1">
      <c r="B233" s="5" t="str">
        <f t="shared" si="3"/>
        <v>1/26</v>
      </c>
      <c r="C233" s="981" t="str">
        <f>VLOOKUP(mJAN[[#This Row],[CÓDIGO CONTABIL]],Contas_Gerencial[#All],3,FALSE)</f>
        <v>BENEFICIO</v>
      </c>
      <c r="D233" s="981" t="str">
        <f>VLOOKUP(mJAN[[#This Row],[DESCRIÇÃO CONTABIL]],Contas_Gerencial[[#All],[DESCRIÇÃO DA CONTA - NÃO UTILIZAR]:[Código2]],2,FALSE)</f>
        <v>20.05.007</v>
      </c>
      <c r="E233" s="480" t="s">
        <v>25</v>
      </c>
      <c r="F233" s="452" t="s">
        <v>581</v>
      </c>
      <c r="G233" s="452" t="s">
        <v>1659</v>
      </c>
      <c r="H233" s="452" t="s">
        <v>1791</v>
      </c>
      <c r="I233" s="481">
        <v>200126</v>
      </c>
      <c r="J233" s="453" t="s">
        <v>581</v>
      </c>
      <c r="K233" s="453" t="s">
        <v>2180</v>
      </c>
      <c r="L233" s="451" t="s">
        <v>2137</v>
      </c>
      <c r="M233" s="457">
        <v>46042</v>
      </c>
      <c r="N233" s="457">
        <v>46043</v>
      </c>
      <c r="O233" s="457">
        <v>46042</v>
      </c>
      <c r="P233" s="452" t="s">
        <v>214</v>
      </c>
      <c r="Q233" s="467">
        <v>0</v>
      </c>
      <c r="R233" s="467">
        <v>0</v>
      </c>
      <c r="S233" s="467">
        <v>0</v>
      </c>
      <c r="T233" s="982">
        <f>SUM(mJAN[[#This Row],[PRINCIPAL]:[JUROS]])</f>
        <v>0</v>
      </c>
    </row>
    <row r="234" spans="2:20" ht="21" customHeight="1">
      <c r="B234" s="5" t="str">
        <f t="shared" si="3"/>
        <v>1/26</v>
      </c>
      <c r="C234" s="981" t="str">
        <f>VLOOKUP(mJAN[[#This Row],[CÓDIGO CONTABIL]],Contas_Gerencial[#All],3,FALSE)</f>
        <v>FOLHA DE PAGAMENTO</v>
      </c>
      <c r="D234" s="981" t="str">
        <f>VLOOKUP(mJAN[[#This Row],[DESCRIÇÃO CONTABIL]],Contas_Gerencial[[#All],[DESCRIÇÃO DA CONTA - NÃO UTILIZAR]:[Código2]],2,FALSE)</f>
        <v>20.05.018</v>
      </c>
      <c r="E234" s="452" t="s">
        <v>74</v>
      </c>
      <c r="F234" s="453" t="s">
        <v>41</v>
      </c>
      <c r="G234" s="454" t="s">
        <v>595</v>
      </c>
      <c r="H234" s="453" t="s">
        <v>1802</v>
      </c>
      <c r="I234" s="481">
        <v>160126</v>
      </c>
      <c r="J234" s="453" t="s">
        <v>41</v>
      </c>
      <c r="K234" s="453" t="s">
        <v>1882</v>
      </c>
      <c r="L234" s="451" t="s">
        <v>2137</v>
      </c>
      <c r="M234" s="457">
        <v>46032</v>
      </c>
      <c r="N234" s="457">
        <v>46032</v>
      </c>
      <c r="O234" s="457">
        <v>46038</v>
      </c>
      <c r="P234" s="452" t="s">
        <v>214</v>
      </c>
      <c r="Q234" s="458">
        <f>633</f>
        <v>633</v>
      </c>
      <c r="R234" s="459">
        <v>0</v>
      </c>
      <c r="S234" s="459">
        <v>0</v>
      </c>
      <c r="T234" s="982">
        <f>SUM(mJAN[[#This Row],[PRINCIPAL]:[JUROS]])</f>
        <v>633</v>
      </c>
    </row>
    <row r="235" spans="2:20" ht="21" customHeight="1">
      <c r="B235" s="5" t="str">
        <f t="shared" si="3"/>
        <v>1/26</v>
      </c>
      <c r="C235" s="981" t="str">
        <f>VLOOKUP(mJAN[[#This Row],[CÓDIGO CONTABIL]],Contas_Gerencial[#All],3,FALSE)</f>
        <v>FOLHA DE PAGAMENTO</v>
      </c>
      <c r="D235" s="981" t="str">
        <f>VLOOKUP(mJAN[[#This Row],[DESCRIÇÃO CONTABIL]],Contas_Gerencial[[#All],[DESCRIÇÃO DA CONTA - NÃO UTILIZAR]:[Código2]],2,FALSE)</f>
        <v>20.05.018</v>
      </c>
      <c r="E235" s="454" t="s">
        <v>74</v>
      </c>
      <c r="F235" s="453" t="s">
        <v>41</v>
      </c>
      <c r="G235" s="453" t="s">
        <v>595</v>
      </c>
      <c r="H235" s="453" t="s">
        <v>1802</v>
      </c>
      <c r="I235" s="481">
        <v>160126</v>
      </c>
      <c r="J235" s="453" t="s">
        <v>41</v>
      </c>
      <c r="K235" s="453" t="s">
        <v>2172</v>
      </c>
      <c r="L235" s="451" t="s">
        <v>2137</v>
      </c>
      <c r="M235" s="457">
        <v>46032</v>
      </c>
      <c r="N235" s="457">
        <v>46032</v>
      </c>
      <c r="O235" s="457">
        <v>46038</v>
      </c>
      <c r="P235" s="452" t="s">
        <v>214</v>
      </c>
      <c r="Q235" s="468">
        <v>500</v>
      </c>
      <c r="R235" s="467">
        <v>0</v>
      </c>
      <c r="S235" s="467">
        <v>0</v>
      </c>
      <c r="T235" s="982">
        <f>SUM(mJAN[[#This Row],[PRINCIPAL]:[JUROS]])</f>
        <v>500</v>
      </c>
    </row>
    <row r="236" spans="2:20" ht="21" customHeight="1">
      <c r="B236" s="5" t="str">
        <f t="shared" si="3"/>
        <v>1/26</v>
      </c>
      <c r="C236" s="1009" t="str">
        <f>VLOOKUP(mJAN[[#This Row],[CÓDIGO CONTABIL]],Contas_Gerencial[#All],3,FALSE)</f>
        <v>FOLHA DE PAGAMENTO</v>
      </c>
      <c r="D236" s="1009" t="str">
        <f>VLOOKUP(mJAN[[#This Row],[DESCRIÇÃO CONTABIL]],Contas_Gerencial[[#All],[DESCRIÇÃO DA CONTA - NÃO UTILIZAR]:[Código2]],2,FALSE)</f>
        <v>20.05.018</v>
      </c>
      <c r="E236" s="107" t="s">
        <v>74</v>
      </c>
      <c r="F236" s="107" t="s">
        <v>41</v>
      </c>
      <c r="G236" s="107" t="s">
        <v>595</v>
      </c>
      <c r="H236" s="107" t="s">
        <v>1802</v>
      </c>
      <c r="I236" s="481">
        <v>160126</v>
      </c>
      <c r="J236" s="107" t="s">
        <v>41</v>
      </c>
      <c r="K236" s="107" t="s">
        <v>2173</v>
      </c>
      <c r="L236" s="451" t="s">
        <v>2137</v>
      </c>
      <c r="M236" s="457">
        <v>46032</v>
      </c>
      <c r="N236" s="457">
        <v>46032</v>
      </c>
      <c r="O236" s="457">
        <v>46038</v>
      </c>
      <c r="P236" s="452" t="s">
        <v>214</v>
      </c>
      <c r="Q236" s="467">
        <f>1500-869.94</f>
        <v>630.05999999999995</v>
      </c>
      <c r="R236" s="467">
        <v>0</v>
      </c>
      <c r="S236" s="467">
        <v>0</v>
      </c>
      <c r="T236" s="1010">
        <f>SUM(mJAN[[#This Row],[PRINCIPAL]:[JUROS]])</f>
        <v>630.05999999999995</v>
      </c>
    </row>
    <row r="237" spans="2:20" ht="21" customHeight="1">
      <c r="B237" s="5" t="str">
        <f t="shared" si="3"/>
        <v>1/26</v>
      </c>
      <c r="C237" s="1114" t="str">
        <f>VLOOKUP(mJAN[[#This Row],[CÓDIGO CONTABIL]],Contas_Gerencial[#All],3,FALSE)</f>
        <v>FOLHA DE PAGAMENTO</v>
      </c>
      <c r="D237" s="1114" t="str">
        <f>VLOOKUP(mJAN[[#This Row],[DESCRIÇÃO CONTABIL]],Contas_Gerencial[[#All],[DESCRIÇÃO DA CONTA - NÃO UTILIZAR]:[Código2]],2,FALSE)</f>
        <v>20.05.018</v>
      </c>
      <c r="E237" s="107" t="s">
        <v>74</v>
      </c>
      <c r="F237" s="107" t="s">
        <v>41</v>
      </c>
      <c r="G237" s="107" t="s">
        <v>595</v>
      </c>
      <c r="H237" s="107" t="s">
        <v>2168</v>
      </c>
      <c r="I237" s="481">
        <v>5987</v>
      </c>
      <c r="J237" s="107" t="s">
        <v>2359</v>
      </c>
      <c r="K237" s="107" t="s">
        <v>2362</v>
      </c>
      <c r="L237" s="451" t="s">
        <v>1766</v>
      </c>
      <c r="M237" s="457">
        <v>46046</v>
      </c>
      <c r="N237" s="457">
        <v>46046</v>
      </c>
      <c r="O237" s="457">
        <v>46046</v>
      </c>
      <c r="P237" s="452" t="s">
        <v>214</v>
      </c>
      <c r="Q237" s="467">
        <f>3985.05+868.42</f>
        <v>4853.47</v>
      </c>
      <c r="R237" s="467">
        <v>0</v>
      </c>
      <c r="S237" s="467">
        <v>0</v>
      </c>
      <c r="T237" s="1115">
        <f>SUM(mJAN[[#This Row],[PRINCIPAL]:[JUROS]])</f>
        <v>4853.47</v>
      </c>
    </row>
    <row r="238" spans="2:20" ht="21" customHeight="1">
      <c r="B238" s="5" t="str">
        <f t="shared" si="3"/>
        <v>1/26</v>
      </c>
      <c r="C238" s="981" t="str">
        <f>VLOOKUP(mJAN[[#This Row],[CÓDIGO CONTABIL]],Contas_Gerencial[#All],3,FALSE)</f>
        <v>FOLHA DE PAGAMENTO</v>
      </c>
      <c r="D238" s="981" t="str">
        <f>VLOOKUP(mJAN[[#This Row],[DESCRIÇÃO CONTABIL]],Contas_Gerencial[[#All],[DESCRIÇÃO DA CONTA - NÃO UTILIZAR]:[Código2]],2,FALSE)</f>
        <v>20.05.018</v>
      </c>
      <c r="E238" s="107" t="s">
        <v>74</v>
      </c>
      <c r="F238" s="107" t="s">
        <v>41</v>
      </c>
      <c r="G238" s="107" t="s">
        <v>595</v>
      </c>
      <c r="H238" s="107" t="s">
        <v>1802</v>
      </c>
      <c r="I238" s="481">
        <v>160126</v>
      </c>
      <c r="J238" s="107" t="s">
        <v>41</v>
      </c>
      <c r="K238" s="453" t="s">
        <v>2176</v>
      </c>
      <c r="L238" s="451" t="s">
        <v>2111</v>
      </c>
      <c r="M238" s="457">
        <v>46043</v>
      </c>
      <c r="N238" s="457">
        <v>46043</v>
      </c>
      <c r="O238" s="457">
        <v>46043</v>
      </c>
      <c r="P238" s="452" t="s">
        <v>214</v>
      </c>
      <c r="Q238" s="467">
        <v>260</v>
      </c>
      <c r="R238" s="467">
        <v>0</v>
      </c>
      <c r="S238" s="467">
        <v>0</v>
      </c>
      <c r="T238" s="982">
        <f>SUM(mJAN[[#This Row],[PRINCIPAL]:[JUROS]])</f>
        <v>260</v>
      </c>
    </row>
    <row r="239" spans="2:20" ht="21" customHeight="1">
      <c r="B239" s="5" t="str">
        <f t="shared" si="3"/>
        <v>1/26</v>
      </c>
      <c r="C239" s="981" t="str">
        <f>VLOOKUP(mJAN[[#This Row],[CÓDIGO CONTABIL]],Contas_Gerencial[#All],3,FALSE)</f>
        <v>MEDICINA DO TRABALHO</v>
      </c>
      <c r="D239" s="981" t="str">
        <f>VLOOKUP(mJAN[[#This Row],[DESCRIÇÃO CONTABIL]],Contas_Gerencial[[#All],[DESCRIÇÃO DA CONTA - NÃO UTILIZAR]:[Código2]],2,FALSE)</f>
        <v>20.05.024</v>
      </c>
      <c r="E239" s="453" t="s">
        <v>293</v>
      </c>
      <c r="F239" s="453" t="s">
        <v>41</v>
      </c>
      <c r="G239" s="453" t="s">
        <v>87</v>
      </c>
      <c r="H239" s="453" t="s">
        <v>1932</v>
      </c>
      <c r="I239" s="481">
        <v>0</v>
      </c>
      <c r="J239" s="453" t="s">
        <v>1144</v>
      </c>
      <c r="K239" s="453" t="s">
        <v>2108</v>
      </c>
      <c r="L239" s="451" t="s">
        <v>2104</v>
      </c>
      <c r="M239" s="457">
        <v>46034</v>
      </c>
      <c r="N239" s="457">
        <v>46037</v>
      </c>
      <c r="O239" s="457">
        <v>46044</v>
      </c>
      <c r="P239" s="452" t="s">
        <v>214</v>
      </c>
      <c r="Q239" s="468">
        <v>0</v>
      </c>
      <c r="R239" s="467">
        <v>0</v>
      </c>
      <c r="S239" s="467">
        <v>0</v>
      </c>
      <c r="T239" s="982">
        <f>SUM(mJAN[[#This Row],[PRINCIPAL]:[JUROS]])</f>
        <v>0</v>
      </c>
    </row>
    <row r="240" spans="2:20" ht="21" customHeight="1">
      <c r="B240" s="5" t="str">
        <f t="shared" si="3"/>
        <v>1/26</v>
      </c>
      <c r="C240" s="981" t="str">
        <f>VLOOKUP(mJAN[[#This Row],[CÓDIGO CONTABIL]],Contas_Gerencial[#All],3,FALSE)</f>
        <v>MEDICINA DO TRABALHO</v>
      </c>
      <c r="D240" s="981" t="str">
        <f>VLOOKUP(mJAN[[#This Row],[DESCRIÇÃO CONTABIL]],Contas_Gerencial[[#All],[DESCRIÇÃO DA CONTA - NÃO UTILIZAR]:[Código2]],2,FALSE)</f>
        <v>20.05.024</v>
      </c>
      <c r="E240" s="453" t="s">
        <v>293</v>
      </c>
      <c r="F240" s="453" t="s">
        <v>581</v>
      </c>
      <c r="G240" s="453" t="s">
        <v>1137</v>
      </c>
      <c r="H240" s="453" t="s">
        <v>1932</v>
      </c>
      <c r="I240" s="481">
        <v>80</v>
      </c>
      <c r="J240" s="453" t="s">
        <v>1144</v>
      </c>
      <c r="K240" s="453" t="s">
        <v>2185</v>
      </c>
      <c r="L240" s="451" t="s">
        <v>2104</v>
      </c>
      <c r="M240" s="457">
        <v>46034</v>
      </c>
      <c r="N240" s="457">
        <v>46037</v>
      </c>
      <c r="O240" s="457">
        <v>46044</v>
      </c>
      <c r="P240" s="452" t="s">
        <v>214</v>
      </c>
      <c r="Q240" s="468">
        <v>45</v>
      </c>
      <c r="R240" s="467">
        <v>0.97</v>
      </c>
      <c r="S240" s="467">
        <v>0</v>
      </c>
      <c r="T240" s="982">
        <f>SUM(mJAN[[#This Row],[PRINCIPAL]:[JUROS]])</f>
        <v>45.97</v>
      </c>
    </row>
    <row r="241" spans="2:20" ht="21" customHeight="1">
      <c r="B241" s="5" t="str">
        <f t="shared" si="3"/>
        <v>1/26</v>
      </c>
      <c r="C241" s="981" t="str">
        <f>VLOOKUP(mJAN[[#This Row],[CÓDIGO CONTABIL]],Contas_Gerencial[#All],3,FALSE)</f>
        <v>MEDICINA DO TRABALHO</v>
      </c>
      <c r="D241" s="981" t="str">
        <f>VLOOKUP(mJAN[[#This Row],[DESCRIÇÃO CONTABIL]],Contas_Gerencial[[#All],[DESCRIÇÃO DA CONTA - NÃO UTILIZAR]:[Código2]],2,FALSE)</f>
        <v>20.05.024</v>
      </c>
      <c r="E241" s="453" t="s">
        <v>293</v>
      </c>
      <c r="F241" s="453" t="s">
        <v>582</v>
      </c>
      <c r="G241" s="453" t="s">
        <v>87</v>
      </c>
      <c r="H241" s="453" t="s">
        <v>1932</v>
      </c>
      <c r="I241" s="481">
        <v>0</v>
      </c>
      <c r="J241" s="453" t="s">
        <v>1144</v>
      </c>
      <c r="K241" s="453" t="s">
        <v>2108</v>
      </c>
      <c r="L241" s="451" t="s">
        <v>2104</v>
      </c>
      <c r="M241" s="457">
        <v>46034</v>
      </c>
      <c r="N241" s="457">
        <v>46037</v>
      </c>
      <c r="O241" s="457">
        <v>46044</v>
      </c>
      <c r="P241" s="452" t="s">
        <v>214</v>
      </c>
      <c r="Q241" s="468">
        <v>0</v>
      </c>
      <c r="R241" s="467">
        <v>0</v>
      </c>
      <c r="S241" s="467">
        <v>0</v>
      </c>
      <c r="T241" s="982">
        <f>SUM(mJAN[[#This Row],[PRINCIPAL]:[JUROS]])</f>
        <v>0</v>
      </c>
    </row>
    <row r="242" spans="2:20" ht="21" customHeight="1">
      <c r="B242" s="5" t="str">
        <f t="shared" si="3"/>
        <v>1/26</v>
      </c>
      <c r="C242" s="981" t="str">
        <f>VLOOKUP(mJAN[[#This Row],[CÓDIGO CONTABIL]],Contas_Gerencial[#All],3,FALSE)</f>
        <v>DESPESAS BANCÁRIAS</v>
      </c>
      <c r="D242" s="981" t="str">
        <f>VLOOKUP(mJAN[[#This Row],[DESCRIÇÃO CONTABIL]],Contas_Gerencial[[#All],[DESCRIÇÃO DA CONTA - NÃO UTILIZAR]:[Código2]],2,FALSE)</f>
        <v>20.01.034</v>
      </c>
      <c r="E242" s="452" t="s">
        <v>680</v>
      </c>
      <c r="F242" s="452" t="s">
        <v>41</v>
      </c>
      <c r="G242" s="480" t="s">
        <v>595</v>
      </c>
      <c r="H242" s="452" t="s">
        <v>1983</v>
      </c>
      <c r="I242" s="481" t="s">
        <v>2012</v>
      </c>
      <c r="J242" s="453" t="s">
        <v>1083</v>
      </c>
      <c r="K242" s="453" t="s">
        <v>1980</v>
      </c>
      <c r="L242" s="456" t="s">
        <v>2134</v>
      </c>
      <c r="M242" s="457">
        <v>45139</v>
      </c>
      <c r="N242" s="457">
        <v>46023</v>
      </c>
      <c r="O242" s="457">
        <v>46024</v>
      </c>
      <c r="P242" s="452" t="s">
        <v>214</v>
      </c>
      <c r="Q242" s="467">
        <v>3162.16</v>
      </c>
      <c r="R242" s="467">
        <v>1788.9899999999998</v>
      </c>
      <c r="S242" s="467">
        <v>0</v>
      </c>
      <c r="T242" s="982">
        <f>SUM(mJAN[[#This Row],[PRINCIPAL]:[JUROS]])</f>
        <v>4951.1499999999996</v>
      </c>
    </row>
    <row r="243" spans="2:20" ht="21" customHeight="1">
      <c r="B243" s="5" t="str">
        <f t="shared" si="3"/>
        <v>1/26</v>
      </c>
      <c r="C243" s="981" t="str">
        <f>VLOOKUP(mJAN[[#This Row],[CÓDIGO CONTABIL]],Contas_Gerencial[#All],3,FALSE)</f>
        <v>DESPESAS BANCÁRIAS</v>
      </c>
      <c r="D243" s="981" t="str">
        <f>VLOOKUP(mJAN[[#This Row],[DESCRIÇÃO CONTABIL]],Contas_Gerencial[[#All],[DESCRIÇÃO DA CONTA - NÃO UTILIZAR]:[Código2]],2,FALSE)</f>
        <v>20.01.033</v>
      </c>
      <c r="E243" s="452" t="s">
        <v>1034</v>
      </c>
      <c r="F243" s="452" t="s">
        <v>41</v>
      </c>
      <c r="G243" s="452" t="s">
        <v>595</v>
      </c>
      <c r="H243" s="452" t="s">
        <v>1983</v>
      </c>
      <c r="I243" s="455">
        <v>427515334</v>
      </c>
      <c r="J243" s="453" t="s">
        <v>1083</v>
      </c>
      <c r="K243" s="453" t="s">
        <v>1981</v>
      </c>
      <c r="L243" s="456" t="s">
        <v>2135</v>
      </c>
      <c r="M243" s="457">
        <v>45420</v>
      </c>
      <c r="N243" s="457">
        <v>46030</v>
      </c>
      <c r="O243" s="457">
        <v>46030</v>
      </c>
      <c r="P243" s="452" t="s">
        <v>214</v>
      </c>
      <c r="Q243" s="519">
        <v>1904.7619047619048</v>
      </c>
      <c r="R243" s="459">
        <v>54.96</v>
      </c>
      <c r="S243" s="459">
        <v>0</v>
      </c>
      <c r="T243" s="982">
        <f>SUM(mJAN[[#This Row],[PRINCIPAL]:[JUROS]])</f>
        <v>1959.7219047619049</v>
      </c>
    </row>
    <row r="244" spans="2:20" ht="21" customHeight="1">
      <c r="B244" s="5" t="str">
        <f t="shared" si="3"/>
        <v>1/26</v>
      </c>
      <c r="C244" s="5" t="str">
        <f>VLOOKUP(mJAN[[#This Row],[CÓDIGO CONTABIL]],Contas_Gerencial[#All],3,FALSE)</f>
        <v>DESPESAS BANCÁRIAS</v>
      </c>
      <c r="D244" s="5" t="str">
        <f>VLOOKUP(mJAN[[#This Row],[DESCRIÇÃO CONTABIL]],Contas_Gerencial[[#All],[DESCRIÇÃO DA CONTA - NÃO UTILIZAR]:[Código2]],2,FALSE)</f>
        <v>20.01.009</v>
      </c>
      <c r="E244" s="454" t="s">
        <v>80</v>
      </c>
      <c r="F244" s="452" t="s">
        <v>41</v>
      </c>
      <c r="G244" s="452" t="s">
        <v>595</v>
      </c>
      <c r="H244" s="452" t="s">
        <v>1983</v>
      </c>
      <c r="I244" s="455" t="s">
        <v>2295</v>
      </c>
      <c r="J244" s="453" t="s">
        <v>1083</v>
      </c>
      <c r="K244" s="453" t="s">
        <v>2313</v>
      </c>
      <c r="L244" s="456" t="s">
        <v>1766</v>
      </c>
      <c r="M244" s="457">
        <v>46024</v>
      </c>
      <c r="N244" s="457">
        <v>46024</v>
      </c>
      <c r="O244" s="457">
        <v>46024</v>
      </c>
      <c r="P244" s="452" t="s">
        <v>214</v>
      </c>
      <c r="Q244" s="519">
        <v>22.5</v>
      </c>
      <c r="R244" s="467">
        <v>0</v>
      </c>
      <c r="S244" s="467">
        <v>0</v>
      </c>
      <c r="T244" s="1004">
        <f>SUM(mJAN[[#This Row],[PRINCIPAL]:[JUROS]])</f>
        <v>22.5</v>
      </c>
    </row>
    <row r="245" spans="2:20" ht="21" customHeight="1">
      <c r="B245" s="5" t="str">
        <f t="shared" si="3"/>
        <v>1/26</v>
      </c>
      <c r="C245" s="5" t="str">
        <f>VLOOKUP(mJAN[[#This Row],[CÓDIGO CONTABIL]],Contas_Gerencial[#All],3,FALSE)</f>
        <v>DESPESAS BANCÁRIAS</v>
      </c>
      <c r="D245" s="5" t="str">
        <f>VLOOKUP(mJAN[[#This Row],[DESCRIÇÃO CONTABIL]],Contas_Gerencial[[#All],[DESCRIÇÃO DA CONTA - NÃO UTILIZAR]:[Código2]],2,FALSE)</f>
        <v>20.01.002</v>
      </c>
      <c r="E245" s="453" t="s">
        <v>2653</v>
      </c>
      <c r="F245" s="452" t="s">
        <v>41</v>
      </c>
      <c r="G245" s="452" t="s">
        <v>595</v>
      </c>
      <c r="H245" s="452" t="s">
        <v>1983</v>
      </c>
      <c r="I245" s="455" t="s">
        <v>2296</v>
      </c>
      <c r="J245" s="453" t="s">
        <v>1083</v>
      </c>
      <c r="K245" s="453" t="s">
        <v>2314</v>
      </c>
      <c r="L245" s="456" t="s">
        <v>1766</v>
      </c>
      <c r="M245" s="457">
        <v>46024</v>
      </c>
      <c r="N245" s="457">
        <v>46024</v>
      </c>
      <c r="O245" s="457">
        <v>46024</v>
      </c>
      <c r="P245" s="452" t="s">
        <v>214</v>
      </c>
      <c r="Q245" s="519">
        <v>8.2899999999999991</v>
      </c>
      <c r="R245" s="467">
        <v>0</v>
      </c>
      <c r="S245" s="467">
        <v>0</v>
      </c>
      <c r="T245" s="1004">
        <f>SUM(mJAN[[#This Row],[PRINCIPAL]:[JUROS]])</f>
        <v>8.2899999999999991</v>
      </c>
    </row>
    <row r="246" spans="2:20" ht="21" customHeight="1">
      <c r="B246" s="5" t="str">
        <f t="shared" si="3"/>
        <v>1/26</v>
      </c>
      <c r="C246" s="5" t="str">
        <f>VLOOKUP(mJAN[[#This Row],[CÓDIGO CONTABIL]],Contas_Gerencial[#All],3,FALSE)</f>
        <v>DESPESAS BANCÁRIAS</v>
      </c>
      <c r="D246" s="5" t="str">
        <f>VLOOKUP(mJAN[[#This Row],[DESCRIÇÃO CONTABIL]],Contas_Gerencial[[#All],[DESCRIÇÃO DA CONTA - NÃO UTILIZAR]:[Código2]],2,FALSE)</f>
        <v>20.01.025</v>
      </c>
      <c r="E246" s="453" t="s">
        <v>627</v>
      </c>
      <c r="F246" s="452" t="s">
        <v>41</v>
      </c>
      <c r="G246" s="452" t="s">
        <v>595</v>
      </c>
      <c r="H246" s="452" t="s">
        <v>1983</v>
      </c>
      <c r="I246" s="455" t="s">
        <v>2297</v>
      </c>
      <c r="J246" s="453" t="s">
        <v>1083</v>
      </c>
      <c r="K246" s="453" t="s">
        <v>2315</v>
      </c>
      <c r="L246" s="456" t="s">
        <v>1766</v>
      </c>
      <c r="M246" s="457">
        <v>46027</v>
      </c>
      <c r="N246" s="457">
        <v>46027</v>
      </c>
      <c r="O246" s="457">
        <v>46027</v>
      </c>
      <c r="P246" s="452" t="s">
        <v>214</v>
      </c>
      <c r="Q246" s="519">
        <v>10</v>
      </c>
      <c r="R246" s="467">
        <v>0</v>
      </c>
      <c r="S246" s="467">
        <v>0</v>
      </c>
      <c r="T246" s="1004">
        <f>SUM(mJAN[[#This Row],[PRINCIPAL]:[JUROS]])</f>
        <v>10</v>
      </c>
    </row>
    <row r="247" spans="2:20" ht="21" customHeight="1">
      <c r="B247" s="5" t="str">
        <f t="shared" si="3"/>
        <v>1/26</v>
      </c>
      <c r="C247" s="5" t="str">
        <f>VLOOKUP(mJAN[[#This Row],[CÓDIGO CONTABIL]],Contas_Gerencial[#All],3,FALSE)</f>
        <v>DESPESAS BANCÁRIAS</v>
      </c>
      <c r="D247" s="5" t="str">
        <f>VLOOKUP(mJAN[[#This Row],[DESCRIÇÃO CONTABIL]],Contas_Gerencial[[#All],[DESCRIÇÃO DA CONTA - NÃO UTILIZAR]:[Código2]],2,FALSE)</f>
        <v>20.01.015</v>
      </c>
      <c r="E247" s="453" t="s">
        <v>82</v>
      </c>
      <c r="F247" s="452" t="s">
        <v>41</v>
      </c>
      <c r="G247" s="452" t="s">
        <v>595</v>
      </c>
      <c r="H247" s="452" t="s">
        <v>1983</v>
      </c>
      <c r="I247" s="455" t="s">
        <v>2298</v>
      </c>
      <c r="J247" s="453" t="s">
        <v>1083</v>
      </c>
      <c r="K247" s="453" t="s">
        <v>2316</v>
      </c>
      <c r="L247" s="456" t="s">
        <v>1766</v>
      </c>
      <c r="M247" s="457">
        <v>46028</v>
      </c>
      <c r="N247" s="457">
        <v>46028</v>
      </c>
      <c r="O247" s="457">
        <v>46028</v>
      </c>
      <c r="P247" s="452" t="s">
        <v>214</v>
      </c>
      <c r="Q247" s="519">
        <v>5</v>
      </c>
      <c r="R247" s="467">
        <v>0</v>
      </c>
      <c r="S247" s="467">
        <v>0</v>
      </c>
      <c r="T247" s="1004">
        <f>SUM(mJAN[[#This Row],[PRINCIPAL]:[JUROS]])</f>
        <v>5</v>
      </c>
    </row>
    <row r="248" spans="2:20" ht="21" customHeight="1">
      <c r="B248" s="5" t="str">
        <f t="shared" si="3"/>
        <v>1/26</v>
      </c>
      <c r="C248" s="5" t="str">
        <f>VLOOKUP(mJAN[[#This Row],[CÓDIGO CONTABIL]],Contas_Gerencial[#All],3,FALSE)</f>
        <v>DESPESAS BANCÁRIAS</v>
      </c>
      <c r="D248" s="5" t="str">
        <f>VLOOKUP(mJAN[[#This Row],[DESCRIÇÃO CONTABIL]],Contas_Gerencial[[#All],[DESCRIÇÃO DA CONTA - NÃO UTILIZAR]:[Código2]],2,FALSE)</f>
        <v>20.01.025</v>
      </c>
      <c r="E248" s="453" t="s">
        <v>627</v>
      </c>
      <c r="F248" s="452" t="s">
        <v>41</v>
      </c>
      <c r="G248" s="452" t="s">
        <v>595</v>
      </c>
      <c r="H248" s="452" t="s">
        <v>1983</v>
      </c>
      <c r="I248" s="455" t="s">
        <v>2299</v>
      </c>
      <c r="J248" s="453" t="s">
        <v>1083</v>
      </c>
      <c r="K248" s="453" t="s">
        <v>2315</v>
      </c>
      <c r="L248" s="456" t="s">
        <v>1766</v>
      </c>
      <c r="M248" s="457">
        <v>46028</v>
      </c>
      <c r="N248" s="457">
        <v>46028</v>
      </c>
      <c r="O248" s="457">
        <v>46028</v>
      </c>
      <c r="P248" s="452" t="s">
        <v>214</v>
      </c>
      <c r="Q248" s="519">
        <v>4.95</v>
      </c>
      <c r="R248" s="467">
        <v>0</v>
      </c>
      <c r="S248" s="467">
        <v>0</v>
      </c>
      <c r="T248" s="1004">
        <f>SUM(mJAN[[#This Row],[PRINCIPAL]:[JUROS]])</f>
        <v>4.95</v>
      </c>
    </row>
    <row r="249" spans="2:20" ht="21" customHeight="1">
      <c r="B249" s="5" t="str">
        <f t="shared" si="3"/>
        <v>1/26</v>
      </c>
      <c r="C249" s="5" t="str">
        <f>VLOOKUP(mJAN[[#This Row],[CÓDIGO CONTABIL]],Contas_Gerencial[#All],3,FALSE)</f>
        <v>FOLHA DE PAGAMENTO</v>
      </c>
      <c r="D249" s="5" t="str">
        <f>VLOOKUP(mJAN[[#This Row],[DESCRIÇÃO CONTABIL]],Contas_Gerencial[[#All],[DESCRIÇÃO DA CONTA - NÃO UTILIZAR]:[Código2]],2,FALSE)</f>
        <v>20.05.020</v>
      </c>
      <c r="E249" s="454" t="s">
        <v>29</v>
      </c>
      <c r="F249" s="452" t="s">
        <v>41</v>
      </c>
      <c r="G249" s="452" t="s">
        <v>595</v>
      </c>
      <c r="H249" s="452" t="s">
        <v>1983</v>
      </c>
      <c r="I249" s="455" t="s">
        <v>2300</v>
      </c>
      <c r="J249" s="453" t="s">
        <v>1083</v>
      </c>
      <c r="K249" s="1110" t="s">
        <v>2321</v>
      </c>
      <c r="L249" s="456" t="s">
        <v>1766</v>
      </c>
      <c r="M249" s="457">
        <v>46034</v>
      </c>
      <c r="N249" s="457">
        <v>46034</v>
      </c>
      <c r="O249" s="457">
        <v>46034</v>
      </c>
      <c r="P249" s="452" t="s">
        <v>214</v>
      </c>
      <c r="Q249" s="519">
        <v>99.9</v>
      </c>
      <c r="R249" s="467">
        <v>0</v>
      </c>
      <c r="S249" s="467">
        <v>0</v>
      </c>
      <c r="T249" s="1004">
        <f>SUM(mJAN[[#This Row],[PRINCIPAL]:[JUROS]])</f>
        <v>99.9</v>
      </c>
    </row>
    <row r="250" spans="2:20" ht="21" customHeight="1">
      <c r="B250" s="5" t="str">
        <f t="shared" si="3"/>
        <v>1/26</v>
      </c>
      <c r="C250" s="5" t="str">
        <f>VLOOKUP(mJAN[[#This Row],[CÓDIGO CONTABIL]],Contas_Gerencial[#All],3,FALSE)</f>
        <v>DESPESAS BANCÁRIAS</v>
      </c>
      <c r="D250" s="5" t="str">
        <f>VLOOKUP(mJAN[[#This Row],[DESCRIÇÃO CONTABIL]],Contas_Gerencial[[#All],[DESCRIÇÃO DA CONTA - NÃO UTILIZAR]:[Código2]],2,FALSE)</f>
        <v>20.01.015</v>
      </c>
      <c r="E250" s="453" t="s">
        <v>82</v>
      </c>
      <c r="F250" s="452" t="s">
        <v>41</v>
      </c>
      <c r="G250" s="452" t="s">
        <v>595</v>
      </c>
      <c r="H250" s="452" t="s">
        <v>1983</v>
      </c>
      <c r="I250" s="455" t="s">
        <v>2301</v>
      </c>
      <c r="J250" s="453" t="s">
        <v>1083</v>
      </c>
      <c r="K250" s="453" t="s">
        <v>2317</v>
      </c>
      <c r="L250" s="456" t="s">
        <v>1766</v>
      </c>
      <c r="M250" s="457">
        <v>46034</v>
      </c>
      <c r="N250" s="457">
        <v>46034</v>
      </c>
      <c r="O250" s="457">
        <v>46034</v>
      </c>
      <c r="P250" s="452" t="s">
        <v>214</v>
      </c>
      <c r="Q250" s="519">
        <v>108</v>
      </c>
      <c r="R250" s="467">
        <v>0</v>
      </c>
      <c r="S250" s="467">
        <v>0</v>
      </c>
      <c r="T250" s="1004">
        <f>SUM(mJAN[[#This Row],[PRINCIPAL]:[JUROS]])</f>
        <v>108</v>
      </c>
    </row>
    <row r="251" spans="2:20" ht="21" customHeight="1">
      <c r="B251" s="5" t="str">
        <f t="shared" si="3"/>
        <v>1/26</v>
      </c>
      <c r="C251" s="5" t="str">
        <f>VLOOKUP(mJAN[[#This Row],[CÓDIGO CONTABIL]],Contas_Gerencial[#All],3,FALSE)</f>
        <v>DESPESAS BANCÁRIAS</v>
      </c>
      <c r="D251" s="5" t="str">
        <f>VLOOKUP(mJAN[[#This Row],[DESCRIÇÃO CONTABIL]],Contas_Gerencial[[#All],[DESCRIÇÃO DA CONTA - NÃO UTILIZAR]:[Código2]],2,FALSE)</f>
        <v>20.01.015</v>
      </c>
      <c r="E251" s="453" t="s">
        <v>82</v>
      </c>
      <c r="F251" s="452" t="s">
        <v>41</v>
      </c>
      <c r="G251" s="452" t="s">
        <v>595</v>
      </c>
      <c r="H251" s="452" t="s">
        <v>1983</v>
      </c>
      <c r="I251" s="455" t="s">
        <v>2302</v>
      </c>
      <c r="J251" s="453" t="s">
        <v>1083</v>
      </c>
      <c r="K251" s="453" t="s">
        <v>2317</v>
      </c>
      <c r="L251" s="456" t="s">
        <v>1766</v>
      </c>
      <c r="M251" s="457">
        <v>46034</v>
      </c>
      <c r="N251" s="457">
        <v>46034</v>
      </c>
      <c r="O251" s="457">
        <v>46034</v>
      </c>
      <c r="P251" s="452" t="s">
        <v>214</v>
      </c>
      <c r="Q251" s="519">
        <v>70</v>
      </c>
      <c r="R251" s="467">
        <v>0</v>
      </c>
      <c r="S251" s="467">
        <v>0</v>
      </c>
      <c r="T251" s="1004">
        <f>SUM(mJAN[[#This Row],[PRINCIPAL]:[JUROS]])</f>
        <v>70</v>
      </c>
    </row>
    <row r="252" spans="2:20" ht="21" customHeight="1">
      <c r="B252" s="5" t="str">
        <f t="shared" si="3"/>
        <v>1/26</v>
      </c>
      <c r="C252" s="5" t="str">
        <f>VLOOKUP(mJAN[[#This Row],[CÓDIGO CONTABIL]],Contas_Gerencial[#All],3,FALSE)</f>
        <v>DESPESAS BANCÁRIAS</v>
      </c>
      <c r="D252" s="5" t="str">
        <f>VLOOKUP(mJAN[[#This Row],[DESCRIÇÃO CONTABIL]],Contas_Gerencial[[#All],[DESCRIÇÃO DA CONTA - NÃO UTILIZAR]:[Código2]],2,FALSE)</f>
        <v>20.01.032</v>
      </c>
      <c r="E252" s="453" t="s">
        <v>84</v>
      </c>
      <c r="F252" s="452" t="s">
        <v>41</v>
      </c>
      <c r="G252" s="452" t="s">
        <v>595</v>
      </c>
      <c r="H252" s="452" t="s">
        <v>1983</v>
      </c>
      <c r="I252" s="455" t="s">
        <v>2303</v>
      </c>
      <c r="J252" s="453" t="s">
        <v>1083</v>
      </c>
      <c r="K252" s="453" t="s">
        <v>2318</v>
      </c>
      <c r="L252" s="456" t="s">
        <v>1766</v>
      </c>
      <c r="M252" s="457">
        <v>46034</v>
      </c>
      <c r="N252" s="457">
        <v>46034</v>
      </c>
      <c r="O252" s="457">
        <v>46034</v>
      </c>
      <c r="P252" s="452" t="s">
        <v>214</v>
      </c>
      <c r="Q252" s="519">
        <v>139.19999999999999</v>
      </c>
      <c r="R252" s="467">
        <v>0</v>
      </c>
      <c r="S252" s="467">
        <v>0</v>
      </c>
      <c r="T252" s="1004">
        <f>SUM(mJAN[[#This Row],[PRINCIPAL]:[JUROS]])</f>
        <v>139.19999999999999</v>
      </c>
    </row>
    <row r="253" spans="2:20" ht="21" customHeight="1">
      <c r="B253" s="5" t="str">
        <f t="shared" si="3"/>
        <v>1/26</v>
      </c>
      <c r="C253" s="5" t="str">
        <f>VLOOKUP(mJAN[[#This Row],[CÓDIGO CONTABIL]],Contas_Gerencial[#All],3,FALSE)</f>
        <v>DESPESAS BANCÁRIAS</v>
      </c>
      <c r="D253" s="5" t="str">
        <f>VLOOKUP(mJAN[[#This Row],[DESCRIÇÃO CONTABIL]],Contas_Gerencial[[#All],[DESCRIÇÃO DA CONTA - NÃO UTILIZAR]:[Código2]],2,FALSE)</f>
        <v>20.01.025</v>
      </c>
      <c r="E253" s="453" t="s">
        <v>627</v>
      </c>
      <c r="F253" s="452" t="s">
        <v>41</v>
      </c>
      <c r="G253" s="452" t="s">
        <v>595</v>
      </c>
      <c r="H253" s="452" t="s">
        <v>1983</v>
      </c>
      <c r="I253" s="455" t="s">
        <v>2304</v>
      </c>
      <c r="J253" s="453" t="s">
        <v>1083</v>
      </c>
      <c r="K253" s="453" t="s">
        <v>2315</v>
      </c>
      <c r="L253" s="456" t="s">
        <v>1766</v>
      </c>
      <c r="M253" s="457">
        <v>46038</v>
      </c>
      <c r="N253" s="457">
        <v>46038</v>
      </c>
      <c r="O253" s="457">
        <v>46038</v>
      </c>
      <c r="P253" s="452" t="s">
        <v>214</v>
      </c>
      <c r="Q253" s="519">
        <v>17.440000000000001</v>
      </c>
      <c r="R253" s="467">
        <v>0</v>
      </c>
      <c r="S253" s="467">
        <v>0</v>
      </c>
      <c r="T253" s="1004">
        <f>SUM(mJAN[[#This Row],[PRINCIPAL]:[JUROS]])</f>
        <v>17.440000000000001</v>
      </c>
    </row>
    <row r="254" spans="2:20" ht="21" customHeight="1">
      <c r="B254" s="5" t="str">
        <f t="shared" si="3"/>
        <v>1/26</v>
      </c>
      <c r="C254" s="5" t="str">
        <f>VLOOKUP(mJAN[[#This Row],[CÓDIGO CONTABIL]],Contas_Gerencial[#All],3,FALSE)</f>
        <v>FOLHA DE PAGAMENTO</v>
      </c>
      <c r="D254" s="5" t="str">
        <f>VLOOKUP(mJAN[[#This Row],[DESCRIÇÃO CONTABIL]],Contas_Gerencial[[#All],[DESCRIÇÃO DA CONTA - NÃO UTILIZAR]:[Código2]],2,FALSE)</f>
        <v>20.05.020</v>
      </c>
      <c r="E254" s="454" t="s">
        <v>29</v>
      </c>
      <c r="F254" s="452" t="s">
        <v>41</v>
      </c>
      <c r="G254" s="452" t="s">
        <v>595</v>
      </c>
      <c r="H254" s="452" t="s">
        <v>1983</v>
      </c>
      <c r="I254" s="455" t="s">
        <v>2305</v>
      </c>
      <c r="J254" s="453" t="s">
        <v>1083</v>
      </c>
      <c r="K254" s="1110" t="s">
        <v>2322</v>
      </c>
      <c r="L254" s="456" t="s">
        <v>1766</v>
      </c>
      <c r="M254" s="457">
        <v>46041</v>
      </c>
      <c r="N254" s="457">
        <v>46041</v>
      </c>
      <c r="O254" s="457">
        <v>46041</v>
      </c>
      <c r="P254" s="452" t="s">
        <v>214</v>
      </c>
      <c r="Q254" s="519">
        <v>44.7</v>
      </c>
      <c r="R254" s="467">
        <v>0</v>
      </c>
      <c r="S254" s="467">
        <v>0</v>
      </c>
      <c r="T254" s="1004">
        <f>SUM(mJAN[[#This Row],[PRINCIPAL]:[JUROS]])</f>
        <v>44.7</v>
      </c>
    </row>
    <row r="255" spans="2:20" ht="21" customHeight="1">
      <c r="B255" s="5" t="str">
        <f t="shared" si="3"/>
        <v>1/26</v>
      </c>
      <c r="C255" s="5" t="str">
        <f>VLOOKUP(mJAN[[#This Row],[CÓDIGO CONTABIL]],Contas_Gerencial[#All],3,FALSE)</f>
        <v>FOLHA DE PAGAMENTO</v>
      </c>
      <c r="D255" s="5" t="str">
        <f>VLOOKUP(mJAN[[#This Row],[DESCRIÇÃO CONTABIL]],Contas_Gerencial[[#All],[DESCRIÇÃO DA CONTA - NÃO UTILIZAR]:[Código2]],2,FALSE)</f>
        <v>20.05.020</v>
      </c>
      <c r="E255" s="454" t="s">
        <v>29</v>
      </c>
      <c r="F255" s="452" t="s">
        <v>41</v>
      </c>
      <c r="G255" s="452" t="s">
        <v>595</v>
      </c>
      <c r="H255" s="452" t="s">
        <v>1983</v>
      </c>
      <c r="I255" s="455" t="s">
        <v>2306</v>
      </c>
      <c r="J255" s="453" t="s">
        <v>1083</v>
      </c>
      <c r="K255" s="1110" t="s">
        <v>2323</v>
      </c>
      <c r="L255" s="456" t="s">
        <v>1766</v>
      </c>
      <c r="M255" s="457">
        <v>46041</v>
      </c>
      <c r="N255" s="457">
        <v>46041</v>
      </c>
      <c r="O255" s="457">
        <v>46041</v>
      </c>
      <c r="P255" s="452" t="s">
        <v>214</v>
      </c>
      <c r="Q255" s="519">
        <v>107.6</v>
      </c>
      <c r="R255" s="467">
        <v>0</v>
      </c>
      <c r="S255" s="467">
        <v>0</v>
      </c>
      <c r="T255" s="1004">
        <f>SUM(mJAN[[#This Row],[PRINCIPAL]:[JUROS]])</f>
        <v>107.6</v>
      </c>
    </row>
    <row r="256" spans="2:20" ht="21" customHeight="1">
      <c r="B256" s="5" t="str">
        <f t="shared" si="3"/>
        <v>1/26</v>
      </c>
      <c r="C256" s="5" t="str">
        <f>VLOOKUP(mJAN[[#This Row],[CÓDIGO CONTABIL]],Contas_Gerencial[#All],3,FALSE)</f>
        <v>DESPESAS BANCÁRIAS</v>
      </c>
      <c r="D256" s="5" t="str">
        <f>VLOOKUP(mJAN[[#This Row],[DESCRIÇÃO CONTABIL]],Contas_Gerencial[[#All],[DESCRIÇÃO DA CONTA - NÃO UTILIZAR]:[Código2]],2,FALSE)</f>
        <v>20.01.025</v>
      </c>
      <c r="E256" s="453" t="s">
        <v>627</v>
      </c>
      <c r="F256" s="452" t="s">
        <v>41</v>
      </c>
      <c r="G256" s="452" t="s">
        <v>595</v>
      </c>
      <c r="H256" s="452" t="s">
        <v>1983</v>
      </c>
      <c r="I256" s="455" t="s">
        <v>2307</v>
      </c>
      <c r="J256" s="453" t="s">
        <v>1083</v>
      </c>
      <c r="K256" s="453" t="s">
        <v>2315</v>
      </c>
      <c r="L256" s="456" t="s">
        <v>1766</v>
      </c>
      <c r="M256" s="457">
        <v>46043</v>
      </c>
      <c r="N256" s="457">
        <v>46043</v>
      </c>
      <c r="O256" s="457">
        <v>46043</v>
      </c>
      <c r="P256" s="452" t="s">
        <v>214</v>
      </c>
      <c r="Q256" s="519">
        <v>2.57</v>
      </c>
      <c r="R256" s="467">
        <v>0</v>
      </c>
      <c r="S256" s="467">
        <v>0</v>
      </c>
      <c r="T256" s="1004">
        <f>SUM(mJAN[[#This Row],[PRINCIPAL]:[JUROS]])</f>
        <v>2.57</v>
      </c>
    </row>
    <row r="257" spans="2:20" ht="21" customHeight="1">
      <c r="B257" s="5" t="str">
        <f t="shared" si="3"/>
        <v>1/26</v>
      </c>
      <c r="C257" s="5" t="str">
        <f>VLOOKUP(mJAN[[#This Row],[CÓDIGO CONTABIL]],Contas_Gerencial[#All],3,FALSE)</f>
        <v>DESPESAS BANCÁRIAS</v>
      </c>
      <c r="D257" s="5" t="str">
        <f>VLOOKUP(mJAN[[#This Row],[DESCRIÇÃO CONTABIL]],Contas_Gerencial[[#All],[DESCRIÇÃO DA CONTA - NÃO UTILIZAR]:[Código2]],2,FALSE)</f>
        <v>20.01.025</v>
      </c>
      <c r="E257" s="453" t="s">
        <v>627</v>
      </c>
      <c r="F257" s="452" t="s">
        <v>41</v>
      </c>
      <c r="G257" s="452" t="s">
        <v>595</v>
      </c>
      <c r="H257" s="452" t="s">
        <v>1983</v>
      </c>
      <c r="I257" s="455" t="s">
        <v>2308</v>
      </c>
      <c r="J257" s="453" t="s">
        <v>1083</v>
      </c>
      <c r="K257" s="453" t="s">
        <v>2315</v>
      </c>
      <c r="L257" s="456" t="s">
        <v>1766</v>
      </c>
      <c r="M257" s="457">
        <v>46044</v>
      </c>
      <c r="N257" s="457">
        <v>46044</v>
      </c>
      <c r="O257" s="457">
        <v>46044</v>
      </c>
      <c r="P257" s="452" t="s">
        <v>214</v>
      </c>
      <c r="Q257" s="519">
        <v>10</v>
      </c>
      <c r="R257" s="467">
        <v>0</v>
      </c>
      <c r="S257" s="467">
        <v>0</v>
      </c>
      <c r="T257" s="1004">
        <f>SUM(mJAN[[#This Row],[PRINCIPAL]:[JUROS]])</f>
        <v>10</v>
      </c>
    </row>
    <row r="258" spans="2:20" ht="21" customHeight="1">
      <c r="B258" s="5" t="str">
        <f t="shared" si="3"/>
        <v>1/26</v>
      </c>
      <c r="C258" s="5" t="str">
        <f>VLOOKUP(mJAN[[#This Row],[CÓDIGO CONTABIL]],Contas_Gerencial[#All],3,FALSE)</f>
        <v>DESPESAS BANCÁRIAS</v>
      </c>
      <c r="D258" s="5" t="str">
        <f>VLOOKUP(mJAN[[#This Row],[DESCRIÇÃO CONTABIL]],Contas_Gerencial[[#All],[DESCRIÇÃO DA CONTA - NÃO UTILIZAR]:[Código2]],2,FALSE)</f>
        <v>20.01.025</v>
      </c>
      <c r="E258" s="453" t="s">
        <v>627</v>
      </c>
      <c r="F258" s="452" t="s">
        <v>41</v>
      </c>
      <c r="G258" s="452" t="s">
        <v>595</v>
      </c>
      <c r="H258" s="452" t="s">
        <v>1983</v>
      </c>
      <c r="I258" s="455" t="s">
        <v>2309</v>
      </c>
      <c r="J258" s="453" t="s">
        <v>1083</v>
      </c>
      <c r="K258" s="453" t="s">
        <v>2315</v>
      </c>
      <c r="L258" s="456" t="s">
        <v>1766</v>
      </c>
      <c r="M258" s="457">
        <v>46045</v>
      </c>
      <c r="N258" s="457">
        <v>46045</v>
      </c>
      <c r="O258" s="457">
        <v>46045</v>
      </c>
      <c r="P258" s="452" t="s">
        <v>214</v>
      </c>
      <c r="Q258" s="519">
        <v>29.18</v>
      </c>
      <c r="R258" s="467">
        <v>0</v>
      </c>
      <c r="S258" s="467">
        <v>0</v>
      </c>
      <c r="T258" s="1004">
        <f>SUM(mJAN[[#This Row],[PRINCIPAL]:[JUROS]])</f>
        <v>29.18</v>
      </c>
    </row>
    <row r="259" spans="2:20" ht="21" customHeight="1">
      <c r="B259" s="5" t="str">
        <f t="shared" si="3"/>
        <v>1/26</v>
      </c>
      <c r="C259" s="5" t="str">
        <f>VLOOKUP(mJAN[[#This Row],[CÓDIGO CONTABIL]],Contas_Gerencial[#All],3,FALSE)</f>
        <v>DESPESAS BANCÁRIAS</v>
      </c>
      <c r="D259" s="5" t="str">
        <f>VLOOKUP(mJAN[[#This Row],[DESCRIÇÃO CONTABIL]],Contas_Gerencial[[#All],[DESCRIÇÃO DA CONTA - NÃO UTILIZAR]:[Código2]],2,FALSE)</f>
        <v>20.01.007</v>
      </c>
      <c r="E259" s="453" t="s">
        <v>2657</v>
      </c>
      <c r="F259" s="452" t="s">
        <v>41</v>
      </c>
      <c r="G259" s="452" t="s">
        <v>595</v>
      </c>
      <c r="H259" s="452" t="s">
        <v>1983</v>
      </c>
      <c r="I259" s="455" t="s">
        <v>2310</v>
      </c>
      <c r="J259" s="453" t="s">
        <v>1083</v>
      </c>
      <c r="K259" s="453" t="s">
        <v>2319</v>
      </c>
      <c r="L259" s="456" t="s">
        <v>1766</v>
      </c>
      <c r="M259" s="457">
        <v>46048</v>
      </c>
      <c r="N259" s="457">
        <v>46048</v>
      </c>
      <c r="O259" s="457">
        <v>46048</v>
      </c>
      <c r="P259" s="452" t="s">
        <v>214</v>
      </c>
      <c r="Q259" s="519">
        <v>6.5</v>
      </c>
      <c r="R259" s="467">
        <v>0</v>
      </c>
      <c r="S259" s="467">
        <v>0</v>
      </c>
      <c r="T259" s="1004">
        <f>SUM(mJAN[[#This Row],[PRINCIPAL]:[JUROS]])</f>
        <v>6.5</v>
      </c>
    </row>
    <row r="260" spans="2:20" ht="21" customHeight="1">
      <c r="B260" s="5" t="str">
        <f t="shared" si="3"/>
        <v>1/26</v>
      </c>
      <c r="C260" s="5" t="str">
        <f>VLOOKUP(mJAN[[#This Row],[CÓDIGO CONTABIL]],Contas_Gerencial[#All],3,FALSE)</f>
        <v>DESPESAS BANCÁRIAS</v>
      </c>
      <c r="D260" s="5" t="str">
        <f>VLOOKUP(mJAN[[#This Row],[DESCRIÇÃO CONTABIL]],Contas_Gerencial[[#All],[DESCRIÇÃO DA CONTA - NÃO UTILIZAR]:[Código2]],2,FALSE)</f>
        <v>20.01.007</v>
      </c>
      <c r="E260" s="453" t="s">
        <v>2657</v>
      </c>
      <c r="F260" s="452" t="s">
        <v>41</v>
      </c>
      <c r="G260" s="452" t="s">
        <v>595</v>
      </c>
      <c r="H260" s="452" t="s">
        <v>1983</v>
      </c>
      <c r="I260" s="455" t="s">
        <v>2311</v>
      </c>
      <c r="J260" s="453" t="s">
        <v>1083</v>
      </c>
      <c r="K260" s="453" t="s">
        <v>2319</v>
      </c>
      <c r="L260" s="456" t="s">
        <v>1766</v>
      </c>
      <c r="M260" s="457">
        <v>46048</v>
      </c>
      <c r="N260" s="457">
        <v>46048</v>
      </c>
      <c r="O260" s="457">
        <v>46048</v>
      </c>
      <c r="P260" s="452" t="s">
        <v>214</v>
      </c>
      <c r="Q260" s="519">
        <v>6.5</v>
      </c>
      <c r="R260" s="467">
        <v>0</v>
      </c>
      <c r="S260" s="467">
        <v>0</v>
      </c>
      <c r="T260" s="1004">
        <f>SUM(mJAN[[#This Row],[PRINCIPAL]:[JUROS]])</f>
        <v>6.5</v>
      </c>
    </row>
    <row r="261" spans="2:20" ht="21" customHeight="1">
      <c r="B261" s="5" t="str">
        <f t="shared" si="3"/>
        <v>1/26</v>
      </c>
      <c r="C261" s="5" t="str">
        <f>VLOOKUP(mJAN[[#This Row],[CÓDIGO CONTABIL]],Contas_Gerencial[#All],3,FALSE)</f>
        <v>DESPESAS BANCÁRIAS</v>
      </c>
      <c r="D261" s="5" t="str">
        <f>VLOOKUP(mJAN[[#This Row],[DESCRIÇÃO CONTABIL]],Contas_Gerencial[[#All],[DESCRIÇÃO DA CONTA - NÃO UTILIZAR]:[Código2]],2,FALSE)</f>
        <v>20.01.025</v>
      </c>
      <c r="E261" s="453" t="s">
        <v>627</v>
      </c>
      <c r="F261" s="452" t="s">
        <v>41</v>
      </c>
      <c r="G261" s="452" t="s">
        <v>595</v>
      </c>
      <c r="H261" s="452" t="s">
        <v>1983</v>
      </c>
      <c r="I261" s="455" t="s">
        <v>2312</v>
      </c>
      <c r="J261" s="453" t="s">
        <v>1083</v>
      </c>
      <c r="K261" s="453" t="s">
        <v>2315</v>
      </c>
      <c r="L261" s="456" t="s">
        <v>1766</v>
      </c>
      <c r="M261" s="457">
        <v>46052</v>
      </c>
      <c r="N261" s="457">
        <v>46052</v>
      </c>
      <c r="O261" s="457">
        <v>46052</v>
      </c>
      <c r="P261" s="452" t="s">
        <v>214</v>
      </c>
      <c r="Q261" s="519">
        <v>1</v>
      </c>
      <c r="R261" s="467">
        <v>0</v>
      </c>
      <c r="S261" s="467">
        <v>0</v>
      </c>
      <c r="T261" s="1004">
        <f>SUM(mJAN[[#This Row],[PRINCIPAL]:[JUROS]])</f>
        <v>1</v>
      </c>
    </row>
    <row r="262" spans="2:20" ht="21" customHeight="1">
      <c r="B262" s="5" t="str">
        <f t="shared" si="3"/>
        <v>1/26</v>
      </c>
      <c r="C262" s="5" t="str">
        <f>VLOOKUP(mJAN[[#This Row],[CÓDIGO CONTABIL]],Contas_Gerencial[#All],3,FALSE)</f>
        <v>DESPESAS BANCÁRIAS</v>
      </c>
      <c r="D262" s="5" t="str">
        <f>VLOOKUP(mJAN[[#This Row],[DESCRIÇÃO CONTABIL]],Contas_Gerencial[[#All],[DESCRIÇÃO DA CONTA - NÃO UTILIZAR]:[Código2]],2,FALSE)</f>
        <v>20.01.003</v>
      </c>
      <c r="E262" s="453" t="s">
        <v>79</v>
      </c>
      <c r="F262" s="452" t="s">
        <v>41</v>
      </c>
      <c r="G262" s="452" t="s">
        <v>595</v>
      </c>
      <c r="H262" s="452" t="s">
        <v>1983</v>
      </c>
      <c r="I262" s="455" t="s">
        <v>2294</v>
      </c>
      <c r="J262" s="453" t="s">
        <v>1083</v>
      </c>
      <c r="K262" s="453" t="s">
        <v>2320</v>
      </c>
      <c r="L262" s="456" t="s">
        <v>1766</v>
      </c>
      <c r="M262" s="457">
        <v>46052</v>
      </c>
      <c r="N262" s="457">
        <v>46052</v>
      </c>
      <c r="O262" s="457">
        <v>46052</v>
      </c>
      <c r="P262" s="452" t="s">
        <v>214</v>
      </c>
      <c r="Q262" s="519">
        <v>4.03</v>
      </c>
      <c r="R262" s="467">
        <v>0</v>
      </c>
      <c r="S262" s="467">
        <v>0</v>
      </c>
      <c r="T262" s="1004">
        <f>SUM(mJAN[[#This Row],[PRINCIPAL]:[JUROS]])</f>
        <v>4.03</v>
      </c>
    </row>
    <row r="263" spans="2:20" ht="21" customHeight="1">
      <c r="B263" s="5" t="str">
        <f t="shared" si="3"/>
        <v>1/26</v>
      </c>
      <c r="C263" s="981" t="str">
        <f>VLOOKUP(mJAN[[#This Row],[CÓDIGO CONTABIL]],Contas_Gerencial[#All],3,FALSE)</f>
        <v>DESPESAS BANCÁRIAS</v>
      </c>
      <c r="D263" s="981" t="str">
        <f>VLOOKUP(mJAN[[#This Row],[DESCRIÇÃO CONTABIL]],Contas_Gerencial[[#All],[DESCRIÇÃO DA CONTA - NÃO UTILIZAR]:[Código2]],2,FALSE)</f>
        <v>20.01.034</v>
      </c>
      <c r="E263" s="452" t="s">
        <v>680</v>
      </c>
      <c r="F263" s="452" t="s">
        <v>582</v>
      </c>
      <c r="G263" s="452" t="s">
        <v>595</v>
      </c>
      <c r="H263" s="452" t="s">
        <v>1983</v>
      </c>
      <c r="I263" s="455" t="s">
        <v>2004</v>
      </c>
      <c r="J263" s="453" t="s">
        <v>1083</v>
      </c>
      <c r="K263" s="453" t="s">
        <v>2005</v>
      </c>
      <c r="L263" s="456" t="s">
        <v>2136</v>
      </c>
      <c r="M263" s="457">
        <v>45132</v>
      </c>
      <c r="N263" s="457">
        <v>46047</v>
      </c>
      <c r="O263" s="457">
        <v>46048</v>
      </c>
      <c r="P263" s="452" t="s">
        <v>214</v>
      </c>
      <c r="Q263" s="519">
        <v>4054.05</v>
      </c>
      <c r="R263" s="459">
        <v>1280.7799999999997</v>
      </c>
      <c r="S263" s="459">
        <v>0</v>
      </c>
      <c r="T263" s="982">
        <f>SUM(mJAN[[#This Row],[PRINCIPAL]:[JUROS]])</f>
        <v>5334.83</v>
      </c>
    </row>
    <row r="264" spans="2:20" ht="21" customHeight="1">
      <c r="B264" s="5" t="str">
        <f t="shared" si="3"/>
        <v>1/26</v>
      </c>
      <c r="C264" s="1111" t="str">
        <f>VLOOKUP(mJAN[[#This Row],[CÓDIGO CONTABIL]],Contas_Gerencial[#All],3,FALSE)</f>
        <v>DESPESAS BANCÁRIAS</v>
      </c>
      <c r="D264" s="1111" t="str">
        <f>VLOOKUP(mJAN[[#This Row],[DESCRIÇÃO CONTABIL]],Contas_Gerencial[[#All],[DESCRIÇÃO DA CONTA - NÃO UTILIZAR]:[Código2]],2,FALSE)</f>
        <v>20.01.002</v>
      </c>
      <c r="E264" s="453" t="s">
        <v>2653</v>
      </c>
      <c r="F264" s="452" t="s">
        <v>582</v>
      </c>
      <c r="G264" s="452" t="s">
        <v>595</v>
      </c>
      <c r="H264" s="452" t="s">
        <v>1983</v>
      </c>
      <c r="I264" s="455" t="s">
        <v>2296</v>
      </c>
      <c r="J264" s="453" t="s">
        <v>1083</v>
      </c>
      <c r="K264" s="453" t="s">
        <v>2314</v>
      </c>
      <c r="L264" s="456" t="s">
        <v>1766</v>
      </c>
      <c r="M264" s="457">
        <v>46024</v>
      </c>
      <c r="N264" s="457">
        <v>46024</v>
      </c>
      <c r="O264" s="457">
        <v>46024</v>
      </c>
      <c r="P264" s="452" t="s">
        <v>214</v>
      </c>
      <c r="Q264" s="519">
        <v>12.17</v>
      </c>
      <c r="R264" s="467">
        <v>0</v>
      </c>
      <c r="S264" s="467">
        <v>0</v>
      </c>
      <c r="T264" s="1112">
        <f>SUM(mJAN[[#This Row],[PRINCIPAL]:[JUROS]])</f>
        <v>12.17</v>
      </c>
    </row>
    <row r="265" spans="2:20" ht="21" customHeight="1">
      <c r="B265" s="5" t="str">
        <f t="shared" si="3"/>
        <v>1/26</v>
      </c>
      <c r="C265" s="1111" t="str">
        <f>VLOOKUP(mJAN[[#This Row],[CÓDIGO CONTABIL]],Contas_Gerencial[#All],3,FALSE)</f>
        <v>DESPESAS BANCÁRIAS</v>
      </c>
      <c r="D265" s="1111" t="str">
        <f>VLOOKUP(mJAN[[#This Row],[DESCRIÇÃO CONTABIL]],Contas_Gerencial[[#All],[DESCRIÇÃO DA CONTA - NÃO UTILIZAR]:[Código2]],2,FALSE)</f>
        <v>20.01.017</v>
      </c>
      <c r="E265" s="454" t="s">
        <v>115</v>
      </c>
      <c r="F265" s="452" t="s">
        <v>582</v>
      </c>
      <c r="G265" s="452" t="s">
        <v>595</v>
      </c>
      <c r="H265" s="452" t="s">
        <v>1983</v>
      </c>
      <c r="I265" s="455" t="s">
        <v>2325</v>
      </c>
      <c r="J265" s="453" t="s">
        <v>1083</v>
      </c>
      <c r="K265" s="453" t="s">
        <v>2333</v>
      </c>
      <c r="L265" s="456" t="s">
        <v>1766</v>
      </c>
      <c r="M265" s="457">
        <v>46028</v>
      </c>
      <c r="N265" s="457">
        <v>46028</v>
      </c>
      <c r="O265" s="457">
        <v>46028</v>
      </c>
      <c r="P265" s="452" t="s">
        <v>214</v>
      </c>
      <c r="Q265" s="519">
        <v>3.5</v>
      </c>
      <c r="R265" s="467">
        <v>0</v>
      </c>
      <c r="S265" s="467">
        <v>0</v>
      </c>
      <c r="T265" s="1112">
        <f>SUM(mJAN[[#This Row],[PRINCIPAL]:[JUROS]])</f>
        <v>3.5</v>
      </c>
    </row>
    <row r="266" spans="2:20" ht="21" customHeight="1">
      <c r="B266" s="5" t="str">
        <f t="shared" si="3"/>
        <v>1/26</v>
      </c>
      <c r="C266" s="1111" t="str">
        <f>VLOOKUP(mJAN[[#This Row],[CÓDIGO CONTABIL]],Contas_Gerencial[#All],3,FALSE)</f>
        <v>DESPESAS BANCÁRIAS</v>
      </c>
      <c r="D266" s="1111" t="str">
        <f>VLOOKUP(mJAN[[#This Row],[DESCRIÇÃO CONTABIL]],Contas_Gerencial[[#All],[DESCRIÇÃO DA CONTA - NÃO UTILIZAR]:[Código2]],2,FALSE)</f>
        <v>20.01.017</v>
      </c>
      <c r="E266" s="454" t="s">
        <v>115</v>
      </c>
      <c r="F266" s="452" t="s">
        <v>582</v>
      </c>
      <c r="G266" s="452" t="s">
        <v>595</v>
      </c>
      <c r="H266" s="452" t="s">
        <v>1983</v>
      </c>
      <c r="I266" s="455" t="s">
        <v>2326</v>
      </c>
      <c r="J266" s="453" t="s">
        <v>1083</v>
      </c>
      <c r="K266" s="453" t="s">
        <v>2333</v>
      </c>
      <c r="L266" s="456" t="s">
        <v>1766</v>
      </c>
      <c r="M266" s="457">
        <v>46028</v>
      </c>
      <c r="N266" s="457">
        <v>46028</v>
      </c>
      <c r="O266" s="457">
        <v>46028</v>
      </c>
      <c r="P266" s="452" t="s">
        <v>214</v>
      </c>
      <c r="Q266" s="519">
        <v>3.5</v>
      </c>
      <c r="R266" s="467">
        <v>0</v>
      </c>
      <c r="S266" s="467">
        <v>0</v>
      </c>
      <c r="T266" s="1112">
        <f>SUM(mJAN[[#This Row],[PRINCIPAL]:[JUROS]])</f>
        <v>3.5</v>
      </c>
    </row>
    <row r="267" spans="2:20" ht="21" customHeight="1">
      <c r="B267" s="5" t="str">
        <f t="shared" si="3"/>
        <v>1/26</v>
      </c>
      <c r="C267" s="1111" t="str">
        <f>VLOOKUP(mJAN[[#This Row],[CÓDIGO CONTABIL]],Contas_Gerencial[#All],3,FALSE)</f>
        <v>DESPESAS BANCÁRIAS</v>
      </c>
      <c r="D267" s="1111" t="str">
        <f>VLOOKUP(mJAN[[#This Row],[DESCRIÇÃO CONTABIL]],Contas_Gerencial[[#All],[DESCRIÇÃO DA CONTA - NÃO UTILIZAR]:[Código2]],2,FALSE)</f>
        <v>20.01.017</v>
      </c>
      <c r="E267" s="454" t="s">
        <v>115</v>
      </c>
      <c r="F267" s="452" t="s">
        <v>582</v>
      </c>
      <c r="G267" s="452" t="s">
        <v>595</v>
      </c>
      <c r="H267" s="452" t="s">
        <v>1983</v>
      </c>
      <c r="I267" s="455" t="s">
        <v>2327</v>
      </c>
      <c r="J267" s="453" t="s">
        <v>1083</v>
      </c>
      <c r="K267" s="453" t="s">
        <v>2333</v>
      </c>
      <c r="L267" s="456" t="s">
        <v>1766</v>
      </c>
      <c r="M267" s="457">
        <v>46028</v>
      </c>
      <c r="N267" s="457">
        <v>46028</v>
      </c>
      <c r="O267" s="457">
        <v>46028</v>
      </c>
      <c r="P267" s="452" t="s">
        <v>214</v>
      </c>
      <c r="Q267" s="519">
        <v>10.5</v>
      </c>
      <c r="R267" s="467">
        <v>0</v>
      </c>
      <c r="S267" s="467">
        <v>0</v>
      </c>
      <c r="T267" s="1112">
        <f>SUM(mJAN[[#This Row],[PRINCIPAL]:[JUROS]])</f>
        <v>10.5</v>
      </c>
    </row>
    <row r="268" spans="2:20" ht="21" customHeight="1">
      <c r="B268" s="5" t="str">
        <f t="shared" si="3"/>
        <v>1/26</v>
      </c>
      <c r="C268" s="1111" t="str">
        <f>VLOOKUP(mJAN[[#This Row],[CÓDIGO CONTABIL]],Contas_Gerencial[#All],3,FALSE)</f>
        <v>DESPESAS BANCÁRIAS</v>
      </c>
      <c r="D268" s="1111" t="str">
        <f>VLOOKUP(mJAN[[#This Row],[DESCRIÇÃO CONTABIL]],Contas_Gerencial[[#All],[DESCRIÇÃO DA CONTA - NÃO UTILIZAR]:[Código2]],2,FALSE)</f>
        <v>20.01.017</v>
      </c>
      <c r="E268" s="454" t="s">
        <v>115</v>
      </c>
      <c r="F268" s="452" t="s">
        <v>582</v>
      </c>
      <c r="G268" s="452" t="s">
        <v>595</v>
      </c>
      <c r="H268" s="452" t="s">
        <v>1983</v>
      </c>
      <c r="I268" s="455" t="s">
        <v>2328</v>
      </c>
      <c r="J268" s="453" t="s">
        <v>1083</v>
      </c>
      <c r="K268" s="453" t="s">
        <v>2333</v>
      </c>
      <c r="L268" s="456" t="s">
        <v>1766</v>
      </c>
      <c r="M268" s="457">
        <v>46028</v>
      </c>
      <c r="N268" s="457">
        <v>46028</v>
      </c>
      <c r="O268" s="457">
        <v>46028</v>
      </c>
      <c r="P268" s="452" t="s">
        <v>214</v>
      </c>
      <c r="Q268" s="519">
        <v>7</v>
      </c>
      <c r="R268" s="467">
        <v>0</v>
      </c>
      <c r="S268" s="467">
        <v>0</v>
      </c>
      <c r="T268" s="1112">
        <f>SUM(mJAN[[#This Row],[PRINCIPAL]:[JUROS]])</f>
        <v>7</v>
      </c>
    </row>
    <row r="269" spans="2:20" ht="21" customHeight="1">
      <c r="B269" s="5" t="str">
        <f t="shared" ref="B269:B332" si="4">B268</f>
        <v>1/26</v>
      </c>
      <c r="C269" s="1111" t="str">
        <f>VLOOKUP(mJAN[[#This Row],[CÓDIGO CONTABIL]],Contas_Gerencial[#All],3,FALSE)</f>
        <v>DESPESAS BANCÁRIAS</v>
      </c>
      <c r="D269" s="1111" t="str">
        <f>VLOOKUP(mJAN[[#This Row],[DESCRIÇÃO CONTABIL]],Contas_Gerencial[[#All],[DESCRIÇÃO DA CONTA - NÃO UTILIZAR]:[Código2]],2,FALSE)</f>
        <v>20.01.017</v>
      </c>
      <c r="E269" s="454" t="s">
        <v>115</v>
      </c>
      <c r="F269" s="452" t="s">
        <v>582</v>
      </c>
      <c r="G269" s="452" t="s">
        <v>595</v>
      </c>
      <c r="H269" s="452" t="s">
        <v>1983</v>
      </c>
      <c r="I269" s="455" t="s">
        <v>2329</v>
      </c>
      <c r="J269" s="453" t="s">
        <v>1083</v>
      </c>
      <c r="K269" s="453" t="s">
        <v>2333</v>
      </c>
      <c r="L269" s="456" t="s">
        <v>1766</v>
      </c>
      <c r="M269" s="457">
        <v>46028</v>
      </c>
      <c r="N269" s="457">
        <v>46028</v>
      </c>
      <c r="O269" s="457">
        <v>46028</v>
      </c>
      <c r="P269" s="452" t="s">
        <v>214</v>
      </c>
      <c r="Q269" s="519">
        <v>3.5</v>
      </c>
      <c r="R269" s="467">
        <v>0</v>
      </c>
      <c r="S269" s="467">
        <v>0</v>
      </c>
      <c r="T269" s="1112">
        <f>SUM(mJAN[[#This Row],[PRINCIPAL]:[JUROS]])</f>
        <v>3.5</v>
      </c>
    </row>
    <row r="270" spans="2:20" ht="21" customHeight="1">
      <c r="B270" s="5" t="str">
        <f t="shared" si="4"/>
        <v>1/26</v>
      </c>
      <c r="C270" s="1111" t="str">
        <f>VLOOKUP(mJAN[[#This Row],[CÓDIGO CONTABIL]],Contas_Gerencial[#All],3,FALSE)</f>
        <v>DESPESAS BANCÁRIAS</v>
      </c>
      <c r="D270" s="1111" t="str">
        <f>VLOOKUP(mJAN[[#This Row],[DESCRIÇÃO CONTABIL]],Contas_Gerencial[[#All],[DESCRIÇÃO DA CONTA - NÃO UTILIZAR]:[Código2]],2,FALSE)</f>
        <v>20.01.032</v>
      </c>
      <c r="E270" s="453" t="s">
        <v>84</v>
      </c>
      <c r="F270" s="452" t="s">
        <v>582</v>
      </c>
      <c r="G270" s="452" t="s">
        <v>595</v>
      </c>
      <c r="H270" s="452" t="s">
        <v>1983</v>
      </c>
      <c r="I270" s="455" t="s">
        <v>2330</v>
      </c>
      <c r="J270" s="453" t="s">
        <v>1083</v>
      </c>
      <c r="K270" s="453" t="s">
        <v>2318</v>
      </c>
      <c r="L270" s="456" t="s">
        <v>1766</v>
      </c>
      <c r="M270" s="457">
        <v>46034</v>
      </c>
      <c r="N270" s="457">
        <v>46034</v>
      </c>
      <c r="O270" s="457">
        <v>46034</v>
      </c>
      <c r="P270" s="452" t="s">
        <v>214</v>
      </c>
      <c r="Q270" s="519">
        <v>81.400000000000006</v>
      </c>
      <c r="R270" s="467">
        <v>0</v>
      </c>
      <c r="S270" s="467">
        <v>0</v>
      </c>
      <c r="T270" s="1112">
        <f>SUM(mJAN[[#This Row],[PRINCIPAL]:[JUROS]])</f>
        <v>81.400000000000006</v>
      </c>
    </row>
    <row r="271" spans="2:20" ht="21" customHeight="1">
      <c r="B271" s="5" t="str">
        <f t="shared" si="4"/>
        <v>1/26</v>
      </c>
      <c r="C271" s="5" t="str">
        <f>VLOOKUP(mJAN[[#This Row],[CÓDIGO CONTABIL]],Contas_Gerencial[#All],3,FALSE)</f>
        <v>DESPESAS BANCÁRIAS</v>
      </c>
      <c r="D271" s="5" t="str">
        <f>VLOOKUP(mJAN[[#This Row],[DESCRIÇÃO CONTABIL]],Contas_Gerencial[[#All],[DESCRIÇÃO DA CONTA - NÃO UTILIZAR]:[Código2]],2,FALSE)</f>
        <v>20.01.017</v>
      </c>
      <c r="E271" s="454" t="s">
        <v>115</v>
      </c>
      <c r="F271" s="452" t="s">
        <v>582</v>
      </c>
      <c r="G271" s="452" t="s">
        <v>595</v>
      </c>
      <c r="H271" s="452" t="s">
        <v>1983</v>
      </c>
      <c r="I271" s="455" t="s">
        <v>2331</v>
      </c>
      <c r="J271" s="453" t="s">
        <v>1083</v>
      </c>
      <c r="K271" s="453" t="s">
        <v>2333</v>
      </c>
      <c r="L271" s="456" t="s">
        <v>1766</v>
      </c>
      <c r="M271" s="457">
        <v>46042</v>
      </c>
      <c r="N271" s="457">
        <v>46042</v>
      </c>
      <c r="O271" s="457">
        <v>46042</v>
      </c>
      <c r="P271" s="452" t="s">
        <v>214</v>
      </c>
      <c r="Q271" s="519">
        <v>28</v>
      </c>
      <c r="R271" s="467">
        <v>0</v>
      </c>
      <c r="S271" s="467">
        <v>0</v>
      </c>
      <c r="T271" s="1004">
        <f>SUM(mJAN[[#This Row],[PRINCIPAL]:[JUROS]])</f>
        <v>28</v>
      </c>
    </row>
    <row r="272" spans="2:20" ht="21" customHeight="1">
      <c r="B272" s="5" t="str">
        <f t="shared" si="4"/>
        <v>1/26</v>
      </c>
      <c r="C272" s="5" t="str">
        <f>VLOOKUP(mJAN[[#This Row],[CÓDIGO CONTABIL]],Contas_Gerencial[#All],3,FALSE)</f>
        <v>DESPESAS BANCÁRIAS</v>
      </c>
      <c r="D272" s="5" t="str">
        <f>VLOOKUP(mJAN[[#This Row],[DESCRIÇÃO CONTABIL]],Contas_Gerencial[[#All],[DESCRIÇÃO DA CONTA - NÃO UTILIZAR]:[Código2]],2,FALSE)</f>
        <v>20.01.017</v>
      </c>
      <c r="E272" s="454" t="s">
        <v>115</v>
      </c>
      <c r="F272" s="452" t="s">
        <v>582</v>
      </c>
      <c r="G272" s="452" t="s">
        <v>595</v>
      </c>
      <c r="H272" s="452" t="s">
        <v>1983</v>
      </c>
      <c r="I272" s="455" t="s">
        <v>2332</v>
      </c>
      <c r="J272" s="453" t="s">
        <v>1083</v>
      </c>
      <c r="K272" s="453" t="s">
        <v>2333</v>
      </c>
      <c r="L272" s="456" t="s">
        <v>1766</v>
      </c>
      <c r="M272" s="457">
        <v>46042</v>
      </c>
      <c r="N272" s="457">
        <v>46042</v>
      </c>
      <c r="O272" s="457">
        <v>46042</v>
      </c>
      <c r="P272" s="452" t="s">
        <v>214</v>
      </c>
      <c r="Q272" s="519">
        <v>28</v>
      </c>
      <c r="R272" s="467">
        <v>0</v>
      </c>
      <c r="S272" s="467">
        <v>0</v>
      </c>
      <c r="T272" s="1004">
        <f>SUM(mJAN[[#This Row],[PRINCIPAL]:[JUROS]])</f>
        <v>28</v>
      </c>
    </row>
    <row r="273" spans="2:20" ht="21" customHeight="1">
      <c r="B273" s="5" t="str">
        <f t="shared" si="4"/>
        <v>1/26</v>
      </c>
      <c r="C273" s="1111" t="str">
        <f>VLOOKUP(mJAN[[#This Row],[CÓDIGO CONTABIL]],Contas_Gerencial[#All],3,FALSE)</f>
        <v>DESPESAS BANCÁRIAS</v>
      </c>
      <c r="D273" s="1111" t="str">
        <f>VLOOKUP(mJAN[[#This Row],[DESCRIÇÃO CONTABIL]],Contas_Gerencial[[#All],[DESCRIÇÃO DA CONTA - NÃO UTILIZAR]:[Código2]],2,FALSE)</f>
        <v>20.01.003</v>
      </c>
      <c r="E273" s="453" t="s">
        <v>79</v>
      </c>
      <c r="F273" s="452" t="s">
        <v>582</v>
      </c>
      <c r="G273" s="452" t="s">
        <v>595</v>
      </c>
      <c r="H273" s="452" t="s">
        <v>1983</v>
      </c>
      <c r="I273" s="455" t="s">
        <v>2324</v>
      </c>
      <c r="J273" s="453" t="s">
        <v>1083</v>
      </c>
      <c r="K273" s="453" t="s">
        <v>2320</v>
      </c>
      <c r="L273" s="456" t="s">
        <v>1766</v>
      </c>
      <c r="M273" s="457">
        <v>46052</v>
      </c>
      <c r="N273" s="457">
        <v>46052</v>
      </c>
      <c r="O273" s="457">
        <v>46052</v>
      </c>
      <c r="P273" s="452" t="s">
        <v>214</v>
      </c>
      <c r="Q273" s="519">
        <v>0.09</v>
      </c>
      <c r="R273" s="467">
        <v>0</v>
      </c>
      <c r="S273" s="467">
        <v>0</v>
      </c>
      <c r="T273" s="1112">
        <f>SUM(mJAN[[#This Row],[PRINCIPAL]:[JUROS]])</f>
        <v>0.09</v>
      </c>
    </row>
    <row r="274" spans="2:20" ht="21" customHeight="1">
      <c r="B274" s="5" t="str">
        <f t="shared" si="4"/>
        <v>1/26</v>
      </c>
      <c r="C274" s="981" t="str">
        <f>VLOOKUP(mJAN[[#This Row],[CÓDIGO CONTABIL]],Contas_Gerencial[#All],3,FALSE)</f>
        <v>DESPESAS BANCÁRIAS</v>
      </c>
      <c r="D274" s="981" t="str">
        <f>VLOOKUP(mJAN[[#This Row],[DESCRIÇÃO CONTABIL]],Contas_Gerencial[[#All],[DESCRIÇÃO DA CONTA - NÃO UTILIZAR]:[Código2]],2,FALSE)</f>
        <v>20.01.034</v>
      </c>
      <c r="E274" s="453" t="s">
        <v>680</v>
      </c>
      <c r="F274" s="453" t="s">
        <v>581</v>
      </c>
      <c r="G274" s="454" t="s">
        <v>595</v>
      </c>
      <c r="H274" s="453" t="s">
        <v>1983</v>
      </c>
      <c r="I274" s="455" t="s">
        <v>2066</v>
      </c>
      <c r="J274" s="453" t="s">
        <v>1083</v>
      </c>
      <c r="K274" s="453" t="s">
        <v>2006</v>
      </c>
      <c r="L274" s="1113" t="s">
        <v>1982</v>
      </c>
      <c r="M274" s="457">
        <v>45602</v>
      </c>
      <c r="N274" s="457">
        <v>46028</v>
      </c>
      <c r="O274" s="457">
        <v>46028</v>
      </c>
      <c r="P274" s="452" t="s">
        <v>214</v>
      </c>
      <c r="Q274" s="467">
        <v>4054.2</v>
      </c>
      <c r="R274" s="467">
        <v>2273.1900000000005</v>
      </c>
      <c r="S274" s="467">
        <v>0</v>
      </c>
      <c r="T274" s="982">
        <f>SUM(mJAN[[#This Row],[PRINCIPAL]:[JUROS]])</f>
        <v>6327.39</v>
      </c>
    </row>
    <row r="275" spans="2:20" ht="21" customHeight="1">
      <c r="B275" s="5" t="str">
        <f t="shared" si="4"/>
        <v>1/26</v>
      </c>
      <c r="C275" s="5" t="str">
        <f>VLOOKUP(mJAN[[#This Row],[CÓDIGO CONTABIL]],Contas_Gerencial[#All],3,FALSE)</f>
        <v>DESPESAS BANCÁRIAS</v>
      </c>
      <c r="D275" s="5" t="str">
        <f>VLOOKUP(mJAN[[#This Row],[DESCRIÇÃO CONTABIL]],Contas_Gerencial[[#All],[DESCRIÇÃO DA CONTA - NÃO UTILIZAR]:[Código2]],2,FALSE)</f>
        <v>20.01.002</v>
      </c>
      <c r="E275" s="453" t="s">
        <v>2653</v>
      </c>
      <c r="F275" s="453" t="s">
        <v>581</v>
      </c>
      <c r="G275" s="454" t="s">
        <v>595</v>
      </c>
      <c r="H275" s="453" t="s">
        <v>1983</v>
      </c>
      <c r="I275" s="455" t="s">
        <v>2296</v>
      </c>
      <c r="J275" s="453" t="s">
        <v>581</v>
      </c>
      <c r="K275" s="453" t="s">
        <v>2314</v>
      </c>
      <c r="L275" s="456" t="s">
        <v>1766</v>
      </c>
      <c r="M275" s="457">
        <v>46024</v>
      </c>
      <c r="N275" s="457">
        <v>46024</v>
      </c>
      <c r="O275" s="457">
        <v>46024</v>
      </c>
      <c r="P275" s="452" t="s">
        <v>214</v>
      </c>
      <c r="Q275" s="519">
        <v>29.82</v>
      </c>
      <c r="R275" s="467">
        <v>0</v>
      </c>
      <c r="S275" s="467">
        <v>0</v>
      </c>
      <c r="T275" s="1004">
        <f>SUM(mJAN[[#This Row],[PRINCIPAL]:[JUROS]])</f>
        <v>29.82</v>
      </c>
    </row>
    <row r="276" spans="2:20" ht="21" customHeight="1">
      <c r="B276" s="5" t="str">
        <f t="shared" si="4"/>
        <v>1/26</v>
      </c>
      <c r="C276" s="5" t="str">
        <f>VLOOKUP(mJAN[[#This Row],[CÓDIGO CONTABIL]],Contas_Gerencial[#All],3,FALSE)</f>
        <v>DESPESAS BANCÁRIAS</v>
      </c>
      <c r="D276" s="5" t="str">
        <f>VLOOKUP(mJAN[[#This Row],[DESCRIÇÃO CONTABIL]],Contas_Gerencial[[#All],[DESCRIÇÃO DA CONTA - NÃO UTILIZAR]:[Código2]],2,FALSE)</f>
        <v>20.01.017</v>
      </c>
      <c r="E276" s="454" t="s">
        <v>115</v>
      </c>
      <c r="F276" s="453" t="s">
        <v>581</v>
      </c>
      <c r="G276" s="454" t="s">
        <v>595</v>
      </c>
      <c r="H276" s="453" t="s">
        <v>1983</v>
      </c>
      <c r="I276" s="455" t="s">
        <v>2334</v>
      </c>
      <c r="J276" s="453" t="s">
        <v>581</v>
      </c>
      <c r="K276" s="453" t="s">
        <v>2333</v>
      </c>
      <c r="L276" s="456" t="s">
        <v>1766</v>
      </c>
      <c r="M276" s="457">
        <v>46028</v>
      </c>
      <c r="N276" s="457">
        <v>46028</v>
      </c>
      <c r="O276" s="457">
        <v>46028</v>
      </c>
      <c r="P276" s="452" t="s">
        <v>214</v>
      </c>
      <c r="Q276" s="519">
        <v>17.5</v>
      </c>
      <c r="R276" s="467">
        <v>0</v>
      </c>
      <c r="S276" s="467">
        <v>0</v>
      </c>
      <c r="T276" s="1004">
        <f>SUM(mJAN[[#This Row],[PRINCIPAL]:[JUROS]])</f>
        <v>17.5</v>
      </c>
    </row>
    <row r="277" spans="2:20" ht="21" customHeight="1">
      <c r="B277" s="5" t="str">
        <f t="shared" si="4"/>
        <v>1/26</v>
      </c>
      <c r="C277" s="5" t="str">
        <f>VLOOKUP(mJAN[[#This Row],[CÓDIGO CONTABIL]],Contas_Gerencial[#All],3,FALSE)</f>
        <v>DESPESAS BANCÁRIAS</v>
      </c>
      <c r="D277" s="5" t="str">
        <f>VLOOKUP(mJAN[[#This Row],[DESCRIÇÃO CONTABIL]],Contas_Gerencial[[#All],[DESCRIÇÃO DA CONTA - NÃO UTILIZAR]:[Código2]],2,FALSE)</f>
        <v>20.01.017</v>
      </c>
      <c r="E277" s="454" t="s">
        <v>115</v>
      </c>
      <c r="F277" s="453" t="s">
        <v>581</v>
      </c>
      <c r="G277" s="454" t="s">
        <v>595</v>
      </c>
      <c r="H277" s="453" t="s">
        <v>1983</v>
      </c>
      <c r="I277" s="455" t="s">
        <v>2335</v>
      </c>
      <c r="J277" s="453" t="s">
        <v>581</v>
      </c>
      <c r="K277" s="453" t="s">
        <v>2333</v>
      </c>
      <c r="L277" s="456" t="s">
        <v>1766</v>
      </c>
      <c r="M277" s="457">
        <v>46028</v>
      </c>
      <c r="N277" s="457">
        <v>46028</v>
      </c>
      <c r="O277" s="457">
        <v>46028</v>
      </c>
      <c r="P277" s="452" t="s">
        <v>214</v>
      </c>
      <c r="Q277" s="519">
        <v>3.5</v>
      </c>
      <c r="R277" s="467">
        <v>0</v>
      </c>
      <c r="S277" s="467">
        <v>0</v>
      </c>
      <c r="T277" s="1004">
        <f>SUM(mJAN[[#This Row],[PRINCIPAL]:[JUROS]])</f>
        <v>3.5</v>
      </c>
    </row>
    <row r="278" spans="2:20" ht="21" customHeight="1">
      <c r="B278" s="5" t="str">
        <f t="shared" si="4"/>
        <v>1/26</v>
      </c>
      <c r="C278" s="5" t="str">
        <f>VLOOKUP(mJAN[[#This Row],[CÓDIGO CONTABIL]],Contas_Gerencial[#All],3,FALSE)</f>
        <v>DESPESAS BANCÁRIAS</v>
      </c>
      <c r="D278" s="5" t="str">
        <f>VLOOKUP(mJAN[[#This Row],[DESCRIÇÃO CONTABIL]],Contas_Gerencial[[#All],[DESCRIÇÃO DA CONTA - NÃO UTILIZAR]:[Código2]],2,FALSE)</f>
        <v>20.01.017</v>
      </c>
      <c r="E278" s="454" t="s">
        <v>115</v>
      </c>
      <c r="F278" s="453" t="s">
        <v>581</v>
      </c>
      <c r="G278" s="454" t="s">
        <v>595</v>
      </c>
      <c r="H278" s="453" t="s">
        <v>1983</v>
      </c>
      <c r="I278" s="455" t="s">
        <v>2336</v>
      </c>
      <c r="J278" s="453" t="s">
        <v>581</v>
      </c>
      <c r="K278" s="453" t="s">
        <v>2333</v>
      </c>
      <c r="L278" s="456" t="s">
        <v>1766</v>
      </c>
      <c r="M278" s="457">
        <v>46028</v>
      </c>
      <c r="N278" s="457">
        <v>46028</v>
      </c>
      <c r="O278" s="457">
        <v>46028</v>
      </c>
      <c r="P278" s="452" t="s">
        <v>214</v>
      </c>
      <c r="Q278" s="519">
        <v>7</v>
      </c>
      <c r="R278" s="467">
        <v>0</v>
      </c>
      <c r="S278" s="467">
        <v>0</v>
      </c>
      <c r="T278" s="1004">
        <f>SUM(mJAN[[#This Row],[PRINCIPAL]:[JUROS]])</f>
        <v>7</v>
      </c>
    </row>
    <row r="279" spans="2:20" ht="21" customHeight="1">
      <c r="B279" s="5" t="str">
        <f t="shared" si="4"/>
        <v>1/26</v>
      </c>
      <c r="C279" s="5" t="str">
        <f>VLOOKUP(mJAN[[#This Row],[CÓDIGO CONTABIL]],Contas_Gerencial[#All],3,FALSE)</f>
        <v>DESPESAS BANCÁRIAS</v>
      </c>
      <c r="D279" s="5" t="str">
        <f>VLOOKUP(mJAN[[#This Row],[DESCRIÇÃO CONTABIL]],Contas_Gerencial[[#All],[DESCRIÇÃO DA CONTA - NÃO UTILIZAR]:[Código2]],2,FALSE)</f>
        <v>20.01.017</v>
      </c>
      <c r="E279" s="454" t="s">
        <v>115</v>
      </c>
      <c r="F279" s="453" t="s">
        <v>581</v>
      </c>
      <c r="G279" s="454" t="s">
        <v>595</v>
      </c>
      <c r="H279" s="453" t="s">
        <v>1983</v>
      </c>
      <c r="I279" s="455" t="s">
        <v>2337</v>
      </c>
      <c r="J279" s="453" t="s">
        <v>581</v>
      </c>
      <c r="K279" s="453" t="s">
        <v>2333</v>
      </c>
      <c r="L279" s="456" t="s">
        <v>1766</v>
      </c>
      <c r="M279" s="457">
        <v>46028</v>
      </c>
      <c r="N279" s="457">
        <v>46028</v>
      </c>
      <c r="O279" s="457">
        <v>46028</v>
      </c>
      <c r="P279" s="452" t="s">
        <v>214</v>
      </c>
      <c r="Q279" s="519">
        <v>3.5</v>
      </c>
      <c r="R279" s="467">
        <v>0</v>
      </c>
      <c r="S279" s="467">
        <v>0</v>
      </c>
      <c r="T279" s="1004">
        <f>SUM(mJAN[[#This Row],[PRINCIPAL]:[JUROS]])</f>
        <v>3.5</v>
      </c>
    </row>
    <row r="280" spans="2:20" ht="21" customHeight="1">
      <c r="B280" s="5" t="str">
        <f t="shared" si="4"/>
        <v>1/26</v>
      </c>
      <c r="C280" s="5" t="str">
        <f>VLOOKUP(mJAN[[#This Row],[CÓDIGO CONTABIL]],Contas_Gerencial[#All],3,FALSE)</f>
        <v>DESPESAS BANCÁRIAS</v>
      </c>
      <c r="D280" s="5" t="str">
        <f>VLOOKUP(mJAN[[#This Row],[DESCRIÇÃO CONTABIL]],Contas_Gerencial[[#All],[DESCRIÇÃO DA CONTA - NÃO UTILIZAR]:[Código2]],2,FALSE)</f>
        <v>20.01.017</v>
      </c>
      <c r="E280" s="454" t="s">
        <v>115</v>
      </c>
      <c r="F280" s="453" t="s">
        <v>581</v>
      </c>
      <c r="G280" s="454" t="s">
        <v>595</v>
      </c>
      <c r="H280" s="453" t="s">
        <v>1983</v>
      </c>
      <c r="I280" s="455" t="s">
        <v>2338</v>
      </c>
      <c r="J280" s="453" t="s">
        <v>581</v>
      </c>
      <c r="K280" s="453" t="s">
        <v>2333</v>
      </c>
      <c r="L280" s="456" t="s">
        <v>1766</v>
      </c>
      <c r="M280" s="457">
        <v>46028</v>
      </c>
      <c r="N280" s="457">
        <v>46028</v>
      </c>
      <c r="O280" s="457">
        <v>46028</v>
      </c>
      <c r="P280" s="452" t="s">
        <v>214</v>
      </c>
      <c r="Q280" s="519">
        <v>3.5</v>
      </c>
      <c r="R280" s="467">
        <v>0</v>
      </c>
      <c r="S280" s="467">
        <v>0</v>
      </c>
      <c r="T280" s="1004">
        <f>SUM(mJAN[[#This Row],[PRINCIPAL]:[JUROS]])</f>
        <v>3.5</v>
      </c>
    </row>
    <row r="281" spans="2:20" ht="21" customHeight="1">
      <c r="B281" s="5" t="str">
        <f t="shared" si="4"/>
        <v>1/26</v>
      </c>
      <c r="C281" s="5" t="str">
        <f>VLOOKUP(mJAN[[#This Row],[CÓDIGO CONTABIL]],Contas_Gerencial[#All],3,FALSE)</f>
        <v>DESPESAS BANCÁRIAS</v>
      </c>
      <c r="D281" s="5" t="str">
        <f>VLOOKUP(mJAN[[#This Row],[DESCRIÇÃO CONTABIL]],Contas_Gerencial[[#All],[DESCRIÇÃO DA CONTA - NÃO UTILIZAR]:[Código2]],2,FALSE)</f>
        <v>20.01.017</v>
      </c>
      <c r="E281" s="454" t="s">
        <v>115</v>
      </c>
      <c r="F281" s="453" t="s">
        <v>581</v>
      </c>
      <c r="G281" s="454" t="s">
        <v>595</v>
      </c>
      <c r="H281" s="453" t="s">
        <v>1983</v>
      </c>
      <c r="I281" s="455" t="s">
        <v>2339</v>
      </c>
      <c r="J281" s="453" t="s">
        <v>581</v>
      </c>
      <c r="K281" s="453" t="s">
        <v>2333</v>
      </c>
      <c r="L281" s="456" t="s">
        <v>1766</v>
      </c>
      <c r="M281" s="457">
        <v>46028</v>
      </c>
      <c r="N281" s="457">
        <v>46028</v>
      </c>
      <c r="O281" s="457">
        <v>46028</v>
      </c>
      <c r="P281" s="452" t="s">
        <v>214</v>
      </c>
      <c r="Q281" s="519">
        <v>7</v>
      </c>
      <c r="R281" s="467">
        <v>0</v>
      </c>
      <c r="S281" s="467">
        <v>0</v>
      </c>
      <c r="T281" s="1004">
        <f>SUM(mJAN[[#This Row],[PRINCIPAL]:[JUROS]])</f>
        <v>7</v>
      </c>
    </row>
    <row r="282" spans="2:20" ht="21" customHeight="1">
      <c r="B282" s="5" t="str">
        <f t="shared" si="4"/>
        <v>1/26</v>
      </c>
      <c r="C282" s="5" t="str">
        <f>VLOOKUP(mJAN[[#This Row],[CÓDIGO CONTABIL]],Contas_Gerencial[#All],3,FALSE)</f>
        <v>DESPESAS BANCÁRIAS</v>
      </c>
      <c r="D282" s="5" t="str">
        <f>VLOOKUP(mJAN[[#This Row],[DESCRIÇÃO CONTABIL]],Contas_Gerencial[[#All],[DESCRIÇÃO DA CONTA - NÃO UTILIZAR]:[Código2]],2,FALSE)</f>
        <v>20.01.017</v>
      </c>
      <c r="E282" s="454" t="s">
        <v>115</v>
      </c>
      <c r="F282" s="453" t="s">
        <v>581</v>
      </c>
      <c r="G282" s="454" t="s">
        <v>595</v>
      </c>
      <c r="H282" s="453" t="s">
        <v>1983</v>
      </c>
      <c r="I282" s="455" t="s">
        <v>2340</v>
      </c>
      <c r="J282" s="453" t="s">
        <v>581</v>
      </c>
      <c r="K282" s="453" t="s">
        <v>2333</v>
      </c>
      <c r="L282" s="456" t="s">
        <v>1766</v>
      </c>
      <c r="M282" s="457">
        <v>46028</v>
      </c>
      <c r="N282" s="457">
        <v>46028</v>
      </c>
      <c r="O282" s="457">
        <v>46028</v>
      </c>
      <c r="P282" s="452" t="s">
        <v>214</v>
      </c>
      <c r="Q282" s="519">
        <v>3.5</v>
      </c>
      <c r="R282" s="467">
        <v>0</v>
      </c>
      <c r="S282" s="467">
        <v>0</v>
      </c>
      <c r="T282" s="1004">
        <f>SUM(mJAN[[#This Row],[PRINCIPAL]:[JUROS]])</f>
        <v>3.5</v>
      </c>
    </row>
    <row r="283" spans="2:20" ht="21" customHeight="1">
      <c r="B283" s="5" t="str">
        <f t="shared" si="4"/>
        <v>1/26</v>
      </c>
      <c r="C283" s="5" t="str">
        <f>VLOOKUP(mJAN[[#This Row],[CÓDIGO CONTABIL]],Contas_Gerencial[#All],3,FALSE)</f>
        <v>DESPESAS BANCÁRIAS</v>
      </c>
      <c r="D283" s="5" t="str">
        <f>VLOOKUP(mJAN[[#This Row],[DESCRIÇÃO CONTABIL]],Contas_Gerencial[[#All],[DESCRIÇÃO DA CONTA - NÃO UTILIZAR]:[Código2]],2,FALSE)</f>
        <v>20.01.017</v>
      </c>
      <c r="E283" s="454" t="s">
        <v>115</v>
      </c>
      <c r="F283" s="453" t="s">
        <v>581</v>
      </c>
      <c r="G283" s="454" t="s">
        <v>595</v>
      </c>
      <c r="H283" s="453" t="s">
        <v>1983</v>
      </c>
      <c r="I283" s="455" t="s">
        <v>2341</v>
      </c>
      <c r="J283" s="453" t="s">
        <v>581</v>
      </c>
      <c r="K283" s="453" t="s">
        <v>2333</v>
      </c>
      <c r="L283" s="456" t="s">
        <v>1766</v>
      </c>
      <c r="M283" s="457">
        <v>46028</v>
      </c>
      <c r="N283" s="457">
        <v>46028</v>
      </c>
      <c r="O283" s="457">
        <v>46028</v>
      </c>
      <c r="P283" s="452" t="s">
        <v>214</v>
      </c>
      <c r="Q283" s="519">
        <v>10.5</v>
      </c>
      <c r="R283" s="467">
        <v>0</v>
      </c>
      <c r="S283" s="467">
        <v>0</v>
      </c>
      <c r="T283" s="1004">
        <f>SUM(mJAN[[#This Row],[PRINCIPAL]:[JUROS]])</f>
        <v>10.5</v>
      </c>
    </row>
    <row r="284" spans="2:20" ht="21" customHeight="1">
      <c r="B284" s="5" t="str">
        <f t="shared" si="4"/>
        <v>1/26</v>
      </c>
      <c r="C284" s="5" t="str">
        <f>VLOOKUP(mJAN[[#This Row],[CÓDIGO CONTABIL]],Contas_Gerencial[#All],3,FALSE)</f>
        <v>DESPESAS BANCÁRIAS</v>
      </c>
      <c r="D284" s="5" t="str">
        <f>VLOOKUP(mJAN[[#This Row],[DESCRIÇÃO CONTABIL]],Contas_Gerencial[[#All],[DESCRIÇÃO DA CONTA - NÃO UTILIZAR]:[Código2]],2,FALSE)</f>
        <v>20.01.017</v>
      </c>
      <c r="E284" s="454" t="s">
        <v>115</v>
      </c>
      <c r="F284" s="453" t="s">
        <v>581</v>
      </c>
      <c r="G284" s="454" t="s">
        <v>595</v>
      </c>
      <c r="H284" s="453" t="s">
        <v>1983</v>
      </c>
      <c r="I284" s="455" t="s">
        <v>2342</v>
      </c>
      <c r="J284" s="453" t="s">
        <v>581</v>
      </c>
      <c r="K284" s="453" t="s">
        <v>2333</v>
      </c>
      <c r="L284" s="456" t="s">
        <v>1766</v>
      </c>
      <c r="M284" s="457">
        <v>46028</v>
      </c>
      <c r="N284" s="457">
        <v>46028</v>
      </c>
      <c r="O284" s="457">
        <v>46028</v>
      </c>
      <c r="P284" s="452" t="s">
        <v>214</v>
      </c>
      <c r="Q284" s="519">
        <v>3.5</v>
      </c>
      <c r="R284" s="467">
        <v>0</v>
      </c>
      <c r="S284" s="467">
        <v>0</v>
      </c>
      <c r="T284" s="1004">
        <f>SUM(mJAN[[#This Row],[PRINCIPAL]:[JUROS]])</f>
        <v>3.5</v>
      </c>
    </row>
    <row r="285" spans="2:20" ht="21" customHeight="1">
      <c r="B285" s="5" t="str">
        <f t="shared" si="4"/>
        <v>1/26</v>
      </c>
      <c r="C285" s="5" t="str">
        <f>VLOOKUP(mJAN[[#This Row],[CÓDIGO CONTABIL]],Contas_Gerencial[#All],3,FALSE)</f>
        <v>DESPESAS BANCÁRIAS</v>
      </c>
      <c r="D285" s="5" t="str">
        <f>VLOOKUP(mJAN[[#This Row],[DESCRIÇÃO CONTABIL]],Contas_Gerencial[[#All],[DESCRIÇÃO DA CONTA - NÃO UTILIZAR]:[Código2]],2,FALSE)</f>
        <v>20.01.017</v>
      </c>
      <c r="E285" s="454" t="s">
        <v>115</v>
      </c>
      <c r="F285" s="453" t="s">
        <v>581</v>
      </c>
      <c r="G285" s="454" t="s">
        <v>595</v>
      </c>
      <c r="H285" s="453" t="s">
        <v>1983</v>
      </c>
      <c r="I285" s="455" t="s">
        <v>2343</v>
      </c>
      <c r="J285" s="453" t="s">
        <v>581</v>
      </c>
      <c r="K285" s="453" t="s">
        <v>2333</v>
      </c>
      <c r="L285" s="456" t="s">
        <v>1766</v>
      </c>
      <c r="M285" s="457">
        <v>46028</v>
      </c>
      <c r="N285" s="457">
        <v>46028</v>
      </c>
      <c r="O285" s="457">
        <v>46028</v>
      </c>
      <c r="P285" s="452" t="s">
        <v>214</v>
      </c>
      <c r="Q285" s="519">
        <v>3.5</v>
      </c>
      <c r="R285" s="467">
        <v>0</v>
      </c>
      <c r="S285" s="467">
        <v>0</v>
      </c>
      <c r="T285" s="1004">
        <f>SUM(mJAN[[#This Row],[PRINCIPAL]:[JUROS]])</f>
        <v>3.5</v>
      </c>
    </row>
    <row r="286" spans="2:20" ht="21" customHeight="1">
      <c r="B286" s="5" t="str">
        <f t="shared" si="4"/>
        <v>1/26</v>
      </c>
      <c r="C286" s="5" t="str">
        <f>VLOOKUP(mJAN[[#This Row],[CÓDIGO CONTABIL]],Contas_Gerencial[#All],3,FALSE)</f>
        <v>DESPESAS BANCÁRIAS</v>
      </c>
      <c r="D286" s="5" t="str">
        <f>VLOOKUP(mJAN[[#This Row],[DESCRIÇÃO CONTABIL]],Contas_Gerencial[[#All],[DESCRIÇÃO DA CONTA - NÃO UTILIZAR]:[Código2]],2,FALSE)</f>
        <v>20.01.017</v>
      </c>
      <c r="E286" s="454" t="s">
        <v>115</v>
      </c>
      <c r="F286" s="453" t="s">
        <v>581</v>
      </c>
      <c r="G286" s="454" t="s">
        <v>595</v>
      </c>
      <c r="H286" s="453" t="s">
        <v>1983</v>
      </c>
      <c r="I286" s="455" t="s">
        <v>2344</v>
      </c>
      <c r="J286" s="453" t="s">
        <v>581</v>
      </c>
      <c r="K286" s="453" t="s">
        <v>2333</v>
      </c>
      <c r="L286" s="456" t="s">
        <v>1766</v>
      </c>
      <c r="M286" s="457">
        <v>46029</v>
      </c>
      <c r="N286" s="457">
        <v>46029</v>
      </c>
      <c r="O286" s="457">
        <v>46029</v>
      </c>
      <c r="P286" s="452" t="s">
        <v>214</v>
      </c>
      <c r="Q286" s="519">
        <v>3.5</v>
      </c>
      <c r="R286" s="467">
        <v>0</v>
      </c>
      <c r="S286" s="467">
        <v>0</v>
      </c>
      <c r="T286" s="1004">
        <f>SUM(mJAN[[#This Row],[PRINCIPAL]:[JUROS]])</f>
        <v>3.5</v>
      </c>
    </row>
    <row r="287" spans="2:20" ht="21" customHeight="1">
      <c r="B287" s="5" t="str">
        <f t="shared" si="4"/>
        <v>1/26</v>
      </c>
      <c r="C287" s="5" t="str">
        <f>VLOOKUP(mJAN[[#This Row],[CÓDIGO CONTABIL]],Contas_Gerencial[#All],3,FALSE)</f>
        <v>DESPESAS BANCÁRIAS</v>
      </c>
      <c r="D287" s="5" t="str">
        <f>VLOOKUP(mJAN[[#This Row],[DESCRIÇÃO CONTABIL]],Contas_Gerencial[[#All],[DESCRIÇÃO DA CONTA - NÃO UTILIZAR]:[Código2]],2,FALSE)</f>
        <v>20.01.017</v>
      </c>
      <c r="E287" s="454" t="s">
        <v>115</v>
      </c>
      <c r="F287" s="453" t="s">
        <v>581</v>
      </c>
      <c r="G287" s="454" t="s">
        <v>595</v>
      </c>
      <c r="H287" s="453" t="s">
        <v>1983</v>
      </c>
      <c r="I287" s="455" t="s">
        <v>2345</v>
      </c>
      <c r="J287" s="453" t="s">
        <v>581</v>
      </c>
      <c r="K287" s="453" t="s">
        <v>2333</v>
      </c>
      <c r="L287" s="456" t="s">
        <v>1766</v>
      </c>
      <c r="M287" s="457">
        <v>46029</v>
      </c>
      <c r="N287" s="457">
        <v>46029</v>
      </c>
      <c r="O287" s="457">
        <v>46029</v>
      </c>
      <c r="P287" s="452" t="s">
        <v>214</v>
      </c>
      <c r="Q287" s="519">
        <v>7</v>
      </c>
      <c r="R287" s="467">
        <v>0</v>
      </c>
      <c r="S287" s="467">
        <v>0</v>
      </c>
      <c r="T287" s="1004">
        <f>SUM(mJAN[[#This Row],[PRINCIPAL]:[JUROS]])</f>
        <v>7</v>
      </c>
    </row>
    <row r="288" spans="2:20" ht="21" customHeight="1">
      <c r="B288" s="5" t="str">
        <f t="shared" si="4"/>
        <v>1/26</v>
      </c>
      <c r="C288" s="5" t="str">
        <f>VLOOKUP(mJAN[[#This Row],[CÓDIGO CONTABIL]],Contas_Gerencial[#All],3,FALSE)</f>
        <v>DESPESAS BANCÁRIAS</v>
      </c>
      <c r="D288" s="5" t="str">
        <f>VLOOKUP(mJAN[[#This Row],[DESCRIÇÃO CONTABIL]],Contas_Gerencial[[#All],[DESCRIÇÃO DA CONTA - NÃO UTILIZAR]:[Código2]],2,FALSE)</f>
        <v>20.01.017</v>
      </c>
      <c r="E288" s="454" t="s">
        <v>115</v>
      </c>
      <c r="F288" s="453" t="s">
        <v>581</v>
      </c>
      <c r="G288" s="454" t="s">
        <v>595</v>
      </c>
      <c r="H288" s="453" t="s">
        <v>1983</v>
      </c>
      <c r="I288" s="455" t="s">
        <v>2346</v>
      </c>
      <c r="J288" s="453" t="s">
        <v>581</v>
      </c>
      <c r="K288" s="453" t="s">
        <v>2333</v>
      </c>
      <c r="L288" s="456" t="s">
        <v>1766</v>
      </c>
      <c r="M288" s="457">
        <v>46029</v>
      </c>
      <c r="N288" s="457">
        <v>46029</v>
      </c>
      <c r="O288" s="457">
        <v>46029</v>
      </c>
      <c r="P288" s="452" t="s">
        <v>214</v>
      </c>
      <c r="Q288" s="519">
        <v>3.5</v>
      </c>
      <c r="R288" s="467">
        <v>0</v>
      </c>
      <c r="S288" s="467">
        <v>0</v>
      </c>
      <c r="T288" s="1004">
        <f>SUM(mJAN[[#This Row],[PRINCIPAL]:[JUROS]])</f>
        <v>3.5</v>
      </c>
    </row>
    <row r="289" spans="2:20" ht="21" customHeight="1">
      <c r="B289" s="5" t="str">
        <f t="shared" si="4"/>
        <v>1/26</v>
      </c>
      <c r="C289" s="5" t="str">
        <f>VLOOKUP(mJAN[[#This Row],[CÓDIGO CONTABIL]],Contas_Gerencial[#All],3,FALSE)</f>
        <v>DESPESAS BANCÁRIAS</v>
      </c>
      <c r="D289" s="5" t="str">
        <f>VLOOKUP(mJAN[[#This Row],[DESCRIÇÃO CONTABIL]],Contas_Gerencial[[#All],[DESCRIÇÃO DA CONTA - NÃO UTILIZAR]:[Código2]],2,FALSE)</f>
        <v>20.01.017</v>
      </c>
      <c r="E289" s="454" t="s">
        <v>115</v>
      </c>
      <c r="F289" s="453" t="s">
        <v>581</v>
      </c>
      <c r="G289" s="454" t="s">
        <v>595</v>
      </c>
      <c r="H289" s="453" t="s">
        <v>1983</v>
      </c>
      <c r="I289" s="455" t="s">
        <v>2347</v>
      </c>
      <c r="J289" s="453" t="s">
        <v>581</v>
      </c>
      <c r="K289" s="453" t="s">
        <v>2333</v>
      </c>
      <c r="L289" s="456" t="s">
        <v>1766</v>
      </c>
      <c r="M289" s="457">
        <v>46029</v>
      </c>
      <c r="N289" s="457">
        <v>46029</v>
      </c>
      <c r="O289" s="457">
        <v>46029</v>
      </c>
      <c r="P289" s="452" t="s">
        <v>214</v>
      </c>
      <c r="Q289" s="519">
        <v>3.5</v>
      </c>
      <c r="R289" s="467">
        <v>0</v>
      </c>
      <c r="S289" s="467">
        <v>0</v>
      </c>
      <c r="T289" s="1004">
        <f>SUM(mJAN[[#This Row],[PRINCIPAL]:[JUROS]])</f>
        <v>3.5</v>
      </c>
    </row>
    <row r="290" spans="2:20" ht="21" customHeight="1">
      <c r="B290" s="5" t="str">
        <f t="shared" si="4"/>
        <v>1/26</v>
      </c>
      <c r="C290" s="5" t="str">
        <f>VLOOKUP(mJAN[[#This Row],[CÓDIGO CONTABIL]],Contas_Gerencial[#All],3,FALSE)</f>
        <v>DESPESAS BANCÁRIAS</v>
      </c>
      <c r="D290" s="5" t="str">
        <f>VLOOKUP(mJAN[[#This Row],[DESCRIÇÃO CONTABIL]],Contas_Gerencial[[#All],[DESCRIÇÃO DA CONTA - NÃO UTILIZAR]:[Código2]],2,FALSE)</f>
        <v>20.01.017</v>
      </c>
      <c r="E290" s="454" t="s">
        <v>115</v>
      </c>
      <c r="F290" s="453" t="s">
        <v>581</v>
      </c>
      <c r="G290" s="454" t="s">
        <v>595</v>
      </c>
      <c r="H290" s="453" t="s">
        <v>1983</v>
      </c>
      <c r="I290" s="455" t="s">
        <v>2348</v>
      </c>
      <c r="J290" s="453" t="s">
        <v>581</v>
      </c>
      <c r="K290" s="453" t="s">
        <v>2333</v>
      </c>
      <c r="L290" s="456" t="s">
        <v>1766</v>
      </c>
      <c r="M290" s="457">
        <v>46029</v>
      </c>
      <c r="N290" s="457">
        <v>46029</v>
      </c>
      <c r="O290" s="457">
        <v>46029</v>
      </c>
      <c r="P290" s="452" t="s">
        <v>214</v>
      </c>
      <c r="Q290" s="519">
        <v>7</v>
      </c>
      <c r="R290" s="467">
        <v>0</v>
      </c>
      <c r="S290" s="467">
        <v>0</v>
      </c>
      <c r="T290" s="1004">
        <f>SUM(mJAN[[#This Row],[PRINCIPAL]:[JUROS]])</f>
        <v>7</v>
      </c>
    </row>
    <row r="291" spans="2:20" ht="21" customHeight="1">
      <c r="B291" s="5" t="str">
        <f t="shared" si="4"/>
        <v>1/26</v>
      </c>
      <c r="C291" s="5" t="str">
        <f>VLOOKUP(mJAN[[#This Row],[CÓDIGO CONTABIL]],Contas_Gerencial[#All],3,FALSE)</f>
        <v>DESPESAS BANCÁRIAS</v>
      </c>
      <c r="D291" s="5" t="str">
        <f>VLOOKUP(mJAN[[#This Row],[DESCRIÇÃO CONTABIL]],Contas_Gerencial[[#All],[DESCRIÇÃO DA CONTA - NÃO UTILIZAR]:[Código2]],2,FALSE)</f>
        <v>20.01.032</v>
      </c>
      <c r="E291" s="453" t="s">
        <v>84</v>
      </c>
      <c r="F291" s="453" t="s">
        <v>581</v>
      </c>
      <c r="G291" s="454" t="s">
        <v>595</v>
      </c>
      <c r="H291" s="453" t="s">
        <v>1983</v>
      </c>
      <c r="I291" s="455" t="s">
        <v>2349</v>
      </c>
      <c r="J291" s="453" t="s">
        <v>581</v>
      </c>
      <c r="K291" s="453" t="s">
        <v>2318</v>
      </c>
      <c r="L291" s="456" t="s">
        <v>1766</v>
      </c>
      <c r="M291" s="457">
        <v>46034</v>
      </c>
      <c r="N291" s="457">
        <v>46034</v>
      </c>
      <c r="O291" s="457">
        <v>46034</v>
      </c>
      <c r="P291" s="452" t="s">
        <v>214</v>
      </c>
      <c r="Q291" s="519">
        <v>81.400000000000006</v>
      </c>
      <c r="R291" s="467">
        <v>0</v>
      </c>
      <c r="S291" s="467">
        <v>0</v>
      </c>
      <c r="T291" s="1004">
        <f>SUM(mJAN[[#This Row],[PRINCIPAL]:[JUROS]])</f>
        <v>81.400000000000006</v>
      </c>
    </row>
    <row r="292" spans="2:20" ht="21" customHeight="1">
      <c r="B292" s="5" t="str">
        <f t="shared" si="4"/>
        <v>1/26</v>
      </c>
      <c r="C292" s="5" t="str">
        <f>VLOOKUP(mJAN[[#This Row],[CÓDIGO CONTABIL]],Contas_Gerencial[#All],3,FALSE)</f>
        <v>DESPESAS BANCÁRIAS</v>
      </c>
      <c r="D292" s="5" t="str">
        <f>VLOOKUP(mJAN[[#This Row],[DESCRIÇÃO CONTABIL]],Contas_Gerencial[[#All],[DESCRIÇÃO DA CONTA - NÃO UTILIZAR]:[Código2]],2,FALSE)</f>
        <v>20.01.023</v>
      </c>
      <c r="E292" s="454" t="s">
        <v>435</v>
      </c>
      <c r="F292" s="453" t="s">
        <v>581</v>
      </c>
      <c r="G292" s="454" t="s">
        <v>595</v>
      </c>
      <c r="H292" s="453" t="s">
        <v>1983</v>
      </c>
      <c r="I292" s="455" t="s">
        <v>2350</v>
      </c>
      <c r="J292" s="453" t="s">
        <v>581</v>
      </c>
      <c r="K292" s="453" t="s">
        <v>2356</v>
      </c>
      <c r="L292" s="456" t="s">
        <v>1766</v>
      </c>
      <c r="M292" s="457">
        <v>46042</v>
      </c>
      <c r="N292" s="457">
        <v>46042</v>
      </c>
      <c r="O292" s="457">
        <v>46042</v>
      </c>
      <c r="P292" s="452" t="s">
        <v>214</v>
      </c>
      <c r="Q292" s="519">
        <v>35</v>
      </c>
      <c r="R292" s="467">
        <v>0</v>
      </c>
      <c r="S292" s="467">
        <v>0</v>
      </c>
      <c r="T292" s="1004">
        <f>SUM(mJAN[[#This Row],[PRINCIPAL]:[JUROS]])</f>
        <v>35</v>
      </c>
    </row>
    <row r="293" spans="2:20" ht="21" customHeight="1">
      <c r="B293" s="5" t="str">
        <f t="shared" si="4"/>
        <v>1/26</v>
      </c>
      <c r="C293" s="5" t="str">
        <f>VLOOKUP(mJAN[[#This Row],[CÓDIGO CONTABIL]],Contas_Gerencial[#All],3,FALSE)</f>
        <v>DESPESAS BANCÁRIAS</v>
      </c>
      <c r="D293" s="5" t="str">
        <f>VLOOKUP(mJAN[[#This Row],[DESCRIÇÃO CONTABIL]],Contas_Gerencial[[#All],[DESCRIÇÃO DA CONTA - NÃO UTILIZAR]:[Código2]],2,FALSE)</f>
        <v>20.01.017</v>
      </c>
      <c r="E293" s="454" t="s">
        <v>115</v>
      </c>
      <c r="F293" s="453" t="s">
        <v>581</v>
      </c>
      <c r="G293" s="454" t="s">
        <v>595</v>
      </c>
      <c r="H293" s="453" t="s">
        <v>1983</v>
      </c>
      <c r="I293" s="455" t="s">
        <v>2351</v>
      </c>
      <c r="J293" s="453" t="s">
        <v>581</v>
      </c>
      <c r="K293" s="453" t="s">
        <v>2333</v>
      </c>
      <c r="L293" s="456" t="s">
        <v>1766</v>
      </c>
      <c r="M293" s="457">
        <v>46042</v>
      </c>
      <c r="N293" s="457">
        <v>46042</v>
      </c>
      <c r="O293" s="457">
        <v>46042</v>
      </c>
      <c r="P293" s="452" t="s">
        <v>214</v>
      </c>
      <c r="Q293" s="519">
        <v>84</v>
      </c>
      <c r="R293" s="467">
        <v>0</v>
      </c>
      <c r="S293" s="467">
        <v>0</v>
      </c>
      <c r="T293" s="1004">
        <f>SUM(mJAN[[#This Row],[PRINCIPAL]:[JUROS]])</f>
        <v>84</v>
      </c>
    </row>
    <row r="294" spans="2:20" ht="21" customHeight="1">
      <c r="B294" s="5" t="str">
        <f t="shared" si="4"/>
        <v>1/26</v>
      </c>
      <c r="C294" s="5" t="str">
        <f>VLOOKUP(mJAN[[#This Row],[CÓDIGO CONTABIL]],Contas_Gerencial[#All],3,FALSE)</f>
        <v>DESPESAS BANCÁRIAS</v>
      </c>
      <c r="D294" s="5" t="str">
        <f>VLOOKUP(mJAN[[#This Row],[DESCRIÇÃO CONTABIL]],Contas_Gerencial[[#All],[DESCRIÇÃO DA CONTA - NÃO UTILIZAR]:[Código2]],2,FALSE)</f>
        <v>20.01.017</v>
      </c>
      <c r="E294" s="454" t="s">
        <v>115</v>
      </c>
      <c r="F294" s="453" t="s">
        <v>581</v>
      </c>
      <c r="G294" s="454" t="s">
        <v>595</v>
      </c>
      <c r="H294" s="453" t="s">
        <v>1983</v>
      </c>
      <c r="I294" s="455" t="s">
        <v>2352</v>
      </c>
      <c r="J294" s="453" t="s">
        <v>581</v>
      </c>
      <c r="K294" s="453" t="s">
        <v>2333</v>
      </c>
      <c r="L294" s="456" t="s">
        <v>1766</v>
      </c>
      <c r="M294" s="457">
        <v>46042</v>
      </c>
      <c r="N294" s="457">
        <v>46042</v>
      </c>
      <c r="O294" s="457">
        <v>46042</v>
      </c>
      <c r="P294" s="452" t="s">
        <v>214</v>
      </c>
      <c r="Q294" s="519">
        <v>45.5</v>
      </c>
      <c r="R294" s="467">
        <v>0</v>
      </c>
      <c r="S294" s="467">
        <v>0</v>
      </c>
      <c r="T294" s="1004">
        <f>SUM(mJAN[[#This Row],[PRINCIPAL]:[JUROS]])</f>
        <v>45.5</v>
      </c>
    </row>
    <row r="295" spans="2:20" ht="21" customHeight="1">
      <c r="B295" s="5" t="str">
        <f t="shared" si="4"/>
        <v>1/26</v>
      </c>
      <c r="C295" s="5" t="str">
        <f>VLOOKUP(mJAN[[#This Row],[CÓDIGO CONTABIL]],Contas_Gerencial[#All],3,FALSE)</f>
        <v>DESPESAS BANCÁRIAS</v>
      </c>
      <c r="D295" s="5" t="str">
        <f>VLOOKUP(mJAN[[#This Row],[DESCRIÇÃO CONTABIL]],Contas_Gerencial[[#All],[DESCRIÇÃO DA CONTA - NÃO UTILIZAR]:[Código2]],2,FALSE)</f>
        <v>20.01.017</v>
      </c>
      <c r="E295" s="454" t="s">
        <v>115</v>
      </c>
      <c r="F295" s="453" t="s">
        <v>581</v>
      </c>
      <c r="G295" s="454" t="s">
        <v>595</v>
      </c>
      <c r="H295" s="453" t="s">
        <v>1983</v>
      </c>
      <c r="I295" s="455" t="s">
        <v>2353</v>
      </c>
      <c r="J295" s="453" t="s">
        <v>581</v>
      </c>
      <c r="K295" s="453" t="s">
        <v>2333</v>
      </c>
      <c r="L295" s="456" t="s">
        <v>1766</v>
      </c>
      <c r="M295" s="457">
        <v>46049</v>
      </c>
      <c r="N295" s="457">
        <v>46049</v>
      </c>
      <c r="O295" s="457">
        <v>46049</v>
      </c>
      <c r="P295" s="452" t="s">
        <v>214</v>
      </c>
      <c r="Q295" s="519">
        <v>3.5</v>
      </c>
      <c r="R295" s="467">
        <v>0</v>
      </c>
      <c r="S295" s="467">
        <v>0</v>
      </c>
      <c r="T295" s="1004">
        <f>SUM(mJAN[[#This Row],[PRINCIPAL]:[JUROS]])</f>
        <v>3.5</v>
      </c>
    </row>
    <row r="296" spans="2:20" ht="21" customHeight="1">
      <c r="B296" s="5" t="str">
        <f t="shared" si="4"/>
        <v>1/26</v>
      </c>
      <c r="C296" s="5" t="str">
        <f>VLOOKUP(mJAN[[#This Row],[CÓDIGO CONTABIL]],Contas_Gerencial[#All],3,FALSE)</f>
        <v>DESPESAS FIXAS</v>
      </c>
      <c r="D296" s="5" t="str">
        <f>VLOOKUP(mJAN[[#This Row],[DESCRIÇÃO CONTABIL]],Contas_Gerencial[[#All],[DESCRIÇÃO DA CONTA - NÃO UTILIZAR]:[Código2]],2,FALSE)</f>
        <v>20.02.008</v>
      </c>
      <c r="E296" s="454" t="s">
        <v>343</v>
      </c>
      <c r="F296" s="453" t="s">
        <v>581</v>
      </c>
      <c r="G296" s="454" t="s">
        <v>595</v>
      </c>
      <c r="H296" s="453" t="s">
        <v>1983</v>
      </c>
      <c r="I296" s="455" t="s">
        <v>2354</v>
      </c>
      <c r="J296" s="453" t="s">
        <v>581</v>
      </c>
      <c r="K296" s="453" t="s">
        <v>2357</v>
      </c>
      <c r="L296" s="456" t="s">
        <v>1766</v>
      </c>
      <c r="M296" s="457">
        <v>46052</v>
      </c>
      <c r="N296" s="457">
        <v>46052</v>
      </c>
      <c r="O296" s="457">
        <v>46052</v>
      </c>
      <c r="P296" s="452" t="s">
        <v>214</v>
      </c>
      <c r="Q296" s="519">
        <v>28.86</v>
      </c>
      <c r="R296" s="467">
        <v>0</v>
      </c>
      <c r="S296" s="467">
        <v>0</v>
      </c>
      <c r="T296" s="1004">
        <f>SUM(mJAN[[#This Row],[PRINCIPAL]:[JUROS]])</f>
        <v>28.86</v>
      </c>
    </row>
    <row r="297" spans="2:20" ht="21" customHeight="1">
      <c r="B297" s="5" t="str">
        <f t="shared" si="4"/>
        <v>1/26</v>
      </c>
      <c r="C297" s="5" t="str">
        <f>VLOOKUP(mJAN[[#This Row],[CÓDIGO CONTABIL]],Contas_Gerencial[#All],3,FALSE)</f>
        <v>DESPESAS GERAIS</v>
      </c>
      <c r="D297" s="5" t="str">
        <f>VLOOKUP(mJAN[[#This Row],[DESCRIÇÃO CONTABIL]],Contas_Gerencial[[#All],[DESCRIÇÃO DA CONTA - NÃO UTILIZAR]:[Código2]],2,FALSE)</f>
        <v>20.03.001</v>
      </c>
      <c r="E297" s="454" t="s">
        <v>50</v>
      </c>
      <c r="F297" s="453" t="s">
        <v>581</v>
      </c>
      <c r="G297" s="454" t="s">
        <v>595</v>
      </c>
      <c r="H297" s="453" t="s">
        <v>1983</v>
      </c>
      <c r="I297" s="455" t="s">
        <v>2355</v>
      </c>
      <c r="J297" s="453" t="s">
        <v>581</v>
      </c>
      <c r="K297" s="453" t="s">
        <v>2358</v>
      </c>
      <c r="L297" s="456" t="s">
        <v>1766</v>
      </c>
      <c r="M297" s="457">
        <v>46052</v>
      </c>
      <c r="N297" s="457">
        <v>46052</v>
      </c>
      <c r="O297" s="457">
        <v>46052</v>
      </c>
      <c r="P297" s="452" t="s">
        <v>214</v>
      </c>
      <c r="Q297" s="519">
        <v>90</v>
      </c>
      <c r="R297" s="467">
        <v>0</v>
      </c>
      <c r="S297" s="467">
        <v>0</v>
      </c>
      <c r="T297" s="1004">
        <f>SUM(mJAN[[#This Row],[PRINCIPAL]:[JUROS]])</f>
        <v>90</v>
      </c>
    </row>
    <row r="298" spans="2:20" ht="21" customHeight="1">
      <c r="B298" s="5" t="str">
        <f t="shared" si="4"/>
        <v>1/26</v>
      </c>
      <c r="C298" s="5" t="str">
        <f>VLOOKUP(mJAN[[#This Row],[CÓDIGO CONTABIL]],Contas_Gerencial[#All],3,FALSE)</f>
        <v>DESPESAS BANCÁRIAS</v>
      </c>
      <c r="D298" s="5" t="str">
        <f>VLOOKUP(mJAN[[#This Row],[DESCRIÇÃO CONTABIL]],Contas_Gerencial[[#All],[DESCRIÇÃO DA CONTA - NÃO UTILIZAR]:[Código2]],2,FALSE)</f>
        <v>20.01.003</v>
      </c>
      <c r="E298" s="453" t="s">
        <v>79</v>
      </c>
      <c r="F298" s="453" t="s">
        <v>581</v>
      </c>
      <c r="G298" s="454" t="s">
        <v>595</v>
      </c>
      <c r="H298" s="453" t="s">
        <v>1983</v>
      </c>
      <c r="I298" s="455" t="s">
        <v>2294</v>
      </c>
      <c r="J298" s="453" t="s">
        <v>581</v>
      </c>
      <c r="K298" s="453" t="s">
        <v>2320</v>
      </c>
      <c r="L298" s="456" t="s">
        <v>1766</v>
      </c>
      <c r="M298" s="457">
        <v>46052</v>
      </c>
      <c r="N298" s="457">
        <v>46052</v>
      </c>
      <c r="O298" s="457">
        <v>46052</v>
      </c>
      <c r="P298" s="452" t="s">
        <v>214</v>
      </c>
      <c r="Q298" s="519">
        <v>5.31</v>
      </c>
      <c r="R298" s="467">
        <v>0</v>
      </c>
      <c r="S298" s="467">
        <v>0</v>
      </c>
      <c r="T298" s="1004">
        <f>SUM(mJAN[[#This Row],[PRINCIPAL]:[JUROS]])</f>
        <v>5.31</v>
      </c>
    </row>
    <row r="299" spans="2:20" ht="21" customHeight="1">
      <c r="B299" s="5" t="str">
        <f t="shared" si="4"/>
        <v>1/26</v>
      </c>
      <c r="C299" s="1009" t="str">
        <f>VLOOKUP(mJAN[[#This Row],[CÓDIGO CONTABIL]],Contas_Gerencial[#All],3,FALSE)</f>
        <v>SINDICATO</v>
      </c>
      <c r="D299" s="1009" t="str">
        <f>VLOOKUP(mJAN[[#This Row],[DESCRIÇÃO CONTABIL]],Contas_Gerencial[[#All],[DESCRIÇÃO DA CONTA - NÃO UTILIZAR]:[Código2]],2,FALSE)</f>
        <v>20.05.025</v>
      </c>
      <c r="E299" s="452" t="s">
        <v>660</v>
      </c>
      <c r="F299" s="452" t="s">
        <v>41</v>
      </c>
      <c r="G299" s="452" t="s">
        <v>1767</v>
      </c>
      <c r="H299" s="452" t="s">
        <v>1803</v>
      </c>
      <c r="I299" s="455" t="s">
        <v>2199</v>
      </c>
      <c r="J299" s="452" t="s">
        <v>386</v>
      </c>
      <c r="K299" s="453" t="s">
        <v>1820</v>
      </c>
      <c r="L299" s="451" t="s">
        <v>2072</v>
      </c>
      <c r="M299" s="457">
        <v>46043</v>
      </c>
      <c r="N299" s="457">
        <v>46043</v>
      </c>
      <c r="O299" s="457">
        <v>46043</v>
      </c>
      <c r="P299" s="452" t="s">
        <v>214</v>
      </c>
      <c r="Q299" s="468">
        <v>21.47</v>
      </c>
      <c r="R299" s="467">
        <v>0</v>
      </c>
      <c r="S299" s="467">
        <v>0</v>
      </c>
      <c r="T299" s="1010">
        <f>SUM(mJAN[[#This Row],[PRINCIPAL]:[JUROS]])</f>
        <v>21.47</v>
      </c>
    </row>
    <row r="300" spans="2:20" ht="21" customHeight="1">
      <c r="B300" s="5" t="str">
        <f t="shared" si="4"/>
        <v>1/26</v>
      </c>
      <c r="C300" s="1009" t="str">
        <f>VLOOKUP(mJAN[[#This Row],[CÓDIGO CONTABIL]],Contas_Gerencial[#All],3,FALSE)</f>
        <v>SINDICATO</v>
      </c>
      <c r="D300" s="1009" t="str">
        <f>VLOOKUP(mJAN[[#This Row],[DESCRIÇÃO CONTABIL]],Contas_Gerencial[[#All],[DESCRIÇÃO DA CONTA - NÃO UTILIZAR]:[Código2]],2,FALSE)</f>
        <v>20.05.025</v>
      </c>
      <c r="E300" s="452" t="s">
        <v>660</v>
      </c>
      <c r="F300" s="452" t="s">
        <v>41</v>
      </c>
      <c r="G300" s="452" t="s">
        <v>1767</v>
      </c>
      <c r="H300" s="452" t="s">
        <v>1803</v>
      </c>
      <c r="I300" s="455" t="s">
        <v>2200</v>
      </c>
      <c r="J300" s="452" t="s">
        <v>386</v>
      </c>
      <c r="K300" s="453" t="s">
        <v>1820</v>
      </c>
      <c r="L300" s="451" t="s">
        <v>2104</v>
      </c>
      <c r="M300" s="457">
        <v>46043</v>
      </c>
      <c r="N300" s="457">
        <v>46043</v>
      </c>
      <c r="O300" s="457">
        <v>46043</v>
      </c>
      <c r="P300" s="452" t="s">
        <v>214</v>
      </c>
      <c r="Q300" s="468">
        <v>20.41</v>
      </c>
      <c r="R300" s="467">
        <v>0</v>
      </c>
      <c r="S300" s="467">
        <v>0</v>
      </c>
      <c r="T300" s="1010">
        <f>SUM(mJAN[[#This Row],[PRINCIPAL]:[JUROS]])</f>
        <v>20.41</v>
      </c>
    </row>
    <row r="301" spans="2:20" ht="21" customHeight="1">
      <c r="B301" s="5" t="str">
        <f t="shared" si="4"/>
        <v>1/26</v>
      </c>
      <c r="C301" s="981" t="str">
        <f>VLOOKUP(mJAN[[#This Row],[CÓDIGO CONTABIL]],Contas_Gerencial[#All],3,FALSE)</f>
        <v>BENEFICIO</v>
      </c>
      <c r="D301" s="981" t="str">
        <f>VLOOKUP(mJAN[[#This Row],[DESCRIÇÃO CONTABIL]],Contas_Gerencial[[#All],[DESCRIÇÃO DA CONTA - NÃO UTILIZAR]:[Código2]],2,FALSE)</f>
        <v>20.05.003</v>
      </c>
      <c r="E301" s="452" t="s">
        <v>47</v>
      </c>
      <c r="F301" s="452" t="s">
        <v>582</v>
      </c>
      <c r="G301" s="480" t="s">
        <v>653</v>
      </c>
      <c r="H301" s="452" t="s">
        <v>1803</v>
      </c>
      <c r="I301" s="481" t="s">
        <v>2189</v>
      </c>
      <c r="J301" s="453" t="s">
        <v>386</v>
      </c>
      <c r="K301" s="453" t="s">
        <v>1837</v>
      </c>
      <c r="L301" s="451" t="s">
        <v>2104</v>
      </c>
      <c r="M301" s="457">
        <v>46037</v>
      </c>
      <c r="N301" s="457">
        <v>46042</v>
      </c>
      <c r="O301" s="457">
        <v>46044</v>
      </c>
      <c r="P301" s="452" t="s">
        <v>214</v>
      </c>
      <c r="Q301" s="467">
        <v>40.92</v>
      </c>
      <c r="R301" s="467">
        <v>0</v>
      </c>
      <c r="S301" s="467">
        <v>0</v>
      </c>
      <c r="T301" s="982">
        <f>SUM(mJAN[[#This Row],[PRINCIPAL]:[JUROS]])</f>
        <v>40.92</v>
      </c>
    </row>
    <row r="302" spans="2:20" ht="21" customHeight="1">
      <c r="B302" s="5" t="str">
        <f t="shared" si="4"/>
        <v>1/26</v>
      </c>
      <c r="C302" s="981" t="str">
        <f>VLOOKUP(mJAN[[#This Row],[CÓDIGO CONTABIL]],Contas_Gerencial[#All],3,FALSE)</f>
        <v>BENEFICIO</v>
      </c>
      <c r="D302" s="981" t="str">
        <f>VLOOKUP(mJAN[[#This Row],[DESCRIÇÃO CONTABIL]],Contas_Gerencial[[#All],[DESCRIÇÃO DA CONTA - NÃO UTILIZAR]:[Código2]],2,FALSE)</f>
        <v>20.05.003</v>
      </c>
      <c r="E302" s="452" t="s">
        <v>47</v>
      </c>
      <c r="F302" s="452" t="s">
        <v>41</v>
      </c>
      <c r="G302" s="480" t="s">
        <v>1767</v>
      </c>
      <c r="H302" s="452" t="s">
        <v>1803</v>
      </c>
      <c r="I302" s="481" t="s">
        <v>2189</v>
      </c>
      <c r="J302" s="453" t="s">
        <v>386</v>
      </c>
      <c r="K302" s="453" t="s">
        <v>1816</v>
      </c>
      <c r="L302" s="451" t="s">
        <v>2104</v>
      </c>
      <c r="M302" s="457">
        <v>46037</v>
      </c>
      <c r="N302" s="457">
        <v>46042</v>
      </c>
      <c r="O302" s="457">
        <v>46044</v>
      </c>
      <c r="P302" s="452" t="s">
        <v>214</v>
      </c>
      <c r="Q302" s="467">
        <f>13.64*7</f>
        <v>95.48</v>
      </c>
      <c r="R302" s="467">
        <v>0</v>
      </c>
      <c r="S302" s="467">
        <v>0</v>
      </c>
      <c r="T302" s="982">
        <f>SUM(mJAN[[#This Row],[PRINCIPAL]:[JUROS]])</f>
        <v>95.48</v>
      </c>
    </row>
    <row r="303" spans="2:20" ht="21" customHeight="1">
      <c r="B303" s="5" t="str">
        <f t="shared" si="4"/>
        <v>1/26</v>
      </c>
      <c r="C303" s="981" t="str">
        <f>VLOOKUP(mJAN[[#This Row],[CÓDIGO CONTABIL]],Contas_Gerencial[#All],3,FALSE)</f>
        <v>BENEFICIO</v>
      </c>
      <c r="D303" s="981" t="str">
        <f>VLOOKUP(mJAN[[#This Row],[DESCRIÇÃO CONTABIL]],Contas_Gerencial[[#All],[DESCRIÇÃO DA CONTA - NÃO UTILIZAR]:[Código2]],2,FALSE)</f>
        <v>20.05.003</v>
      </c>
      <c r="E303" s="452" t="s">
        <v>47</v>
      </c>
      <c r="F303" s="452" t="s">
        <v>581</v>
      </c>
      <c r="G303" s="480" t="s">
        <v>595</v>
      </c>
      <c r="H303" s="452" t="s">
        <v>1803</v>
      </c>
      <c r="I303" s="481" t="s">
        <v>2189</v>
      </c>
      <c r="J303" s="453" t="s">
        <v>386</v>
      </c>
      <c r="K303" s="453" t="s">
        <v>1817</v>
      </c>
      <c r="L303" s="451" t="s">
        <v>2104</v>
      </c>
      <c r="M303" s="457">
        <v>46037</v>
      </c>
      <c r="N303" s="457">
        <v>46042</v>
      </c>
      <c r="O303" s="457">
        <v>46044</v>
      </c>
      <c r="P303" s="452" t="s">
        <v>214</v>
      </c>
      <c r="Q303" s="467">
        <v>27.28</v>
      </c>
      <c r="R303" s="467">
        <v>0</v>
      </c>
      <c r="S303" s="467">
        <v>0</v>
      </c>
      <c r="T303" s="982">
        <f>SUM(mJAN[[#This Row],[PRINCIPAL]:[JUROS]])</f>
        <v>27.28</v>
      </c>
    </row>
    <row r="304" spans="2:20" ht="21" customHeight="1">
      <c r="B304" s="5" t="str">
        <f t="shared" si="4"/>
        <v>1/26</v>
      </c>
      <c r="C304" s="1009" t="str">
        <f>VLOOKUP(mJAN[[#This Row],[CÓDIGO CONTABIL]],Contas_Gerencial[#All],3,FALSE)</f>
        <v>BENEFICIO</v>
      </c>
      <c r="D304" s="1009" t="str">
        <f>VLOOKUP(mJAN[[#This Row],[DESCRIÇÃO CONTABIL]],Contas_Gerencial[[#All],[DESCRIÇÃO DA CONTA - NÃO UTILIZAR]:[Código2]],2,FALSE)</f>
        <v>20.05.003</v>
      </c>
      <c r="E304" s="452" t="s">
        <v>47</v>
      </c>
      <c r="F304" s="452" t="s">
        <v>581</v>
      </c>
      <c r="G304" s="480" t="s">
        <v>49</v>
      </c>
      <c r="H304" s="452" t="s">
        <v>1803</v>
      </c>
      <c r="I304" s="481" t="s">
        <v>2189</v>
      </c>
      <c r="J304" s="453" t="s">
        <v>386</v>
      </c>
      <c r="K304" s="453" t="s">
        <v>2190</v>
      </c>
      <c r="L304" s="451" t="s">
        <v>2104</v>
      </c>
      <c r="M304" s="457">
        <v>46037</v>
      </c>
      <c r="N304" s="457">
        <v>46042</v>
      </c>
      <c r="O304" s="457">
        <v>46044</v>
      </c>
      <c r="P304" s="452" t="s">
        <v>214</v>
      </c>
      <c r="Q304" s="467">
        <v>54.56</v>
      </c>
      <c r="R304" s="467">
        <v>0</v>
      </c>
      <c r="S304" s="467">
        <v>0</v>
      </c>
      <c r="T304" s="1010">
        <f>SUM(mJAN[[#This Row],[PRINCIPAL]:[JUROS]])</f>
        <v>54.56</v>
      </c>
    </row>
    <row r="305" spans="2:25" ht="21" customHeight="1">
      <c r="B305" s="5" t="str">
        <f t="shared" si="4"/>
        <v>1/26</v>
      </c>
      <c r="C305" s="981" t="str">
        <f>VLOOKUP(mJAN[[#This Row],[CÓDIGO CONTABIL]],Contas_Gerencial[#All],3,FALSE)</f>
        <v>BENEFICIO</v>
      </c>
      <c r="D305" s="981" t="str">
        <f>VLOOKUP(mJAN[[#This Row],[DESCRIÇÃO CONTABIL]],Contas_Gerencial[[#All],[DESCRIÇÃO DA CONTA - NÃO UTILIZAR]:[Código2]],2,FALSE)</f>
        <v>20.05.003</v>
      </c>
      <c r="E305" s="452" t="s">
        <v>47</v>
      </c>
      <c r="F305" s="452" t="s">
        <v>581</v>
      </c>
      <c r="G305" s="480" t="s">
        <v>1130</v>
      </c>
      <c r="H305" s="452" t="s">
        <v>1803</v>
      </c>
      <c r="I305" s="481" t="s">
        <v>2189</v>
      </c>
      <c r="J305" s="453" t="s">
        <v>386</v>
      </c>
      <c r="K305" s="453" t="s">
        <v>2191</v>
      </c>
      <c r="L305" s="451" t="s">
        <v>2104</v>
      </c>
      <c r="M305" s="457">
        <v>46037</v>
      </c>
      <c r="N305" s="457">
        <v>46042</v>
      </c>
      <c r="O305" s="457">
        <v>46044</v>
      </c>
      <c r="P305" s="452" t="s">
        <v>214</v>
      </c>
      <c r="Q305" s="467">
        <v>13.64</v>
      </c>
      <c r="R305" s="467">
        <v>0</v>
      </c>
      <c r="S305" s="467">
        <v>0</v>
      </c>
      <c r="T305" s="982">
        <f>SUM(mJAN[[#This Row],[PRINCIPAL]:[JUROS]])</f>
        <v>13.64</v>
      </c>
      <c r="U305" s="489"/>
      <c r="Y305" s="489"/>
    </row>
    <row r="306" spans="2:25" ht="21" customHeight="1">
      <c r="B306" s="5" t="str">
        <f t="shared" si="4"/>
        <v>1/26</v>
      </c>
      <c r="C306" s="981" t="str">
        <f>VLOOKUP(mJAN[[#This Row],[CÓDIGO CONTABIL]],Contas_Gerencial[#All],3,FALSE)</f>
        <v>BENEFICIO</v>
      </c>
      <c r="D306" s="981" t="str">
        <f>VLOOKUP(mJAN[[#This Row],[DESCRIÇÃO CONTABIL]],Contas_Gerencial[[#All],[DESCRIÇÃO DA CONTA - NÃO UTILIZAR]:[Código2]],2,FALSE)</f>
        <v>20.05.004</v>
      </c>
      <c r="E306" s="480" t="s">
        <v>72</v>
      </c>
      <c r="F306" s="452" t="s">
        <v>41</v>
      </c>
      <c r="G306" s="452" t="s">
        <v>595</v>
      </c>
      <c r="H306" s="452" t="s">
        <v>1803</v>
      </c>
      <c r="I306" s="481">
        <v>263110279</v>
      </c>
      <c r="J306" s="453" t="s">
        <v>1146</v>
      </c>
      <c r="K306" s="503" t="s">
        <v>2103</v>
      </c>
      <c r="L306" s="451" t="s">
        <v>2104</v>
      </c>
      <c r="M306" s="457">
        <v>46038</v>
      </c>
      <c r="N306" s="457">
        <v>46047</v>
      </c>
      <c r="O306" s="457">
        <v>46044</v>
      </c>
      <c r="P306" s="452" t="s">
        <v>214</v>
      </c>
      <c r="Q306" s="468">
        <f>3.36*7</f>
        <v>23.52</v>
      </c>
      <c r="R306" s="467">
        <v>0</v>
      </c>
      <c r="S306" s="467">
        <v>0</v>
      </c>
      <c r="T306" s="982">
        <f>SUM(mJAN[[#This Row],[PRINCIPAL]:[JUROS]])</f>
        <v>23.52</v>
      </c>
    </row>
    <row r="307" spans="2:25" ht="21" customHeight="1">
      <c r="B307" s="5" t="str">
        <f t="shared" si="4"/>
        <v>1/26</v>
      </c>
      <c r="C307" s="981" t="str">
        <f>VLOOKUP(mJAN[[#This Row],[CÓDIGO CONTABIL]],Contas_Gerencial[#All],3,FALSE)</f>
        <v>BENEFICIO</v>
      </c>
      <c r="D307" s="981" t="str">
        <f>VLOOKUP(mJAN[[#This Row],[DESCRIÇÃO CONTABIL]],Contas_Gerencial[[#All],[DESCRIÇÃO DA CONTA - NÃO UTILIZAR]:[Código2]],2,FALSE)</f>
        <v>20.05.004</v>
      </c>
      <c r="E307" s="480" t="s">
        <v>72</v>
      </c>
      <c r="F307" s="452" t="s">
        <v>581</v>
      </c>
      <c r="G307" s="452" t="s">
        <v>595</v>
      </c>
      <c r="H307" s="452" t="s">
        <v>1803</v>
      </c>
      <c r="I307" s="481">
        <v>263110139</v>
      </c>
      <c r="J307" s="453" t="s">
        <v>1146</v>
      </c>
      <c r="K307" s="503" t="s">
        <v>2105</v>
      </c>
      <c r="L307" s="451" t="s">
        <v>2104</v>
      </c>
      <c r="M307" s="457">
        <v>46038</v>
      </c>
      <c r="N307" s="457">
        <v>46047</v>
      </c>
      <c r="O307" s="457">
        <v>46044</v>
      </c>
      <c r="P307" s="452" t="s">
        <v>214</v>
      </c>
      <c r="Q307" s="468">
        <f>3.36*1</f>
        <v>3.36</v>
      </c>
      <c r="R307" s="467">
        <v>0</v>
      </c>
      <c r="S307" s="467">
        <v>0</v>
      </c>
      <c r="T307" s="982">
        <f>SUM(mJAN[[#This Row],[PRINCIPAL]:[JUROS]])</f>
        <v>3.36</v>
      </c>
    </row>
    <row r="308" spans="2:25" ht="21" customHeight="1">
      <c r="B308" s="5" t="str">
        <f t="shared" si="4"/>
        <v>1/26</v>
      </c>
      <c r="C308" s="981" t="str">
        <f>VLOOKUP(mJAN[[#This Row],[CÓDIGO CONTABIL]],Contas_Gerencial[#All],3,FALSE)</f>
        <v>BENEFICIO</v>
      </c>
      <c r="D308" s="981" t="str">
        <f>VLOOKUP(mJAN[[#This Row],[DESCRIÇÃO CONTABIL]],Contas_Gerencial[[#All],[DESCRIÇÃO DA CONTA - NÃO UTILIZAR]:[Código2]],2,FALSE)</f>
        <v>20.05.004</v>
      </c>
      <c r="E308" s="480" t="s">
        <v>72</v>
      </c>
      <c r="F308" s="452" t="s">
        <v>581</v>
      </c>
      <c r="G308" s="452" t="s">
        <v>1630</v>
      </c>
      <c r="H308" s="452" t="s">
        <v>1803</v>
      </c>
      <c r="I308" s="481">
        <v>263110139</v>
      </c>
      <c r="J308" s="453" t="s">
        <v>1146</v>
      </c>
      <c r="K308" s="503" t="s">
        <v>2105</v>
      </c>
      <c r="L308" s="451" t="s">
        <v>2104</v>
      </c>
      <c r="M308" s="457">
        <v>46038</v>
      </c>
      <c r="N308" s="457">
        <v>46047</v>
      </c>
      <c r="O308" s="457">
        <v>46044</v>
      </c>
      <c r="P308" s="452" t="s">
        <v>214</v>
      </c>
      <c r="Q308" s="468">
        <f>3.36*4</f>
        <v>13.44</v>
      </c>
      <c r="R308" s="467">
        <v>0</v>
      </c>
      <c r="S308" s="467">
        <v>0</v>
      </c>
      <c r="T308" s="982">
        <f>SUM(mJAN[[#This Row],[PRINCIPAL]:[JUROS]])</f>
        <v>13.44</v>
      </c>
      <c r="U308" s="147"/>
      <c r="Y308" s="147"/>
    </row>
    <row r="309" spans="2:25" ht="21" customHeight="1">
      <c r="B309" s="5" t="str">
        <f t="shared" si="4"/>
        <v>1/26</v>
      </c>
      <c r="C309" s="981" t="str">
        <f>VLOOKUP(mJAN[[#This Row],[CÓDIGO CONTABIL]],Contas_Gerencial[#All],3,FALSE)</f>
        <v>BENEFICIO</v>
      </c>
      <c r="D309" s="981" t="str">
        <f>VLOOKUP(mJAN[[#This Row],[DESCRIÇÃO CONTABIL]],Contas_Gerencial[[#All],[DESCRIÇÃO DA CONTA - NÃO UTILIZAR]:[Código2]],2,FALSE)</f>
        <v>20.05.004</v>
      </c>
      <c r="E309" s="480" t="s">
        <v>72</v>
      </c>
      <c r="F309" s="452" t="s">
        <v>581</v>
      </c>
      <c r="G309" s="452" t="s">
        <v>1137</v>
      </c>
      <c r="H309" s="452" t="s">
        <v>1803</v>
      </c>
      <c r="I309" s="481">
        <v>263110139</v>
      </c>
      <c r="J309" s="453" t="s">
        <v>1146</v>
      </c>
      <c r="K309" s="503" t="s">
        <v>2105</v>
      </c>
      <c r="L309" s="451" t="s">
        <v>2104</v>
      </c>
      <c r="M309" s="457">
        <v>46038</v>
      </c>
      <c r="N309" s="457">
        <v>46047</v>
      </c>
      <c r="O309" s="457">
        <v>46044</v>
      </c>
      <c r="P309" s="452" t="s">
        <v>214</v>
      </c>
      <c r="Q309" s="468">
        <f>3.36*6</f>
        <v>20.16</v>
      </c>
      <c r="R309" s="467">
        <v>0</v>
      </c>
      <c r="S309" s="467">
        <v>0</v>
      </c>
      <c r="T309" s="982">
        <f>SUM(mJAN[[#This Row],[PRINCIPAL]:[JUROS]])</f>
        <v>20.16</v>
      </c>
      <c r="U309" s="147"/>
      <c r="Y309" s="147"/>
    </row>
    <row r="310" spans="2:25" ht="21" customHeight="1">
      <c r="B310" s="5" t="str">
        <f t="shared" si="4"/>
        <v>1/26</v>
      </c>
      <c r="C310" s="981" t="str">
        <f>VLOOKUP(mJAN[[#This Row],[CÓDIGO CONTABIL]],Contas_Gerencial[#All],3,FALSE)</f>
        <v>BENEFICIO</v>
      </c>
      <c r="D310" s="981" t="str">
        <f>VLOOKUP(mJAN[[#This Row],[DESCRIÇÃO CONTABIL]],Contas_Gerencial[[#All],[DESCRIÇÃO DA CONTA - NÃO UTILIZAR]:[Código2]],2,FALSE)</f>
        <v>20.05.004</v>
      </c>
      <c r="E310" s="480" t="s">
        <v>72</v>
      </c>
      <c r="F310" s="452" t="s">
        <v>581</v>
      </c>
      <c r="G310" s="452" t="s">
        <v>1768</v>
      </c>
      <c r="H310" s="452" t="s">
        <v>1803</v>
      </c>
      <c r="I310" s="481">
        <v>263110139</v>
      </c>
      <c r="J310" s="453" t="s">
        <v>1146</v>
      </c>
      <c r="K310" s="503" t="s">
        <v>2105</v>
      </c>
      <c r="L310" s="451" t="s">
        <v>2104</v>
      </c>
      <c r="M310" s="457">
        <v>46038</v>
      </c>
      <c r="N310" s="457">
        <v>46047</v>
      </c>
      <c r="O310" s="457">
        <v>46044</v>
      </c>
      <c r="P310" s="452" t="s">
        <v>214</v>
      </c>
      <c r="Q310" s="468">
        <f>3.36*2</f>
        <v>6.72</v>
      </c>
      <c r="R310" s="467">
        <v>0</v>
      </c>
      <c r="S310" s="467">
        <v>0</v>
      </c>
      <c r="T310" s="982">
        <f>SUM(mJAN[[#This Row],[PRINCIPAL]:[JUROS]])</f>
        <v>6.72</v>
      </c>
      <c r="U310" s="147"/>
      <c r="Y310" s="147"/>
    </row>
    <row r="311" spans="2:25" ht="21" customHeight="1">
      <c r="B311" s="5" t="str">
        <f t="shared" si="4"/>
        <v>1/26</v>
      </c>
      <c r="C311" s="981" t="str">
        <f>VLOOKUP(mJAN[[#This Row],[CÓDIGO CONTABIL]],Contas_Gerencial[#All],3,FALSE)</f>
        <v>SERVIÇOS DE TERCEIROS</v>
      </c>
      <c r="D311" s="981" t="str">
        <f>VLOOKUP(mJAN[[#This Row],[DESCRIÇÃO CONTABIL]],Contas_Gerencial[[#All],[DESCRIÇÃO DA CONTA - NÃO UTILIZAR]:[Código2]],2,FALSE)</f>
        <v>20.07.028</v>
      </c>
      <c r="E311" s="107" t="s">
        <v>881</v>
      </c>
      <c r="F311" s="452" t="s">
        <v>41</v>
      </c>
      <c r="G311" s="107" t="s">
        <v>595</v>
      </c>
      <c r="H311" s="452" t="s">
        <v>1827</v>
      </c>
      <c r="I311" s="481">
        <v>989046</v>
      </c>
      <c r="J311" s="453" t="s">
        <v>1038</v>
      </c>
      <c r="K311" s="453" t="s">
        <v>1804</v>
      </c>
      <c r="L311" s="451" t="s">
        <v>2137</v>
      </c>
      <c r="M311" s="457">
        <v>46030</v>
      </c>
      <c r="N311" s="457">
        <v>46030</v>
      </c>
      <c r="O311" s="457">
        <v>46030</v>
      </c>
      <c r="P311" s="452" t="s">
        <v>214</v>
      </c>
      <c r="Q311" s="467">
        <v>39</v>
      </c>
      <c r="R311" s="467">
        <v>0</v>
      </c>
      <c r="S311" s="467">
        <v>0</v>
      </c>
      <c r="T311" s="982">
        <f>SUM(mJAN[[#This Row],[PRINCIPAL]:[JUROS]])</f>
        <v>39</v>
      </c>
      <c r="U311" s="252"/>
      <c r="Y311" s="252"/>
    </row>
    <row r="312" spans="2:25" ht="21" customHeight="1">
      <c r="B312" s="5" t="str">
        <f t="shared" si="4"/>
        <v>1/26</v>
      </c>
      <c r="C312" s="981" t="str">
        <f>VLOOKUP(mJAN[[#This Row],[CÓDIGO CONTABIL]],Contas_Gerencial[#All],3,FALSE)</f>
        <v>SERVIÇOS DE TERCEIROS</v>
      </c>
      <c r="D312" s="981" t="str">
        <f>VLOOKUP(mJAN[[#This Row],[DESCRIÇÃO CONTABIL]],Contas_Gerencial[[#All],[DESCRIÇÃO DA CONTA - NÃO UTILIZAR]:[Código2]],2,FALSE)</f>
        <v>20.07.002</v>
      </c>
      <c r="E312" s="107" t="s">
        <v>294</v>
      </c>
      <c r="F312" s="452" t="s">
        <v>41</v>
      </c>
      <c r="G312" s="107" t="s">
        <v>595</v>
      </c>
      <c r="H312" s="452" t="s">
        <v>1802</v>
      </c>
      <c r="I312" s="481">
        <v>230126</v>
      </c>
      <c r="J312" s="453" t="s">
        <v>1125</v>
      </c>
      <c r="K312" s="453" t="s">
        <v>1859</v>
      </c>
      <c r="L312" s="451" t="s">
        <v>2104</v>
      </c>
      <c r="M312" s="457">
        <v>46042</v>
      </c>
      <c r="N312" s="457">
        <v>46042</v>
      </c>
      <c r="O312" s="457">
        <v>46045</v>
      </c>
      <c r="P312" s="453" t="s">
        <v>214</v>
      </c>
      <c r="Q312" s="467">
        <f>1320*1</f>
        <v>1320</v>
      </c>
      <c r="R312" s="467">
        <v>0</v>
      </c>
      <c r="S312" s="467">
        <v>0</v>
      </c>
      <c r="T312" s="982">
        <f>SUM(mJAN[[#This Row],[PRINCIPAL]:[JUROS]])</f>
        <v>1320</v>
      </c>
      <c r="U312" s="147"/>
      <c r="Y312" s="147"/>
    </row>
    <row r="313" spans="2:25" ht="21" customHeight="1">
      <c r="B313" s="5" t="str">
        <f t="shared" si="4"/>
        <v>1/26</v>
      </c>
      <c r="C313" s="981" t="str">
        <f>VLOOKUP(mJAN[[#This Row],[CÓDIGO CONTABIL]],Contas_Gerencial[#All],3,FALSE)</f>
        <v>SERVIÇOS DE TERCEIROS</v>
      </c>
      <c r="D313" s="981" t="str">
        <f>VLOOKUP(mJAN[[#This Row],[DESCRIÇÃO CONTABIL]],Contas_Gerencial[[#All],[DESCRIÇÃO DA CONTA - NÃO UTILIZAR]:[Código2]],2,FALSE)</f>
        <v>20.07.002</v>
      </c>
      <c r="E313" s="107" t="s">
        <v>294</v>
      </c>
      <c r="F313" s="452" t="s">
        <v>582</v>
      </c>
      <c r="G313" s="107" t="s">
        <v>595</v>
      </c>
      <c r="H313" s="452" t="s">
        <v>1802</v>
      </c>
      <c r="I313" s="481">
        <v>230126</v>
      </c>
      <c r="J313" s="453" t="s">
        <v>1125</v>
      </c>
      <c r="K313" s="453" t="s">
        <v>1859</v>
      </c>
      <c r="L313" s="451" t="s">
        <v>2104</v>
      </c>
      <c r="M313" s="457">
        <v>46042</v>
      </c>
      <c r="N313" s="457">
        <v>46042</v>
      </c>
      <c r="O313" s="457">
        <v>46045</v>
      </c>
      <c r="P313" s="453" t="s">
        <v>214</v>
      </c>
      <c r="Q313" s="467">
        <f>500*1</f>
        <v>500</v>
      </c>
      <c r="R313" s="467">
        <v>0</v>
      </c>
      <c r="S313" s="467">
        <v>0</v>
      </c>
      <c r="T313" s="982">
        <f>SUM(mJAN[[#This Row],[PRINCIPAL]:[JUROS]])</f>
        <v>500</v>
      </c>
      <c r="U313" s="147"/>
      <c r="Y313" s="147"/>
    </row>
    <row r="314" spans="2:25" ht="21" customHeight="1">
      <c r="B314" s="5" t="str">
        <f t="shared" si="4"/>
        <v>1/26</v>
      </c>
      <c r="C314" s="981" t="str">
        <f>VLOOKUP(mJAN[[#This Row],[CÓDIGO CONTABIL]],Contas_Gerencial[#All],3,FALSE)</f>
        <v>SERVIÇOS DE TERCEIROS</v>
      </c>
      <c r="D314" s="981" t="str">
        <f>VLOOKUP(mJAN[[#This Row],[DESCRIÇÃO CONTABIL]],Contas_Gerencial[[#All],[DESCRIÇÃO DA CONTA - NÃO UTILIZAR]:[Código2]],2,FALSE)</f>
        <v>20.07.002</v>
      </c>
      <c r="E314" s="107" t="s">
        <v>294</v>
      </c>
      <c r="F314" s="452" t="s">
        <v>581</v>
      </c>
      <c r="G314" s="107" t="s">
        <v>595</v>
      </c>
      <c r="H314" s="452" t="s">
        <v>1802</v>
      </c>
      <c r="I314" s="481">
        <v>230126</v>
      </c>
      <c r="J314" s="453" t="s">
        <v>1125</v>
      </c>
      <c r="K314" s="453" t="s">
        <v>1859</v>
      </c>
      <c r="L314" s="451" t="s">
        <v>2104</v>
      </c>
      <c r="M314" s="457">
        <v>46042</v>
      </c>
      <c r="N314" s="457">
        <v>46042</v>
      </c>
      <c r="O314" s="457">
        <v>46045</v>
      </c>
      <c r="P314" s="453" t="s">
        <v>214</v>
      </c>
      <c r="Q314" s="467">
        <f>730*1</f>
        <v>730</v>
      </c>
      <c r="R314" s="467">
        <v>0</v>
      </c>
      <c r="S314" s="467">
        <v>0</v>
      </c>
      <c r="T314" s="982">
        <f>SUM(mJAN[[#This Row],[PRINCIPAL]:[JUROS]])</f>
        <v>730</v>
      </c>
      <c r="U314" s="147"/>
      <c r="Y314" s="147"/>
    </row>
    <row r="315" spans="2:25" ht="21" customHeight="1">
      <c r="B315" s="5" t="str">
        <f t="shared" si="4"/>
        <v>1/26</v>
      </c>
      <c r="C315" s="981" t="str">
        <f>VLOOKUP(mJAN[[#This Row],[CÓDIGO CONTABIL]],Contas_Gerencial[#All],3,FALSE)</f>
        <v>SERVIÇOS DE TERCEIROS</v>
      </c>
      <c r="D315" s="981" t="str">
        <f>VLOOKUP(mJAN[[#This Row],[DESCRIÇÃO CONTABIL]],Contas_Gerencial[[#All],[DESCRIÇÃO DA CONTA - NÃO UTILIZAR]:[Código2]],2,FALSE)</f>
        <v>20.07.018</v>
      </c>
      <c r="E315" s="107" t="s">
        <v>265</v>
      </c>
      <c r="F315" s="452" t="s">
        <v>41</v>
      </c>
      <c r="G315" s="107" t="s">
        <v>1767</v>
      </c>
      <c r="H315" s="452" t="s">
        <v>1803</v>
      </c>
      <c r="I315" s="481">
        <v>148655243</v>
      </c>
      <c r="J315" s="453" t="s">
        <v>260</v>
      </c>
      <c r="K315" s="453" t="s">
        <v>1815</v>
      </c>
      <c r="L315" s="451" t="s">
        <v>2104</v>
      </c>
      <c r="M315" s="457">
        <v>46024</v>
      </c>
      <c r="N315" s="457">
        <v>46042</v>
      </c>
      <c r="O315" s="457">
        <v>46044</v>
      </c>
      <c r="P315" s="453" t="s">
        <v>214</v>
      </c>
      <c r="Q315" s="467">
        <v>521.09</v>
      </c>
      <c r="R315" s="467">
        <v>0</v>
      </c>
      <c r="S315" s="467">
        <v>0</v>
      </c>
      <c r="T315" s="982">
        <f>SUM(mJAN[[#This Row],[PRINCIPAL]:[JUROS]])</f>
        <v>521.09</v>
      </c>
      <c r="U315" s="157"/>
      <c r="Y315" s="157"/>
    </row>
    <row r="316" spans="2:25" ht="21" customHeight="1">
      <c r="B316" s="5" t="str">
        <f t="shared" si="4"/>
        <v>1/26</v>
      </c>
      <c r="C316" s="981" t="str">
        <f>VLOOKUP(mJAN[[#This Row],[CÓDIGO CONTABIL]],Contas_Gerencial[#All],3,FALSE)</f>
        <v>DESPESAS GERAIS</v>
      </c>
      <c r="D316" s="981" t="str">
        <f>VLOOKUP(mJAN[[#This Row],[DESCRIÇÃO CONTABIL]],Contas_Gerencial[[#All],[DESCRIÇÃO DA CONTA - NÃO UTILIZAR]:[Código2]],2,FALSE)</f>
        <v>20.03.006</v>
      </c>
      <c r="E316" s="121" t="s">
        <v>6</v>
      </c>
      <c r="F316" s="453" t="s">
        <v>41</v>
      </c>
      <c r="G316" s="454" t="s">
        <v>1081</v>
      </c>
      <c r="H316" s="453" t="s">
        <v>1788</v>
      </c>
      <c r="I316" s="481">
        <v>2290</v>
      </c>
      <c r="J316" s="453" t="s">
        <v>1105</v>
      </c>
      <c r="K316" s="453" t="s">
        <v>6</v>
      </c>
      <c r="L316" s="451" t="s">
        <v>2137</v>
      </c>
      <c r="M316" s="457">
        <v>46014</v>
      </c>
      <c r="N316" s="457">
        <v>46042</v>
      </c>
      <c r="O316" s="457">
        <v>46044</v>
      </c>
      <c r="P316" s="452" t="s">
        <v>214</v>
      </c>
      <c r="Q316" s="458">
        <v>376.48</v>
      </c>
      <c r="R316" s="467">
        <v>0</v>
      </c>
      <c r="S316" s="467">
        <v>0</v>
      </c>
      <c r="T316" s="982">
        <f>SUM(mJAN[[#This Row],[PRINCIPAL]:[JUROS]])</f>
        <v>376.48</v>
      </c>
      <c r="U316" s="172"/>
      <c r="Y316" s="172"/>
    </row>
    <row r="317" spans="2:25" ht="21" customHeight="1">
      <c r="B317" s="5" t="str">
        <f t="shared" si="4"/>
        <v>1/26</v>
      </c>
      <c r="C317" s="981" t="str">
        <f>VLOOKUP(mJAN[[#This Row],[CÓDIGO CONTABIL]],Contas_Gerencial[#All],3,FALSE)</f>
        <v>DESPESAS GERAIS</v>
      </c>
      <c r="D317" s="981" t="str">
        <f>VLOOKUP(mJAN[[#This Row],[DESCRIÇÃO CONTABIL]],Contas_Gerencial[[#All],[DESCRIÇÃO DA CONTA - NÃO UTILIZAR]:[Código2]],2,FALSE)</f>
        <v>20.03.006</v>
      </c>
      <c r="E317" s="121" t="s">
        <v>6</v>
      </c>
      <c r="F317" s="453" t="s">
        <v>41</v>
      </c>
      <c r="G317" s="454" t="s">
        <v>982</v>
      </c>
      <c r="H317" s="453" t="s">
        <v>1788</v>
      </c>
      <c r="I317" s="481">
        <v>2291</v>
      </c>
      <c r="J317" s="453" t="s">
        <v>1105</v>
      </c>
      <c r="K317" s="453" t="s">
        <v>6</v>
      </c>
      <c r="L317" s="451" t="s">
        <v>2137</v>
      </c>
      <c r="M317" s="457">
        <v>46014</v>
      </c>
      <c r="N317" s="457">
        <v>46042</v>
      </c>
      <c r="O317" s="457">
        <v>46044</v>
      </c>
      <c r="P317" s="452" t="s">
        <v>214</v>
      </c>
      <c r="Q317" s="458">
        <v>304.91000000000003</v>
      </c>
      <c r="R317" s="467">
        <v>0</v>
      </c>
      <c r="S317" s="467">
        <v>0</v>
      </c>
      <c r="T317" s="982">
        <f>SUM(mJAN[[#This Row],[PRINCIPAL]:[JUROS]])</f>
        <v>304.91000000000003</v>
      </c>
      <c r="U317" s="147"/>
      <c r="Y317" s="147"/>
    </row>
    <row r="318" spans="2:25" ht="21" customHeight="1">
      <c r="B318" s="5" t="str">
        <f t="shared" si="4"/>
        <v>1/26</v>
      </c>
      <c r="C318" s="981" t="str">
        <f>VLOOKUP(mJAN[[#This Row],[CÓDIGO CONTABIL]],Contas_Gerencial[#All],3,FALSE)</f>
        <v>DESPESAS GERAIS</v>
      </c>
      <c r="D318" s="981" t="str">
        <f>VLOOKUP(mJAN[[#This Row],[DESCRIÇÃO CONTABIL]],Contas_Gerencial[[#All],[DESCRIÇÃO DA CONTA - NÃO UTILIZAR]:[Código2]],2,FALSE)</f>
        <v>20.03.006</v>
      </c>
      <c r="E318" s="121" t="s">
        <v>6</v>
      </c>
      <c r="F318" s="453" t="s">
        <v>41</v>
      </c>
      <c r="G318" s="454" t="s">
        <v>49</v>
      </c>
      <c r="H318" s="453" t="s">
        <v>1788</v>
      </c>
      <c r="I318" s="481">
        <v>2286</v>
      </c>
      <c r="J318" s="453" t="s">
        <v>1105</v>
      </c>
      <c r="K318" s="453" t="s">
        <v>6</v>
      </c>
      <c r="L318" s="451" t="s">
        <v>2137</v>
      </c>
      <c r="M318" s="457">
        <v>46014</v>
      </c>
      <c r="N318" s="457">
        <v>46042</v>
      </c>
      <c r="O318" s="457">
        <v>46044</v>
      </c>
      <c r="P318" s="452" t="s">
        <v>214</v>
      </c>
      <c r="Q318" s="458">
        <v>555.04</v>
      </c>
      <c r="R318" s="467">
        <v>0</v>
      </c>
      <c r="S318" s="467">
        <v>0</v>
      </c>
      <c r="T318" s="982">
        <f>SUM(mJAN[[#This Row],[PRINCIPAL]:[JUROS]])</f>
        <v>555.04</v>
      </c>
      <c r="U318" s="147"/>
      <c r="Y318" s="147"/>
    </row>
    <row r="319" spans="2:25" ht="21" customHeight="1">
      <c r="B319" s="5" t="str">
        <f t="shared" si="4"/>
        <v>1/26</v>
      </c>
      <c r="C319" s="981" t="str">
        <f>VLOOKUP(mJAN[[#This Row],[CÓDIGO CONTABIL]],Contas_Gerencial[#All],3,FALSE)</f>
        <v>DESPESAS GERAIS</v>
      </c>
      <c r="D319" s="981" t="str">
        <f>VLOOKUP(mJAN[[#This Row],[DESCRIÇÃO CONTABIL]],Contas_Gerencial[[#All],[DESCRIÇÃO DA CONTA - NÃO UTILIZAR]:[Código2]],2,FALSE)</f>
        <v>20.03.006</v>
      </c>
      <c r="E319" s="121" t="s">
        <v>6</v>
      </c>
      <c r="F319" s="453" t="s">
        <v>41</v>
      </c>
      <c r="G319" s="454" t="s">
        <v>1767</v>
      </c>
      <c r="H319" s="453" t="s">
        <v>1788</v>
      </c>
      <c r="I319" s="481">
        <v>2285</v>
      </c>
      <c r="J319" s="453" t="s">
        <v>1105</v>
      </c>
      <c r="K319" s="453" t="s">
        <v>6</v>
      </c>
      <c r="L319" s="451" t="s">
        <v>2137</v>
      </c>
      <c r="M319" s="457">
        <v>46014</v>
      </c>
      <c r="N319" s="457">
        <v>46042</v>
      </c>
      <c r="O319" s="457">
        <v>46044</v>
      </c>
      <c r="P319" s="452" t="s">
        <v>214</v>
      </c>
      <c r="Q319" s="458">
        <v>822.35</v>
      </c>
      <c r="R319" s="467">
        <v>0</v>
      </c>
      <c r="S319" s="467">
        <v>0</v>
      </c>
      <c r="T319" s="982">
        <f>SUM(mJAN[[#This Row],[PRINCIPAL]:[JUROS]])</f>
        <v>822.35</v>
      </c>
      <c r="U319" s="147"/>
      <c r="Y319" s="147"/>
    </row>
    <row r="320" spans="2:25" ht="21" customHeight="1">
      <c r="B320" s="5" t="str">
        <f t="shared" si="4"/>
        <v>1/26</v>
      </c>
      <c r="C320" s="981" t="str">
        <f>VLOOKUP(mJAN[[#This Row],[CÓDIGO CONTABIL]],Contas_Gerencial[#All],3,FALSE)</f>
        <v>DESPESAS GERAIS</v>
      </c>
      <c r="D320" s="981" t="str">
        <f>VLOOKUP(mJAN[[#This Row],[DESCRIÇÃO CONTABIL]],Contas_Gerencial[[#All],[DESCRIÇÃO DA CONTA - NÃO UTILIZAR]:[Código2]],2,FALSE)</f>
        <v>20.03.006</v>
      </c>
      <c r="E320" s="121" t="s">
        <v>6</v>
      </c>
      <c r="F320" s="453" t="s">
        <v>582</v>
      </c>
      <c r="G320" s="454" t="s">
        <v>653</v>
      </c>
      <c r="H320" s="453" t="s">
        <v>1788</v>
      </c>
      <c r="I320" s="481">
        <v>0</v>
      </c>
      <c r="J320" s="453" t="s">
        <v>1105</v>
      </c>
      <c r="K320" s="453" t="s">
        <v>2028</v>
      </c>
      <c r="L320" s="451" t="s">
        <v>2137</v>
      </c>
      <c r="M320" s="457">
        <v>46014</v>
      </c>
      <c r="N320" s="457">
        <v>46042</v>
      </c>
      <c r="O320" s="457">
        <v>46044</v>
      </c>
      <c r="P320" s="452" t="s">
        <v>214</v>
      </c>
      <c r="Q320" s="458">
        <v>0</v>
      </c>
      <c r="R320" s="467">
        <v>0</v>
      </c>
      <c r="S320" s="467">
        <v>0</v>
      </c>
      <c r="T320" s="982">
        <f>SUM(mJAN[[#This Row],[PRINCIPAL]:[JUROS]])</f>
        <v>0</v>
      </c>
      <c r="U320" s="147"/>
      <c r="Y320" s="147"/>
    </row>
    <row r="321" spans="2:25" ht="21" customHeight="1">
      <c r="B321" s="5" t="str">
        <f t="shared" si="4"/>
        <v>1/26</v>
      </c>
      <c r="C321" s="981" t="str">
        <f>VLOOKUP(mJAN[[#This Row],[CÓDIGO CONTABIL]],Contas_Gerencial[#All],3,FALSE)</f>
        <v>DESPESAS GERAIS</v>
      </c>
      <c r="D321" s="981" t="str">
        <f>VLOOKUP(mJAN[[#This Row],[DESCRIÇÃO CONTABIL]],Contas_Gerencial[[#All],[DESCRIÇÃO DA CONTA - NÃO UTILIZAR]:[Código2]],2,FALSE)</f>
        <v>20.03.006</v>
      </c>
      <c r="E321" s="121" t="s">
        <v>6</v>
      </c>
      <c r="F321" s="453" t="s">
        <v>582</v>
      </c>
      <c r="G321" s="454" t="s">
        <v>583</v>
      </c>
      <c r="H321" s="453" t="s">
        <v>1788</v>
      </c>
      <c r="I321" s="481">
        <v>2284</v>
      </c>
      <c r="J321" s="453" t="s">
        <v>1105</v>
      </c>
      <c r="K321" s="453" t="s">
        <v>6</v>
      </c>
      <c r="L321" s="451" t="s">
        <v>2137</v>
      </c>
      <c r="M321" s="457">
        <v>46014</v>
      </c>
      <c r="N321" s="457">
        <v>46042</v>
      </c>
      <c r="O321" s="457">
        <v>46044</v>
      </c>
      <c r="P321" s="452" t="s">
        <v>214</v>
      </c>
      <c r="Q321" s="458">
        <v>812.5</v>
      </c>
      <c r="R321" s="467">
        <v>0</v>
      </c>
      <c r="S321" s="467">
        <v>0</v>
      </c>
      <c r="T321" s="982">
        <f>SUM(mJAN[[#This Row],[PRINCIPAL]:[JUROS]])</f>
        <v>812.5</v>
      </c>
      <c r="U321" s="2"/>
      <c r="Y321" s="2"/>
    </row>
    <row r="322" spans="2:25" ht="21" customHeight="1">
      <c r="B322" s="5" t="str">
        <f t="shared" si="4"/>
        <v>1/26</v>
      </c>
      <c r="C322" s="981" t="str">
        <f>VLOOKUP(mJAN[[#This Row],[CÓDIGO CONTABIL]],Contas_Gerencial[#All],3,FALSE)</f>
        <v>DESPESAS GERAIS</v>
      </c>
      <c r="D322" s="981" t="str">
        <f>VLOOKUP(mJAN[[#This Row],[DESCRIÇÃO CONTABIL]],Contas_Gerencial[[#All],[DESCRIÇÃO DA CONTA - NÃO UTILIZAR]:[Código2]],2,FALSE)</f>
        <v>20.03.006</v>
      </c>
      <c r="E322" s="121" t="s">
        <v>6</v>
      </c>
      <c r="F322" s="453" t="s">
        <v>582</v>
      </c>
      <c r="G322" s="454" t="s">
        <v>638</v>
      </c>
      <c r="H322" s="453" t="s">
        <v>1788</v>
      </c>
      <c r="I322" s="481">
        <v>2297</v>
      </c>
      <c r="J322" s="453" t="s">
        <v>1105</v>
      </c>
      <c r="K322" s="453" t="s">
        <v>6</v>
      </c>
      <c r="L322" s="451" t="s">
        <v>2137</v>
      </c>
      <c r="M322" s="457">
        <v>46021</v>
      </c>
      <c r="N322" s="457">
        <v>46042</v>
      </c>
      <c r="O322" s="457">
        <v>46044</v>
      </c>
      <c r="P322" s="452" t="s">
        <v>214</v>
      </c>
      <c r="Q322" s="458">
        <v>243.03</v>
      </c>
      <c r="R322" s="467">
        <v>0</v>
      </c>
      <c r="S322" s="467">
        <v>0</v>
      </c>
      <c r="T322" s="982">
        <f>SUM(mJAN[[#This Row],[PRINCIPAL]:[JUROS]])</f>
        <v>243.03</v>
      </c>
      <c r="U322" s="2"/>
      <c r="Y322" s="2"/>
    </row>
    <row r="323" spans="2:25" ht="21" customHeight="1">
      <c r="B323" s="5" t="str">
        <f t="shared" si="4"/>
        <v>1/26</v>
      </c>
      <c r="C323" s="981" t="str">
        <f>VLOOKUP(mJAN[[#This Row],[CÓDIGO CONTABIL]],Contas_Gerencial[#All],3,FALSE)</f>
        <v>DESPESAS GERAIS</v>
      </c>
      <c r="D323" s="981" t="str">
        <f>VLOOKUP(mJAN[[#This Row],[DESCRIÇÃO CONTABIL]],Contas_Gerencial[[#All],[DESCRIÇÃO DA CONTA - NÃO UTILIZAR]:[Código2]],2,FALSE)</f>
        <v>20.03.006</v>
      </c>
      <c r="E323" s="121" t="s">
        <v>6</v>
      </c>
      <c r="F323" s="453" t="s">
        <v>582</v>
      </c>
      <c r="G323" s="454" t="s">
        <v>1082</v>
      </c>
      <c r="H323" s="453" t="s">
        <v>1788</v>
      </c>
      <c r="I323" s="481">
        <v>2289</v>
      </c>
      <c r="J323" s="453" t="s">
        <v>1105</v>
      </c>
      <c r="K323" s="453" t="s">
        <v>6</v>
      </c>
      <c r="L323" s="451" t="s">
        <v>2137</v>
      </c>
      <c r="M323" s="457">
        <v>46017</v>
      </c>
      <c r="N323" s="457">
        <v>46042</v>
      </c>
      <c r="O323" s="457">
        <v>46044</v>
      </c>
      <c r="P323" s="452" t="s">
        <v>214</v>
      </c>
      <c r="Q323" s="458">
        <v>162.37</v>
      </c>
      <c r="R323" s="467">
        <v>0</v>
      </c>
      <c r="S323" s="467">
        <v>0</v>
      </c>
      <c r="T323" s="982">
        <f>SUM(mJAN[[#This Row],[PRINCIPAL]:[JUROS]])</f>
        <v>162.37</v>
      </c>
      <c r="U323" s="2"/>
      <c r="Y323" s="2"/>
    </row>
    <row r="324" spans="2:25" ht="21" customHeight="1">
      <c r="B324" s="5" t="str">
        <f t="shared" si="4"/>
        <v>1/26</v>
      </c>
      <c r="C324" s="981" t="str">
        <f>VLOOKUP(mJAN[[#This Row],[CÓDIGO CONTABIL]],Contas_Gerencial[#All],3,FALSE)</f>
        <v>DESPESAS GERAIS</v>
      </c>
      <c r="D324" s="981" t="str">
        <f>VLOOKUP(mJAN[[#This Row],[DESCRIÇÃO CONTABIL]],Contas_Gerencial[[#All],[DESCRIÇÃO DA CONTA - NÃO UTILIZAR]:[Código2]],2,FALSE)</f>
        <v>20.03.006</v>
      </c>
      <c r="E324" s="121" t="s">
        <v>6</v>
      </c>
      <c r="F324" s="453" t="s">
        <v>581</v>
      </c>
      <c r="G324" s="454" t="s">
        <v>1003</v>
      </c>
      <c r="H324" s="453" t="s">
        <v>1788</v>
      </c>
      <c r="I324" s="481">
        <v>2287</v>
      </c>
      <c r="J324" s="453" t="s">
        <v>1105</v>
      </c>
      <c r="K324" s="453" t="s">
        <v>6</v>
      </c>
      <c r="L324" s="451" t="s">
        <v>2137</v>
      </c>
      <c r="M324" s="457">
        <v>46017</v>
      </c>
      <c r="N324" s="457">
        <v>46042</v>
      </c>
      <c r="O324" s="457">
        <v>46044</v>
      </c>
      <c r="P324" s="452" t="s">
        <v>214</v>
      </c>
      <c r="Q324" s="458">
        <v>877.67</v>
      </c>
      <c r="R324" s="467">
        <v>0</v>
      </c>
      <c r="S324" s="467">
        <v>0</v>
      </c>
      <c r="T324" s="982">
        <f>SUM(mJAN[[#This Row],[PRINCIPAL]:[JUROS]])</f>
        <v>877.67</v>
      </c>
      <c r="U324" s="172"/>
      <c r="Y324" s="172"/>
    </row>
    <row r="325" spans="2:25" ht="21" customHeight="1">
      <c r="B325" s="5" t="str">
        <f t="shared" si="4"/>
        <v>1/26</v>
      </c>
      <c r="C325" s="981" t="str">
        <f>VLOOKUP(mJAN[[#This Row],[CÓDIGO CONTABIL]],Contas_Gerencial[#All],3,FALSE)</f>
        <v>DESPESAS GERAIS</v>
      </c>
      <c r="D325" s="981" t="str">
        <f>VLOOKUP(mJAN[[#This Row],[DESCRIÇÃO CONTABIL]],Contas_Gerencial[[#All],[DESCRIÇÃO DA CONTA - NÃO UTILIZAR]:[Código2]],2,FALSE)</f>
        <v>20.03.006</v>
      </c>
      <c r="E325" s="121" t="s">
        <v>6</v>
      </c>
      <c r="F325" s="453" t="s">
        <v>581</v>
      </c>
      <c r="G325" s="454" t="s">
        <v>1634</v>
      </c>
      <c r="H325" s="453" t="s">
        <v>1788</v>
      </c>
      <c r="I325" s="481">
        <v>2288</v>
      </c>
      <c r="J325" s="453" t="s">
        <v>1105</v>
      </c>
      <c r="K325" s="453" t="s">
        <v>6</v>
      </c>
      <c r="L325" s="451" t="s">
        <v>2137</v>
      </c>
      <c r="M325" s="457">
        <v>46017</v>
      </c>
      <c r="N325" s="457">
        <v>46042</v>
      </c>
      <c r="O325" s="457">
        <v>46044</v>
      </c>
      <c r="P325" s="452" t="s">
        <v>214</v>
      </c>
      <c r="Q325" s="458">
        <v>240.87</v>
      </c>
      <c r="R325" s="467">
        <v>0</v>
      </c>
      <c r="S325" s="467">
        <v>0</v>
      </c>
      <c r="T325" s="982">
        <f>SUM(mJAN[[#This Row],[PRINCIPAL]:[JUROS]])</f>
        <v>240.87</v>
      </c>
      <c r="U325" s="147"/>
      <c r="Y325" s="147"/>
    </row>
    <row r="326" spans="2:25" ht="21" customHeight="1">
      <c r="B326" s="5" t="str">
        <f t="shared" si="4"/>
        <v>1/26</v>
      </c>
      <c r="C326" s="981" t="str">
        <f>VLOOKUP(mJAN[[#This Row],[CÓDIGO CONTABIL]],Contas_Gerencial[#All],3,FALSE)</f>
        <v>DESPESAS GERAIS</v>
      </c>
      <c r="D326" s="981" t="str">
        <f>VLOOKUP(mJAN[[#This Row],[DESCRIÇÃO CONTABIL]],Contas_Gerencial[[#All],[DESCRIÇÃO DA CONTA - NÃO UTILIZAR]:[Código2]],2,FALSE)</f>
        <v>20.03.006</v>
      </c>
      <c r="E326" s="121" t="s">
        <v>6</v>
      </c>
      <c r="F326" s="453" t="s">
        <v>581</v>
      </c>
      <c r="G326" s="454" t="s">
        <v>1137</v>
      </c>
      <c r="H326" s="453" t="s">
        <v>1788</v>
      </c>
      <c r="I326" s="481">
        <v>2303</v>
      </c>
      <c r="J326" s="453" t="s">
        <v>1105</v>
      </c>
      <c r="K326" s="453" t="s">
        <v>6</v>
      </c>
      <c r="L326" s="451" t="s">
        <v>2137</v>
      </c>
      <c r="M326" s="457">
        <v>46024</v>
      </c>
      <c r="N326" s="457">
        <v>46042</v>
      </c>
      <c r="O326" s="457">
        <v>46044</v>
      </c>
      <c r="P326" s="452" t="s">
        <v>214</v>
      </c>
      <c r="Q326" s="458">
        <v>437.45</v>
      </c>
      <c r="R326" s="467">
        <v>0</v>
      </c>
      <c r="S326" s="467">
        <v>0</v>
      </c>
      <c r="T326" s="982">
        <f>SUM(mJAN[[#This Row],[PRINCIPAL]:[JUROS]])</f>
        <v>437.45</v>
      </c>
      <c r="U326" s="147"/>
      <c r="Y326" s="147"/>
    </row>
    <row r="327" spans="2:25" ht="21" customHeight="1">
      <c r="B327" s="5" t="str">
        <f t="shared" si="4"/>
        <v>1/26</v>
      </c>
      <c r="C327" s="981" t="str">
        <f>VLOOKUP(mJAN[[#This Row],[CÓDIGO CONTABIL]],Contas_Gerencial[#All],3,FALSE)</f>
        <v>DESPESAS GERAIS</v>
      </c>
      <c r="D327" s="981" t="str">
        <f>VLOOKUP(mJAN[[#This Row],[DESCRIÇÃO CONTABIL]],Contas_Gerencial[[#All],[DESCRIÇÃO DA CONTA - NÃO UTILIZAR]:[Código2]],2,FALSE)</f>
        <v>20.03.006</v>
      </c>
      <c r="E327" s="121" t="s">
        <v>6</v>
      </c>
      <c r="F327" s="453" t="s">
        <v>581</v>
      </c>
      <c r="G327" s="107" t="s">
        <v>1768</v>
      </c>
      <c r="H327" s="453" t="s">
        <v>1788</v>
      </c>
      <c r="I327" s="481">
        <v>0</v>
      </c>
      <c r="J327" s="453" t="s">
        <v>1105</v>
      </c>
      <c r="K327" s="453" t="s">
        <v>2028</v>
      </c>
      <c r="L327" s="451" t="s">
        <v>2137</v>
      </c>
      <c r="M327" s="457">
        <v>46017</v>
      </c>
      <c r="N327" s="457">
        <v>46042</v>
      </c>
      <c r="O327" s="457">
        <v>46044</v>
      </c>
      <c r="P327" s="452" t="s">
        <v>214</v>
      </c>
      <c r="Q327" s="458">
        <v>0</v>
      </c>
      <c r="R327" s="467">
        <v>0</v>
      </c>
      <c r="S327" s="467">
        <v>0</v>
      </c>
      <c r="T327" s="982">
        <f>SUM(mJAN[[#This Row],[PRINCIPAL]:[JUROS]])</f>
        <v>0</v>
      </c>
      <c r="U327" s="147"/>
      <c r="Y327" s="147"/>
    </row>
    <row r="328" spans="2:25" ht="21" customHeight="1">
      <c r="B328" s="5" t="str">
        <f t="shared" si="4"/>
        <v>1/26</v>
      </c>
      <c r="C328" s="981" t="str">
        <f>VLOOKUP(mJAN[[#This Row],[CÓDIGO CONTABIL]],Contas_Gerencial[#All],3,FALSE)</f>
        <v>DESPESAS GERAIS</v>
      </c>
      <c r="D328" s="981" t="str">
        <f>VLOOKUP(mJAN[[#This Row],[DESCRIÇÃO CONTABIL]],Contas_Gerencial[[#All],[DESCRIÇÃO DA CONTA - NÃO UTILIZAR]:[Código2]],2,FALSE)</f>
        <v>20.03.006</v>
      </c>
      <c r="E328" s="121" t="s">
        <v>6</v>
      </c>
      <c r="F328" s="453" t="s">
        <v>581</v>
      </c>
      <c r="G328" s="107" t="s">
        <v>1991</v>
      </c>
      <c r="H328" s="453" t="s">
        <v>1788</v>
      </c>
      <c r="I328" s="481">
        <v>0</v>
      </c>
      <c r="J328" s="453" t="s">
        <v>1105</v>
      </c>
      <c r="K328" s="453" t="s">
        <v>2028</v>
      </c>
      <c r="L328" s="451" t="s">
        <v>2137</v>
      </c>
      <c r="M328" s="457">
        <v>46017</v>
      </c>
      <c r="N328" s="457">
        <v>46042</v>
      </c>
      <c r="O328" s="457">
        <v>46044</v>
      </c>
      <c r="P328" s="452" t="s">
        <v>214</v>
      </c>
      <c r="Q328" s="458">
        <v>0</v>
      </c>
      <c r="R328" s="467">
        <v>0</v>
      </c>
      <c r="S328" s="467">
        <v>0</v>
      </c>
      <c r="T328" s="982">
        <f>SUM(mJAN[[#This Row],[PRINCIPAL]:[JUROS]])</f>
        <v>0</v>
      </c>
      <c r="U328" s="147"/>
      <c r="Y328" s="147"/>
    </row>
    <row r="329" spans="2:25" ht="21" customHeight="1">
      <c r="B329" s="5" t="str">
        <f t="shared" si="4"/>
        <v>1/26</v>
      </c>
      <c r="C329" s="981" t="str">
        <f>VLOOKUP(mJAN[[#This Row],[CÓDIGO CONTABIL]],Contas_Gerencial[#All],3,FALSE)</f>
        <v>DESPESAS GERAIS</v>
      </c>
      <c r="D329" s="981" t="str">
        <f>VLOOKUP(mJAN[[#This Row],[DESCRIÇÃO CONTABIL]],Contas_Gerencial[[#All],[DESCRIÇÃO DA CONTA - NÃO UTILIZAR]:[Código2]],2,FALSE)</f>
        <v>20.03.006</v>
      </c>
      <c r="E329" s="121" t="s">
        <v>6</v>
      </c>
      <c r="F329" s="453" t="s">
        <v>581</v>
      </c>
      <c r="G329" s="107" t="s">
        <v>1659</v>
      </c>
      <c r="H329" s="453" t="s">
        <v>1788</v>
      </c>
      <c r="I329" s="481">
        <v>0</v>
      </c>
      <c r="J329" s="453" t="s">
        <v>1105</v>
      </c>
      <c r="K329" s="453" t="s">
        <v>2028</v>
      </c>
      <c r="L329" s="451" t="s">
        <v>2137</v>
      </c>
      <c r="M329" s="457">
        <v>46017</v>
      </c>
      <c r="N329" s="457">
        <v>46042</v>
      </c>
      <c r="O329" s="457">
        <v>46044</v>
      </c>
      <c r="P329" s="452" t="s">
        <v>214</v>
      </c>
      <c r="Q329" s="458">
        <v>0</v>
      </c>
      <c r="R329" s="467">
        <v>0</v>
      </c>
      <c r="S329" s="467">
        <v>0</v>
      </c>
      <c r="T329" s="982">
        <f>SUM(mJAN[[#This Row],[PRINCIPAL]:[JUROS]])</f>
        <v>0</v>
      </c>
      <c r="U329" s="2"/>
      <c r="Y329" s="2"/>
    </row>
    <row r="330" spans="2:25" ht="21" customHeight="1">
      <c r="B330" s="5" t="str">
        <f t="shared" si="4"/>
        <v>1/26</v>
      </c>
      <c r="C330" s="981" t="str">
        <f>VLOOKUP(mJAN[[#This Row],[CÓDIGO CONTABIL]],Contas_Gerencial[#All],3,FALSE)</f>
        <v>TRIBUTOS</v>
      </c>
      <c r="D330" s="981" t="str">
        <f>VLOOKUP(mJAN[[#This Row],[DESCRIÇÃO CONTABIL]],Contas_Gerencial[[#All],[DESCRIÇÃO DA CONTA - NÃO UTILIZAR]:[Código2]],2,FALSE)</f>
        <v>20.08.016</v>
      </c>
      <c r="E330" s="453" t="s">
        <v>1175</v>
      </c>
      <c r="F330" s="466" t="s">
        <v>581</v>
      </c>
      <c r="G330" s="453" t="s">
        <v>595</v>
      </c>
      <c r="H330" s="19" t="s">
        <v>1765</v>
      </c>
      <c r="I330" s="51" t="s">
        <v>1810</v>
      </c>
      <c r="J330" s="453" t="s">
        <v>497</v>
      </c>
      <c r="K330" s="453" t="s">
        <v>2084</v>
      </c>
      <c r="L330" s="456" t="s">
        <v>2203</v>
      </c>
      <c r="M330" s="457">
        <v>45691</v>
      </c>
      <c r="N330" s="457">
        <v>46047</v>
      </c>
      <c r="O330" s="457">
        <v>46045</v>
      </c>
      <c r="P330" s="453" t="s">
        <v>214</v>
      </c>
      <c r="Q330" s="467">
        <v>139.87</v>
      </c>
      <c r="R330" s="467">
        <v>0</v>
      </c>
      <c r="S330" s="467">
        <v>0</v>
      </c>
      <c r="T330" s="982">
        <f>SUM(mJAN[[#This Row],[PRINCIPAL]:[JUROS]])</f>
        <v>139.87</v>
      </c>
      <c r="U330" s="2"/>
      <c r="Y330" s="2"/>
    </row>
    <row r="331" spans="2:25" ht="21" customHeight="1">
      <c r="B331" s="5" t="str">
        <f t="shared" si="4"/>
        <v>1/26</v>
      </c>
      <c r="C331" s="981" t="str">
        <f>VLOOKUP(mJAN[[#This Row],[CÓDIGO CONTABIL]],Contas_Gerencial[#All],3,FALSE)</f>
        <v>FOLHA DE PAGAMENTO</v>
      </c>
      <c r="D331" s="981" t="str">
        <f>VLOOKUP(mJAN[[#This Row],[DESCRIÇÃO CONTABIL]],Contas_Gerencial[[#All],[DESCRIÇÃO DA CONTA - NÃO UTILIZAR]:[Código2]],2,FALSE)</f>
        <v>20.05.020</v>
      </c>
      <c r="E331" s="121" t="s">
        <v>29</v>
      </c>
      <c r="F331" s="453" t="s">
        <v>41</v>
      </c>
      <c r="G331" s="107" t="s">
        <v>595</v>
      </c>
      <c r="H331" s="453" t="s">
        <v>1802</v>
      </c>
      <c r="I331" s="455">
        <v>40126</v>
      </c>
      <c r="J331" s="453" t="s">
        <v>41</v>
      </c>
      <c r="K331" s="453" t="s">
        <v>1661</v>
      </c>
      <c r="L331" s="453" t="s">
        <v>1766</v>
      </c>
      <c r="M331" s="457">
        <v>46026</v>
      </c>
      <c r="N331" s="457">
        <v>46026</v>
      </c>
      <c r="O331" s="457">
        <v>46026</v>
      </c>
      <c r="P331" s="453" t="s">
        <v>214</v>
      </c>
      <c r="Q331" s="458">
        <v>500</v>
      </c>
      <c r="R331" s="467">
        <v>0</v>
      </c>
      <c r="S331" s="467"/>
      <c r="T331" s="982">
        <f>SUM(mJAN[[#This Row],[PRINCIPAL]:[JUROS]])</f>
        <v>500</v>
      </c>
      <c r="U331" s="2"/>
      <c r="Y331" s="2"/>
    </row>
    <row r="332" spans="2:25" ht="21" customHeight="1">
      <c r="B332" s="5" t="str">
        <f t="shared" si="4"/>
        <v>1/26</v>
      </c>
      <c r="C332" s="981" t="str">
        <f>VLOOKUP(mJAN[[#This Row],[CÓDIGO CONTABIL]],Contas_Gerencial[#All],3,FALSE)</f>
        <v>SERVIÇOS DE TERCEIROS</v>
      </c>
      <c r="D332" s="981" t="str">
        <f>VLOOKUP(mJAN[[#This Row],[DESCRIÇÃO CONTABIL]],Contas_Gerencial[[#All],[DESCRIÇÃO DA CONTA - NÃO UTILIZAR]:[Código2]],2,FALSE)</f>
        <v>20.07.002</v>
      </c>
      <c r="E332" s="107" t="s">
        <v>294</v>
      </c>
      <c r="F332" s="452" t="s">
        <v>41</v>
      </c>
      <c r="G332" s="107" t="s">
        <v>595</v>
      </c>
      <c r="H332" s="452" t="s">
        <v>1802</v>
      </c>
      <c r="I332" s="481">
        <v>50126</v>
      </c>
      <c r="J332" s="453" t="s">
        <v>1125</v>
      </c>
      <c r="K332" s="453" t="s">
        <v>1859</v>
      </c>
      <c r="L332" s="451" t="s">
        <v>2111</v>
      </c>
      <c r="M332" s="457">
        <v>46011</v>
      </c>
      <c r="N332" s="457">
        <v>46011</v>
      </c>
      <c r="O332" s="457">
        <v>46027</v>
      </c>
      <c r="P332" s="453" t="s">
        <v>214</v>
      </c>
      <c r="Q332" s="467">
        <f>1320*1</f>
        <v>1320</v>
      </c>
      <c r="R332" s="467">
        <v>0</v>
      </c>
      <c r="S332" s="467">
        <v>0</v>
      </c>
      <c r="T332" s="982">
        <f>SUM(mJAN[[#This Row],[PRINCIPAL]:[JUROS]])</f>
        <v>1320</v>
      </c>
      <c r="U332" s="172"/>
      <c r="Y332" s="172"/>
    </row>
    <row r="333" spans="2:25" ht="21" customHeight="1">
      <c r="B333" s="5" t="str">
        <f t="shared" ref="B333:B382" si="5">B332</f>
        <v>1/26</v>
      </c>
      <c r="C333" s="981" t="str">
        <f>VLOOKUP(mJAN[[#This Row],[CÓDIGO CONTABIL]],Contas_Gerencial[#All],3,FALSE)</f>
        <v>SERVIÇOS DE TERCEIROS</v>
      </c>
      <c r="D333" s="981" t="str">
        <f>VLOOKUP(mJAN[[#This Row],[DESCRIÇÃO CONTABIL]],Contas_Gerencial[[#All],[DESCRIÇÃO DA CONTA - NÃO UTILIZAR]:[Código2]],2,FALSE)</f>
        <v>20.07.002</v>
      </c>
      <c r="E333" s="107" t="s">
        <v>294</v>
      </c>
      <c r="F333" s="452" t="s">
        <v>582</v>
      </c>
      <c r="G333" s="107" t="s">
        <v>595</v>
      </c>
      <c r="H333" s="452" t="s">
        <v>1802</v>
      </c>
      <c r="I333" s="481">
        <v>50126</v>
      </c>
      <c r="J333" s="453" t="s">
        <v>1125</v>
      </c>
      <c r="K333" s="453" t="s">
        <v>1859</v>
      </c>
      <c r="L333" s="451" t="s">
        <v>2111</v>
      </c>
      <c r="M333" s="457">
        <v>46011</v>
      </c>
      <c r="N333" s="457">
        <v>46011</v>
      </c>
      <c r="O333" s="457">
        <v>46027</v>
      </c>
      <c r="P333" s="453" t="s">
        <v>214</v>
      </c>
      <c r="Q333" s="467">
        <f>500*1</f>
        <v>500</v>
      </c>
      <c r="R333" s="467">
        <v>0</v>
      </c>
      <c r="S333" s="467">
        <v>0</v>
      </c>
      <c r="T333" s="982">
        <f>SUM(mJAN[[#This Row],[PRINCIPAL]:[JUROS]])</f>
        <v>500</v>
      </c>
      <c r="U333" s="147"/>
      <c r="Y333" s="147"/>
    </row>
    <row r="334" spans="2:25" ht="21" customHeight="1">
      <c r="B334" s="5" t="str">
        <f t="shared" si="5"/>
        <v>1/26</v>
      </c>
      <c r="C334" s="981" t="str">
        <f>VLOOKUP(mJAN[[#This Row],[CÓDIGO CONTABIL]],Contas_Gerencial[#All],3,FALSE)</f>
        <v>SERVIÇOS DE TERCEIROS</v>
      </c>
      <c r="D334" s="981" t="str">
        <f>VLOOKUP(mJAN[[#This Row],[DESCRIÇÃO CONTABIL]],Contas_Gerencial[[#All],[DESCRIÇÃO DA CONTA - NÃO UTILIZAR]:[Código2]],2,FALSE)</f>
        <v>20.07.002</v>
      </c>
      <c r="E334" s="107" t="s">
        <v>294</v>
      </c>
      <c r="F334" s="452" t="s">
        <v>581</v>
      </c>
      <c r="G334" s="107" t="s">
        <v>595</v>
      </c>
      <c r="H334" s="452" t="s">
        <v>1802</v>
      </c>
      <c r="I334" s="481">
        <v>50126</v>
      </c>
      <c r="J334" s="453" t="s">
        <v>1125</v>
      </c>
      <c r="K334" s="453" t="s">
        <v>1859</v>
      </c>
      <c r="L334" s="451" t="s">
        <v>2111</v>
      </c>
      <c r="M334" s="457">
        <v>46011</v>
      </c>
      <c r="N334" s="457">
        <v>46011</v>
      </c>
      <c r="O334" s="457">
        <v>46027</v>
      </c>
      <c r="P334" s="453" t="s">
        <v>214</v>
      </c>
      <c r="Q334" s="467">
        <f>730*1</f>
        <v>730</v>
      </c>
      <c r="R334" s="467">
        <v>0</v>
      </c>
      <c r="S334" s="467">
        <v>0</v>
      </c>
      <c r="T334" s="982">
        <f>SUM(mJAN[[#This Row],[PRINCIPAL]:[JUROS]])</f>
        <v>730</v>
      </c>
      <c r="U334" s="147"/>
      <c r="Y334" s="147"/>
    </row>
    <row r="335" spans="2:25" ht="21" customHeight="1">
      <c r="B335" s="5" t="str">
        <f t="shared" si="5"/>
        <v>1/26</v>
      </c>
      <c r="C335" s="981" t="str">
        <f>VLOOKUP(mJAN[[#This Row],[CÓDIGO CONTABIL]],Contas_Gerencial[#All],3,FALSE)</f>
        <v>FOLHA DE PAGAMENTO</v>
      </c>
      <c r="D335" s="981" t="str">
        <f>VLOOKUP(mJAN[[#This Row],[DESCRIÇÃO CONTABIL]],Contas_Gerencial[[#All],[DESCRIÇÃO DA CONTA - NÃO UTILIZAR]:[Código2]],2,FALSE)</f>
        <v>20.05.013</v>
      </c>
      <c r="E335" s="121" t="s">
        <v>401</v>
      </c>
      <c r="F335" s="452" t="s">
        <v>582</v>
      </c>
      <c r="G335" s="107" t="s">
        <v>653</v>
      </c>
      <c r="H335" s="453" t="s">
        <v>1802</v>
      </c>
      <c r="I335" s="481">
        <v>50126</v>
      </c>
      <c r="J335" s="453" t="s">
        <v>582</v>
      </c>
      <c r="K335" s="453" t="s">
        <v>2138</v>
      </c>
      <c r="L335" s="453" t="s">
        <v>1766</v>
      </c>
      <c r="M335" s="457">
        <v>45992</v>
      </c>
      <c r="N335" s="457">
        <v>46027</v>
      </c>
      <c r="O335" s="457">
        <v>46027</v>
      </c>
      <c r="P335" s="453" t="s">
        <v>214</v>
      </c>
      <c r="Q335" s="458">
        <v>180</v>
      </c>
      <c r="R335" s="467">
        <v>0</v>
      </c>
      <c r="S335" s="467">
        <v>0</v>
      </c>
      <c r="T335" s="982">
        <f>SUM(mJAN[[#This Row],[PRINCIPAL]:[JUROS]])</f>
        <v>180</v>
      </c>
      <c r="U335" s="147"/>
      <c r="Y335" s="147"/>
    </row>
    <row r="336" spans="2:25" ht="21" customHeight="1">
      <c r="B336" s="5" t="str">
        <f t="shared" si="5"/>
        <v>1/26</v>
      </c>
      <c r="C336" s="981" t="str">
        <f>VLOOKUP(mJAN[[#This Row],[CÓDIGO CONTABIL]],Contas_Gerencial[#All],3,FALSE)</f>
        <v>SERVIÇOS DE TERCEIROS</v>
      </c>
      <c r="D336" s="981" t="str">
        <f>VLOOKUP(mJAN[[#This Row],[DESCRIÇÃO CONTABIL]],Contas_Gerencial[[#All],[DESCRIÇÃO DA CONTA - NÃO UTILIZAR]:[Código2]],2,FALSE)</f>
        <v>20.07.003</v>
      </c>
      <c r="E336" s="121" t="s">
        <v>289</v>
      </c>
      <c r="F336" s="453" t="s">
        <v>41</v>
      </c>
      <c r="G336" s="107" t="s">
        <v>595</v>
      </c>
      <c r="H336" s="453" t="s">
        <v>1802</v>
      </c>
      <c r="I336" s="455">
        <v>60126</v>
      </c>
      <c r="J336" s="453" t="s">
        <v>2141</v>
      </c>
      <c r="K336" s="453" t="s">
        <v>2143</v>
      </c>
      <c r="L336" s="453" t="s">
        <v>1766</v>
      </c>
      <c r="M336" s="457">
        <v>46028</v>
      </c>
      <c r="N336" s="457">
        <v>46028</v>
      </c>
      <c r="O336" s="457">
        <v>46028</v>
      </c>
      <c r="P336" s="453" t="s">
        <v>214</v>
      </c>
      <c r="Q336" s="458">
        <v>500</v>
      </c>
      <c r="R336" s="467">
        <v>0</v>
      </c>
      <c r="S336" s="467">
        <v>0</v>
      </c>
      <c r="T336" s="982">
        <f>SUM(mJAN[[#This Row],[PRINCIPAL]:[JUROS]])</f>
        <v>500</v>
      </c>
      <c r="U336" s="147"/>
      <c r="Y336" s="147"/>
    </row>
    <row r="337" spans="2:25" ht="21" customHeight="1">
      <c r="B337" s="5" t="str">
        <f t="shared" si="5"/>
        <v>1/26</v>
      </c>
      <c r="C337" s="981" t="str">
        <f>VLOOKUP(mJAN[[#This Row],[CÓDIGO CONTABIL]],Contas_Gerencial[#All],3,FALSE)</f>
        <v>BENEFICIO</v>
      </c>
      <c r="D337" s="981" t="str">
        <f>VLOOKUP(mJAN[[#This Row],[DESCRIÇÃO CONTABIL]],Contas_Gerencial[[#All],[DESCRIÇÃO DA CONTA - NÃO UTILIZAR]:[Código2]],2,FALSE)</f>
        <v>20.05.007</v>
      </c>
      <c r="E337" s="121" t="s">
        <v>25</v>
      </c>
      <c r="F337" s="453" t="s">
        <v>581</v>
      </c>
      <c r="G337" s="107" t="s">
        <v>1130</v>
      </c>
      <c r="H337" s="453" t="s">
        <v>1791</v>
      </c>
      <c r="I337" s="455">
        <v>70126</v>
      </c>
      <c r="J337" s="453" t="s">
        <v>581</v>
      </c>
      <c r="K337" s="453" t="s">
        <v>2148</v>
      </c>
      <c r="L337" s="453" t="s">
        <v>1766</v>
      </c>
      <c r="M337" s="457">
        <v>46029</v>
      </c>
      <c r="N337" s="457">
        <v>46029</v>
      </c>
      <c r="O337" s="457">
        <v>46029</v>
      </c>
      <c r="P337" s="453" t="s">
        <v>214</v>
      </c>
      <c r="Q337" s="458">
        <v>154</v>
      </c>
      <c r="R337" s="467">
        <v>0</v>
      </c>
      <c r="S337" s="467">
        <v>0</v>
      </c>
      <c r="T337" s="982">
        <f>SUM(mJAN[[#This Row],[PRINCIPAL]:[JUROS]])</f>
        <v>154</v>
      </c>
      <c r="U337" s="2"/>
      <c r="Y337" s="2"/>
    </row>
    <row r="338" spans="2:25" ht="21" customHeight="1">
      <c r="B338" s="5" t="str">
        <f t="shared" si="5"/>
        <v>1/26</v>
      </c>
      <c r="C338" s="981" t="str">
        <f>VLOOKUP(mJAN[[#This Row],[CÓDIGO CONTABIL]],Contas_Gerencial[#All],3,FALSE)</f>
        <v>BENEFICIO</v>
      </c>
      <c r="D338" s="981" t="str">
        <f>VLOOKUP(mJAN[[#This Row],[DESCRIÇÃO CONTABIL]],Contas_Gerencial[[#All],[DESCRIÇÃO DA CONTA - NÃO UTILIZAR]:[Código2]],2,FALSE)</f>
        <v>20.05.006</v>
      </c>
      <c r="E338" s="121" t="s">
        <v>24</v>
      </c>
      <c r="F338" s="453" t="s">
        <v>581</v>
      </c>
      <c r="G338" s="107" t="s">
        <v>1130</v>
      </c>
      <c r="H338" s="453" t="s">
        <v>1791</v>
      </c>
      <c r="I338" s="455">
        <v>70126</v>
      </c>
      <c r="J338" s="453" t="s">
        <v>581</v>
      </c>
      <c r="K338" s="453" t="s">
        <v>2148</v>
      </c>
      <c r="L338" s="453" t="s">
        <v>1766</v>
      </c>
      <c r="M338" s="457">
        <v>46029</v>
      </c>
      <c r="N338" s="457">
        <v>46029</v>
      </c>
      <c r="O338" s="457">
        <v>46029</v>
      </c>
      <c r="P338" s="453" t="s">
        <v>214</v>
      </c>
      <c r="Q338" s="458">
        <v>708</v>
      </c>
      <c r="R338" s="467">
        <v>0</v>
      </c>
      <c r="S338" s="467">
        <v>0</v>
      </c>
      <c r="T338" s="982">
        <f>SUM(mJAN[[#This Row],[PRINCIPAL]:[JUROS]])</f>
        <v>708</v>
      </c>
      <c r="U338" s="2"/>
      <c r="Y338" s="2"/>
    </row>
    <row r="339" spans="2:25" ht="21" customHeight="1">
      <c r="B339" s="5" t="str">
        <f t="shared" si="5"/>
        <v>1/26</v>
      </c>
      <c r="C339" s="981" t="str">
        <f>VLOOKUP(mJAN[[#This Row],[CÓDIGO CONTABIL]],Contas_Gerencial[#All],3,FALSE)</f>
        <v>SERVIÇOS DE TERCEIROS</v>
      </c>
      <c r="D339" s="981" t="str">
        <f>VLOOKUP(mJAN[[#This Row],[DESCRIÇÃO CONTABIL]],Contas_Gerencial[[#All],[DESCRIÇÃO DA CONTA - NÃO UTILIZAR]:[Código2]],2,FALSE)</f>
        <v>20.07.028</v>
      </c>
      <c r="E339" s="121" t="s">
        <v>881</v>
      </c>
      <c r="F339" s="453" t="s">
        <v>41</v>
      </c>
      <c r="G339" s="107" t="s">
        <v>595</v>
      </c>
      <c r="H339" s="453" t="s">
        <v>2149</v>
      </c>
      <c r="I339" s="455">
        <v>18137346</v>
      </c>
      <c r="J339" s="453" t="s">
        <v>524</v>
      </c>
      <c r="K339" s="453" t="s">
        <v>2150</v>
      </c>
      <c r="L339" s="453" t="s">
        <v>1766</v>
      </c>
      <c r="M339" s="457">
        <v>46027</v>
      </c>
      <c r="N339" s="457">
        <v>46032</v>
      </c>
      <c r="O339" s="457">
        <v>46030</v>
      </c>
      <c r="P339" s="452" t="s">
        <v>214</v>
      </c>
      <c r="Q339" s="458">
        <v>909.4</v>
      </c>
      <c r="R339" s="467">
        <v>0</v>
      </c>
      <c r="S339" s="467">
        <v>0</v>
      </c>
      <c r="T339" s="982">
        <f>SUM(mJAN[[#This Row],[PRINCIPAL]:[JUROS]])</f>
        <v>909.4</v>
      </c>
    </row>
    <row r="340" spans="2:25" ht="21" customHeight="1">
      <c r="B340" s="5" t="str">
        <f t="shared" si="5"/>
        <v>1/26</v>
      </c>
      <c r="C340" s="981" t="str">
        <f>VLOOKUP(mJAN[[#This Row],[CÓDIGO CONTABIL]],Contas_Gerencial[#All],3,FALSE)</f>
        <v>FOLHA DE PAGAMENTO</v>
      </c>
      <c r="D340" s="981" t="str">
        <f>VLOOKUP(mJAN[[#This Row],[DESCRIÇÃO CONTABIL]],Contas_Gerencial[[#All],[DESCRIÇÃO DA CONTA - NÃO UTILIZAR]:[Código2]],2,FALSE)</f>
        <v>20.05.016</v>
      </c>
      <c r="E340" s="121" t="s">
        <v>65</v>
      </c>
      <c r="F340" s="453" t="s">
        <v>41</v>
      </c>
      <c r="G340" s="107" t="s">
        <v>1767</v>
      </c>
      <c r="H340" s="453" t="s">
        <v>1791</v>
      </c>
      <c r="I340" s="455">
        <v>393</v>
      </c>
      <c r="J340" s="453" t="s">
        <v>41</v>
      </c>
      <c r="K340" s="453" t="s">
        <v>2151</v>
      </c>
      <c r="L340" s="453" t="s">
        <v>1766</v>
      </c>
      <c r="M340" s="457">
        <v>46024</v>
      </c>
      <c r="N340" s="457">
        <v>46052</v>
      </c>
      <c r="O340" s="457">
        <v>46048</v>
      </c>
      <c r="P340" s="453" t="s">
        <v>214</v>
      </c>
      <c r="Q340" s="458">
        <v>2479.5500000000002</v>
      </c>
      <c r="R340" s="467">
        <v>0</v>
      </c>
      <c r="S340" s="467">
        <v>0</v>
      </c>
      <c r="T340" s="982">
        <f>SUM(mJAN[[#This Row],[PRINCIPAL]:[JUROS]])</f>
        <v>2479.5500000000002</v>
      </c>
      <c r="U340" s="172"/>
      <c r="Y340" s="172"/>
    </row>
    <row r="341" spans="2:25" ht="21" customHeight="1">
      <c r="B341" s="5" t="str">
        <f t="shared" si="5"/>
        <v>1/26</v>
      </c>
      <c r="C341" s="990" t="str">
        <f>VLOOKUP(mJAN[[#This Row],[CÓDIGO CONTABIL]],Contas_Gerencial[#All],3,FALSE)</f>
        <v>DESPESAS FIXAS</v>
      </c>
      <c r="D341" s="990" t="str">
        <f>VLOOKUP(mJAN[[#This Row],[DESCRIÇÃO CONTABIL]],Contas_Gerencial[[#All],[DESCRIÇÃO DA CONTA - NÃO UTILIZAR]:[Código2]],2,FALSE)</f>
        <v>20.02.008</v>
      </c>
      <c r="E341" s="121" t="s">
        <v>343</v>
      </c>
      <c r="F341" s="453" t="s">
        <v>41</v>
      </c>
      <c r="G341" s="107" t="s">
        <v>1130</v>
      </c>
      <c r="H341" s="453" t="s">
        <v>1802</v>
      </c>
      <c r="I341" s="455">
        <v>120126</v>
      </c>
      <c r="J341" s="453" t="s">
        <v>1925</v>
      </c>
      <c r="K341" s="453" t="s">
        <v>2159</v>
      </c>
      <c r="L341" s="453" t="s">
        <v>1766</v>
      </c>
      <c r="M341" s="457">
        <v>46034</v>
      </c>
      <c r="N341" s="457">
        <v>46034</v>
      </c>
      <c r="O341" s="457">
        <v>46034</v>
      </c>
      <c r="P341" s="452" t="s">
        <v>214</v>
      </c>
      <c r="Q341" s="458">
        <v>247.76</v>
      </c>
      <c r="R341" s="467">
        <v>0</v>
      </c>
      <c r="S341" s="467">
        <v>0</v>
      </c>
      <c r="T341" s="991">
        <f>SUM(mJAN[[#This Row],[PRINCIPAL]:[JUROS]])</f>
        <v>247.76</v>
      </c>
      <c r="U341" s="147"/>
      <c r="Y341" s="147"/>
    </row>
    <row r="342" spans="2:25" ht="21" customHeight="1">
      <c r="B342" s="5" t="str">
        <f t="shared" si="5"/>
        <v>1/26</v>
      </c>
      <c r="C342" s="990" t="str">
        <f>VLOOKUP(mJAN[[#This Row],[CÓDIGO CONTABIL]],Contas_Gerencial[#All],3,FALSE)</f>
        <v>FOLHA DE PAGAMENTO</v>
      </c>
      <c r="D342" s="990" t="str">
        <f>VLOOKUP(mJAN[[#This Row],[DESCRIÇÃO CONTABIL]],Contas_Gerencial[[#All],[DESCRIÇÃO DA CONTA - NÃO UTILIZAR]:[Código2]],2,FALSE)</f>
        <v>20.05.013</v>
      </c>
      <c r="E342" s="121" t="s">
        <v>401</v>
      </c>
      <c r="F342" s="453" t="s">
        <v>581</v>
      </c>
      <c r="G342" s="107" t="s">
        <v>1137</v>
      </c>
      <c r="H342" s="453" t="s">
        <v>1802</v>
      </c>
      <c r="I342" s="455">
        <v>150126</v>
      </c>
      <c r="J342" s="453" t="s">
        <v>581</v>
      </c>
      <c r="K342" s="453" t="s">
        <v>2160</v>
      </c>
      <c r="L342" s="453" t="s">
        <v>1766</v>
      </c>
      <c r="M342" s="457">
        <v>46034</v>
      </c>
      <c r="N342" s="457">
        <v>46034</v>
      </c>
      <c r="O342" s="457">
        <v>46037</v>
      </c>
      <c r="P342" s="452" t="s">
        <v>214</v>
      </c>
      <c r="Q342" s="458">
        <v>90</v>
      </c>
      <c r="R342" s="467">
        <v>0</v>
      </c>
      <c r="S342" s="467">
        <v>0</v>
      </c>
      <c r="T342" s="991">
        <f>SUM(mJAN[[#This Row],[PRINCIPAL]:[JUROS]])</f>
        <v>90</v>
      </c>
      <c r="U342" s="147"/>
      <c r="Y342" s="147"/>
    </row>
    <row r="343" spans="2:25" ht="21" customHeight="1">
      <c r="B343" s="5" t="str">
        <f t="shared" si="5"/>
        <v>1/26</v>
      </c>
      <c r="C343" s="999" t="str">
        <f>VLOOKUP(mJAN[[#This Row],[CÓDIGO CONTABIL]],Contas_Gerencial[#All],3,FALSE)</f>
        <v>TRIBUTOS</v>
      </c>
      <c r="D343" s="999" t="str">
        <f>VLOOKUP(mJAN[[#This Row],[DESCRIÇÃO CONTABIL]],Contas_Gerencial[[#All],[DESCRIÇÃO DA CONTA - NÃO UTILIZAR]:[Código2]],2,FALSE)</f>
        <v>20.08.005</v>
      </c>
      <c r="E343" s="107" t="s">
        <v>2649</v>
      </c>
      <c r="F343" s="453" t="s">
        <v>41</v>
      </c>
      <c r="G343" s="107" t="s">
        <v>595</v>
      </c>
      <c r="H343" s="453" t="s">
        <v>2161</v>
      </c>
      <c r="I343" s="455" t="s">
        <v>2162</v>
      </c>
      <c r="J343" s="453" t="s">
        <v>757</v>
      </c>
      <c r="K343" s="453" t="s">
        <v>2164</v>
      </c>
      <c r="L343" s="453" t="s">
        <v>1766</v>
      </c>
      <c r="M343" s="457">
        <v>46034</v>
      </c>
      <c r="N343" s="457">
        <v>46052</v>
      </c>
      <c r="O343" s="457">
        <v>46045</v>
      </c>
      <c r="P343" s="453" t="s">
        <v>214</v>
      </c>
      <c r="Q343" s="458">
        <v>859.98</v>
      </c>
      <c r="R343" s="467">
        <v>0</v>
      </c>
      <c r="S343" s="467">
        <v>0</v>
      </c>
      <c r="T343" s="1000">
        <f>SUM(mJAN[[#This Row],[PRINCIPAL]:[JUROS]])</f>
        <v>859.98</v>
      </c>
      <c r="U343" s="147"/>
      <c r="Y343" s="147"/>
    </row>
    <row r="344" spans="2:25" ht="21" customHeight="1">
      <c r="B344" s="5" t="str">
        <f t="shared" si="5"/>
        <v>1/26</v>
      </c>
      <c r="C344" s="999" t="str">
        <f>VLOOKUP(mJAN[[#This Row],[CÓDIGO CONTABIL]],Contas_Gerencial[#All],3,FALSE)</f>
        <v>TRIBUTOS</v>
      </c>
      <c r="D344" s="999" t="str">
        <f>VLOOKUP(mJAN[[#This Row],[DESCRIÇÃO CONTABIL]],Contas_Gerencial[[#All],[DESCRIÇÃO DA CONTA - NÃO UTILIZAR]:[Código2]],2,FALSE)</f>
        <v>20.08.007</v>
      </c>
      <c r="E344" s="121" t="s">
        <v>2652</v>
      </c>
      <c r="F344" s="453" t="s">
        <v>41</v>
      </c>
      <c r="G344" s="107" t="s">
        <v>595</v>
      </c>
      <c r="H344" s="453" t="s">
        <v>2161</v>
      </c>
      <c r="I344" s="455" t="s">
        <v>2163</v>
      </c>
      <c r="J344" s="453" t="s">
        <v>757</v>
      </c>
      <c r="K344" s="453" t="s">
        <v>2164</v>
      </c>
      <c r="L344" s="453" t="s">
        <v>1766</v>
      </c>
      <c r="M344" s="457">
        <v>46034</v>
      </c>
      <c r="N344" s="457">
        <v>46052</v>
      </c>
      <c r="O344" s="457">
        <v>46045</v>
      </c>
      <c r="P344" s="453" t="s">
        <v>214</v>
      </c>
      <c r="Q344" s="458">
        <v>227.86</v>
      </c>
      <c r="R344" s="467">
        <v>0</v>
      </c>
      <c r="S344" s="467">
        <v>0</v>
      </c>
      <c r="T344" s="1000">
        <f>SUM(mJAN[[#This Row],[PRINCIPAL]:[JUROS]])</f>
        <v>227.86</v>
      </c>
      <c r="U344" s="147"/>
      <c r="Y344" s="147"/>
    </row>
    <row r="345" spans="2:25" ht="21" customHeight="1">
      <c r="B345" s="5" t="str">
        <f t="shared" si="5"/>
        <v>1/26</v>
      </c>
      <c r="C345" s="999" t="str">
        <f>VLOOKUP(mJAN[[#This Row],[CÓDIGO CONTABIL]],Contas_Gerencial[#All],3,FALSE)</f>
        <v>SERVIÇOS DE TERCEIROS</v>
      </c>
      <c r="D345" s="999" t="str">
        <f>VLOOKUP(mJAN[[#This Row],[DESCRIÇÃO CONTABIL]],Contas_Gerencial[[#All],[DESCRIÇÃO DA CONTA - NÃO UTILIZAR]:[Código2]],2,FALSE)</f>
        <v>20.07.016</v>
      </c>
      <c r="E345" s="121" t="s">
        <v>60</v>
      </c>
      <c r="F345" s="453" t="s">
        <v>41</v>
      </c>
      <c r="G345" s="107" t="s">
        <v>595</v>
      </c>
      <c r="H345" s="453" t="s">
        <v>1827</v>
      </c>
      <c r="I345" s="455" t="s">
        <v>2201</v>
      </c>
      <c r="J345" s="453" t="s">
        <v>1960</v>
      </c>
      <c r="K345" s="453" t="s">
        <v>2165</v>
      </c>
      <c r="L345" s="453" t="s">
        <v>1766</v>
      </c>
      <c r="M345" s="457">
        <v>46035</v>
      </c>
      <c r="N345" s="457">
        <v>46037</v>
      </c>
      <c r="O345" s="457">
        <v>46039</v>
      </c>
      <c r="P345" s="453" t="s">
        <v>214</v>
      </c>
      <c r="Q345" s="458">
        <v>3683.66</v>
      </c>
      <c r="R345" s="467">
        <v>0</v>
      </c>
      <c r="S345" s="467">
        <v>0</v>
      </c>
      <c r="T345" s="1000">
        <f>SUM(mJAN[[#This Row],[PRINCIPAL]:[JUROS]])</f>
        <v>3683.66</v>
      </c>
      <c r="U345" s="2"/>
      <c r="Y345" s="2"/>
    </row>
    <row r="346" spans="2:25" ht="21" customHeight="1">
      <c r="B346" s="5" t="str">
        <f t="shared" si="5"/>
        <v>1/26</v>
      </c>
      <c r="C346" s="1009" t="str">
        <f>VLOOKUP(mJAN[[#This Row],[CÓDIGO CONTABIL]],Contas_Gerencial[#All],3,FALSE)</f>
        <v>SERVIÇOS DE TERCEIROS</v>
      </c>
      <c r="D346" s="1009" t="str">
        <f>VLOOKUP(mJAN[[#This Row],[DESCRIÇÃO CONTABIL]],Contas_Gerencial[[#All],[DESCRIÇÃO DA CONTA - NÃO UTILIZAR]:[Código2]],2,FALSE)</f>
        <v>20.07.016</v>
      </c>
      <c r="E346" s="121" t="s">
        <v>60</v>
      </c>
      <c r="F346" s="453" t="s">
        <v>41</v>
      </c>
      <c r="G346" s="107" t="s">
        <v>595</v>
      </c>
      <c r="H346" s="453" t="s">
        <v>1827</v>
      </c>
      <c r="I346" s="455" t="s">
        <v>2227</v>
      </c>
      <c r="J346" s="453" t="s">
        <v>1960</v>
      </c>
      <c r="K346" s="453" t="s">
        <v>2179</v>
      </c>
      <c r="L346" s="453" t="s">
        <v>1766</v>
      </c>
      <c r="M346" s="457">
        <v>46039</v>
      </c>
      <c r="N346" s="457">
        <v>46045</v>
      </c>
      <c r="O346" s="457">
        <v>46045</v>
      </c>
      <c r="P346" s="453" t="s">
        <v>214</v>
      </c>
      <c r="Q346" s="458">
        <v>1555.24</v>
      </c>
      <c r="R346" s="467">
        <v>0</v>
      </c>
      <c r="S346" s="467">
        <v>0</v>
      </c>
      <c r="T346" s="1010">
        <f>SUM(mJAN[[#This Row],[PRINCIPAL]:[JUROS]])</f>
        <v>1555.24</v>
      </c>
      <c r="U346" s="2"/>
      <c r="Y346" s="2"/>
    </row>
    <row r="347" spans="2:25" ht="21" customHeight="1">
      <c r="B347" s="5" t="str">
        <f t="shared" si="5"/>
        <v>1/26</v>
      </c>
      <c r="C347" s="999" t="str">
        <f>VLOOKUP(mJAN[[#This Row],[CÓDIGO CONTABIL]],Contas_Gerencial[#All],3,FALSE)</f>
        <v>FOLHA DE PAGAMENTO</v>
      </c>
      <c r="D347" s="999" t="str">
        <f>VLOOKUP(mJAN[[#This Row],[DESCRIÇÃO CONTABIL]],Contas_Gerencial[[#All],[DESCRIÇÃO DA CONTA - NÃO UTILIZAR]:[Código2]],2,FALSE)</f>
        <v>20.05.013</v>
      </c>
      <c r="E347" s="121" t="s">
        <v>401</v>
      </c>
      <c r="F347" s="453" t="s">
        <v>581</v>
      </c>
      <c r="G347" s="107" t="s">
        <v>1991</v>
      </c>
      <c r="H347" s="453" t="s">
        <v>1802</v>
      </c>
      <c r="I347" s="455">
        <v>150126</v>
      </c>
      <c r="J347" s="453" t="s">
        <v>581</v>
      </c>
      <c r="K347" s="453" t="s">
        <v>2167</v>
      </c>
      <c r="L347" s="453" t="s">
        <v>1766</v>
      </c>
      <c r="M347" s="457">
        <v>46037</v>
      </c>
      <c r="N347" s="457">
        <v>46037</v>
      </c>
      <c r="O347" s="457">
        <v>46037</v>
      </c>
      <c r="P347" s="452" t="s">
        <v>214</v>
      </c>
      <c r="Q347" s="458">
        <v>90</v>
      </c>
      <c r="R347" s="467">
        <v>0</v>
      </c>
      <c r="S347" s="467">
        <v>0</v>
      </c>
      <c r="T347" s="1000">
        <f>SUM(mJAN[[#This Row],[PRINCIPAL]:[JUROS]])</f>
        <v>90</v>
      </c>
    </row>
    <row r="348" spans="2:25" ht="21" customHeight="1">
      <c r="B348" s="5" t="str">
        <f t="shared" si="5"/>
        <v>1/26</v>
      </c>
      <c r="C348" s="1009" t="str">
        <f>VLOOKUP(mJAN[[#This Row],[CÓDIGO CONTABIL]],Contas_Gerencial[#All],3,FALSE)</f>
        <v>DESPESAS FIXAS</v>
      </c>
      <c r="D348" s="1009" t="str">
        <f>VLOOKUP(mJAN[[#This Row],[DESCRIÇÃO CONTABIL]],Contas_Gerencial[[#All],[DESCRIÇÃO DA CONTA - NÃO UTILIZAR]:[Código2]],2,FALSE)</f>
        <v>20.02.008</v>
      </c>
      <c r="E348" s="121" t="s">
        <v>343</v>
      </c>
      <c r="F348" s="453" t="s">
        <v>41</v>
      </c>
      <c r="G348" s="107" t="s">
        <v>1130</v>
      </c>
      <c r="H348" s="453" t="s">
        <v>2168</v>
      </c>
      <c r="I348" s="455">
        <v>458342</v>
      </c>
      <c r="J348" s="453" t="s">
        <v>1857</v>
      </c>
      <c r="K348" s="453" t="s">
        <v>2169</v>
      </c>
      <c r="L348" s="453" t="s">
        <v>1766</v>
      </c>
      <c r="M348" s="457">
        <v>46038</v>
      </c>
      <c r="N348" s="457">
        <v>46038</v>
      </c>
      <c r="O348" s="457">
        <v>46038</v>
      </c>
      <c r="P348" s="452" t="s">
        <v>214</v>
      </c>
      <c r="Q348" s="458">
        <v>249.7</v>
      </c>
      <c r="R348" s="467">
        <v>0</v>
      </c>
      <c r="S348" s="467">
        <v>0</v>
      </c>
      <c r="T348" s="1010">
        <f>SUM(mJAN[[#This Row],[PRINCIPAL]:[JUROS]])</f>
        <v>249.7</v>
      </c>
      <c r="U348" s="172"/>
      <c r="Y348" s="172"/>
    </row>
    <row r="349" spans="2:25" ht="21" customHeight="1">
      <c r="B349" s="5" t="str">
        <f t="shared" si="5"/>
        <v>1/26</v>
      </c>
      <c r="C349" s="1009" t="str">
        <f>VLOOKUP(mJAN[[#This Row],[CÓDIGO CONTABIL]],Contas_Gerencial[#All],3,FALSE)</f>
        <v>FOLHA DE PAGAMENTO</v>
      </c>
      <c r="D349" s="1009" t="str">
        <f>VLOOKUP(mJAN[[#This Row],[DESCRIÇÃO CONTABIL]],Contas_Gerencial[[#All],[DESCRIÇÃO DA CONTA - NÃO UTILIZAR]:[Código2]],2,FALSE)</f>
        <v>20.05.013</v>
      </c>
      <c r="E349" s="121" t="s">
        <v>401</v>
      </c>
      <c r="F349" s="453" t="s">
        <v>581</v>
      </c>
      <c r="G349" s="107" t="s">
        <v>1003</v>
      </c>
      <c r="H349" s="453" t="s">
        <v>1802</v>
      </c>
      <c r="I349" s="455">
        <v>160126</v>
      </c>
      <c r="J349" s="453" t="s">
        <v>581</v>
      </c>
      <c r="K349" s="453" t="s">
        <v>2170</v>
      </c>
      <c r="L349" s="453" t="s">
        <v>1766</v>
      </c>
      <c r="M349" s="457">
        <v>46036</v>
      </c>
      <c r="N349" s="457">
        <v>46038</v>
      </c>
      <c r="O349" s="457">
        <v>46038</v>
      </c>
      <c r="P349" s="452" t="s">
        <v>214</v>
      </c>
      <c r="Q349" s="458">
        <f>130*2</f>
        <v>260</v>
      </c>
      <c r="R349" s="467">
        <v>0</v>
      </c>
      <c r="S349" s="467">
        <v>0</v>
      </c>
      <c r="T349" s="1010">
        <f>SUM(mJAN[[#This Row],[PRINCIPAL]:[JUROS]])</f>
        <v>260</v>
      </c>
      <c r="U349" s="147"/>
      <c r="Y349" s="147"/>
    </row>
    <row r="350" spans="2:25" ht="21" customHeight="1">
      <c r="B350" s="5" t="str">
        <f t="shared" si="5"/>
        <v>1/26</v>
      </c>
      <c r="C350" s="1009" t="str">
        <f>VLOOKUP(mJAN[[#This Row],[CÓDIGO CONTABIL]],Contas_Gerencial[#All],3,FALSE)</f>
        <v>FOLHA DE PAGAMENTO</v>
      </c>
      <c r="D350" s="1009" t="str">
        <f>VLOOKUP(mJAN[[#This Row],[DESCRIÇÃO CONTABIL]],Contas_Gerencial[[#All],[DESCRIÇÃO DA CONTA - NÃO UTILIZAR]:[Código2]],2,FALSE)</f>
        <v>20.05.013</v>
      </c>
      <c r="E350" s="121" t="s">
        <v>401</v>
      </c>
      <c r="F350" s="453" t="s">
        <v>581</v>
      </c>
      <c r="G350" s="107" t="s">
        <v>1137</v>
      </c>
      <c r="H350" s="453" t="s">
        <v>1802</v>
      </c>
      <c r="I350" s="455">
        <v>160126</v>
      </c>
      <c r="J350" s="453" t="s">
        <v>581</v>
      </c>
      <c r="K350" s="453" t="s">
        <v>2171</v>
      </c>
      <c r="L350" s="453" t="s">
        <v>1766</v>
      </c>
      <c r="M350" s="457">
        <v>46038</v>
      </c>
      <c r="N350" s="457">
        <v>46038</v>
      </c>
      <c r="O350" s="457">
        <v>46038</v>
      </c>
      <c r="P350" s="452" t="s">
        <v>214</v>
      </c>
      <c r="Q350" s="458">
        <v>90</v>
      </c>
      <c r="R350" s="467">
        <v>0</v>
      </c>
      <c r="S350" s="467">
        <v>0</v>
      </c>
      <c r="T350" s="1010">
        <f>SUM(mJAN[[#This Row],[PRINCIPAL]:[JUROS]])</f>
        <v>90</v>
      </c>
      <c r="U350" s="147"/>
      <c r="Y350" s="147"/>
    </row>
    <row r="351" spans="2:25" ht="21" customHeight="1">
      <c r="B351" s="5" t="str">
        <f t="shared" si="5"/>
        <v>1/26</v>
      </c>
      <c r="C351" s="1009" t="str">
        <f>VLOOKUP(mJAN[[#This Row],[CÓDIGO CONTABIL]],Contas_Gerencial[#All],3,FALSE)</f>
        <v>DESPESAS FIXAS</v>
      </c>
      <c r="D351" s="1009" t="str">
        <f>VLOOKUP(mJAN[[#This Row],[DESCRIÇÃO CONTABIL]],Contas_Gerencial[[#All],[DESCRIÇÃO DA CONTA - NÃO UTILIZAR]:[Código2]],2,FALSE)</f>
        <v>20.02.008</v>
      </c>
      <c r="E351" s="121" t="s">
        <v>343</v>
      </c>
      <c r="F351" s="453" t="s">
        <v>41</v>
      </c>
      <c r="G351" s="107" t="s">
        <v>595</v>
      </c>
      <c r="H351" s="453" t="s">
        <v>2168</v>
      </c>
      <c r="I351" s="455">
        <v>704677</v>
      </c>
      <c r="J351" s="453" t="s">
        <v>1857</v>
      </c>
      <c r="K351" s="453" t="s">
        <v>2174</v>
      </c>
      <c r="L351" s="453" t="s">
        <v>1766</v>
      </c>
      <c r="M351" s="457">
        <v>46042</v>
      </c>
      <c r="N351" s="457">
        <v>46042</v>
      </c>
      <c r="O351" s="457">
        <v>46042</v>
      </c>
      <c r="P351" s="452" t="s">
        <v>214</v>
      </c>
      <c r="Q351" s="458">
        <v>269.43</v>
      </c>
      <c r="R351" s="467">
        <v>0</v>
      </c>
      <c r="S351" s="467">
        <v>0</v>
      </c>
      <c r="T351" s="1010">
        <f>SUM(mJAN[[#This Row],[PRINCIPAL]:[JUROS]])</f>
        <v>269.43</v>
      </c>
      <c r="U351" s="147"/>
      <c r="Y351" s="147"/>
    </row>
    <row r="352" spans="2:25" ht="21" customHeight="1">
      <c r="B352" s="5" t="str">
        <f t="shared" si="5"/>
        <v>1/26</v>
      </c>
      <c r="C352" s="1009" t="str">
        <f>VLOOKUP(mJAN[[#This Row],[CÓDIGO CONTABIL]],Contas_Gerencial[#All],3,FALSE)</f>
        <v>FOLHA DE PAGAMENTO</v>
      </c>
      <c r="D352" s="1009" t="str">
        <f>VLOOKUP(mJAN[[#This Row],[DESCRIÇÃO CONTABIL]],Contas_Gerencial[[#All],[DESCRIÇÃO DA CONTA - NÃO UTILIZAR]:[Código2]],2,FALSE)</f>
        <v>20.05.022</v>
      </c>
      <c r="E352" s="121" t="s">
        <v>20</v>
      </c>
      <c r="F352" s="453" t="s">
        <v>581</v>
      </c>
      <c r="G352" s="107" t="s">
        <v>1081</v>
      </c>
      <c r="H352" s="453" t="s">
        <v>1791</v>
      </c>
      <c r="I352" s="455">
        <v>190126</v>
      </c>
      <c r="J352" s="453" t="s">
        <v>581</v>
      </c>
      <c r="K352" s="453" t="s">
        <v>2175</v>
      </c>
      <c r="L352" s="453" t="s">
        <v>1766</v>
      </c>
      <c r="M352" s="457">
        <v>46031</v>
      </c>
      <c r="N352" s="457">
        <v>46041</v>
      </c>
      <c r="O352" s="457">
        <v>46041</v>
      </c>
      <c r="P352" s="452" t="s">
        <v>214</v>
      </c>
      <c r="Q352" s="458">
        <v>0</v>
      </c>
      <c r="R352" s="467">
        <v>0</v>
      </c>
      <c r="S352" s="467">
        <v>0</v>
      </c>
      <c r="T352" s="1010">
        <f>SUM(mJAN[[#This Row],[PRINCIPAL]:[JUROS]])</f>
        <v>0</v>
      </c>
      <c r="U352" s="147"/>
      <c r="Y352" s="147"/>
    </row>
    <row r="353" spans="2:25" ht="21" customHeight="1">
      <c r="B353" s="5" t="str">
        <f t="shared" si="5"/>
        <v>1/26</v>
      </c>
      <c r="C353" s="1009" t="str">
        <f>VLOOKUP(mJAN[[#This Row],[CÓDIGO CONTABIL]],Contas_Gerencial[#All],3,FALSE)</f>
        <v>ENCARGOS</v>
      </c>
      <c r="D353" s="1009" t="str">
        <f>VLOOKUP(mJAN[[#This Row],[DESCRIÇÃO CONTABIL]],Contas_Gerencial[[#All],[DESCRIÇÃO DA CONTA - NÃO UTILIZAR]:[Código2]],2,FALSE)</f>
        <v>20.04.006</v>
      </c>
      <c r="E353" s="121" t="s">
        <v>1180</v>
      </c>
      <c r="F353" s="453" t="s">
        <v>581</v>
      </c>
      <c r="G353" s="107" t="s">
        <v>1081</v>
      </c>
      <c r="H353" s="453" t="s">
        <v>1180</v>
      </c>
      <c r="I353" s="455">
        <v>200126</v>
      </c>
      <c r="J353" s="453" t="s">
        <v>384</v>
      </c>
      <c r="K353" s="453" t="s">
        <v>2175</v>
      </c>
      <c r="L353" s="453" t="s">
        <v>1766</v>
      </c>
      <c r="M353" s="457">
        <v>46028</v>
      </c>
      <c r="N353" s="457">
        <v>46042</v>
      </c>
      <c r="O353" s="457">
        <v>46042</v>
      </c>
      <c r="P353" s="452" t="s">
        <v>214</v>
      </c>
      <c r="Q353" s="458">
        <v>83.36</v>
      </c>
      <c r="R353" s="467">
        <v>0</v>
      </c>
      <c r="S353" s="467">
        <v>0</v>
      </c>
      <c r="T353" s="1010">
        <f>SUM(mJAN[[#This Row],[PRINCIPAL]:[JUROS]])</f>
        <v>83.36</v>
      </c>
      <c r="U353" s="2"/>
      <c r="Y353" s="2"/>
    </row>
    <row r="354" spans="2:25" ht="21" customHeight="1">
      <c r="B354" s="5" t="str">
        <f t="shared" si="5"/>
        <v>1/26</v>
      </c>
      <c r="C354" s="1009" t="str">
        <f>VLOOKUP(mJAN[[#This Row],[CÓDIGO CONTABIL]],Contas_Gerencial[#All],3,FALSE)</f>
        <v>DESPESAS GERAIS</v>
      </c>
      <c r="D354" s="1009" t="str">
        <f>VLOOKUP(mJAN[[#This Row],[DESCRIÇÃO CONTABIL]],Contas_Gerencial[[#All],[DESCRIÇÃO DA CONTA - NÃO UTILIZAR]:[Código2]],2,FALSE)</f>
        <v>20.03.005</v>
      </c>
      <c r="E354" s="121" t="s">
        <v>34</v>
      </c>
      <c r="F354" s="453" t="s">
        <v>581</v>
      </c>
      <c r="G354" s="107" t="s">
        <v>1130</v>
      </c>
      <c r="H354" s="453" t="s">
        <v>1827</v>
      </c>
      <c r="I354" s="453" t="s">
        <v>2177</v>
      </c>
      <c r="J354" s="453" t="s">
        <v>651</v>
      </c>
      <c r="K354" s="453" t="s">
        <v>2178</v>
      </c>
      <c r="L354" s="453" t="s">
        <v>1766</v>
      </c>
      <c r="M354" s="457">
        <v>46042</v>
      </c>
      <c r="N354" s="457">
        <v>46042</v>
      </c>
      <c r="O354" s="457">
        <v>46042</v>
      </c>
      <c r="P354" s="452" t="s">
        <v>214</v>
      </c>
      <c r="Q354" s="458">
        <v>350</v>
      </c>
      <c r="R354" s="467">
        <v>0</v>
      </c>
      <c r="S354" s="467">
        <v>0</v>
      </c>
      <c r="T354" s="1010">
        <f>SUM(mJAN[[#This Row],[PRINCIPAL]:[JUROS]])</f>
        <v>350</v>
      </c>
      <c r="U354" s="2"/>
      <c r="Y354" s="2"/>
    </row>
    <row r="355" spans="2:25" ht="21" customHeight="1">
      <c r="B355" s="5" t="str">
        <f t="shared" si="5"/>
        <v>1/26</v>
      </c>
      <c r="C355" s="1009" t="str">
        <f>VLOOKUP(mJAN[[#This Row],[CÓDIGO CONTABIL]],Contas_Gerencial[#All],3,FALSE)</f>
        <v>DESPESAS GERAIS</v>
      </c>
      <c r="D355" s="1009" t="str">
        <f>VLOOKUP(mJAN[[#This Row],[DESCRIÇÃO CONTABIL]],Contas_Gerencial[[#All],[DESCRIÇÃO DA CONTA - NÃO UTILIZAR]:[Código2]],2,FALSE)</f>
        <v>20.03.008</v>
      </c>
      <c r="E355" s="121" t="s">
        <v>36</v>
      </c>
      <c r="F355" s="453" t="s">
        <v>41</v>
      </c>
      <c r="G355" s="107" t="s">
        <v>1081</v>
      </c>
      <c r="H355" s="453" t="s">
        <v>1803</v>
      </c>
      <c r="I355" s="455" t="s">
        <v>2188</v>
      </c>
      <c r="J355" s="453" t="s">
        <v>2115</v>
      </c>
      <c r="K355" s="453" t="s">
        <v>2186</v>
      </c>
      <c r="L355" s="453" t="s">
        <v>2187</v>
      </c>
      <c r="M355" s="457">
        <v>46007</v>
      </c>
      <c r="N355" s="457">
        <v>46045</v>
      </c>
      <c r="O355" s="457">
        <v>46044</v>
      </c>
      <c r="P355" s="452" t="s">
        <v>214</v>
      </c>
      <c r="Q355" s="458">
        <v>347.5</v>
      </c>
      <c r="R355" s="467">
        <v>0</v>
      </c>
      <c r="S355" s="467">
        <v>0</v>
      </c>
      <c r="T355" s="1010">
        <f>SUM(mJAN[[#This Row],[PRINCIPAL]:[JUROS]])</f>
        <v>347.5</v>
      </c>
    </row>
    <row r="356" spans="2:25" ht="21" customHeight="1">
      <c r="B356" s="5" t="str">
        <f t="shared" si="5"/>
        <v>1/26</v>
      </c>
      <c r="C356" s="1009" t="str">
        <f>VLOOKUP(mJAN[[#This Row],[CÓDIGO CONTABIL]],Contas_Gerencial[#All],3,FALSE)</f>
        <v>DESPESAS GERAIS</v>
      </c>
      <c r="D356" s="1009" t="str">
        <f>VLOOKUP(mJAN[[#This Row],[DESCRIÇÃO CONTABIL]],Contas_Gerencial[[#All],[DESCRIÇÃO DA CONTA - NÃO UTILIZAR]:[Código2]],2,FALSE)</f>
        <v>20.03.006</v>
      </c>
      <c r="E356" s="121" t="s">
        <v>6</v>
      </c>
      <c r="F356" s="453" t="s">
        <v>41</v>
      </c>
      <c r="G356" s="454" t="s">
        <v>49</v>
      </c>
      <c r="H356" s="453" t="s">
        <v>1788</v>
      </c>
      <c r="I356" s="481">
        <v>2361</v>
      </c>
      <c r="J356" s="453" t="s">
        <v>1105</v>
      </c>
      <c r="K356" s="453" t="s">
        <v>2192</v>
      </c>
      <c r="L356" s="451" t="s">
        <v>2137</v>
      </c>
      <c r="M356" s="457">
        <v>46042</v>
      </c>
      <c r="N356" s="457">
        <v>46042</v>
      </c>
      <c r="O356" s="457">
        <v>46045</v>
      </c>
      <c r="P356" s="452" t="s">
        <v>214</v>
      </c>
      <c r="Q356" s="458">
        <v>568.54999999999995</v>
      </c>
      <c r="R356" s="467">
        <v>0</v>
      </c>
      <c r="S356" s="467">
        <v>0</v>
      </c>
      <c r="T356" s="1010">
        <f>SUM(mJAN[[#This Row],[PRINCIPAL]:[JUROS]])</f>
        <v>568.54999999999995</v>
      </c>
      <c r="U356" s="445"/>
      <c r="Y356" s="445"/>
    </row>
    <row r="357" spans="2:25" ht="21" customHeight="1">
      <c r="B357" s="5" t="str">
        <f t="shared" si="5"/>
        <v>1/26</v>
      </c>
      <c r="C357" s="1009" t="str">
        <f>VLOOKUP(mJAN[[#This Row],[CÓDIGO CONTABIL]],Contas_Gerencial[#All],3,FALSE)</f>
        <v>DESPESAS GERAIS</v>
      </c>
      <c r="D357" s="1009" t="str">
        <f>VLOOKUP(mJAN[[#This Row],[DESCRIÇÃO CONTABIL]],Contas_Gerencial[[#All],[DESCRIÇÃO DA CONTA - NÃO UTILIZAR]:[Código2]],2,FALSE)</f>
        <v>20.03.004</v>
      </c>
      <c r="E357" s="121" t="s">
        <v>46</v>
      </c>
      <c r="F357" s="453" t="s">
        <v>41</v>
      </c>
      <c r="G357" s="107" t="s">
        <v>595</v>
      </c>
      <c r="H357" s="453" t="s">
        <v>1788</v>
      </c>
      <c r="I357" s="455">
        <v>18273</v>
      </c>
      <c r="J357" s="453" t="s">
        <v>326</v>
      </c>
      <c r="K357" s="453" t="s">
        <v>2193</v>
      </c>
      <c r="L357" s="456" t="s">
        <v>1766</v>
      </c>
      <c r="M357" s="457">
        <v>46014</v>
      </c>
      <c r="N357" s="457">
        <v>46014</v>
      </c>
      <c r="O357" s="457">
        <v>46045</v>
      </c>
      <c r="P357" s="452" t="s">
        <v>214</v>
      </c>
      <c r="Q357" s="458">
        <v>116.54</v>
      </c>
      <c r="R357" s="467">
        <v>0</v>
      </c>
      <c r="S357" s="467">
        <v>0</v>
      </c>
      <c r="T357" s="1010">
        <f>SUM(mJAN[[#This Row],[PRINCIPAL]:[JUROS]])</f>
        <v>116.54</v>
      </c>
      <c r="U357" s="445"/>
      <c r="Y357" s="445"/>
    </row>
    <row r="358" spans="2:25" ht="21" customHeight="1">
      <c r="B358" s="5" t="str">
        <f t="shared" si="5"/>
        <v>1/26</v>
      </c>
      <c r="C358" s="1009" t="str">
        <f>VLOOKUP(mJAN[[#This Row],[CÓDIGO CONTABIL]],Contas_Gerencial[#All],3,FALSE)</f>
        <v>UNIFORME</v>
      </c>
      <c r="D358" s="1009" t="str">
        <f>VLOOKUP(mJAN[[#This Row],[DESCRIÇÃO CONTABIL]],Contas_Gerencial[[#All],[DESCRIÇÃO DA CONTA - NÃO UTILIZAR]:[Código2]],2,FALSE)</f>
        <v>20.05.028</v>
      </c>
      <c r="E358" s="121" t="s">
        <v>10</v>
      </c>
      <c r="F358" s="453" t="s">
        <v>41</v>
      </c>
      <c r="G358" s="107" t="s">
        <v>1130</v>
      </c>
      <c r="H358" s="453" t="s">
        <v>1788</v>
      </c>
      <c r="I358" s="616">
        <v>818767</v>
      </c>
      <c r="J358" s="453" t="s">
        <v>327</v>
      </c>
      <c r="K358" s="453" t="s">
        <v>2194</v>
      </c>
      <c r="L358" s="456" t="s">
        <v>1766</v>
      </c>
      <c r="M358" s="457">
        <v>46021</v>
      </c>
      <c r="N358" s="457">
        <v>46021</v>
      </c>
      <c r="O358" s="457">
        <v>46045</v>
      </c>
      <c r="P358" s="452" t="s">
        <v>214</v>
      </c>
      <c r="Q358" s="458">
        <v>150</v>
      </c>
      <c r="R358" s="467">
        <v>0</v>
      </c>
      <c r="S358" s="467">
        <v>0</v>
      </c>
      <c r="T358" s="1010">
        <f>SUM(mJAN[[#This Row],[PRINCIPAL]:[JUROS]])</f>
        <v>150</v>
      </c>
      <c r="U358" s="445"/>
      <c r="Y358" s="445"/>
    </row>
    <row r="359" spans="2:25" ht="21" customHeight="1">
      <c r="B359" s="5" t="str">
        <f t="shared" si="5"/>
        <v>1/26</v>
      </c>
      <c r="C359" s="1009" t="str">
        <f>VLOOKUP(mJAN[[#This Row],[CÓDIGO CONTABIL]],Contas_Gerencial[#All],3,FALSE)</f>
        <v>DESPESAS FIXAS</v>
      </c>
      <c r="D359" s="1009" t="str">
        <f>VLOOKUP(mJAN[[#This Row],[DESCRIÇÃO CONTABIL]],Contas_Gerencial[[#All],[DESCRIÇÃO DA CONTA - NÃO UTILIZAR]:[Código2]],2,FALSE)</f>
        <v>20.02.008</v>
      </c>
      <c r="E359" s="121" t="s">
        <v>343</v>
      </c>
      <c r="F359" s="453" t="s">
        <v>41</v>
      </c>
      <c r="G359" s="107" t="s">
        <v>1130</v>
      </c>
      <c r="H359" s="453" t="s">
        <v>2168</v>
      </c>
      <c r="I359" s="455">
        <v>946</v>
      </c>
      <c r="J359" s="453" t="s">
        <v>1938</v>
      </c>
      <c r="K359" s="453" t="s">
        <v>2195</v>
      </c>
      <c r="L359" s="453" t="s">
        <v>1766</v>
      </c>
      <c r="M359" s="457">
        <v>46027</v>
      </c>
      <c r="N359" s="457">
        <v>46027</v>
      </c>
      <c r="O359" s="457">
        <v>46045</v>
      </c>
      <c r="P359" s="452" t="s">
        <v>214</v>
      </c>
      <c r="Q359" s="458">
        <v>62.7</v>
      </c>
      <c r="R359" s="467">
        <v>0</v>
      </c>
      <c r="S359" s="467">
        <v>0</v>
      </c>
      <c r="T359" s="1010">
        <f>SUM(mJAN[[#This Row],[PRINCIPAL]:[JUROS]])</f>
        <v>62.7</v>
      </c>
      <c r="U359" s="445"/>
      <c r="Y359" s="445"/>
    </row>
    <row r="360" spans="2:25" ht="21" customHeight="1">
      <c r="B360" s="5" t="str">
        <f t="shared" si="5"/>
        <v>1/26</v>
      </c>
      <c r="C360" s="1009" t="str">
        <f>VLOOKUP(mJAN[[#This Row],[CÓDIGO CONTABIL]],Contas_Gerencial[#All],3,FALSE)</f>
        <v>UNIFORME</v>
      </c>
      <c r="D360" s="1009" t="str">
        <f>VLOOKUP(mJAN[[#This Row],[DESCRIÇÃO CONTABIL]],Contas_Gerencial[[#All],[DESCRIÇÃO DA CONTA - NÃO UTILIZAR]:[Código2]],2,FALSE)</f>
        <v>20.05.028</v>
      </c>
      <c r="E360" s="121" t="s">
        <v>10</v>
      </c>
      <c r="F360" s="453" t="s">
        <v>41</v>
      </c>
      <c r="G360" s="107" t="s">
        <v>49</v>
      </c>
      <c r="H360" s="453" t="s">
        <v>1827</v>
      </c>
      <c r="I360" s="616">
        <v>819589</v>
      </c>
      <c r="J360" s="453" t="s">
        <v>327</v>
      </c>
      <c r="K360" s="453" t="s">
        <v>2196</v>
      </c>
      <c r="L360" s="453" t="s">
        <v>1766</v>
      </c>
      <c r="M360" s="457">
        <v>46031</v>
      </c>
      <c r="N360" s="457">
        <v>46031</v>
      </c>
      <c r="O360" s="457">
        <v>46045</v>
      </c>
      <c r="P360" s="452" t="s">
        <v>214</v>
      </c>
      <c r="Q360" s="458">
        <v>140</v>
      </c>
      <c r="R360" s="467">
        <v>0</v>
      </c>
      <c r="S360" s="467">
        <v>0</v>
      </c>
      <c r="T360" s="1010">
        <f>SUM(mJAN[[#This Row],[PRINCIPAL]:[JUROS]])</f>
        <v>140</v>
      </c>
      <c r="U360" s="445"/>
      <c r="Y360" s="445"/>
    </row>
    <row r="361" spans="2:25" ht="21" customHeight="1">
      <c r="B361" s="5" t="str">
        <f t="shared" si="5"/>
        <v>1/26</v>
      </c>
      <c r="C361" s="1009" t="str">
        <f>VLOOKUP(mJAN[[#This Row],[CÓDIGO CONTABIL]],Contas_Gerencial[#All],3,FALSE)</f>
        <v>UNIFORME</v>
      </c>
      <c r="D361" s="1009" t="str">
        <f>VLOOKUP(mJAN[[#This Row],[DESCRIÇÃO CONTABIL]],Contas_Gerencial[[#All],[DESCRIÇÃO DA CONTA - NÃO UTILIZAR]:[Código2]],2,FALSE)</f>
        <v>20.05.028</v>
      </c>
      <c r="E361" s="121" t="s">
        <v>10</v>
      </c>
      <c r="F361" s="453" t="s">
        <v>41</v>
      </c>
      <c r="G361" s="107" t="s">
        <v>1767</v>
      </c>
      <c r="H361" s="453" t="s">
        <v>1827</v>
      </c>
      <c r="I361" s="616">
        <v>819589</v>
      </c>
      <c r="J361" s="453" t="s">
        <v>327</v>
      </c>
      <c r="K361" s="453" t="s">
        <v>2197</v>
      </c>
      <c r="L361" s="453" t="s">
        <v>1766</v>
      </c>
      <c r="M361" s="457">
        <v>46031</v>
      </c>
      <c r="N361" s="457">
        <v>46031</v>
      </c>
      <c r="O361" s="457">
        <v>46045</v>
      </c>
      <c r="P361" s="452" t="s">
        <v>214</v>
      </c>
      <c r="Q361" s="458">
        <v>140</v>
      </c>
      <c r="R361" s="467">
        <v>0</v>
      </c>
      <c r="S361" s="467">
        <v>0</v>
      </c>
      <c r="T361" s="1010">
        <f>SUM(mJAN[[#This Row],[PRINCIPAL]:[JUROS]])</f>
        <v>140</v>
      </c>
      <c r="U361" s="445"/>
      <c r="Y361" s="445"/>
    </row>
    <row r="362" spans="2:25" ht="21" customHeight="1">
      <c r="B362" s="5" t="str">
        <f t="shared" si="5"/>
        <v>1/26</v>
      </c>
      <c r="C362" s="1009" t="str">
        <f>VLOOKUP(mJAN[[#This Row],[CÓDIGO CONTABIL]],Contas_Gerencial[#All],3,FALSE)</f>
        <v>DESPESAS GERAIS</v>
      </c>
      <c r="D362" s="1009" t="str">
        <f>VLOOKUP(mJAN[[#This Row],[DESCRIÇÃO CONTABIL]],Contas_Gerencial[[#All],[DESCRIÇÃO DA CONTA - NÃO UTILIZAR]:[Código2]],2,FALSE)</f>
        <v>20.03.005</v>
      </c>
      <c r="E362" s="121" t="s">
        <v>34</v>
      </c>
      <c r="F362" s="453" t="s">
        <v>581</v>
      </c>
      <c r="G362" s="107" t="s">
        <v>1130</v>
      </c>
      <c r="H362" s="453" t="s">
        <v>1827</v>
      </c>
      <c r="I362" s="616">
        <v>1981</v>
      </c>
      <c r="J362" s="453" t="s">
        <v>809</v>
      </c>
      <c r="K362" s="453" t="s">
        <v>2198</v>
      </c>
      <c r="L362" s="453" t="s">
        <v>1766</v>
      </c>
      <c r="M362" s="457">
        <v>46036</v>
      </c>
      <c r="N362" s="457">
        <v>46036</v>
      </c>
      <c r="O362" s="457">
        <v>46045</v>
      </c>
      <c r="P362" s="452" t="s">
        <v>214</v>
      </c>
      <c r="Q362" s="458">
        <v>19.899999999999999</v>
      </c>
      <c r="R362" s="467">
        <v>0</v>
      </c>
      <c r="S362" s="467">
        <v>0</v>
      </c>
      <c r="T362" s="1010">
        <f>SUM(mJAN[[#This Row],[PRINCIPAL]:[JUROS]])</f>
        <v>19.899999999999999</v>
      </c>
      <c r="U362" s="445"/>
      <c r="Y362" s="445"/>
    </row>
    <row r="363" spans="2:25" ht="21" customHeight="1">
      <c r="B363" s="5" t="str">
        <f t="shared" si="5"/>
        <v>1/26</v>
      </c>
      <c r="C363" s="1009" t="str">
        <f>VLOOKUP(mJAN[[#This Row],[CÓDIGO CONTABIL]],Contas_Gerencial[#All],3,FALSE)</f>
        <v>FOLHA DE PAGAMENTO</v>
      </c>
      <c r="D363" s="1009" t="str">
        <f>VLOOKUP(mJAN[[#This Row],[DESCRIÇÃO CONTABIL]],Contas_Gerencial[[#All],[DESCRIÇÃO DA CONTA - NÃO UTILIZAR]:[Código2]],2,FALSE)</f>
        <v>20.05.013</v>
      </c>
      <c r="E363" s="121" t="s">
        <v>401</v>
      </c>
      <c r="F363" s="453" t="s">
        <v>581</v>
      </c>
      <c r="G363" s="107" t="s">
        <v>1137</v>
      </c>
      <c r="H363" s="453" t="s">
        <v>1802</v>
      </c>
      <c r="I363" s="455">
        <v>230126</v>
      </c>
      <c r="J363" s="453" t="s">
        <v>581</v>
      </c>
      <c r="K363" s="453" t="s">
        <v>2204</v>
      </c>
      <c r="L363" s="453" t="s">
        <v>1766</v>
      </c>
      <c r="M363" s="457">
        <v>46041</v>
      </c>
      <c r="N363" s="457">
        <v>46045</v>
      </c>
      <c r="O363" s="457">
        <v>46045</v>
      </c>
      <c r="P363" s="452" t="s">
        <v>214</v>
      </c>
      <c r="Q363" s="458">
        <f>90*4</f>
        <v>360</v>
      </c>
      <c r="R363" s="467">
        <v>0</v>
      </c>
      <c r="S363" s="467">
        <v>0</v>
      </c>
      <c r="T363" s="1010">
        <f>SUM(mJAN[[#This Row],[PRINCIPAL]:[JUROS]])</f>
        <v>360</v>
      </c>
    </row>
    <row r="364" spans="2:25" ht="21" customHeight="1">
      <c r="B364" s="5" t="str">
        <f t="shared" si="5"/>
        <v>1/26</v>
      </c>
      <c r="C364" s="1009" t="str">
        <f>VLOOKUP(mJAN[[#This Row],[CÓDIGO CONTABIL]],Contas_Gerencial[#All],3,FALSE)</f>
        <v>FOLHA DE PAGAMENTO</v>
      </c>
      <c r="D364" s="1009" t="str">
        <f>VLOOKUP(mJAN[[#This Row],[DESCRIÇÃO CONTABIL]],Contas_Gerencial[[#All],[DESCRIÇÃO DA CONTA - NÃO UTILIZAR]:[Código2]],2,FALSE)</f>
        <v>20.05.013</v>
      </c>
      <c r="E364" s="121" t="s">
        <v>401</v>
      </c>
      <c r="F364" s="453" t="s">
        <v>581</v>
      </c>
      <c r="G364" s="107" t="s">
        <v>1137</v>
      </c>
      <c r="H364" s="453" t="s">
        <v>1802</v>
      </c>
      <c r="I364" s="455">
        <v>0</v>
      </c>
      <c r="J364" s="453" t="s">
        <v>581</v>
      </c>
      <c r="K364" s="453" t="s">
        <v>2205</v>
      </c>
      <c r="L364" s="453" t="s">
        <v>1766</v>
      </c>
      <c r="M364" s="457">
        <v>46044</v>
      </c>
      <c r="N364" s="457">
        <v>46044</v>
      </c>
      <c r="O364" s="457">
        <v>46044</v>
      </c>
      <c r="P364" s="453" t="s">
        <v>214</v>
      </c>
      <c r="Q364" s="458">
        <v>0</v>
      </c>
      <c r="R364" s="467">
        <v>0</v>
      </c>
      <c r="S364" s="467">
        <v>0</v>
      </c>
      <c r="T364" s="1010">
        <f>SUM(mJAN[[#This Row],[PRINCIPAL]:[JUROS]])</f>
        <v>0</v>
      </c>
      <c r="U364" s="172"/>
      <c r="Y364" s="172"/>
    </row>
    <row r="365" spans="2:25" ht="21" customHeight="1">
      <c r="B365" s="5" t="str">
        <f t="shared" si="5"/>
        <v>1/26</v>
      </c>
      <c r="C365" s="1009" t="str">
        <f>VLOOKUP(mJAN[[#This Row],[CÓDIGO CONTABIL]],Contas_Gerencial[#All],3,FALSE)</f>
        <v>TRIBUTOS</v>
      </c>
      <c r="D365" s="1009" t="str">
        <f>VLOOKUP(mJAN[[#This Row],[DESCRIÇÃO CONTABIL]],Contas_Gerencial[[#All],[DESCRIÇÃO DA CONTA - NÃO UTILIZAR]:[Código2]],2,FALSE)</f>
        <v>20.08.015</v>
      </c>
      <c r="E365" s="121" t="s">
        <v>1159</v>
      </c>
      <c r="F365" s="453" t="s">
        <v>581</v>
      </c>
      <c r="G365" s="107" t="s">
        <v>595</v>
      </c>
      <c r="H365" s="453" t="s">
        <v>2521</v>
      </c>
      <c r="I365" s="481" t="s">
        <v>2220</v>
      </c>
      <c r="J365" s="453" t="s">
        <v>757</v>
      </c>
      <c r="K365" s="453" t="s">
        <v>2221</v>
      </c>
      <c r="L365" s="456" t="s">
        <v>1766</v>
      </c>
      <c r="M365" s="457">
        <v>46044</v>
      </c>
      <c r="N365" s="457">
        <v>46052</v>
      </c>
      <c r="O365" s="457">
        <v>46044</v>
      </c>
      <c r="P365" s="453" t="s">
        <v>214</v>
      </c>
      <c r="Q365" s="458">
        <v>589.62</v>
      </c>
      <c r="R365" s="467">
        <v>117.9</v>
      </c>
      <c r="S365" s="467">
        <v>181.59</v>
      </c>
      <c r="T365" s="1010">
        <f>SUM(mJAN[[#This Row],[PRINCIPAL]:[JUROS]])</f>
        <v>889.11</v>
      </c>
      <c r="U365" s="147"/>
      <c r="Y365" s="147"/>
    </row>
    <row r="366" spans="2:25" ht="21" customHeight="1">
      <c r="B366" s="5" t="str">
        <f t="shared" si="5"/>
        <v>1/26</v>
      </c>
      <c r="C366" s="1009" t="str">
        <f>VLOOKUP(mJAN[[#This Row],[CÓDIGO CONTABIL]],Contas_Gerencial[#All],3,FALSE)</f>
        <v>TRIBUTOS</v>
      </c>
      <c r="D366" s="1009" t="str">
        <f>VLOOKUP(mJAN[[#This Row],[DESCRIÇÃO CONTABIL]],Contas_Gerencial[[#All],[DESCRIÇÃO DA CONTA - NÃO UTILIZAR]:[Código2]],2,FALSE)</f>
        <v>20.08.015</v>
      </c>
      <c r="E366" s="121" t="s">
        <v>1159</v>
      </c>
      <c r="F366" s="453" t="s">
        <v>581</v>
      </c>
      <c r="G366" s="107" t="s">
        <v>595</v>
      </c>
      <c r="H366" s="453" t="s">
        <v>2521</v>
      </c>
      <c r="I366" s="481" t="s">
        <v>2210</v>
      </c>
      <c r="J366" s="453" t="s">
        <v>2209</v>
      </c>
      <c r="K366" s="453" t="s">
        <v>2211</v>
      </c>
      <c r="L366" s="456" t="s">
        <v>2213</v>
      </c>
      <c r="M366" s="457">
        <v>46044</v>
      </c>
      <c r="N366" s="457">
        <v>46052</v>
      </c>
      <c r="O366" s="457">
        <v>46044</v>
      </c>
      <c r="P366" s="453" t="s">
        <v>214</v>
      </c>
      <c r="Q366" s="458">
        <v>1131.29</v>
      </c>
      <c r="R366" s="467">
        <v>52.79</v>
      </c>
      <c r="S366" s="467">
        <v>87.72</v>
      </c>
      <c r="T366" s="1010">
        <f>SUM(mJAN[[#This Row],[PRINCIPAL]:[JUROS]])</f>
        <v>1271.8</v>
      </c>
      <c r="U366" s="147"/>
      <c r="Y366" s="147"/>
    </row>
    <row r="367" spans="2:25" ht="21" customHeight="1">
      <c r="B367" s="5" t="str">
        <f t="shared" si="5"/>
        <v>1/26</v>
      </c>
      <c r="C367" s="1009" t="str">
        <f>VLOOKUP(mJAN[[#This Row],[CÓDIGO CONTABIL]],Contas_Gerencial[#All],3,FALSE)</f>
        <v>TRIBUTOS</v>
      </c>
      <c r="D367" s="1009" t="str">
        <f>VLOOKUP(mJAN[[#This Row],[DESCRIÇÃO CONTABIL]],Contas_Gerencial[[#All],[DESCRIÇÃO DA CONTA - NÃO UTILIZAR]:[Código2]],2,FALSE)</f>
        <v>20.08.015</v>
      </c>
      <c r="E367" s="121" t="s">
        <v>1159</v>
      </c>
      <c r="F367" s="453" t="s">
        <v>581</v>
      </c>
      <c r="G367" s="107" t="s">
        <v>595</v>
      </c>
      <c r="H367" s="453" t="s">
        <v>2521</v>
      </c>
      <c r="I367" s="481" t="s">
        <v>2214</v>
      </c>
      <c r="J367" s="453" t="s">
        <v>2209</v>
      </c>
      <c r="K367" s="453" t="s">
        <v>2215</v>
      </c>
      <c r="L367" s="456" t="s">
        <v>2216</v>
      </c>
      <c r="M367" s="457">
        <v>46044</v>
      </c>
      <c r="N367" s="457">
        <v>46052</v>
      </c>
      <c r="O367" s="457">
        <v>46044</v>
      </c>
      <c r="P367" s="453" t="s">
        <v>214</v>
      </c>
      <c r="Q367" s="458">
        <v>169.99</v>
      </c>
      <c r="R367" s="467">
        <v>33.99</v>
      </c>
      <c r="S367" s="467">
        <v>112.29</v>
      </c>
      <c r="T367" s="1010">
        <f>SUM(mJAN[[#This Row],[PRINCIPAL]:[JUROS]])</f>
        <v>316.27000000000004</v>
      </c>
      <c r="U367" s="147"/>
      <c r="Y367" s="147"/>
    </row>
    <row r="368" spans="2:25" ht="21" customHeight="1">
      <c r="B368" s="5" t="str">
        <f t="shared" si="5"/>
        <v>1/26</v>
      </c>
      <c r="C368" s="1009" t="str">
        <f>VLOOKUP(mJAN[[#This Row],[CÓDIGO CONTABIL]],Contas_Gerencial[#All],3,FALSE)</f>
        <v>TRIBUTOS</v>
      </c>
      <c r="D368" s="1009" t="str">
        <f>VLOOKUP(mJAN[[#This Row],[DESCRIÇÃO CONTABIL]],Contas_Gerencial[[#All],[DESCRIÇÃO DA CONTA - NÃO UTILIZAR]:[Código2]],2,FALSE)</f>
        <v>20.08.015</v>
      </c>
      <c r="E368" s="121" t="s">
        <v>1159</v>
      </c>
      <c r="F368" s="453" t="s">
        <v>581</v>
      </c>
      <c r="G368" s="107" t="s">
        <v>595</v>
      </c>
      <c r="H368" s="453" t="s">
        <v>2521</v>
      </c>
      <c r="I368" s="481" t="s">
        <v>2217</v>
      </c>
      <c r="J368" s="453" t="s">
        <v>2209</v>
      </c>
      <c r="K368" s="453" t="s">
        <v>2233</v>
      </c>
      <c r="L368" s="456" t="s">
        <v>2219</v>
      </c>
      <c r="M368" s="457">
        <v>46044</v>
      </c>
      <c r="N368" s="457">
        <v>46052</v>
      </c>
      <c r="O368" s="457">
        <v>46044</v>
      </c>
      <c r="P368" s="453" t="s">
        <v>214</v>
      </c>
      <c r="Q368" s="458">
        <v>336.09</v>
      </c>
      <c r="R368" s="467">
        <v>67.209999999999994</v>
      </c>
      <c r="S368" s="467">
        <v>102.25</v>
      </c>
      <c r="T368" s="1010">
        <f>SUM(mJAN[[#This Row],[PRINCIPAL]:[JUROS]])</f>
        <v>505.54999999999995</v>
      </c>
      <c r="U368" s="147"/>
      <c r="Y368" s="147"/>
    </row>
    <row r="369" spans="2:25" ht="21" customHeight="1">
      <c r="B369" s="5" t="str">
        <f t="shared" si="5"/>
        <v>1/26</v>
      </c>
      <c r="C369" s="1009" t="str">
        <f>VLOOKUP(mJAN[[#This Row],[CÓDIGO CONTABIL]],Contas_Gerencial[#All],3,FALSE)</f>
        <v>TRIBUTOS</v>
      </c>
      <c r="D369" s="1009" t="str">
        <f>VLOOKUP(mJAN[[#This Row],[DESCRIÇÃO CONTABIL]],Contas_Gerencial[[#All],[DESCRIÇÃO DA CONTA - NÃO UTILIZAR]:[Código2]],2,FALSE)</f>
        <v>20.08.015</v>
      </c>
      <c r="E369" s="121" t="s">
        <v>1159</v>
      </c>
      <c r="F369" s="453" t="s">
        <v>581</v>
      </c>
      <c r="G369" s="107" t="s">
        <v>595</v>
      </c>
      <c r="H369" s="453" t="s">
        <v>2517</v>
      </c>
      <c r="I369" s="453" t="s">
        <v>2206</v>
      </c>
      <c r="J369" s="453" t="s">
        <v>757</v>
      </c>
      <c r="K369" s="1013" t="s">
        <v>2207</v>
      </c>
      <c r="L369" s="456" t="s">
        <v>2212</v>
      </c>
      <c r="M369" s="457">
        <v>46045</v>
      </c>
      <c r="N369" s="457">
        <v>46045</v>
      </c>
      <c r="O369" s="457">
        <v>46045</v>
      </c>
      <c r="P369" s="453" t="s">
        <v>214</v>
      </c>
      <c r="Q369" s="458">
        <v>33154.42</v>
      </c>
      <c r="R369" s="467">
        <v>6630.8</v>
      </c>
      <c r="S369" s="467">
        <v>9601.68</v>
      </c>
      <c r="T369" s="1010">
        <f>SUM(mJAN[[#This Row],[PRINCIPAL]:[JUROS]])</f>
        <v>49386.9</v>
      </c>
      <c r="U369" s="2"/>
      <c r="Y369" s="2"/>
    </row>
    <row r="370" spans="2:25" ht="21" customHeight="1">
      <c r="B370" s="5" t="str">
        <f t="shared" si="5"/>
        <v>1/26</v>
      </c>
      <c r="C370" s="1009" t="str">
        <f>VLOOKUP(mJAN[[#This Row],[CÓDIGO CONTABIL]],Contas_Gerencial[#All],3,FALSE)</f>
        <v>DESPESAS FIXAS</v>
      </c>
      <c r="D370" s="1009" t="str">
        <f>VLOOKUP(mJAN[[#This Row],[DESCRIÇÃO CONTABIL]],Contas_Gerencial[[#All],[DESCRIÇÃO DA CONTA - NÃO UTILIZAR]:[Código2]],2,FALSE)</f>
        <v>20.02.008</v>
      </c>
      <c r="E370" s="121" t="s">
        <v>343</v>
      </c>
      <c r="F370" s="453" t="s">
        <v>41</v>
      </c>
      <c r="G370" s="107" t="s">
        <v>595</v>
      </c>
      <c r="H370" s="453" t="s">
        <v>2168</v>
      </c>
      <c r="I370" s="455">
        <v>83427</v>
      </c>
      <c r="J370" s="453" t="s">
        <v>2223</v>
      </c>
      <c r="K370" s="453" t="s">
        <v>2222</v>
      </c>
      <c r="L370" s="453" t="s">
        <v>1766</v>
      </c>
      <c r="M370" s="457">
        <v>46047</v>
      </c>
      <c r="N370" s="457">
        <v>46047</v>
      </c>
      <c r="O370" s="457">
        <v>46047</v>
      </c>
      <c r="P370" s="452" t="s">
        <v>214</v>
      </c>
      <c r="Q370" s="458">
        <v>300.02</v>
      </c>
      <c r="R370" s="467">
        <v>0</v>
      </c>
      <c r="S370" s="467">
        <v>0</v>
      </c>
      <c r="T370" s="1010">
        <f>SUM(mJAN[[#This Row],[PRINCIPAL]:[JUROS]])</f>
        <v>300.02</v>
      </c>
      <c r="U370" s="2"/>
      <c r="Y370" s="2"/>
    </row>
    <row r="371" spans="2:25" ht="21" customHeight="1">
      <c r="B371" s="5" t="str">
        <f t="shared" si="5"/>
        <v>1/26</v>
      </c>
      <c r="C371" s="1009" t="str">
        <f>VLOOKUP(mJAN[[#This Row],[CÓDIGO CONTABIL]],Contas_Gerencial[#All],3,FALSE)</f>
        <v>FOLHA DE PAGAMENTO</v>
      </c>
      <c r="D371" s="1009" t="str">
        <f>VLOOKUP(mJAN[[#This Row],[DESCRIÇÃO CONTABIL]],Contas_Gerencial[[#All],[DESCRIÇÃO DA CONTA - NÃO UTILIZAR]:[Código2]],2,FALSE)</f>
        <v>20.05.022</v>
      </c>
      <c r="E371" s="121" t="s">
        <v>20</v>
      </c>
      <c r="F371" s="453" t="s">
        <v>581</v>
      </c>
      <c r="G371" s="107" t="s">
        <v>1137</v>
      </c>
      <c r="H371" s="453" t="s">
        <v>20</v>
      </c>
      <c r="I371" s="455">
        <v>270126</v>
      </c>
      <c r="J371" s="453" t="s">
        <v>581</v>
      </c>
      <c r="K371" s="453" t="s">
        <v>2224</v>
      </c>
      <c r="L371" s="453" t="s">
        <v>1766</v>
      </c>
      <c r="M371" s="457">
        <v>46042</v>
      </c>
      <c r="N371" s="457">
        <v>46052</v>
      </c>
      <c r="O371" s="457">
        <v>46049</v>
      </c>
      <c r="P371" s="452" t="s">
        <v>214</v>
      </c>
      <c r="Q371" s="458">
        <v>1012.11</v>
      </c>
      <c r="R371" s="467">
        <v>0</v>
      </c>
      <c r="S371" s="467">
        <v>0</v>
      </c>
      <c r="T371" s="1010">
        <f>SUM(mJAN[[#This Row],[PRINCIPAL]:[JUROS]])</f>
        <v>1012.11</v>
      </c>
    </row>
    <row r="372" spans="2:25" ht="21" customHeight="1">
      <c r="B372" s="5" t="str">
        <f t="shared" si="5"/>
        <v>1/26</v>
      </c>
      <c r="C372" s="1009" t="str">
        <f>VLOOKUP(mJAN[[#This Row],[CÓDIGO CONTABIL]],Contas_Gerencial[#All],3,FALSE)</f>
        <v>ENCARGOS</v>
      </c>
      <c r="D372" s="1009" t="str">
        <f>VLOOKUP(mJAN[[#This Row],[DESCRIÇÃO CONTABIL]],Contas_Gerencial[[#All],[DESCRIÇÃO DA CONTA - NÃO UTILIZAR]:[Código2]],2,FALSE)</f>
        <v>20.04.006</v>
      </c>
      <c r="E372" s="121" t="s">
        <v>1180</v>
      </c>
      <c r="F372" s="453" t="s">
        <v>581</v>
      </c>
      <c r="G372" s="107" t="s">
        <v>1137</v>
      </c>
      <c r="H372" s="453" t="s">
        <v>1180</v>
      </c>
      <c r="I372" s="455">
        <v>260125</v>
      </c>
      <c r="J372" s="453" t="s">
        <v>384</v>
      </c>
      <c r="K372" s="453" t="s">
        <v>2224</v>
      </c>
      <c r="L372" s="453" t="s">
        <v>1766</v>
      </c>
      <c r="M372" s="457">
        <v>46028</v>
      </c>
      <c r="N372" s="457">
        <v>46042</v>
      </c>
      <c r="O372" s="457">
        <v>46042</v>
      </c>
      <c r="P372" s="452" t="s">
        <v>214</v>
      </c>
      <c r="Q372" s="458">
        <v>90.87</v>
      </c>
      <c r="R372" s="467">
        <v>0</v>
      </c>
      <c r="S372" s="467">
        <v>0</v>
      </c>
      <c r="T372" s="1010">
        <f>SUM(mJAN[[#This Row],[PRINCIPAL]:[JUROS]])</f>
        <v>90.87</v>
      </c>
    </row>
    <row r="373" spans="2:25" ht="21" customHeight="1">
      <c r="B373" s="5" t="str">
        <f t="shared" si="5"/>
        <v>1/26</v>
      </c>
      <c r="C373" s="1009" t="str">
        <f>VLOOKUP(mJAN[[#This Row],[CÓDIGO CONTABIL]],Contas_Gerencial[#All],3,FALSE)</f>
        <v>FOLHA DE PAGAMENTO</v>
      </c>
      <c r="D373" s="1009" t="str">
        <f>VLOOKUP(mJAN[[#This Row],[DESCRIÇÃO CONTABIL]],Contas_Gerencial[[#All],[DESCRIÇÃO DA CONTA - NÃO UTILIZAR]:[Código2]],2,FALSE)</f>
        <v>20.05.011</v>
      </c>
      <c r="E373" s="121" t="s">
        <v>78</v>
      </c>
      <c r="F373" s="453" t="s">
        <v>41</v>
      </c>
      <c r="G373" s="107" t="s">
        <v>1767</v>
      </c>
      <c r="H373" s="453" t="s">
        <v>1791</v>
      </c>
      <c r="I373" s="455">
        <v>260126</v>
      </c>
      <c r="J373" s="453" t="s">
        <v>41</v>
      </c>
      <c r="K373" s="453" t="s">
        <v>2225</v>
      </c>
      <c r="L373" s="453" t="s">
        <v>1766</v>
      </c>
      <c r="M373" s="457">
        <v>46048</v>
      </c>
      <c r="N373" s="457">
        <v>46048</v>
      </c>
      <c r="O373" s="457">
        <v>46048</v>
      </c>
      <c r="P373" s="452" t="s">
        <v>214</v>
      </c>
      <c r="Q373" s="458">
        <v>500</v>
      </c>
      <c r="R373" s="467">
        <v>0</v>
      </c>
      <c r="S373" s="467">
        <v>0</v>
      </c>
      <c r="T373" s="1010">
        <f>SUM(mJAN[[#This Row],[PRINCIPAL]:[JUROS]])</f>
        <v>500</v>
      </c>
    </row>
    <row r="374" spans="2:25" ht="21" customHeight="1">
      <c r="B374" s="5" t="str">
        <f t="shared" si="5"/>
        <v>1/26</v>
      </c>
      <c r="C374" s="1009" t="str">
        <f>VLOOKUP(mJAN[[#This Row],[CÓDIGO CONTABIL]],Contas_Gerencial[#All],3,FALSE)</f>
        <v>FOLHA DE PAGAMENTO</v>
      </c>
      <c r="D374" s="1009" t="str">
        <f>VLOOKUP(mJAN[[#This Row],[DESCRIÇÃO CONTABIL]],Contas_Gerencial[[#All],[DESCRIÇÃO DA CONTA - NÃO UTILIZAR]:[Código2]],2,FALSE)</f>
        <v>20.05.013</v>
      </c>
      <c r="E374" s="121" t="s">
        <v>401</v>
      </c>
      <c r="F374" s="453" t="s">
        <v>581</v>
      </c>
      <c r="G374" s="107" t="s">
        <v>1137</v>
      </c>
      <c r="H374" s="453" t="s">
        <v>1802</v>
      </c>
      <c r="I374" s="455">
        <v>270126</v>
      </c>
      <c r="J374" s="453" t="s">
        <v>581</v>
      </c>
      <c r="K374" s="453" t="s">
        <v>2226</v>
      </c>
      <c r="L374" s="453" t="s">
        <v>1766</v>
      </c>
      <c r="M374" s="457">
        <v>46049</v>
      </c>
      <c r="N374" s="457">
        <v>46049</v>
      </c>
      <c r="O374" s="457">
        <v>46049</v>
      </c>
      <c r="P374" s="453" t="s">
        <v>214</v>
      </c>
      <c r="Q374" s="458">
        <v>0</v>
      </c>
      <c r="R374" s="467">
        <v>0</v>
      </c>
      <c r="S374" s="467">
        <v>0</v>
      </c>
      <c r="T374" s="1010">
        <f>SUM(mJAN[[#This Row],[PRINCIPAL]:[JUROS]])</f>
        <v>0</v>
      </c>
    </row>
    <row r="375" spans="2:25" ht="21" customHeight="1">
      <c r="B375" s="5" t="str">
        <f t="shared" si="5"/>
        <v>1/26</v>
      </c>
      <c r="C375" s="5" t="str">
        <f>VLOOKUP(mJAN[[#This Row],[CÓDIGO CONTABIL]],Contas_Gerencial[#All],3,FALSE)</f>
        <v>TRIBUTOS</v>
      </c>
      <c r="D375" s="5" t="str">
        <f>VLOOKUP(mJAN[[#This Row],[DESCRIÇÃO CONTABIL]],Contas_Gerencial[[#All],[DESCRIÇÃO DA CONTA - NÃO UTILIZAR]:[Código2]],2,FALSE)</f>
        <v>20.08.015</v>
      </c>
      <c r="E375" s="121" t="s">
        <v>1159</v>
      </c>
      <c r="F375" s="453" t="s">
        <v>582</v>
      </c>
      <c r="G375" s="107" t="s">
        <v>595</v>
      </c>
      <c r="H375" s="453" t="s">
        <v>2517</v>
      </c>
      <c r="I375" s="481" t="s">
        <v>2228</v>
      </c>
      <c r="J375" s="453" t="s">
        <v>757</v>
      </c>
      <c r="K375" s="1013" t="s">
        <v>2229</v>
      </c>
      <c r="L375" s="456" t="s">
        <v>2212</v>
      </c>
      <c r="M375" s="457">
        <v>46052</v>
      </c>
      <c r="N375" s="457">
        <v>46052</v>
      </c>
      <c r="O375" s="457">
        <v>46052</v>
      </c>
      <c r="P375" s="453" t="s">
        <v>214</v>
      </c>
      <c r="Q375" s="458">
        <v>14624.94</v>
      </c>
      <c r="R375" s="467">
        <v>2924.89</v>
      </c>
      <c r="S375" s="467">
        <v>4130.1000000000004</v>
      </c>
      <c r="T375" s="1004">
        <f>SUM(mJAN[[#This Row],[PRINCIPAL]:[JUROS]])</f>
        <v>21679.93</v>
      </c>
    </row>
    <row r="376" spans="2:25" ht="21" customHeight="1">
      <c r="B376" s="5" t="str">
        <f t="shared" si="5"/>
        <v>1/26</v>
      </c>
      <c r="C376" s="5" t="str">
        <f>VLOOKUP(mJAN[[#This Row],[CÓDIGO CONTABIL]],Contas_Gerencial[#All],3,FALSE)</f>
        <v>TRIBUTOS</v>
      </c>
      <c r="D376" s="5" t="str">
        <f>VLOOKUP(mJAN[[#This Row],[DESCRIÇÃO CONTABIL]],Contas_Gerencial[[#All],[DESCRIÇÃO DA CONTA - NÃO UTILIZAR]:[Código2]],2,FALSE)</f>
        <v>20.08.015</v>
      </c>
      <c r="E376" s="121" t="s">
        <v>1159</v>
      </c>
      <c r="F376" s="453" t="s">
        <v>582</v>
      </c>
      <c r="G376" s="107" t="s">
        <v>595</v>
      </c>
      <c r="H376" s="453" t="s">
        <v>2521</v>
      </c>
      <c r="I376" s="481" t="s">
        <v>2230</v>
      </c>
      <c r="J376" s="453" t="s">
        <v>2209</v>
      </c>
      <c r="K376" s="453" t="s">
        <v>2218</v>
      </c>
      <c r="L376" s="456" t="s">
        <v>2216</v>
      </c>
      <c r="M376" s="457">
        <v>46052</v>
      </c>
      <c r="N376" s="457">
        <v>46052</v>
      </c>
      <c r="O376" s="457">
        <v>46052</v>
      </c>
      <c r="P376" s="453" t="s">
        <v>214</v>
      </c>
      <c r="Q376" s="458">
        <v>64.3</v>
      </c>
      <c r="R376" s="467">
        <v>12.86</v>
      </c>
      <c r="S376" s="467">
        <v>25.35</v>
      </c>
      <c r="T376" s="1004">
        <f>SUM(mJAN[[#This Row],[PRINCIPAL]:[JUROS]])</f>
        <v>102.50999999999999</v>
      </c>
    </row>
    <row r="377" spans="2:25" ht="21" customHeight="1">
      <c r="B377" s="5" t="str">
        <f t="shared" si="5"/>
        <v>1/26</v>
      </c>
      <c r="C377" s="5" t="str">
        <f>VLOOKUP(mJAN[[#This Row],[CÓDIGO CONTABIL]],Contas_Gerencial[#All],3,FALSE)</f>
        <v>TRIBUTOS</v>
      </c>
      <c r="D377" s="5" t="str">
        <f>VLOOKUP(mJAN[[#This Row],[DESCRIÇÃO CONTABIL]],Contas_Gerencial[[#All],[DESCRIÇÃO DA CONTA - NÃO UTILIZAR]:[Código2]],2,FALSE)</f>
        <v>20.08.013</v>
      </c>
      <c r="E377" s="121" t="s">
        <v>1086</v>
      </c>
      <c r="F377" s="453" t="s">
        <v>582</v>
      </c>
      <c r="G377" s="107" t="s">
        <v>595</v>
      </c>
      <c r="H377" s="453" t="s">
        <v>1907</v>
      </c>
      <c r="I377" s="481" t="s">
        <v>2231</v>
      </c>
      <c r="J377" s="453" t="s">
        <v>757</v>
      </c>
      <c r="K377" s="453" t="s">
        <v>2232</v>
      </c>
      <c r="L377" s="456" t="s">
        <v>1766</v>
      </c>
      <c r="M377" s="457">
        <v>46052</v>
      </c>
      <c r="N377" s="457">
        <v>46052</v>
      </c>
      <c r="O377" s="457">
        <v>46052</v>
      </c>
      <c r="P377" s="453" t="s">
        <v>214</v>
      </c>
      <c r="Q377" s="458">
        <v>326.66000000000003</v>
      </c>
      <c r="R377" s="467">
        <v>0</v>
      </c>
      <c r="S377" s="467">
        <v>67.05</v>
      </c>
      <c r="T377" s="1004">
        <f>SUM(mJAN[[#This Row],[PRINCIPAL]:[JUROS]])</f>
        <v>393.71000000000004</v>
      </c>
    </row>
    <row r="378" spans="2:25" ht="21" customHeight="1">
      <c r="B378" s="5" t="str">
        <f t="shared" si="5"/>
        <v>1/26</v>
      </c>
      <c r="C378" s="1032" t="str">
        <f>VLOOKUP(mJAN[[#This Row],[CÓDIGO CONTABIL]],Contas_Gerencial[#All],3,FALSE)</f>
        <v>DESPESAS FIXAS</v>
      </c>
      <c r="D378" s="1032" t="str">
        <f>VLOOKUP(mJAN[[#This Row],[DESCRIÇÃO CONTABIL]],Contas_Gerencial[[#All],[DESCRIÇÃO DA CONTA - NÃO UTILIZAR]:[Código2]],2,FALSE)</f>
        <v>20.02.008</v>
      </c>
      <c r="E378" s="121" t="s">
        <v>343</v>
      </c>
      <c r="F378" s="453" t="s">
        <v>41</v>
      </c>
      <c r="G378" s="107" t="s">
        <v>1130</v>
      </c>
      <c r="H378" s="453" t="s">
        <v>2168</v>
      </c>
      <c r="I378" s="455">
        <v>833028</v>
      </c>
      <c r="J378" s="453" t="s">
        <v>1938</v>
      </c>
      <c r="K378" s="453" t="s">
        <v>2195</v>
      </c>
      <c r="L378" s="453" t="s">
        <v>1766</v>
      </c>
      <c r="M378" s="457">
        <v>46052</v>
      </c>
      <c r="N378" s="457">
        <v>46052</v>
      </c>
      <c r="O378" s="457">
        <v>46052</v>
      </c>
      <c r="P378" s="452" t="s">
        <v>214</v>
      </c>
      <c r="Q378" s="458">
        <v>28.26</v>
      </c>
      <c r="R378" s="467">
        <v>0</v>
      </c>
      <c r="S378" s="467">
        <v>0</v>
      </c>
      <c r="T378" s="1033">
        <f>SUM(mJAN[[#This Row],[PRINCIPAL]:[JUROS]])</f>
        <v>28.26</v>
      </c>
    </row>
    <row r="379" spans="2:25" ht="21" customHeight="1">
      <c r="B379" s="5" t="str">
        <f t="shared" si="5"/>
        <v>1/26</v>
      </c>
      <c r="C379" s="5" t="str">
        <f>VLOOKUP(mJAN[[#This Row],[CÓDIGO CONTABIL]],Contas_Gerencial[#All],3,FALSE)</f>
        <v>DESPESAS GERAIS</v>
      </c>
      <c r="D379" s="5" t="str">
        <f>VLOOKUP(mJAN[[#This Row],[DESCRIÇÃO CONTABIL]],Contas_Gerencial[[#All],[DESCRIÇÃO DA CONTA - NÃO UTILIZAR]:[Código2]],2,FALSE)</f>
        <v>20.03.001</v>
      </c>
      <c r="E379" s="121" t="s">
        <v>50</v>
      </c>
      <c r="F379" s="453" t="s">
        <v>41</v>
      </c>
      <c r="G379" s="107" t="s">
        <v>595</v>
      </c>
      <c r="H379" s="453" t="s">
        <v>2237</v>
      </c>
      <c r="I379" s="455">
        <v>300126</v>
      </c>
      <c r="J379" s="453" t="s">
        <v>2238</v>
      </c>
      <c r="K379" s="453" t="s">
        <v>2242</v>
      </c>
      <c r="L379" s="453" t="s">
        <v>1766</v>
      </c>
      <c r="M379" s="457">
        <v>46052</v>
      </c>
      <c r="N379" s="457">
        <v>46052</v>
      </c>
      <c r="O379" s="457">
        <v>46052</v>
      </c>
      <c r="P379" s="452" t="s">
        <v>214</v>
      </c>
      <c r="Q379" s="458">
        <v>90</v>
      </c>
      <c r="R379" s="467">
        <v>0</v>
      </c>
      <c r="S379" s="467">
        <v>0</v>
      </c>
      <c r="T379" s="1004">
        <f>SUM(mJAN[[#This Row],[PRINCIPAL]:[JUROS]])</f>
        <v>90</v>
      </c>
    </row>
    <row r="380" spans="2:25" ht="21" customHeight="1">
      <c r="B380" s="5" t="str">
        <f t="shared" si="5"/>
        <v>1/26</v>
      </c>
      <c r="C380" s="1032" t="str">
        <f>VLOOKUP(mJAN[[#This Row],[CÓDIGO CONTABIL]],Contas_Gerencial[#All],3,FALSE)</f>
        <v>SERVIÇOS DE TERCEIROS</v>
      </c>
      <c r="D380" s="1032" t="str">
        <f>VLOOKUP(mJAN[[#This Row],[DESCRIÇÃO CONTABIL]],Contas_Gerencial[[#All],[DESCRIÇÃO DA CONTA - NÃO UTILIZAR]:[Código2]],2,FALSE)</f>
        <v>20.07.017</v>
      </c>
      <c r="E380" s="121" t="s">
        <v>57</v>
      </c>
      <c r="F380" s="453" t="s">
        <v>581</v>
      </c>
      <c r="G380" s="107" t="s">
        <v>1130</v>
      </c>
      <c r="H380" s="453" t="s">
        <v>1802</v>
      </c>
      <c r="I380" s="455">
        <v>300126</v>
      </c>
      <c r="J380" s="453" t="s">
        <v>508</v>
      </c>
      <c r="K380" s="453" t="s">
        <v>2241</v>
      </c>
      <c r="L380" s="453" t="s">
        <v>1766</v>
      </c>
      <c r="M380" s="457">
        <v>46052</v>
      </c>
      <c r="N380" s="457">
        <v>46052</v>
      </c>
      <c r="O380" s="457">
        <v>46052</v>
      </c>
      <c r="P380" s="452" t="s">
        <v>214</v>
      </c>
      <c r="Q380" s="458">
        <v>20</v>
      </c>
      <c r="R380" s="467">
        <v>0</v>
      </c>
      <c r="S380" s="467">
        <v>0</v>
      </c>
      <c r="T380" s="1033">
        <f>SUM(mJAN[[#This Row],[PRINCIPAL]:[JUROS]])</f>
        <v>20</v>
      </c>
    </row>
    <row r="381" spans="2:25" ht="21" customHeight="1">
      <c r="B381" s="5" t="str">
        <f t="shared" si="5"/>
        <v>1/26</v>
      </c>
      <c r="C381" s="1032" t="str">
        <f>VLOOKUP(mJAN[[#This Row],[CÓDIGO CONTABIL]],Contas_Gerencial[#All],3,FALSE)</f>
        <v>SERVIÇOS DE TERCEIROS</v>
      </c>
      <c r="D381" s="1032" t="str">
        <f>VLOOKUP(mJAN[[#This Row],[DESCRIÇÃO CONTABIL]],Contas_Gerencial[[#All],[DESCRIÇÃO DA CONTA - NÃO UTILIZAR]:[Código2]],2,FALSE)</f>
        <v>20.07.017</v>
      </c>
      <c r="E381" s="121" t="s">
        <v>57</v>
      </c>
      <c r="F381" s="453" t="s">
        <v>581</v>
      </c>
      <c r="G381" s="107" t="s">
        <v>1137</v>
      </c>
      <c r="H381" s="453" t="s">
        <v>1802</v>
      </c>
      <c r="I381" s="455">
        <v>300126</v>
      </c>
      <c r="J381" s="453" t="s">
        <v>2243</v>
      </c>
      <c r="K381" s="453" t="s">
        <v>2244</v>
      </c>
      <c r="L381" s="453" t="s">
        <v>1766</v>
      </c>
      <c r="M381" s="457">
        <v>46052</v>
      </c>
      <c r="N381" s="457">
        <v>46052</v>
      </c>
      <c r="O381" s="457">
        <v>46052</v>
      </c>
      <c r="P381" s="452" t="s">
        <v>214</v>
      </c>
      <c r="Q381" s="458">
        <v>360</v>
      </c>
      <c r="R381" s="467">
        <v>0</v>
      </c>
      <c r="S381" s="467">
        <v>0</v>
      </c>
      <c r="T381" s="1033">
        <f>SUM(mJAN[[#This Row],[PRINCIPAL]:[JUROS]])</f>
        <v>360</v>
      </c>
    </row>
    <row r="382" spans="2:25" ht="21" customHeight="1">
      <c r="B382" s="5" t="str">
        <f t="shared" si="5"/>
        <v>1/26</v>
      </c>
      <c r="C382" s="1032" t="str">
        <f>VLOOKUP(mJAN[[#This Row],[CÓDIGO CONTABIL]],Contas_Gerencial[#All],3,FALSE)</f>
        <v>DESPESAS FIXAS</v>
      </c>
      <c r="D382" s="1032" t="str">
        <f>VLOOKUP(mJAN[[#This Row],[DESCRIÇÃO CONTABIL]],Contas_Gerencial[[#All],[DESCRIÇÃO DA CONTA - NÃO UTILIZAR]:[Código2]],2,FALSE)</f>
        <v>20.02.008</v>
      </c>
      <c r="E382" s="121" t="s">
        <v>343</v>
      </c>
      <c r="F382" s="453" t="s">
        <v>581</v>
      </c>
      <c r="G382" s="107" t="s">
        <v>1130</v>
      </c>
      <c r="H382" s="453" t="s">
        <v>2168</v>
      </c>
      <c r="I382" s="455">
        <v>1520</v>
      </c>
      <c r="J382" s="453" t="s">
        <v>1938</v>
      </c>
      <c r="K382" s="453" t="s">
        <v>2236</v>
      </c>
      <c r="L382" s="453" t="s">
        <v>1766</v>
      </c>
      <c r="M382" s="457">
        <v>46053</v>
      </c>
      <c r="N382" s="457">
        <v>46053</v>
      </c>
      <c r="O382" s="457">
        <v>46053</v>
      </c>
      <c r="P382" s="452" t="s">
        <v>214</v>
      </c>
      <c r="Q382" s="458">
        <v>298.25</v>
      </c>
      <c r="R382" s="467">
        <v>0</v>
      </c>
      <c r="S382" s="467">
        <v>0</v>
      </c>
      <c r="T382" s="1033">
        <f>SUM(mJAN[[#This Row],[PRINCIPAL]:[JUROS]])</f>
        <v>298.25</v>
      </c>
    </row>
    <row r="383" spans="2:25">
      <c r="B383" s="5" t="s">
        <v>197</v>
      </c>
      <c r="C383" s="5"/>
      <c r="D383" s="5"/>
      <c r="E383" s="1030"/>
      <c r="F383" s="1030"/>
      <c r="G383" s="1030"/>
      <c r="H383" s="1030"/>
      <c r="I383" s="1030"/>
      <c r="J383" s="1030"/>
      <c r="K383" s="1030"/>
      <c r="L383" s="1030"/>
      <c r="M383" s="1030"/>
      <c r="N383" s="1030"/>
      <c r="O383" s="1030"/>
      <c r="P383" s="1030" t="s">
        <v>537</v>
      </c>
      <c r="Q383" s="1031">
        <f>SUBTOTAL(109,mJAN[PRINCIPAL])</f>
        <v>515959.88629661046</v>
      </c>
      <c r="R383" s="1031">
        <f>SUBTOTAL(109,mJAN[MULTA])</f>
        <v>15239.33</v>
      </c>
      <c r="S383" s="1031">
        <f>SUBTOTAL(109,mJAN[JUROS])</f>
        <v>14308.03</v>
      </c>
      <c r="T383" s="78">
        <f>SUBTOTAL(109,mJAN[TOTAL])</f>
        <v>545507.24629661057</v>
      </c>
      <c r="V383" s="77">
        <f>mJAN[[#Totals],[TOTAL]]-T194</f>
        <v>536547.24629661057</v>
      </c>
    </row>
    <row r="385" spans="2:28" ht="21" customHeight="1"/>
    <row r="386" spans="2:28" s="147" customFormat="1" ht="24.9" customHeight="1">
      <c r="B386" s="1129"/>
      <c r="C386" s="172"/>
      <c r="D386" s="172"/>
      <c r="E386" s="1135" t="s">
        <v>0</v>
      </c>
      <c r="F386" s="1135" t="s">
        <v>41</v>
      </c>
      <c r="G386" s="1134" t="s">
        <v>582</v>
      </c>
      <c r="H386" s="1134" t="s">
        <v>581</v>
      </c>
      <c r="I386" s="1134" t="s">
        <v>284</v>
      </c>
      <c r="K386" s="1147"/>
      <c r="L386" s="172"/>
      <c r="M386" s="1289"/>
      <c r="N386" s="1130"/>
      <c r="O386" s="1130"/>
      <c r="P386" s="157"/>
      <c r="Q386" s="1272"/>
      <c r="R386" s="1331" t="s">
        <v>2673</v>
      </c>
      <c r="S386" s="1140" t="s">
        <v>2365</v>
      </c>
      <c r="T386" s="1141">
        <v>35740</v>
      </c>
      <c r="U386" s="107"/>
      <c r="V386" s="1331" t="s">
        <v>2674</v>
      </c>
      <c r="W386" s="1140" t="s">
        <v>2365</v>
      </c>
      <c r="X386" s="1141">
        <v>11996</v>
      </c>
      <c r="Y386" s="107"/>
      <c r="Z386" s="1331" t="s">
        <v>2677</v>
      </c>
      <c r="AA386" s="1140" t="s">
        <v>2365</v>
      </c>
      <c r="AB386" s="1141">
        <v>5707</v>
      </c>
    </row>
    <row r="387" spans="2:28" s="147" customFormat="1" ht="24.9" customHeight="1">
      <c r="B387" s="1129"/>
      <c r="C387" s="172"/>
      <c r="D387" s="172"/>
      <c r="E387" s="1235" t="s">
        <v>90</v>
      </c>
      <c r="F387" s="1238">
        <v>84332.23000000001</v>
      </c>
      <c r="G387" s="1238">
        <v>57759</v>
      </c>
      <c r="H387" s="1239">
        <v>99450</v>
      </c>
      <c r="I387" s="1240">
        <f>SUM(F387:H387)</f>
        <v>241541.23</v>
      </c>
      <c r="J387" s="1292" t="s">
        <v>1693</v>
      </c>
      <c r="K387" s="1147"/>
      <c r="L387" s="172"/>
      <c r="M387" s="1289"/>
      <c r="N387" s="1130"/>
      <c r="O387" s="1130"/>
      <c r="P387" s="157"/>
      <c r="Q387" s="1272"/>
      <c r="R387" s="1395" t="s">
        <v>2366</v>
      </c>
      <c r="S387" s="1396"/>
      <c r="T387" s="1142">
        <v>20266.427213671166</v>
      </c>
      <c r="U387" s="107"/>
      <c r="V387" s="1395" t="s">
        <v>2366</v>
      </c>
      <c r="W387" s="1396"/>
      <c r="X387" s="1142">
        <v>6273.0560702094917</v>
      </c>
      <c r="Y387" s="107"/>
      <c r="Z387" s="1395" t="s">
        <v>2366</v>
      </c>
      <c r="AA387" s="1396"/>
      <c r="AB387" s="1142">
        <v>2961.0353936323827</v>
      </c>
    </row>
    <row r="388" spans="2:28" s="147" customFormat="1" ht="24.9" customHeight="1">
      <c r="B388" s="1129"/>
      <c r="C388" s="172"/>
      <c r="D388" s="172"/>
      <c r="E388" s="1236" t="s">
        <v>2016</v>
      </c>
      <c r="F388" s="1244">
        <v>87845.591904761881</v>
      </c>
      <c r="G388" s="1244">
        <v>63172.329999999994</v>
      </c>
      <c r="H388" s="1245">
        <v>152948.09439184886</v>
      </c>
      <c r="I388" s="1246">
        <f t="shared" ref="I388:I389" si="6">SUM(F388:H388)</f>
        <v>303966.0162966107</v>
      </c>
      <c r="J388" s="1292">
        <f>I388/I387</f>
        <v>1.2584436052454095</v>
      </c>
      <c r="K388" s="1147"/>
      <c r="L388" s="172"/>
      <c r="M388" s="1289"/>
      <c r="N388" s="1130"/>
      <c r="O388" s="1130"/>
      <c r="P388" s="232"/>
      <c r="R388" s="1397" t="s">
        <v>2678</v>
      </c>
      <c r="S388" s="1398"/>
      <c r="T388" s="1144">
        <f>8%*T386</f>
        <v>2859.2000000000003</v>
      </c>
      <c r="U388" s="107"/>
      <c r="V388" s="1397" t="s">
        <v>2678</v>
      </c>
      <c r="W388" s="1398"/>
      <c r="X388" s="1144">
        <f>8%*X386</f>
        <v>959.68000000000006</v>
      </c>
      <c r="Y388" s="107"/>
      <c r="Z388" s="1397" t="s">
        <v>2678</v>
      </c>
      <c r="AA388" s="1398"/>
      <c r="AB388" s="1144">
        <f>8%*AB386</f>
        <v>456.56</v>
      </c>
    </row>
    <row r="389" spans="2:28" s="147" customFormat="1" ht="24.9" customHeight="1">
      <c r="B389" s="1129"/>
      <c r="C389" s="172"/>
      <c r="D389" s="172"/>
      <c r="E389" s="1241" t="s">
        <v>295</v>
      </c>
      <c r="F389" s="1242">
        <f>0%*F387</f>
        <v>0</v>
      </c>
      <c r="G389" s="1242">
        <f t="shared" ref="G389:H389" si="7">0%*G387</f>
        <v>0</v>
      </c>
      <c r="H389" s="1242">
        <f t="shared" si="7"/>
        <v>0</v>
      </c>
      <c r="I389" s="1243">
        <f t="shared" si="6"/>
        <v>0</v>
      </c>
      <c r="J389" s="1292">
        <f>I389/I387</f>
        <v>0</v>
      </c>
      <c r="K389" s="1147"/>
      <c r="L389" s="172"/>
      <c r="M389" s="1289"/>
      <c r="N389" s="1130"/>
      <c r="O389" s="1130"/>
      <c r="P389" s="1131"/>
      <c r="Q389" s="1132"/>
      <c r="R389" s="1397" t="s">
        <v>2679</v>
      </c>
      <c r="S389" s="1398"/>
      <c r="T389" s="1144">
        <f>4%*T386</f>
        <v>1429.6000000000001</v>
      </c>
      <c r="U389" s="107"/>
      <c r="V389" s="1397" t="s">
        <v>2679</v>
      </c>
      <c r="W389" s="1398"/>
      <c r="X389" s="1144">
        <f>4%*X386</f>
        <v>479.84000000000003</v>
      </c>
      <c r="Y389" s="107"/>
      <c r="Z389" s="1397" t="s">
        <v>2679</v>
      </c>
      <c r="AA389" s="1398"/>
      <c r="AB389" s="1144">
        <f>4%*AB386</f>
        <v>228.28</v>
      </c>
    </row>
    <row r="390" spans="2:28" s="147" customFormat="1" ht="24.9" customHeight="1">
      <c r="B390" s="1129"/>
      <c r="C390" s="172"/>
      <c r="D390" s="172"/>
      <c r="E390" s="1237" t="s">
        <v>2017</v>
      </c>
      <c r="F390" s="1248">
        <f>F387-F388-F389</f>
        <v>-3513.3619047618704</v>
      </c>
      <c r="G390" s="1248">
        <f t="shared" ref="G390:H390" si="8">G387-G388-G389</f>
        <v>-5413.3299999999945</v>
      </c>
      <c r="H390" s="1269">
        <f t="shared" si="8"/>
        <v>-53498.094391848863</v>
      </c>
      <c r="I390" s="1247">
        <f>SUM(F390:H390)</f>
        <v>-62424.786296610728</v>
      </c>
      <c r="J390" s="1292">
        <f>I390/I387</f>
        <v>-0.25844360524540977</v>
      </c>
      <c r="K390" s="1147"/>
      <c r="L390" s="172"/>
      <c r="M390" s="1289"/>
      <c r="N390" s="1130"/>
      <c r="O390" s="1130"/>
      <c r="P390" s="1131"/>
      <c r="Q390" s="1132"/>
      <c r="R390" s="1399" t="s">
        <v>2367</v>
      </c>
      <c r="S390" s="1397"/>
      <c r="T390" s="1145">
        <f>19%*T386</f>
        <v>6790.6</v>
      </c>
      <c r="U390" s="107"/>
      <c r="V390" s="1399" t="s">
        <v>2367</v>
      </c>
      <c r="W390" s="1397"/>
      <c r="X390" s="1145">
        <f>19%*X386</f>
        <v>2279.2400000000002</v>
      </c>
      <c r="Y390" s="107"/>
      <c r="Z390" s="1399" t="s">
        <v>2367</v>
      </c>
      <c r="AA390" s="1397"/>
      <c r="AB390" s="1145">
        <f>19%*AB386</f>
        <v>1084.33</v>
      </c>
    </row>
    <row r="391" spans="2:28" s="147" customFormat="1" ht="24.9" customHeight="1" thickBot="1">
      <c r="B391" s="172"/>
      <c r="C391" s="172"/>
      <c r="D391" s="172"/>
      <c r="E391" s="765"/>
      <c r="F391" s="521"/>
      <c r="G391" s="172"/>
      <c r="H391" s="172"/>
      <c r="I391" s="1129"/>
      <c r="J391" s="147" t="s">
        <v>2633</v>
      </c>
      <c r="L391" s="172"/>
      <c r="M391" s="1288"/>
      <c r="N391" s="564"/>
      <c r="O391" s="1125"/>
      <c r="P391" s="1127"/>
      <c r="Q391" s="1133"/>
      <c r="R391" s="1393" t="s">
        <v>2368</v>
      </c>
      <c r="S391" s="1394"/>
      <c r="T391" s="1143">
        <f>T386-T387-T388-T389-T390</f>
        <v>4394.1727863288324</v>
      </c>
      <c r="U391" s="107"/>
      <c r="V391" s="1393" t="s">
        <v>2368</v>
      </c>
      <c r="W391" s="1394"/>
      <c r="X391" s="1143">
        <f>X386-X387-X388-X389-X390</f>
        <v>2004.1839297905076</v>
      </c>
      <c r="Y391" s="107"/>
      <c r="Z391" s="1393" t="s">
        <v>2368</v>
      </c>
      <c r="AA391" s="1394"/>
      <c r="AB391" s="1143">
        <f>AB386-AB387-AB388-AB389-AB390</f>
        <v>976.79460636761723</v>
      </c>
    </row>
    <row r="392" spans="2:28" s="147" customFormat="1" ht="24.9" customHeight="1" thickBot="1">
      <c r="B392" s="172"/>
      <c r="C392" s="172"/>
      <c r="D392" s="172"/>
      <c r="E392" s="1249" t="s">
        <v>2019</v>
      </c>
      <c r="F392" s="1250">
        <f>F387+F388+F389</f>
        <v>172177.82190476189</v>
      </c>
      <c r="G392" s="1250">
        <f>G387+G388+G389</f>
        <v>120931.32999999999</v>
      </c>
      <c r="H392" s="1250">
        <f t="shared" ref="H392" si="9">H387+H388+H389</f>
        <v>252398.09439184886</v>
      </c>
      <c r="I392" s="1251">
        <f>SUM(F392:H392)</f>
        <v>545507.2462966108</v>
      </c>
      <c r="J392" s="354">
        <f>I392-mJAN[[#Totals],[TOTAL]]</f>
        <v>0</v>
      </c>
      <c r="L392" s="172"/>
      <c r="M392" s="1288"/>
      <c r="N392" s="564"/>
      <c r="O392" s="1125"/>
      <c r="P392" s="1127"/>
      <c r="R392" s="1393" t="s">
        <v>2369</v>
      </c>
      <c r="S392" s="1394"/>
      <c r="T392" s="1335">
        <f>T391/T386</f>
        <v>0.12294831523024154</v>
      </c>
      <c r="U392" s="107"/>
      <c r="V392" s="1393" t="s">
        <v>2369</v>
      </c>
      <c r="W392" s="1394"/>
      <c r="X392" s="1335">
        <f>X391/X386</f>
        <v>0.16707101782181624</v>
      </c>
      <c r="Y392" s="107"/>
      <c r="Z392" s="1393" t="s">
        <v>2369</v>
      </c>
      <c r="AA392" s="1394"/>
      <c r="AB392" s="1335">
        <f>AB391/AB386</f>
        <v>0.17115728164843477</v>
      </c>
    </row>
    <row r="393" spans="2:28" s="147" customFormat="1" ht="24.9" customHeight="1"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288"/>
      <c r="N393" s="564"/>
      <c r="O393" s="1125"/>
      <c r="P393" s="1127"/>
      <c r="Q393" s="172"/>
      <c r="R393" s="172"/>
      <c r="S393" s="172"/>
      <c r="T393" s="172"/>
      <c r="U393" s="107"/>
      <c r="Y393" s="107"/>
    </row>
    <row r="394" spans="2:28" s="172" customFormat="1" ht="24.9" customHeight="1">
      <c r="E394" s="1325" t="s">
        <v>2664</v>
      </c>
      <c r="F394" s="1135" t="s">
        <v>41</v>
      </c>
      <c r="G394" s="1134" t="s">
        <v>582</v>
      </c>
      <c r="H394" s="1134" t="s">
        <v>581</v>
      </c>
      <c r="I394" s="1134" t="s">
        <v>284</v>
      </c>
      <c r="M394" s="1288"/>
      <c r="N394" s="564"/>
      <c r="O394" s="1125"/>
      <c r="P394" s="1127"/>
      <c r="R394" s="1331" t="s">
        <v>2676</v>
      </c>
      <c r="S394" s="1140" t="s">
        <v>2365</v>
      </c>
      <c r="T394" s="1141">
        <v>5697</v>
      </c>
      <c r="U394" s="107"/>
      <c r="V394" s="1331" t="s">
        <v>2675</v>
      </c>
      <c r="W394" s="1140" t="s">
        <v>2365</v>
      </c>
      <c r="X394" s="1141">
        <v>8960</v>
      </c>
      <c r="Y394" s="107"/>
      <c r="Z394" s="1331" t="s">
        <v>2680</v>
      </c>
      <c r="AA394" s="1140" t="s">
        <v>2365</v>
      </c>
      <c r="AB394" s="1141">
        <v>1562</v>
      </c>
    </row>
    <row r="395" spans="2:28" s="147" customFormat="1" ht="24.9" customHeight="1">
      <c r="B395" s="172"/>
      <c r="C395" s="172"/>
      <c r="D395" s="172"/>
      <c r="E395" s="1326" t="s">
        <v>2651</v>
      </c>
      <c r="F395" s="1137">
        <v>5205.2</v>
      </c>
      <c r="G395" s="1137">
        <v>2486.65</v>
      </c>
      <c r="H395" s="1137">
        <v>4510.8899999999994</v>
      </c>
      <c r="I395" s="1138">
        <f>SUM(F395:H395)</f>
        <v>12202.74</v>
      </c>
      <c r="L395" s="172"/>
      <c r="M395" s="1288"/>
      <c r="N395" s="564"/>
      <c r="O395" s="1125"/>
      <c r="P395" s="1127"/>
      <c r="R395" s="1395" t="s">
        <v>2366</v>
      </c>
      <c r="S395" s="1396"/>
      <c r="T395" s="1142">
        <v>3367.4066563034339</v>
      </c>
      <c r="U395" s="107"/>
      <c r="V395" s="1395" t="s">
        <v>2366</v>
      </c>
      <c r="W395" s="1396"/>
      <c r="X395" s="1142">
        <v>6076.1486467401683</v>
      </c>
      <c r="Y395" s="107"/>
      <c r="Z395" s="1395" t="s">
        <v>2366</v>
      </c>
      <c r="AA395" s="1396"/>
      <c r="AB395" s="1142">
        <v>256.04000000000002</v>
      </c>
    </row>
    <row r="396" spans="2:28" s="147" customFormat="1" ht="24.9" customHeight="1">
      <c r="B396" s="172"/>
      <c r="C396" s="172"/>
      <c r="D396" s="172"/>
      <c r="E396" s="1326" t="s">
        <v>2659</v>
      </c>
      <c r="F396" s="1137">
        <v>0</v>
      </c>
      <c r="G396" s="1137">
        <v>982.25</v>
      </c>
      <c r="H396" s="1137">
        <v>2822.26</v>
      </c>
      <c r="I396" s="1138">
        <f t="shared" ref="I396" si="10">SUM(F396:H396)</f>
        <v>3804.51</v>
      </c>
      <c r="L396" s="172"/>
      <c r="M396" s="1288"/>
      <c r="N396" s="564"/>
      <c r="O396" s="1125"/>
      <c r="P396" s="1127"/>
      <c r="R396" s="1397" t="s">
        <v>2678</v>
      </c>
      <c r="S396" s="1398"/>
      <c r="T396" s="1144">
        <f>8%*T394</f>
        <v>455.76</v>
      </c>
      <c r="U396" s="107"/>
      <c r="V396" s="1397" t="s">
        <v>2678</v>
      </c>
      <c r="W396" s="1398"/>
      <c r="X396" s="1144">
        <f>8%*X394</f>
        <v>716.80000000000007</v>
      </c>
      <c r="Y396" s="107"/>
      <c r="Z396" s="1397" t="s">
        <v>2678</v>
      </c>
      <c r="AA396" s="1398"/>
      <c r="AB396" s="1144">
        <f>8%*AB394</f>
        <v>124.96000000000001</v>
      </c>
    </row>
    <row r="397" spans="2:28" s="147" customFormat="1" ht="24.9" customHeight="1">
      <c r="B397" s="172"/>
      <c r="C397" s="172"/>
      <c r="D397" s="172"/>
      <c r="E397" s="1326" t="s">
        <v>2660</v>
      </c>
      <c r="F397" s="1137">
        <v>6193.53</v>
      </c>
      <c r="G397" s="1137">
        <v>0</v>
      </c>
      <c r="H397" s="1137">
        <v>0</v>
      </c>
      <c r="I397" s="1138">
        <f t="shared" ref="I397" si="11">SUM(F397:H397)</f>
        <v>6193.53</v>
      </c>
      <c r="L397" s="172"/>
      <c r="M397" s="1288"/>
      <c r="N397" s="564"/>
      <c r="O397" s="1125"/>
      <c r="P397" s="1127"/>
      <c r="R397" s="1397" t="s">
        <v>2679</v>
      </c>
      <c r="S397" s="1398"/>
      <c r="T397" s="1144">
        <f>4%*T394</f>
        <v>227.88</v>
      </c>
      <c r="U397" s="107"/>
      <c r="V397" s="1397" t="s">
        <v>2679</v>
      </c>
      <c r="W397" s="1398"/>
      <c r="X397" s="1144">
        <f>4%*X394</f>
        <v>358.40000000000003</v>
      </c>
      <c r="Y397" s="107"/>
      <c r="Z397" s="1397" t="s">
        <v>2679</v>
      </c>
      <c r="AA397" s="1398"/>
      <c r="AB397" s="1144">
        <f>4%*AB394</f>
        <v>62.480000000000004</v>
      </c>
    </row>
    <row r="398" spans="2:28" s="147" customFormat="1" ht="24.9" customHeight="1">
      <c r="B398" s="172"/>
      <c r="C398" s="172"/>
      <c r="D398" s="172"/>
      <c r="E398" s="1290" t="s">
        <v>2095</v>
      </c>
      <c r="F398" s="1139">
        <f>F395-(F396+F397)</f>
        <v>-988.32999999999993</v>
      </c>
      <c r="G398" s="1136">
        <f t="shared" ref="G398:I398" si="12">G395-(G396+G397)</f>
        <v>1504.4</v>
      </c>
      <c r="H398" s="1136">
        <f t="shared" si="12"/>
        <v>1688.6299999999992</v>
      </c>
      <c r="I398" s="1136">
        <f t="shared" si="12"/>
        <v>2204.6999999999989</v>
      </c>
      <c r="J398" s="1292">
        <f>I398/I387</f>
        <v>9.1276342345362679E-3</v>
      </c>
      <c r="L398" s="172"/>
      <c r="M398" s="1288"/>
      <c r="N398" s="564"/>
      <c r="O398" s="1125"/>
      <c r="P398" s="1126"/>
      <c r="R398" s="1399" t="s">
        <v>2367</v>
      </c>
      <c r="S398" s="1397"/>
      <c r="T398" s="1145">
        <f>19%*T394</f>
        <v>1082.43</v>
      </c>
      <c r="U398" s="107"/>
      <c r="V398" s="1399" t="s">
        <v>2367</v>
      </c>
      <c r="W398" s="1397"/>
      <c r="X398" s="1145">
        <f>19%*X394</f>
        <v>1702.4</v>
      </c>
      <c r="Y398" s="107"/>
      <c r="Z398" s="1399" t="s">
        <v>2367</v>
      </c>
      <c r="AA398" s="1397"/>
      <c r="AB398" s="1145">
        <f>19%*AB394</f>
        <v>296.78000000000003</v>
      </c>
    </row>
    <row r="399" spans="2:28" ht="18">
      <c r="R399" s="1393" t="s">
        <v>2368</v>
      </c>
      <c r="S399" s="1394"/>
      <c r="T399" s="1143">
        <f>T394-T395-T396-T397-T398</f>
        <v>563.52334369656614</v>
      </c>
      <c r="V399" s="1393" t="s">
        <v>2368</v>
      </c>
      <c r="W399" s="1394"/>
      <c r="X399" s="1143">
        <f>X394-X395-X396-X397-X398</f>
        <v>106.25135325983138</v>
      </c>
      <c r="Z399" s="1393" t="s">
        <v>2368</v>
      </c>
      <c r="AA399" s="1394"/>
      <c r="AB399" s="1143">
        <f>AB394-AB395-AB396-AB397-AB398</f>
        <v>821.74</v>
      </c>
    </row>
    <row r="400" spans="2:28" ht="25.8">
      <c r="R400" s="1393" t="s">
        <v>2369</v>
      </c>
      <c r="S400" s="1394"/>
      <c r="T400" s="1335">
        <f>T399/T394</f>
        <v>9.8915805458410763E-2</v>
      </c>
      <c r="V400" s="1393" t="s">
        <v>2369</v>
      </c>
      <c r="W400" s="1394"/>
      <c r="X400" s="1335">
        <f>X399/X394</f>
        <v>1.1858409962034753E-2</v>
      </c>
      <c r="Z400" s="1393" t="s">
        <v>2369</v>
      </c>
      <c r="AA400" s="1394"/>
      <c r="AB400" s="1335">
        <f>AB399/AB394</f>
        <v>0.52608194622279125</v>
      </c>
    </row>
    <row r="402" spans="18:28" ht="18">
      <c r="R402" s="1331" t="s">
        <v>1767</v>
      </c>
      <c r="S402" s="1140" t="s">
        <v>2365</v>
      </c>
      <c r="T402" s="1141">
        <v>38394.230000000003</v>
      </c>
      <c r="V402" s="1331" t="s">
        <v>49</v>
      </c>
      <c r="W402" s="1140" t="s">
        <v>2365</v>
      </c>
      <c r="X402" s="1141">
        <v>33130</v>
      </c>
      <c r="Z402" s="1331" t="s">
        <v>1003</v>
      </c>
      <c r="AA402" s="1140" t="s">
        <v>2365</v>
      </c>
      <c r="AB402" s="1141">
        <v>18328</v>
      </c>
    </row>
    <row r="403" spans="18:28" ht="18">
      <c r="R403" s="1395" t="s">
        <v>2366</v>
      </c>
      <c r="S403" s="1396"/>
      <c r="T403" s="1142">
        <v>36038.590000000018</v>
      </c>
      <c r="V403" s="1395" t="s">
        <v>2366</v>
      </c>
      <c r="W403" s="1396"/>
      <c r="X403" s="1142">
        <v>27978.070000000014</v>
      </c>
      <c r="Z403" s="1395" t="s">
        <v>2366</v>
      </c>
      <c r="AA403" s="1396"/>
      <c r="AB403" s="1142">
        <v>13032.865003720457</v>
      </c>
    </row>
    <row r="404" spans="18:28" ht="18">
      <c r="R404" s="1397" t="s">
        <v>2678</v>
      </c>
      <c r="S404" s="1398"/>
      <c r="T404" s="1144">
        <f>8%*T402</f>
        <v>3071.5384000000004</v>
      </c>
      <c r="V404" s="1397" t="s">
        <v>2678</v>
      </c>
      <c r="W404" s="1398"/>
      <c r="X404" s="1144">
        <f>8%*X402</f>
        <v>2650.4</v>
      </c>
      <c r="Z404" s="1397" t="s">
        <v>2678</v>
      </c>
      <c r="AA404" s="1398"/>
      <c r="AB404" s="1144">
        <f>8%*AB402</f>
        <v>1466.24</v>
      </c>
    </row>
    <row r="405" spans="18:28" ht="18">
      <c r="R405" s="1397" t="s">
        <v>2679</v>
      </c>
      <c r="S405" s="1398"/>
      <c r="T405" s="1144">
        <f>4%*T402</f>
        <v>1535.7692000000002</v>
      </c>
      <c r="V405" s="1397" t="s">
        <v>2679</v>
      </c>
      <c r="W405" s="1398"/>
      <c r="X405" s="1144">
        <f>4%*X402</f>
        <v>1325.2</v>
      </c>
      <c r="Z405" s="1397" t="s">
        <v>2679</v>
      </c>
      <c r="AA405" s="1398"/>
      <c r="AB405" s="1144">
        <f>4%*AB402</f>
        <v>733.12</v>
      </c>
    </row>
    <row r="406" spans="18:28" ht="18">
      <c r="R406" s="1399" t="s">
        <v>2367</v>
      </c>
      <c r="S406" s="1397"/>
      <c r="T406" s="1145">
        <f>19%*T402</f>
        <v>7294.9037000000008</v>
      </c>
      <c r="V406" s="1399" t="s">
        <v>2367</v>
      </c>
      <c r="W406" s="1397"/>
      <c r="X406" s="1145">
        <f>19%*X402</f>
        <v>6294.7</v>
      </c>
      <c r="Z406" s="1399" t="s">
        <v>2367</v>
      </c>
      <c r="AA406" s="1397"/>
      <c r="AB406" s="1145">
        <f>19%*AB402</f>
        <v>3482.32</v>
      </c>
    </row>
    <row r="407" spans="18:28" ht="18">
      <c r="R407" s="1393" t="s">
        <v>2368</v>
      </c>
      <c r="S407" s="1394"/>
      <c r="T407" s="1143">
        <f>T402-T403-T404-T405-T406</f>
        <v>-9546.571300000016</v>
      </c>
      <c r="V407" s="1393" t="s">
        <v>2368</v>
      </c>
      <c r="W407" s="1394"/>
      <c r="X407" s="1143">
        <f>X402-X403-X404-X405-X406</f>
        <v>-5118.3700000000144</v>
      </c>
      <c r="Z407" s="1393" t="s">
        <v>2368</v>
      </c>
      <c r="AA407" s="1394"/>
      <c r="AB407" s="1143">
        <f>AB402-AB403-AB404-AB405-AB406</f>
        <v>-386.54500372045686</v>
      </c>
    </row>
    <row r="408" spans="18:28" ht="25.8">
      <c r="R408" s="1393" t="s">
        <v>2369</v>
      </c>
      <c r="S408" s="1394"/>
      <c r="T408" s="1291">
        <f>T407/T402</f>
        <v>-0.24864598925411488</v>
      </c>
      <c r="V408" s="1393" t="s">
        <v>2369</v>
      </c>
      <c r="W408" s="1394"/>
      <c r="X408" s="1291">
        <f>X407/X402</f>
        <v>-0.15449351041352291</v>
      </c>
      <c r="Z408" s="1393" t="s">
        <v>2369</v>
      </c>
      <c r="AA408" s="1394"/>
      <c r="AB408" s="1291">
        <f>AB407/AB402</f>
        <v>-2.1090408321718511E-2</v>
      </c>
    </row>
    <row r="410" spans="18:28" ht="18">
      <c r="R410" s="1146" t="s">
        <v>653</v>
      </c>
      <c r="S410" s="1140" t="s">
        <v>2365</v>
      </c>
      <c r="T410" s="1141">
        <v>33255</v>
      </c>
      <c r="V410" s="1331" t="s">
        <v>583</v>
      </c>
      <c r="W410" s="1140" t="s">
        <v>2365</v>
      </c>
      <c r="X410" s="1141">
        <v>12740</v>
      </c>
      <c r="Z410" s="107"/>
      <c r="AA410" s="107"/>
      <c r="AB410" s="107"/>
    </row>
    <row r="411" spans="18:28" ht="18">
      <c r="R411" s="1395" t="s">
        <v>2366</v>
      </c>
      <c r="S411" s="1396"/>
      <c r="T411" s="1142">
        <v>15620.356880087951</v>
      </c>
      <c r="V411" s="1395" t="s">
        <v>2366</v>
      </c>
      <c r="W411" s="1396"/>
      <c r="X411" s="1142">
        <v>7984.3349244074161</v>
      </c>
      <c r="Z411" s="107"/>
      <c r="AA411" s="107"/>
      <c r="AB411" s="107"/>
    </row>
    <row r="412" spans="18:28" ht="18">
      <c r="R412" s="1397" t="s">
        <v>2678</v>
      </c>
      <c r="S412" s="1398"/>
      <c r="T412" s="1144">
        <f>8%*T410</f>
        <v>2660.4</v>
      </c>
      <c r="V412" s="1397" t="s">
        <v>2678</v>
      </c>
      <c r="W412" s="1398"/>
      <c r="X412" s="1144">
        <f>8%*X410</f>
        <v>1019.2</v>
      </c>
      <c r="Z412" s="107"/>
      <c r="AA412" s="107"/>
      <c r="AB412" s="107"/>
    </row>
    <row r="413" spans="18:28" ht="18">
      <c r="R413" s="1397" t="s">
        <v>2679</v>
      </c>
      <c r="S413" s="1398"/>
      <c r="T413" s="1144">
        <f>4%*T410</f>
        <v>1330.2</v>
      </c>
      <c r="V413" s="1397" t="s">
        <v>2679</v>
      </c>
      <c r="W413" s="1398"/>
      <c r="X413" s="1144">
        <f>4%*X410</f>
        <v>509.6</v>
      </c>
      <c r="Z413" s="107"/>
      <c r="AA413" s="107"/>
      <c r="AB413" s="107"/>
    </row>
    <row r="414" spans="18:28" ht="18">
      <c r="R414" s="1399" t="s">
        <v>2367</v>
      </c>
      <c r="S414" s="1397"/>
      <c r="T414" s="1145">
        <f>19%*T410</f>
        <v>6318.45</v>
      </c>
      <c r="V414" s="1399" t="s">
        <v>2367</v>
      </c>
      <c r="W414" s="1397"/>
      <c r="X414" s="1145">
        <f>19%*X410</f>
        <v>2420.6</v>
      </c>
      <c r="Z414" s="445"/>
      <c r="AA414" s="445"/>
      <c r="AB414" s="445"/>
    </row>
    <row r="415" spans="18:28" ht="18">
      <c r="R415" s="1393" t="s">
        <v>2368</v>
      </c>
      <c r="S415" s="1394"/>
      <c r="T415" s="1143">
        <f>T410-T411-T412-T413-T414</f>
        <v>7325.5931199120487</v>
      </c>
      <c r="V415" s="1393" t="s">
        <v>2368</v>
      </c>
      <c r="W415" s="1394"/>
      <c r="X415" s="1143">
        <f>X410-X411-X412-X413-X414</f>
        <v>806.26507559258425</v>
      </c>
      <c r="Z415" s="445"/>
      <c r="AA415" s="445"/>
      <c r="AB415" s="445"/>
    </row>
    <row r="416" spans="18:28" ht="25.8">
      <c r="R416" s="1393" t="s">
        <v>2369</v>
      </c>
      <c r="S416" s="1394"/>
      <c r="T416" s="1335">
        <f>T415/T410</f>
        <v>0.22028546443879263</v>
      </c>
      <c r="V416" s="1393" t="s">
        <v>2369</v>
      </c>
      <c r="W416" s="1394"/>
      <c r="X416" s="1335">
        <f>X415/X410</f>
        <v>6.3286112683876308E-2</v>
      </c>
      <c r="Z416" s="445"/>
      <c r="AA416" s="445"/>
      <c r="AB416" s="445"/>
    </row>
    <row r="417" spans="18:28">
      <c r="R417" s="106"/>
      <c r="S417" s="447"/>
      <c r="T417" s="443"/>
      <c r="V417" s="443"/>
      <c r="W417" s="107"/>
      <c r="X417" s="107"/>
      <c r="Z417" s="107"/>
      <c r="AA417" s="107"/>
      <c r="AB417" s="107"/>
    </row>
    <row r="418" spans="18:28" ht="18">
      <c r="R418" s="1331" t="s">
        <v>982</v>
      </c>
      <c r="S418" s="1140" t="s">
        <v>2365</v>
      </c>
      <c r="T418" s="1141">
        <v>6405</v>
      </c>
      <c r="V418" s="1331" t="s">
        <v>1634</v>
      </c>
      <c r="W418" s="1140" t="s">
        <v>2365</v>
      </c>
      <c r="X418" s="1141">
        <v>5964</v>
      </c>
      <c r="Z418" s="1331" t="s">
        <v>1081</v>
      </c>
      <c r="AA418" s="1140" t="s">
        <v>2365</v>
      </c>
      <c r="AB418" s="1141">
        <v>6403</v>
      </c>
    </row>
    <row r="419" spans="18:28" ht="18">
      <c r="R419" s="1395" t="s">
        <v>2366</v>
      </c>
      <c r="S419" s="1396"/>
      <c r="T419" s="1142">
        <v>4715.59</v>
      </c>
      <c r="V419" s="1395" t="s">
        <v>2366</v>
      </c>
      <c r="W419" s="1396"/>
      <c r="X419" s="1142">
        <v>4607.4432585218728</v>
      </c>
      <c r="Z419" s="1395" t="s">
        <v>2366</v>
      </c>
      <c r="AA419" s="1396"/>
      <c r="AB419" s="1142">
        <v>3230.3399999999983</v>
      </c>
    </row>
    <row r="420" spans="18:28" ht="18">
      <c r="R420" s="1397" t="s">
        <v>2678</v>
      </c>
      <c r="S420" s="1398"/>
      <c r="T420" s="1144">
        <f>8%*T418</f>
        <v>512.4</v>
      </c>
      <c r="V420" s="1397" t="s">
        <v>2678</v>
      </c>
      <c r="W420" s="1398"/>
      <c r="X420" s="1144">
        <f>8%*X418</f>
        <v>477.12</v>
      </c>
      <c r="Z420" s="1397" t="s">
        <v>2678</v>
      </c>
      <c r="AA420" s="1398"/>
      <c r="AB420" s="1144">
        <f>8%*AB418</f>
        <v>512.24</v>
      </c>
    </row>
    <row r="421" spans="18:28" ht="18">
      <c r="R421" s="1397" t="s">
        <v>2679</v>
      </c>
      <c r="S421" s="1398"/>
      <c r="T421" s="1144">
        <f>4%*T418</f>
        <v>256.2</v>
      </c>
      <c r="V421" s="1397" t="s">
        <v>2679</v>
      </c>
      <c r="W421" s="1398"/>
      <c r="X421" s="1144">
        <f>4%*X418</f>
        <v>238.56</v>
      </c>
      <c r="Z421" s="1397" t="s">
        <v>2679</v>
      </c>
      <c r="AA421" s="1398"/>
      <c r="AB421" s="1144">
        <f>4%*AB418</f>
        <v>256.12</v>
      </c>
    </row>
    <row r="422" spans="18:28" ht="18">
      <c r="R422" s="1399" t="s">
        <v>2367</v>
      </c>
      <c r="S422" s="1397"/>
      <c r="T422" s="1145">
        <f>19%*T418</f>
        <v>1216.95</v>
      </c>
      <c r="V422" s="1399" t="s">
        <v>2367</v>
      </c>
      <c r="W422" s="1397"/>
      <c r="X422" s="1145">
        <f>19%*X418</f>
        <v>1133.1600000000001</v>
      </c>
      <c r="Z422" s="1399" t="s">
        <v>2367</v>
      </c>
      <c r="AA422" s="1397"/>
      <c r="AB422" s="1145">
        <f>19%*AB418</f>
        <v>1216.57</v>
      </c>
    </row>
    <row r="423" spans="18:28" ht="18">
      <c r="R423" s="1393" t="s">
        <v>2368</v>
      </c>
      <c r="S423" s="1394"/>
      <c r="T423" s="1143">
        <f>T418-T419-T420-T421-T422</f>
        <v>-296.14000000000033</v>
      </c>
      <c r="V423" s="1393" t="s">
        <v>2368</v>
      </c>
      <c r="W423" s="1394"/>
      <c r="X423" s="1143">
        <f>X418-X419-X420-X421-X422</f>
        <v>-492.28325852187299</v>
      </c>
      <c r="Z423" s="1393" t="s">
        <v>2368</v>
      </c>
      <c r="AA423" s="1394"/>
      <c r="AB423" s="1143">
        <f>AB418-AB419-AB420-AB421-AB422</f>
        <v>1187.7300000000021</v>
      </c>
    </row>
    <row r="424" spans="18:28" ht="25.8">
      <c r="R424" s="1393" t="s">
        <v>2369</v>
      </c>
      <c r="S424" s="1394"/>
      <c r="T424" s="1291">
        <f>T423/T418</f>
        <v>-4.6235753317720583E-2</v>
      </c>
      <c r="V424" s="1393" t="s">
        <v>2369</v>
      </c>
      <c r="W424" s="1394"/>
      <c r="X424" s="1291">
        <f>X423/X418</f>
        <v>-8.2542464540890842E-2</v>
      </c>
      <c r="Z424" s="1393" t="s">
        <v>2369</v>
      </c>
      <c r="AA424" s="1394"/>
      <c r="AB424" s="1291">
        <f>AB423/AB418</f>
        <v>0.18549586131500892</v>
      </c>
    </row>
    <row r="425" spans="18:28">
      <c r="R425" s="106"/>
      <c r="S425" s="447"/>
      <c r="T425" s="443"/>
      <c r="V425" s="443"/>
      <c r="W425" s="107"/>
      <c r="X425" s="107"/>
      <c r="Z425" s="107"/>
      <c r="AA425" s="107"/>
      <c r="AB425" s="107"/>
    </row>
    <row r="426" spans="18:28" ht="18">
      <c r="R426" s="1331" t="s">
        <v>1834</v>
      </c>
      <c r="S426" s="1140" t="s">
        <v>2365</v>
      </c>
      <c r="T426" s="1141">
        <v>6604</v>
      </c>
      <c r="V426" s="1331" t="s">
        <v>638</v>
      </c>
      <c r="W426" s="1140" t="s">
        <v>2365</v>
      </c>
      <c r="X426" s="1141">
        <v>5812</v>
      </c>
      <c r="Z426" s="1331" t="s">
        <v>1082</v>
      </c>
      <c r="AA426" s="1140" t="s">
        <v>2365</v>
      </c>
      <c r="AB426" s="1141">
        <v>5952</v>
      </c>
    </row>
    <row r="427" spans="18:28" ht="18">
      <c r="R427" s="1395" t="s">
        <v>2366</v>
      </c>
      <c r="S427" s="1396"/>
      <c r="T427" s="1142">
        <v>4461.4933782677963</v>
      </c>
      <c r="V427" s="1395" t="s">
        <v>2366</v>
      </c>
      <c r="W427" s="1396"/>
      <c r="X427" s="1142">
        <v>4696.0594553105111</v>
      </c>
      <c r="Z427" s="1395" t="s">
        <v>2366</v>
      </c>
      <c r="AA427" s="1396"/>
      <c r="AB427" s="1142">
        <v>4705.5087401941109</v>
      </c>
    </row>
    <row r="428" spans="18:28" ht="18">
      <c r="R428" s="1397" t="s">
        <v>2678</v>
      </c>
      <c r="S428" s="1398"/>
      <c r="T428" s="1144">
        <f>8%*T426</f>
        <v>528.32000000000005</v>
      </c>
      <c r="V428" s="1397" t="s">
        <v>2678</v>
      </c>
      <c r="W428" s="1398"/>
      <c r="X428" s="1144">
        <f>8%*X426</f>
        <v>464.96000000000004</v>
      </c>
      <c r="Z428" s="1397" t="s">
        <v>2678</v>
      </c>
      <c r="AA428" s="1398"/>
      <c r="AB428" s="1144">
        <f>8%*AB426</f>
        <v>476.16</v>
      </c>
    </row>
    <row r="429" spans="18:28" ht="18">
      <c r="R429" s="1397" t="s">
        <v>2679</v>
      </c>
      <c r="S429" s="1398"/>
      <c r="T429" s="1144">
        <f>4%*T426</f>
        <v>264.16000000000003</v>
      </c>
      <c r="V429" s="1397" t="s">
        <v>2679</v>
      </c>
      <c r="W429" s="1398"/>
      <c r="X429" s="1144">
        <f>4%*X426</f>
        <v>232.48000000000002</v>
      </c>
      <c r="Z429" s="1397" t="s">
        <v>2679</v>
      </c>
      <c r="AA429" s="1398"/>
      <c r="AB429" s="1144">
        <f>4%*AB426</f>
        <v>238.08</v>
      </c>
    </row>
    <row r="430" spans="18:28" ht="18">
      <c r="R430" s="1399" t="s">
        <v>2367</v>
      </c>
      <c r="S430" s="1397"/>
      <c r="T430" s="1145">
        <f>19%*T426</f>
        <v>1254.76</v>
      </c>
      <c r="V430" s="1399" t="s">
        <v>2367</v>
      </c>
      <c r="W430" s="1397"/>
      <c r="X430" s="1145">
        <f>19%*X426</f>
        <v>1104.28</v>
      </c>
      <c r="Z430" s="1399" t="s">
        <v>2367</v>
      </c>
      <c r="AA430" s="1397"/>
      <c r="AB430" s="1145">
        <f>19%*AB426</f>
        <v>1130.8800000000001</v>
      </c>
    </row>
    <row r="431" spans="18:28" ht="18">
      <c r="R431" s="1393" t="s">
        <v>2368</v>
      </c>
      <c r="S431" s="1394"/>
      <c r="T431" s="1143">
        <f>T426-T427-T428-T429-T430</f>
        <v>95.266621732203475</v>
      </c>
      <c r="V431" s="1393" t="s">
        <v>2368</v>
      </c>
      <c r="W431" s="1394"/>
      <c r="X431" s="1143">
        <f>X426-X427-X428-X429-X430</f>
        <v>-685.77945531051114</v>
      </c>
      <c r="Z431" s="1393" t="s">
        <v>2368</v>
      </c>
      <c r="AA431" s="1394"/>
      <c r="AB431" s="1143">
        <f>AB426-AB427-AB428-AB429-AB430</f>
        <v>-598.62874019411117</v>
      </c>
    </row>
    <row r="432" spans="18:28" ht="25.8">
      <c r="R432" s="1393" t="s">
        <v>2369</v>
      </c>
      <c r="S432" s="1394"/>
      <c r="T432" s="1291">
        <f>T431/T426</f>
        <v>1.4425593841944803E-2</v>
      </c>
      <c r="V432" s="1393" t="s">
        <v>2369</v>
      </c>
      <c r="W432" s="1394"/>
      <c r="X432" s="1291">
        <f>X431/X426</f>
        <v>-0.11799371220070735</v>
      </c>
      <c r="Z432" s="1393" t="s">
        <v>2369</v>
      </c>
      <c r="AA432" s="1394"/>
      <c r="AB432" s="1291">
        <f>AB431/AB426</f>
        <v>-0.10057606522078481</v>
      </c>
    </row>
    <row r="433" spans="18:28">
      <c r="R433" s="106"/>
      <c r="S433" s="447"/>
      <c r="T433" s="443"/>
      <c r="V433" s="443"/>
      <c r="W433" s="107"/>
      <c r="X433" s="107"/>
      <c r="Z433" s="107"/>
      <c r="AA433" s="107"/>
      <c r="AB433" s="107"/>
    </row>
    <row r="434" spans="18:28" ht="18">
      <c r="R434" s="1333" t="s">
        <v>595</v>
      </c>
      <c r="S434" s="1140" t="s">
        <v>2365</v>
      </c>
      <c r="T434" s="1141">
        <f>T435</f>
        <v>127100.67190476193</v>
      </c>
      <c r="V434" s="1333" t="s">
        <v>1130</v>
      </c>
      <c r="W434" s="1140" t="s">
        <v>2365</v>
      </c>
      <c r="X434" s="1141">
        <f>X435</f>
        <v>10593.720000000001</v>
      </c>
      <c r="Z434" s="445"/>
      <c r="AA434" s="445"/>
      <c r="AB434" s="445"/>
    </row>
    <row r="435" spans="18:28" ht="18">
      <c r="R435" s="1395" t="s">
        <v>2366</v>
      </c>
      <c r="S435" s="1396"/>
      <c r="T435" s="1142">
        <v>127100.67190476193</v>
      </c>
      <c r="V435" s="1395" t="s">
        <v>2366</v>
      </c>
      <c r="W435" s="1396"/>
      <c r="X435" s="1142">
        <v>10593.720000000001</v>
      </c>
      <c r="Z435" s="445"/>
      <c r="AA435" s="445"/>
      <c r="AB435" s="445"/>
    </row>
    <row r="436" spans="18:28" ht="18">
      <c r="R436" s="1397" t="s">
        <v>2678</v>
      </c>
      <c r="S436" s="1398"/>
      <c r="T436" s="1144">
        <f>8%*T434</f>
        <v>10168.053752380954</v>
      </c>
      <c r="V436" s="1397" t="s">
        <v>2678</v>
      </c>
      <c r="W436" s="1398"/>
      <c r="X436" s="1144">
        <f>8%*X434</f>
        <v>847.49760000000015</v>
      </c>
      <c r="Z436" s="445"/>
      <c r="AA436" s="445"/>
      <c r="AB436" s="445"/>
    </row>
    <row r="437" spans="18:28" ht="18">
      <c r="R437" s="1397" t="s">
        <v>2679</v>
      </c>
      <c r="S437" s="1398"/>
      <c r="T437" s="1144">
        <f>4%*T434</f>
        <v>5084.0268761904772</v>
      </c>
      <c r="V437" s="1397" t="s">
        <v>2679</v>
      </c>
      <c r="W437" s="1398"/>
      <c r="X437" s="1144">
        <f>4%*X434</f>
        <v>423.74880000000007</v>
      </c>
      <c r="Z437" s="445"/>
      <c r="AA437" s="445"/>
      <c r="AB437" s="445"/>
    </row>
    <row r="438" spans="18:28" ht="18">
      <c r="R438" s="1399" t="s">
        <v>2367</v>
      </c>
      <c r="S438" s="1397"/>
      <c r="T438" s="1145">
        <f>19%*T434</f>
        <v>24149.127661904768</v>
      </c>
      <c r="V438" s="1399" t="s">
        <v>2367</v>
      </c>
      <c r="W438" s="1397"/>
      <c r="X438" s="1145">
        <f>19%*X434</f>
        <v>2012.8068000000003</v>
      </c>
      <c r="Z438" s="445"/>
      <c r="AA438" s="445"/>
      <c r="AB438" s="445"/>
    </row>
    <row r="439" spans="18:28" ht="18">
      <c r="R439" s="1393" t="s">
        <v>2368</v>
      </c>
      <c r="S439" s="1394"/>
      <c r="T439" s="1143">
        <f>T434-T435-T436-T437-T438</f>
        <v>-39401.208290476199</v>
      </c>
      <c r="V439" s="1393" t="s">
        <v>2368</v>
      </c>
      <c r="W439" s="1394"/>
      <c r="X439" s="1143">
        <f>X434-X435-X436-X437-X438</f>
        <v>-3284.0532000000003</v>
      </c>
      <c r="Z439" s="445"/>
      <c r="AA439" s="445"/>
      <c r="AB439" s="445"/>
    </row>
    <row r="440" spans="18:28" ht="25.8">
      <c r="R440" s="1393" t="s">
        <v>2369</v>
      </c>
      <c r="S440" s="1394"/>
      <c r="T440" s="1291">
        <f>T439/T434</f>
        <v>-0.31</v>
      </c>
      <c r="V440" s="1393" t="s">
        <v>2369</v>
      </c>
      <c r="W440" s="1394"/>
      <c r="X440" s="1291">
        <f>X439/X434</f>
        <v>-0.31</v>
      </c>
      <c r="Z440" s="445"/>
      <c r="AA440" s="445"/>
      <c r="AB440" s="445"/>
    </row>
  </sheetData>
  <mergeCells count="114">
    <mergeCell ref="R387:S387"/>
    <mergeCell ref="R388:S388"/>
    <mergeCell ref="R389:S389"/>
    <mergeCell ref="R390:S390"/>
    <mergeCell ref="Z396:AA396"/>
    <mergeCell ref="V397:W397"/>
    <mergeCell ref="Z397:AA397"/>
    <mergeCell ref="V398:W398"/>
    <mergeCell ref="Z398:AA398"/>
    <mergeCell ref="V392:W392"/>
    <mergeCell ref="Z392:AA392"/>
    <mergeCell ref="V395:W395"/>
    <mergeCell ref="Z395:AA395"/>
    <mergeCell ref="V396:W396"/>
    <mergeCell ref="R395:S395"/>
    <mergeCell ref="R396:S396"/>
    <mergeCell ref="R397:S397"/>
    <mergeCell ref="R398:S398"/>
    <mergeCell ref="R392:S392"/>
    <mergeCell ref="V387:W387"/>
    <mergeCell ref="Z387:AA387"/>
    <mergeCell ref="V388:W388"/>
    <mergeCell ref="Z388:AA388"/>
    <mergeCell ref="V389:W389"/>
    <mergeCell ref="Z389:AA389"/>
    <mergeCell ref="V390:W390"/>
    <mergeCell ref="Z390:AA390"/>
    <mergeCell ref="V391:W391"/>
    <mergeCell ref="Z391:AA391"/>
    <mergeCell ref="R404:S404"/>
    <mergeCell ref="V404:W404"/>
    <mergeCell ref="Z404:AA404"/>
    <mergeCell ref="R391:S391"/>
    <mergeCell ref="R405:S405"/>
    <mergeCell ref="V405:W405"/>
    <mergeCell ref="Z405:AA405"/>
    <mergeCell ref="V399:W399"/>
    <mergeCell ref="Z399:AA399"/>
    <mergeCell ref="V400:W400"/>
    <mergeCell ref="Z400:AA400"/>
    <mergeCell ref="R403:S403"/>
    <mergeCell ref="V403:W403"/>
    <mergeCell ref="Z403:AA403"/>
    <mergeCell ref="R400:S400"/>
    <mergeCell ref="R399:S399"/>
    <mergeCell ref="R408:S408"/>
    <mergeCell ref="V408:W408"/>
    <mergeCell ref="Z408:AA408"/>
    <mergeCell ref="R411:S411"/>
    <mergeCell ref="V411:W411"/>
    <mergeCell ref="R406:S406"/>
    <mergeCell ref="V406:W406"/>
    <mergeCell ref="Z406:AA406"/>
    <mergeCell ref="R407:S407"/>
    <mergeCell ref="V407:W407"/>
    <mergeCell ref="Z407:AA407"/>
    <mergeCell ref="R415:S415"/>
    <mergeCell ref="V415:W415"/>
    <mergeCell ref="R416:S416"/>
    <mergeCell ref="V416:W416"/>
    <mergeCell ref="R419:S419"/>
    <mergeCell ref="V419:W419"/>
    <mergeCell ref="R412:S412"/>
    <mergeCell ref="V412:W412"/>
    <mergeCell ref="R413:S413"/>
    <mergeCell ref="V413:W413"/>
    <mergeCell ref="R414:S414"/>
    <mergeCell ref="V414:W414"/>
    <mergeCell ref="R422:S422"/>
    <mergeCell ref="V422:W422"/>
    <mergeCell ref="Z422:AA422"/>
    <mergeCell ref="R423:S423"/>
    <mergeCell ref="V423:W423"/>
    <mergeCell ref="Z423:AA423"/>
    <mergeCell ref="Z419:AA419"/>
    <mergeCell ref="R420:S420"/>
    <mergeCell ref="V420:W420"/>
    <mergeCell ref="Z420:AA420"/>
    <mergeCell ref="R421:S421"/>
    <mergeCell ref="V421:W421"/>
    <mergeCell ref="Z421:AA421"/>
    <mergeCell ref="R428:S428"/>
    <mergeCell ref="V428:W428"/>
    <mergeCell ref="Z428:AA428"/>
    <mergeCell ref="R429:S429"/>
    <mergeCell ref="V429:W429"/>
    <mergeCell ref="Z429:AA429"/>
    <mergeCell ref="R424:S424"/>
    <mergeCell ref="V424:W424"/>
    <mergeCell ref="Z424:AA424"/>
    <mergeCell ref="R427:S427"/>
    <mergeCell ref="V427:W427"/>
    <mergeCell ref="Z427:AA427"/>
    <mergeCell ref="R432:S432"/>
    <mergeCell ref="V432:W432"/>
    <mergeCell ref="Z432:AA432"/>
    <mergeCell ref="R435:S435"/>
    <mergeCell ref="V435:W435"/>
    <mergeCell ref="R430:S430"/>
    <mergeCell ref="V430:W430"/>
    <mergeCell ref="Z430:AA430"/>
    <mergeCell ref="R431:S431"/>
    <mergeCell ref="V431:W431"/>
    <mergeCell ref="Z431:AA431"/>
    <mergeCell ref="R439:S439"/>
    <mergeCell ref="V439:W439"/>
    <mergeCell ref="R440:S440"/>
    <mergeCell ref="V440:W440"/>
    <mergeCell ref="R436:S436"/>
    <mergeCell ref="V436:W436"/>
    <mergeCell ref="R437:S437"/>
    <mergeCell ref="V437:W437"/>
    <mergeCell ref="R438:S438"/>
    <mergeCell ref="V438:W438"/>
  </mergeCells>
  <phoneticPr fontId="26" type="noConversion"/>
  <conditionalFormatting sqref="P7:P32 P34 P37:P315 P374:P377">
    <cfRule type="containsText" dxfId="159" priority="77" operator="containsText" text="A RECEBER">
      <formula>NOT(ISERROR(SEARCH("A RECEBER",P7)))</formula>
    </cfRule>
  </conditionalFormatting>
  <conditionalFormatting sqref="P28:P30">
    <cfRule type="containsText" dxfId="158" priority="1" operator="containsText" text="A PAGAR">
      <formula>NOT(ISERROR(SEARCH("A PAGAR",P28)))</formula>
    </cfRule>
    <cfRule type="containsText" dxfId="157" priority="2" operator="containsText" text="A RECEBER">
      <formula>NOT(ISERROR(SEARCH("A RECEBER",P28)))</formula>
    </cfRule>
    <cfRule type="containsText" dxfId="156" priority="3" operator="containsText" text="A PAGAR">
      <formula>NOT(ISERROR(SEARCH("A PAGAR",P28)))</formula>
    </cfRule>
    <cfRule type="containsText" dxfId="155" priority="4" operator="containsText" text="A RECEBER">
      <formula>NOT(ISERROR(SEARCH("A RECEBER",P28)))</formula>
    </cfRule>
  </conditionalFormatting>
  <conditionalFormatting sqref="P31:P32 P34">
    <cfRule type="containsText" dxfId="154" priority="78" operator="containsText" text="A PAGAR">
      <formula>NOT(ISERROR(SEARCH("A PAGAR",P31)))</formula>
    </cfRule>
    <cfRule type="containsText" dxfId="153" priority="79" operator="containsText" text="A RECEBER">
      <formula>NOT(ISERROR(SEARCH("A RECEBER",P31)))</formula>
    </cfRule>
  </conditionalFormatting>
  <conditionalFormatting sqref="P31:P36">
    <cfRule type="containsText" dxfId="152" priority="80" operator="containsText" text="A PAGAR">
      <formula>NOT(ISERROR(SEARCH("A PAGAR",P31)))</formula>
    </cfRule>
    <cfRule type="containsText" dxfId="151" priority="81" operator="containsText" text="A RECEBER">
      <formula>NOT(ISERROR(SEARCH("A RECEBER",P31)))</formula>
    </cfRule>
  </conditionalFormatting>
  <conditionalFormatting sqref="P37:P315 P7:P32 P34 P374:P377">
    <cfRule type="containsText" dxfId="150" priority="76" operator="containsText" text="A PAGAR">
      <formula>NOT(ISERROR(SEARCH("A PAGAR",P7)))</formula>
    </cfRule>
  </conditionalFormatting>
  <conditionalFormatting sqref="P239:P241">
    <cfRule type="containsText" dxfId="149" priority="86" operator="containsText" text="A PAGAR">
      <formula>NOT(ISERROR(SEARCH("A PAGAR",P239)))</formula>
    </cfRule>
    <cfRule type="containsText" dxfId="148" priority="87" operator="containsText" text="A RECEBER">
      <formula>NOT(ISERROR(SEARCH("A RECEBER",P239)))</formula>
    </cfRule>
  </conditionalFormatting>
  <conditionalFormatting sqref="P312:P314">
    <cfRule type="containsText" dxfId="147" priority="44" operator="containsText" text="A PAGAR">
      <formula>NOT(ISERROR(SEARCH("A PAGAR",P312)))</formula>
    </cfRule>
    <cfRule type="containsText" dxfId="146" priority="45" operator="containsText" text="A RECEBER">
      <formula>NOT(ISERROR(SEARCH("A RECEBER",P312)))</formula>
    </cfRule>
  </conditionalFormatting>
  <conditionalFormatting sqref="P312:P315">
    <cfRule type="containsText" dxfId="145" priority="46" operator="containsText" text="A PAGAR">
      <formula>NOT(ISERROR(SEARCH("A PAGAR",P312)))</formula>
    </cfRule>
    <cfRule type="containsText" dxfId="144" priority="47" operator="containsText" text="A RECEBER">
      <formula>NOT(ISERROR(SEARCH("A RECEBER",P312)))</formula>
    </cfRule>
  </conditionalFormatting>
  <conditionalFormatting sqref="P315:P329">
    <cfRule type="containsText" dxfId="143" priority="48" operator="containsText" text="A PAGAR">
      <formula>NOT(ISERROR(SEARCH("A PAGAR",P315)))</formula>
    </cfRule>
    <cfRule type="containsText" dxfId="142" priority="49" operator="containsText" text="A RECEBER">
      <formula>NOT(ISERROR(SEARCH("A RECEBER",P315)))</formula>
    </cfRule>
  </conditionalFormatting>
  <conditionalFormatting sqref="P330:P338">
    <cfRule type="containsText" dxfId="141" priority="74" operator="containsText" text="A PAGAR">
      <formula>NOT(ISERROR(SEARCH("A PAGAR",P330)))</formula>
    </cfRule>
    <cfRule type="containsText" dxfId="140" priority="75" operator="containsText" text="A RECEBER">
      <formula>NOT(ISERROR(SEARCH("A RECEBER",P330)))</formula>
    </cfRule>
  </conditionalFormatting>
  <conditionalFormatting sqref="P332:P338">
    <cfRule type="containsText" dxfId="139" priority="70" operator="containsText" text="A PAGAR">
      <formula>NOT(ISERROR(SEARCH("A PAGAR",P332)))</formula>
    </cfRule>
    <cfRule type="containsText" dxfId="138" priority="71" operator="containsText" text="A RECEBER">
      <formula>NOT(ISERROR(SEARCH("A RECEBER",P332)))</formula>
    </cfRule>
    <cfRule type="containsText" dxfId="137" priority="72" operator="containsText" text="A PAGAR">
      <formula>NOT(ISERROR(SEARCH("A PAGAR",P332)))</formula>
    </cfRule>
    <cfRule type="containsText" dxfId="136" priority="73" operator="containsText" text="A RECEBER">
      <formula>NOT(ISERROR(SEARCH("A RECEBER",P332)))</formula>
    </cfRule>
  </conditionalFormatting>
  <conditionalFormatting sqref="P340">
    <cfRule type="containsText" dxfId="135" priority="68" operator="containsText" text="A PAGAR">
      <formula>NOT(ISERROR(SEARCH("A PAGAR",P340)))</formula>
    </cfRule>
    <cfRule type="containsText" dxfId="134" priority="69" operator="containsText" text="A RECEBER">
      <formula>NOT(ISERROR(SEARCH("A RECEBER",P340)))</formula>
    </cfRule>
  </conditionalFormatting>
  <conditionalFormatting sqref="P343:P346">
    <cfRule type="containsText" dxfId="133" priority="66" operator="containsText" text="A PAGAR">
      <formula>NOT(ISERROR(SEARCH("A PAGAR",P343)))</formula>
    </cfRule>
    <cfRule type="containsText" dxfId="132" priority="67" operator="containsText" text="A RECEBER">
      <formula>NOT(ISERROR(SEARCH("A RECEBER",P343)))</formula>
    </cfRule>
  </conditionalFormatting>
  <conditionalFormatting sqref="P356:P358">
    <cfRule type="containsText" dxfId="131" priority="40" operator="containsText" text="A PAGAR">
      <formula>NOT(ISERROR(SEARCH("A PAGAR",P356)))</formula>
    </cfRule>
    <cfRule type="containsText" dxfId="130" priority="41" operator="containsText" text="A RECEBER">
      <formula>NOT(ISERROR(SEARCH("A RECEBER",P356)))</formula>
    </cfRule>
  </conditionalFormatting>
  <conditionalFormatting sqref="P364:P369">
    <cfRule type="containsText" dxfId="129" priority="30" operator="containsText" text="A PAGAR">
      <formula>NOT(ISERROR(SEARCH("A PAGAR",P364)))</formula>
    </cfRule>
    <cfRule type="containsText" dxfId="128" priority="31" operator="containsText" text="A RECEBER">
      <formula>NOT(ISERROR(SEARCH("A RECEBER",P364)))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30" fitToHeight="6" orientation="landscape" horizontalDpi="1200" verticalDpi="1200" r:id="rId1"/>
  <headerFooter>
    <oddHeader>&amp;L             &amp;G</oddHeader>
    <oddFooter>&amp;L&amp;7&amp;Z&amp;F</oddFooter>
  </headerFooter>
  <legacyDrawing r:id="rId2"/>
  <legacyDrawingHF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8346CD64-6CF8-4FF4-B817-2C9A97118463}">
          <x14:formula1>
            <xm:f>'TA Status'!$B$7:$B$11</xm:f>
          </x14:formula1>
          <xm:sqref>P147:P154 P356:P358 P136:P140 P340 P156:P338 P142:P144 P343:P346 P364:P369 P374:P377 P7:P134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AB449"/>
  <sheetViews>
    <sheetView showGridLines="0" zoomScale="50" zoomScaleNormal="50" zoomScaleSheetLayoutView="79" workbookViewId="0">
      <pane xSplit="7" topLeftCell="H1" activePane="topRight" state="frozen"/>
      <selection activeCell="A7" sqref="A7"/>
      <selection pane="topRight" activeCell="D378" sqref="D378"/>
    </sheetView>
  </sheetViews>
  <sheetFormatPr defaultColWidth="9.109375" defaultRowHeight="15.6"/>
  <cols>
    <col min="1" max="1" width="2.109375" style="107" customWidth="1"/>
    <col min="2" max="2" width="19.5546875" style="445" customWidth="1"/>
    <col min="3" max="3" width="30.6640625" style="445" customWidth="1"/>
    <col min="4" max="4" width="36.77734375" style="445" bestFit="1" customWidth="1"/>
    <col min="5" max="5" width="53.44140625" style="445" customWidth="1"/>
    <col min="6" max="6" width="20.5546875" style="445" customWidth="1"/>
    <col min="7" max="7" width="27.5546875" style="445" customWidth="1"/>
    <col min="8" max="8" width="26.44140625" style="445" bestFit="1" customWidth="1"/>
    <col min="9" max="9" width="26.44140625" style="445" customWidth="1"/>
    <col min="10" max="10" width="58.5546875" style="107" bestFit="1" customWidth="1"/>
    <col min="11" max="11" width="65" style="107" customWidth="1"/>
    <col min="12" max="12" width="8.88671875" style="445" customWidth="1"/>
    <col min="13" max="14" width="15.88671875" style="493" customWidth="1"/>
    <col min="15" max="15" width="15.88671875" style="494" customWidth="1"/>
    <col min="16" max="16" width="15.88671875" style="555" customWidth="1"/>
    <col min="17" max="17" width="24.5546875" style="107" bestFit="1" customWidth="1"/>
    <col min="18" max="18" width="18.5546875" style="106" bestFit="1" customWidth="1"/>
    <col min="19" max="19" width="15.88671875" style="447" customWidth="1"/>
    <col min="20" max="20" width="24.5546875" style="443" bestFit="1" customWidth="1"/>
    <col min="21" max="21" width="1.88671875" style="107" customWidth="1"/>
    <col min="22" max="22" width="23" style="443" customWidth="1"/>
    <col min="23" max="23" width="18.33203125" style="107" customWidth="1"/>
    <col min="24" max="24" width="18.109375" style="107" customWidth="1"/>
    <col min="25" max="25" width="1.88671875" style="107" customWidth="1"/>
    <col min="26" max="26" width="37.77734375" style="107" customWidth="1"/>
    <col min="27" max="27" width="18.77734375" style="107" customWidth="1"/>
    <col min="28" max="28" width="19.77734375" style="107" customWidth="1"/>
    <col min="29" max="16384" width="9.109375" style="107"/>
  </cols>
  <sheetData>
    <row r="2" spans="2:22">
      <c r="C2" s="444" t="s">
        <v>17</v>
      </c>
      <c r="D2" s="445">
        <f>'TA Gerencial'!F2</f>
        <v>2026</v>
      </c>
      <c r="E2" s="489" t="s">
        <v>8</v>
      </c>
      <c r="G2" s="489"/>
      <c r="H2" s="489"/>
      <c r="I2" s="489"/>
      <c r="J2" s="489"/>
      <c r="K2" s="489"/>
      <c r="L2" s="489"/>
      <c r="M2" s="491"/>
      <c r="N2" s="491"/>
      <c r="O2" s="446"/>
    </row>
    <row r="3" spans="2:22" ht="32.25" customHeight="1">
      <c r="C3" s="444" t="s">
        <v>18</v>
      </c>
      <c r="D3" s="106" t="s">
        <v>71</v>
      </c>
      <c r="E3" s="489" t="s">
        <v>16</v>
      </c>
      <c r="G3" s="489"/>
      <c r="H3" s="489"/>
      <c r="I3" s="489"/>
      <c r="J3" s="489"/>
      <c r="K3" s="489"/>
      <c r="L3" s="489"/>
      <c r="M3" s="491"/>
      <c r="N3" s="491"/>
      <c r="O3" s="446"/>
    </row>
    <row r="4" spans="2:22">
      <c r="B4" s="492"/>
      <c r="C4" s="444" t="s">
        <v>19</v>
      </c>
      <c r="D4" s="448"/>
      <c r="E4" s="489" t="s">
        <v>42</v>
      </c>
      <c r="G4" s="489"/>
      <c r="H4" s="489"/>
      <c r="I4" s="489"/>
      <c r="J4" s="489"/>
      <c r="K4" s="489"/>
      <c r="L4" s="489"/>
      <c r="M4" s="491"/>
      <c r="N4" s="491"/>
      <c r="O4" s="446"/>
    </row>
    <row r="6" spans="2:22" s="445" customFormat="1" ht="41.25" customHeight="1">
      <c r="B6" s="492" t="s">
        <v>192</v>
      </c>
      <c r="C6" s="495" t="s">
        <v>11</v>
      </c>
      <c r="D6" s="495" t="s">
        <v>193</v>
      </c>
      <c r="E6" s="496" t="s">
        <v>23</v>
      </c>
      <c r="F6" s="496" t="s">
        <v>40</v>
      </c>
      <c r="G6" s="496" t="s">
        <v>87</v>
      </c>
      <c r="H6" s="492" t="s">
        <v>12</v>
      </c>
      <c r="I6" s="445" t="s">
        <v>4</v>
      </c>
      <c r="J6" s="492" t="s">
        <v>245</v>
      </c>
      <c r="K6" s="492" t="s">
        <v>0</v>
      </c>
      <c r="L6" s="492" t="s">
        <v>7</v>
      </c>
      <c r="M6" s="493" t="s">
        <v>13</v>
      </c>
      <c r="N6" s="493" t="s">
        <v>14</v>
      </c>
      <c r="O6" s="493" t="s">
        <v>2</v>
      </c>
      <c r="P6" s="497" t="s">
        <v>212</v>
      </c>
      <c r="Q6" s="492" t="s">
        <v>285</v>
      </c>
      <c r="R6" s="498" t="s">
        <v>283</v>
      </c>
      <c r="S6" s="499" t="s">
        <v>55</v>
      </c>
      <c r="T6" s="450" t="s">
        <v>284</v>
      </c>
      <c r="V6" s="450"/>
    </row>
    <row r="7" spans="2:22" ht="21" customHeight="1">
      <c r="B7" s="451" t="str">
        <f>CONCATENATE('TA Gerencial'!I2,'TA Gerencial'!H4,'TA Gerencial'!H3)</f>
        <v>2/26</v>
      </c>
      <c r="C7" s="121" t="str">
        <f>VLOOKUP(mFEV[[#This Row],[CÓDIGO CONTABIL]],Contas_Gerencial[#All],3,FALSE)</f>
        <v>DESPESAS FIXAS</v>
      </c>
      <c r="D7" s="445" t="str">
        <f>VLOOKUP(mFEV[[#This Row],[DESCRIÇÃO CONTABIL]],Contas_Gerencial[[#All],[DESCRIÇÃO DA CONTA - NÃO UTILIZAR]:[Código2]],2,FALSE)</f>
        <v>20.02.010</v>
      </c>
      <c r="E7" s="121" t="s">
        <v>830</v>
      </c>
      <c r="F7" s="453" t="s">
        <v>41</v>
      </c>
      <c r="G7" s="453" t="s">
        <v>595</v>
      </c>
      <c r="H7" s="453" t="s">
        <v>1907</v>
      </c>
      <c r="I7" s="455" t="s">
        <v>2154</v>
      </c>
      <c r="J7" s="453" t="s">
        <v>377</v>
      </c>
      <c r="K7" s="453" t="s">
        <v>2156</v>
      </c>
      <c r="L7" s="456" t="s">
        <v>1766</v>
      </c>
      <c r="M7" s="457">
        <v>46031</v>
      </c>
      <c r="N7" s="457">
        <v>46076</v>
      </c>
      <c r="O7" s="457">
        <v>46072</v>
      </c>
      <c r="P7" s="453" t="s">
        <v>214</v>
      </c>
      <c r="Q7" s="468">
        <v>106.26</v>
      </c>
      <c r="R7" s="467">
        <v>0</v>
      </c>
      <c r="S7" s="467">
        <v>0</v>
      </c>
      <c r="T7" s="115">
        <f>SUM(mFEV[[#This Row],[PRINCIPAL]:[JUROS]])</f>
        <v>106.26</v>
      </c>
      <c r="V7" s="115"/>
    </row>
    <row r="8" spans="2:22" ht="21" customHeight="1">
      <c r="B8" s="451" t="str">
        <f>B7</f>
        <v>2/26</v>
      </c>
      <c r="C8" s="121" t="str">
        <f>VLOOKUP(mFEV[[#This Row],[CÓDIGO CONTABIL]],Contas_Gerencial[#All],3,FALSE)</f>
        <v>DESPESAS FIXAS</v>
      </c>
      <c r="D8" s="445" t="str">
        <f>VLOOKUP(mFEV[[#This Row],[DESCRIÇÃO CONTABIL]],Contas_Gerencial[[#All],[DESCRIÇÃO DA CONTA - NÃO UTILIZAR]:[Código2]],2,FALSE)</f>
        <v>20.02.009</v>
      </c>
      <c r="E8" s="452" t="s">
        <v>711</v>
      </c>
      <c r="F8" s="453" t="s">
        <v>41</v>
      </c>
      <c r="G8" s="453" t="s">
        <v>595</v>
      </c>
      <c r="H8" s="453" t="s">
        <v>1803</v>
      </c>
      <c r="I8" s="455" t="s">
        <v>2154</v>
      </c>
      <c r="J8" s="453" t="s">
        <v>377</v>
      </c>
      <c r="K8" s="453" t="s">
        <v>2155</v>
      </c>
      <c r="L8" s="456" t="s">
        <v>1766</v>
      </c>
      <c r="M8" s="457">
        <v>46031</v>
      </c>
      <c r="N8" s="457">
        <v>46076</v>
      </c>
      <c r="O8" s="457">
        <v>46072</v>
      </c>
      <c r="P8" s="453" t="s">
        <v>214</v>
      </c>
      <c r="Q8" s="519">
        <v>1806.11</v>
      </c>
      <c r="R8" s="459">
        <v>0</v>
      </c>
      <c r="S8" s="459">
        <v>0</v>
      </c>
      <c r="T8" s="115">
        <f>SUM(mFEV[[#This Row],[PRINCIPAL]:[JUROS]])</f>
        <v>1806.11</v>
      </c>
      <c r="V8" s="115"/>
    </row>
    <row r="9" spans="2:22" ht="21" customHeight="1">
      <c r="B9" s="451" t="str">
        <f t="shared" ref="B9:B74" si="0">B8</f>
        <v>2/26</v>
      </c>
      <c r="C9" s="121" t="str">
        <f>VLOOKUP(mFEV[[#This Row],[CÓDIGO CONTABIL]],Contas_Gerencial[#All],3,FALSE)</f>
        <v>DESPESAS FIXAS</v>
      </c>
      <c r="D9" s="445" t="str">
        <f>VLOOKUP(mFEV[[#This Row],[DESCRIÇÃO CONTABIL]],Contas_Gerencial[[#All],[DESCRIÇÃO DA CONTA - NÃO UTILIZAR]:[Código2]],2,FALSE)</f>
        <v>20.02.010</v>
      </c>
      <c r="E9" s="452" t="s">
        <v>830</v>
      </c>
      <c r="F9" s="453" t="s">
        <v>581</v>
      </c>
      <c r="G9" s="453" t="s">
        <v>595</v>
      </c>
      <c r="H9" s="453" t="s">
        <v>1907</v>
      </c>
      <c r="I9" s="455" t="s">
        <v>1267</v>
      </c>
      <c r="J9" s="453" t="s">
        <v>377</v>
      </c>
      <c r="K9" s="453" t="s">
        <v>2158</v>
      </c>
      <c r="L9" s="456" t="s">
        <v>1766</v>
      </c>
      <c r="M9" s="457">
        <v>46031</v>
      </c>
      <c r="N9" s="457">
        <v>46076</v>
      </c>
      <c r="O9" s="457">
        <v>46072</v>
      </c>
      <c r="P9" s="453" t="s">
        <v>214</v>
      </c>
      <c r="Q9" s="519">
        <v>106.26</v>
      </c>
      <c r="R9" s="459">
        <v>0</v>
      </c>
      <c r="S9" s="459">
        <v>0</v>
      </c>
      <c r="T9" s="115">
        <f>SUM(mFEV[[#This Row],[PRINCIPAL]:[JUROS]])</f>
        <v>106.26</v>
      </c>
      <c r="V9" s="115"/>
    </row>
    <row r="10" spans="2:22" ht="21" customHeight="1">
      <c r="B10" s="451" t="str">
        <f t="shared" si="0"/>
        <v>2/26</v>
      </c>
      <c r="C10" s="121" t="str">
        <f>VLOOKUP(mFEV[[#This Row],[CÓDIGO CONTABIL]],Contas_Gerencial[#All],3,FALSE)</f>
        <v>DESPESAS FIXAS</v>
      </c>
      <c r="D10" s="445" t="str">
        <f>VLOOKUP(mFEV[[#This Row],[DESCRIÇÃO CONTABIL]],Contas_Gerencial[[#All],[DESCRIÇÃO DA CONTA - NÃO UTILIZAR]:[Código2]],2,FALSE)</f>
        <v>20.02.009</v>
      </c>
      <c r="E10" s="452" t="s">
        <v>711</v>
      </c>
      <c r="F10" s="453" t="s">
        <v>581</v>
      </c>
      <c r="G10" s="453" t="s">
        <v>595</v>
      </c>
      <c r="H10" s="453" t="s">
        <v>1803</v>
      </c>
      <c r="I10" s="455" t="s">
        <v>1267</v>
      </c>
      <c r="J10" s="453" t="s">
        <v>377</v>
      </c>
      <c r="K10" s="453" t="s">
        <v>2157</v>
      </c>
      <c r="L10" s="456" t="s">
        <v>1766</v>
      </c>
      <c r="M10" s="457">
        <v>46031</v>
      </c>
      <c r="N10" s="457">
        <v>46076</v>
      </c>
      <c r="O10" s="457">
        <v>46072</v>
      </c>
      <c r="P10" s="453" t="s">
        <v>214</v>
      </c>
      <c r="Q10" s="519">
        <v>3636.31</v>
      </c>
      <c r="R10" s="459">
        <v>0</v>
      </c>
      <c r="S10" s="459">
        <v>0</v>
      </c>
      <c r="T10" s="115">
        <f>SUM(mFEV[[#This Row],[PRINCIPAL]:[JUROS]])</f>
        <v>3636.31</v>
      </c>
      <c r="V10" s="115"/>
    </row>
    <row r="11" spans="2:22" ht="21" customHeight="1">
      <c r="B11" s="451" t="str">
        <f t="shared" si="0"/>
        <v>2/26</v>
      </c>
      <c r="C11" s="121" t="str">
        <f>VLOOKUP(mFEV[[#This Row],[CÓDIGO CONTABIL]],Contas_Gerencial[#All],3,FALSE)</f>
        <v>FOLHA DE PAGAMENTO</v>
      </c>
      <c r="D11" s="445" t="str">
        <f>VLOOKUP(mFEV[[#This Row],[DESCRIÇÃO CONTABIL]],Contas_Gerencial[[#All],[DESCRIÇÃO DA CONTA - NÃO UTILIZAR]:[Código2]],2,FALSE)</f>
        <v>20.05.016</v>
      </c>
      <c r="E11" s="121" t="s">
        <v>65</v>
      </c>
      <c r="F11" s="453" t="s">
        <v>581</v>
      </c>
      <c r="G11" s="107" t="s">
        <v>1130</v>
      </c>
      <c r="H11" s="453" t="s">
        <v>1791</v>
      </c>
      <c r="I11" s="455">
        <v>40226</v>
      </c>
      <c r="J11" s="453" t="s">
        <v>581</v>
      </c>
      <c r="K11" s="453" t="s">
        <v>2234</v>
      </c>
      <c r="L11" s="453" t="s">
        <v>1766</v>
      </c>
      <c r="M11" s="457">
        <v>46051</v>
      </c>
      <c r="N11" s="457">
        <v>46055</v>
      </c>
      <c r="O11" s="457">
        <v>46057</v>
      </c>
      <c r="P11" s="453" t="s">
        <v>214</v>
      </c>
      <c r="Q11" s="458">
        <v>1998.98</v>
      </c>
      <c r="R11" s="467">
        <v>0</v>
      </c>
      <c r="S11" s="467">
        <v>0</v>
      </c>
      <c r="T11" s="115">
        <f>SUM(mFEV[[#This Row],[PRINCIPAL]:[JUROS]])</f>
        <v>1998.98</v>
      </c>
      <c r="V11" s="115"/>
    </row>
    <row r="12" spans="2:22" ht="21" customHeight="1">
      <c r="B12" s="451" t="str">
        <f t="shared" si="0"/>
        <v>2/26</v>
      </c>
      <c r="C12" s="121" t="str">
        <f>VLOOKUP(mFEV[[#This Row],[CÓDIGO CONTABIL]],Contas_Gerencial[#All],3,FALSE)</f>
        <v>FOLHA DE PAGAMENTO</v>
      </c>
      <c r="D12" s="445" t="str">
        <f>VLOOKUP(mFEV[[#This Row],[DESCRIÇÃO CONTABIL]],Contas_Gerencial[[#All],[DESCRIÇÃO DA CONTA - NÃO UTILIZAR]:[Código2]],2,FALSE)</f>
        <v>20.05.013</v>
      </c>
      <c r="E12" s="121" t="s">
        <v>401</v>
      </c>
      <c r="F12" s="453" t="s">
        <v>581</v>
      </c>
      <c r="G12" s="107" t="s">
        <v>1137</v>
      </c>
      <c r="H12" s="453" t="s">
        <v>1802</v>
      </c>
      <c r="I12" s="455">
        <v>30226</v>
      </c>
      <c r="J12" s="453" t="s">
        <v>581</v>
      </c>
      <c r="K12" s="453" t="s">
        <v>2251</v>
      </c>
      <c r="L12" s="453" t="s">
        <v>1766</v>
      </c>
      <c r="M12" s="457">
        <v>46044</v>
      </c>
      <c r="N12" s="457">
        <v>46056</v>
      </c>
      <c r="O12" s="457">
        <v>46056</v>
      </c>
      <c r="P12" s="453" t="s">
        <v>214</v>
      </c>
      <c r="Q12" s="458">
        <f>90*4</f>
        <v>360</v>
      </c>
      <c r="R12" s="467">
        <v>0</v>
      </c>
      <c r="S12" s="467">
        <v>0</v>
      </c>
      <c r="T12" s="115">
        <f>SUM(mFEV[[#This Row],[PRINCIPAL]:[JUROS]])</f>
        <v>360</v>
      </c>
      <c r="V12" s="115"/>
    </row>
    <row r="13" spans="2:22" ht="21" customHeight="1">
      <c r="B13" s="451" t="str">
        <f t="shared" si="0"/>
        <v>2/26</v>
      </c>
      <c r="C13" s="121" t="str">
        <f>VLOOKUP(mFEV[[#This Row],[CÓDIGO CONTABIL]],Contas_Gerencial[#All],3,FALSE)</f>
        <v>DESPESAS FIXAS</v>
      </c>
      <c r="D13" s="445" t="str">
        <f>VLOOKUP(mFEV[[#This Row],[DESCRIÇÃO CONTABIL]],Contas_Gerencial[[#All],[DESCRIÇÃO DA CONTA - NÃO UTILIZAR]:[Código2]],2,FALSE)</f>
        <v>20.02.001</v>
      </c>
      <c r="E13" s="453" t="s">
        <v>28</v>
      </c>
      <c r="F13" s="453" t="s">
        <v>41</v>
      </c>
      <c r="G13" s="453" t="s">
        <v>595</v>
      </c>
      <c r="H13" s="453" t="s">
        <v>1803</v>
      </c>
      <c r="I13" s="481">
        <v>38498</v>
      </c>
      <c r="J13" s="453" t="s">
        <v>372</v>
      </c>
      <c r="K13" s="453" t="s">
        <v>1806</v>
      </c>
      <c r="L13" s="451" t="s">
        <v>2258</v>
      </c>
      <c r="M13" s="457">
        <v>46043</v>
      </c>
      <c r="N13" s="457">
        <v>46063</v>
      </c>
      <c r="O13" s="457">
        <v>46063</v>
      </c>
      <c r="P13" s="452" t="s">
        <v>214</v>
      </c>
      <c r="Q13" s="468">
        <f>2008.87-200</f>
        <v>1808.87</v>
      </c>
      <c r="R13" s="467">
        <v>0</v>
      </c>
      <c r="S13" s="467">
        <v>0</v>
      </c>
      <c r="T13" s="115">
        <f>SUM(mFEV[[#This Row],[PRINCIPAL]:[JUROS]])</f>
        <v>1808.87</v>
      </c>
      <c r="V13" s="115"/>
    </row>
    <row r="14" spans="2:22" ht="21" customHeight="1">
      <c r="B14" s="451" t="str">
        <f t="shared" si="0"/>
        <v>2/26</v>
      </c>
      <c r="C14" s="121" t="str">
        <f>VLOOKUP(mFEV[[#This Row],[CÓDIGO CONTABIL]],Contas_Gerencial[#All],3,FALSE)</f>
        <v>DESPESAS FIXAS</v>
      </c>
      <c r="D14" s="445" t="str">
        <f>VLOOKUP(mFEV[[#This Row],[DESCRIÇÃO CONTABIL]],Contas_Gerencial[[#All],[DESCRIÇÃO DA CONTA - NÃO UTILIZAR]:[Código2]],2,FALSE)</f>
        <v>20.02.003</v>
      </c>
      <c r="E14" s="107" t="s">
        <v>27</v>
      </c>
      <c r="F14" s="107" t="s">
        <v>41</v>
      </c>
      <c r="G14" s="107" t="s">
        <v>595</v>
      </c>
      <c r="H14" s="107" t="s">
        <v>1803</v>
      </c>
      <c r="I14" s="481">
        <v>5224702</v>
      </c>
      <c r="J14" s="107" t="s">
        <v>1506</v>
      </c>
      <c r="K14" s="107" t="s">
        <v>1809</v>
      </c>
      <c r="L14" s="451" t="s">
        <v>2258</v>
      </c>
      <c r="M14" s="457">
        <v>46049</v>
      </c>
      <c r="N14" s="457">
        <v>46063</v>
      </c>
      <c r="O14" s="457">
        <v>46063</v>
      </c>
      <c r="P14" s="452" t="s">
        <v>214</v>
      </c>
      <c r="Q14" s="471">
        <v>706.88</v>
      </c>
      <c r="R14" s="471">
        <v>0</v>
      </c>
      <c r="S14" s="471">
        <v>0</v>
      </c>
      <c r="T14" s="115">
        <f>SUM(mFEV[[#This Row],[PRINCIPAL]:[JUROS]])</f>
        <v>706.88</v>
      </c>
      <c r="V14" s="115"/>
    </row>
    <row r="15" spans="2:22" ht="21" customHeight="1">
      <c r="B15" s="451" t="str">
        <f t="shared" si="0"/>
        <v>2/26</v>
      </c>
      <c r="C15" s="121" t="str">
        <f>VLOOKUP(mFEV[[#This Row],[CÓDIGO CONTABIL]],Contas_Gerencial[#All],3,FALSE)</f>
        <v>DESPESAS FIXAS</v>
      </c>
      <c r="D15" s="445" t="str">
        <f>VLOOKUP(mFEV[[#This Row],[DESCRIÇÃO CONTABIL]],Contas_Gerencial[[#All],[DESCRIÇÃO DA CONTA - NÃO UTILIZAR]:[Código2]],2,FALSE)</f>
        <v>20.02.007</v>
      </c>
      <c r="E15" s="452" t="s">
        <v>26</v>
      </c>
      <c r="F15" s="452" t="s">
        <v>41</v>
      </c>
      <c r="G15" s="480" t="s">
        <v>595</v>
      </c>
      <c r="H15" s="452" t="s">
        <v>1807</v>
      </c>
      <c r="I15" s="481">
        <v>5678768283</v>
      </c>
      <c r="J15" s="453" t="s">
        <v>374</v>
      </c>
      <c r="K15" s="453" t="s">
        <v>1808</v>
      </c>
      <c r="L15" s="451" t="s">
        <v>2258</v>
      </c>
      <c r="M15" s="457">
        <v>46063</v>
      </c>
      <c r="N15" s="457">
        <v>46063</v>
      </c>
      <c r="O15" s="457">
        <v>46072</v>
      </c>
      <c r="P15" s="452" t="s">
        <v>214</v>
      </c>
      <c r="Q15" s="458">
        <v>95.02</v>
      </c>
      <c r="R15" s="459">
        <v>0</v>
      </c>
      <c r="S15" s="459">
        <v>0</v>
      </c>
      <c r="T15" s="115">
        <f>SUM(mFEV[[#This Row],[PRINCIPAL]:[JUROS]])</f>
        <v>95.02</v>
      </c>
      <c r="V15" s="115"/>
    </row>
    <row r="16" spans="2:22" ht="21" customHeight="1">
      <c r="B16" s="451" t="str">
        <f t="shared" si="0"/>
        <v>2/26</v>
      </c>
      <c r="C16" s="121" t="str">
        <f>VLOOKUP(mFEV[[#This Row],[CÓDIGO CONTABIL]],Contas_Gerencial[#All],3,FALSE)</f>
        <v>DESPESAS FIXAS</v>
      </c>
      <c r="D16" s="445" t="str">
        <f>VLOOKUP(mFEV[[#This Row],[DESCRIÇÃO CONTABIL]],Contas_Gerencial[[#All],[DESCRIÇÃO DA CONTA - NÃO UTILIZAR]:[Código2]],2,FALSE)</f>
        <v>20.02.007</v>
      </c>
      <c r="E16" s="452" t="s">
        <v>26</v>
      </c>
      <c r="F16" s="452" t="s">
        <v>41</v>
      </c>
      <c r="G16" s="480" t="s">
        <v>595</v>
      </c>
      <c r="H16" s="452" t="s">
        <v>1807</v>
      </c>
      <c r="I16" s="481">
        <v>230226</v>
      </c>
      <c r="J16" s="453" t="s">
        <v>405</v>
      </c>
      <c r="K16" s="453" t="s">
        <v>1861</v>
      </c>
      <c r="L16" s="451" t="s">
        <v>2258</v>
      </c>
      <c r="M16" s="457">
        <v>46063</v>
      </c>
      <c r="N16" s="457">
        <v>46063</v>
      </c>
      <c r="O16" s="457">
        <v>46076</v>
      </c>
      <c r="P16" s="452" t="s">
        <v>214</v>
      </c>
      <c r="Q16" s="458">
        <v>139.94999999999999</v>
      </c>
      <c r="R16" s="459">
        <v>0</v>
      </c>
      <c r="S16" s="459">
        <v>0</v>
      </c>
      <c r="T16" s="115">
        <f>SUM(mFEV[[#This Row],[PRINCIPAL]:[JUROS]])</f>
        <v>139.94999999999999</v>
      </c>
      <c r="V16" s="115"/>
    </row>
    <row r="17" spans="2:22" ht="21" customHeight="1">
      <c r="B17" s="451" t="str">
        <f t="shared" si="0"/>
        <v>2/26</v>
      </c>
      <c r="C17" s="121" t="str">
        <f>VLOOKUP(mFEV[[#This Row],[CÓDIGO CONTABIL]],Contas_Gerencial[#All],3,FALSE)</f>
        <v>DESPESAS FIXAS</v>
      </c>
      <c r="D17" s="445" t="str">
        <f>VLOOKUP(mFEV[[#This Row],[DESCRIÇÃO CONTABIL]],Contas_Gerencial[[#All],[DESCRIÇÃO DA CONTA - NÃO UTILIZAR]:[Código2]],2,FALSE)</f>
        <v>20.02.004</v>
      </c>
      <c r="E17" s="453" t="s">
        <v>404</v>
      </c>
      <c r="F17" s="453" t="s">
        <v>41</v>
      </c>
      <c r="G17" s="453" t="s">
        <v>595</v>
      </c>
      <c r="H17" s="453" t="s">
        <v>1807</v>
      </c>
      <c r="I17" s="481">
        <v>108790221</v>
      </c>
      <c r="J17" s="453" t="s">
        <v>1160</v>
      </c>
      <c r="K17" s="453" t="s">
        <v>2282</v>
      </c>
      <c r="L17" s="451" t="s">
        <v>2258</v>
      </c>
      <c r="M17" s="457">
        <v>46017</v>
      </c>
      <c r="N17" s="457">
        <v>46061</v>
      </c>
      <c r="O17" s="457">
        <v>46063</v>
      </c>
      <c r="P17" s="452" t="s">
        <v>214</v>
      </c>
      <c r="Q17" s="468">
        <v>221.81</v>
      </c>
      <c r="R17" s="467">
        <v>0</v>
      </c>
      <c r="S17" s="467">
        <v>0</v>
      </c>
      <c r="T17" s="115">
        <f>SUM(mFEV[[#This Row],[PRINCIPAL]:[JUROS]])</f>
        <v>221.81</v>
      </c>
      <c r="V17" s="115"/>
    </row>
    <row r="18" spans="2:22" ht="21" customHeight="1">
      <c r="B18" s="451" t="str">
        <f t="shared" si="0"/>
        <v>2/26</v>
      </c>
      <c r="C18" s="121" t="str">
        <f>VLOOKUP(mFEV[[#This Row],[CÓDIGO CONTABIL]],Contas_Gerencial[#All],3,FALSE)</f>
        <v>INVESTIMENTOS</v>
      </c>
      <c r="D18" s="445" t="str">
        <f>VLOOKUP(mFEV[[#This Row],[DESCRIÇÃO CONTABIL]],Contas_Gerencial[[#All],[DESCRIÇÃO DA CONTA - NÃO UTILIZAR]:[Código2]],2,FALSE)</f>
        <v>20.06.003</v>
      </c>
      <c r="E18" s="1227" t="s">
        <v>295</v>
      </c>
      <c r="F18" s="1228" t="s">
        <v>41</v>
      </c>
      <c r="G18" s="1228" t="s">
        <v>595</v>
      </c>
      <c r="H18" s="1229" t="s">
        <v>1802</v>
      </c>
      <c r="I18" s="1229">
        <v>250126</v>
      </c>
      <c r="J18" s="1228" t="s">
        <v>41</v>
      </c>
      <c r="K18" s="1228" t="s">
        <v>295</v>
      </c>
      <c r="L18" s="1230" t="s">
        <v>2137</v>
      </c>
      <c r="M18" s="1231">
        <v>46078</v>
      </c>
      <c r="N18" s="1231">
        <v>46078</v>
      </c>
      <c r="O18" s="1231">
        <v>46078</v>
      </c>
      <c r="P18" s="1227" t="s">
        <v>214</v>
      </c>
      <c r="Q18" s="1232">
        <v>0</v>
      </c>
      <c r="R18" s="1233">
        <v>0</v>
      </c>
      <c r="S18" s="1233">
        <v>0</v>
      </c>
      <c r="T18" s="115">
        <f>SUM(mFEV[[#This Row],[PRINCIPAL]:[JUROS]])</f>
        <v>0</v>
      </c>
      <c r="V18" s="115"/>
    </row>
    <row r="19" spans="2:22" ht="21" customHeight="1">
      <c r="B19" s="451" t="str">
        <f t="shared" si="0"/>
        <v>2/26</v>
      </c>
      <c r="C19" s="121" t="str">
        <f>VLOOKUP(mFEV[[#This Row],[CÓDIGO CONTABIL]],Contas_Gerencial[#All],3,FALSE)</f>
        <v>INVESTIMENTOS</v>
      </c>
      <c r="D19" s="445" t="str">
        <f>VLOOKUP(mFEV[[#This Row],[DESCRIÇÃO CONTABIL]],Contas_Gerencial[[#All],[DESCRIÇÃO DA CONTA - NÃO UTILIZAR]:[Código2]],2,FALSE)</f>
        <v>20.06.003</v>
      </c>
      <c r="E19" s="1227" t="s">
        <v>295</v>
      </c>
      <c r="F19" s="1228" t="s">
        <v>582</v>
      </c>
      <c r="G19" s="1228" t="s">
        <v>595</v>
      </c>
      <c r="H19" s="1229" t="s">
        <v>1802</v>
      </c>
      <c r="I19" s="1229">
        <v>250126</v>
      </c>
      <c r="J19" s="1228" t="s">
        <v>582</v>
      </c>
      <c r="K19" s="1228" t="s">
        <v>295</v>
      </c>
      <c r="L19" s="1230" t="s">
        <v>2137</v>
      </c>
      <c r="M19" s="1231">
        <v>46078</v>
      </c>
      <c r="N19" s="1231">
        <v>46078</v>
      </c>
      <c r="O19" s="1231">
        <v>46078</v>
      </c>
      <c r="P19" s="1227" t="s">
        <v>214</v>
      </c>
      <c r="Q19" s="1232">
        <v>0</v>
      </c>
      <c r="R19" s="1233">
        <v>0</v>
      </c>
      <c r="S19" s="1233">
        <v>0</v>
      </c>
      <c r="T19" s="115">
        <f>SUM(mFEV[[#This Row],[PRINCIPAL]:[JUROS]])</f>
        <v>0</v>
      </c>
      <c r="V19" s="115"/>
    </row>
    <row r="20" spans="2:22" ht="21" customHeight="1">
      <c r="B20" s="451" t="str">
        <f t="shared" si="0"/>
        <v>2/26</v>
      </c>
      <c r="C20" s="121" t="str">
        <f>VLOOKUP(mFEV[[#This Row],[CÓDIGO CONTABIL]],Contas_Gerencial[#All],3,FALSE)</f>
        <v>INVESTIMENTOS</v>
      </c>
      <c r="D20" s="445" t="str">
        <f>VLOOKUP(mFEV[[#This Row],[DESCRIÇÃO CONTABIL]],Contas_Gerencial[[#All],[DESCRIÇÃO DA CONTA - NÃO UTILIZAR]:[Código2]],2,FALSE)</f>
        <v>20.06.003</v>
      </c>
      <c r="E20" s="1227" t="s">
        <v>295</v>
      </c>
      <c r="F20" s="1228" t="s">
        <v>581</v>
      </c>
      <c r="G20" s="1228" t="s">
        <v>595</v>
      </c>
      <c r="H20" s="1229" t="s">
        <v>1802</v>
      </c>
      <c r="I20" s="1229">
        <v>250126</v>
      </c>
      <c r="J20" s="1228" t="s">
        <v>581</v>
      </c>
      <c r="K20" s="1228" t="s">
        <v>295</v>
      </c>
      <c r="L20" s="1230" t="s">
        <v>2137</v>
      </c>
      <c r="M20" s="1231">
        <v>46078</v>
      </c>
      <c r="N20" s="1231">
        <v>46078</v>
      </c>
      <c r="O20" s="1231">
        <v>46078</v>
      </c>
      <c r="P20" s="1227" t="s">
        <v>214</v>
      </c>
      <c r="Q20" s="1232">
        <v>0</v>
      </c>
      <c r="R20" s="1233">
        <v>0</v>
      </c>
      <c r="S20" s="1233">
        <v>0</v>
      </c>
      <c r="T20" s="115">
        <f>SUM(mFEV[[#This Row],[PRINCIPAL]:[JUROS]])</f>
        <v>0</v>
      </c>
      <c r="V20" s="115"/>
    </row>
    <row r="21" spans="2:22" ht="21" customHeight="1">
      <c r="B21" s="451" t="str">
        <f t="shared" si="0"/>
        <v>2/26</v>
      </c>
      <c r="C21" s="121" t="str">
        <f>VLOOKUP(mFEV[[#This Row],[CÓDIGO CONTABIL]],Contas_Gerencial[#All],3,FALSE)</f>
        <v>RECEITA SUBCONTA</v>
      </c>
      <c r="D21" s="445" t="str">
        <f>VLOOKUP(mFEV[[#This Row],[DESCRIÇÃO CONTABIL]],Contas_Gerencial[[#All],[DESCRIÇÃO DA CONTA - NÃO UTILIZAR]:[Código2]],2,FALSE)</f>
        <v>10.01.001</v>
      </c>
      <c r="E21" s="107" t="s">
        <v>90</v>
      </c>
      <c r="F21" s="107" t="s">
        <v>41</v>
      </c>
      <c r="G21" s="107" t="s">
        <v>982</v>
      </c>
      <c r="H21" s="107" t="s">
        <v>1788</v>
      </c>
      <c r="I21" s="481">
        <v>398</v>
      </c>
      <c r="J21" s="121" t="s">
        <v>41</v>
      </c>
      <c r="K21" s="121" t="s">
        <v>1792</v>
      </c>
      <c r="L21" s="456" t="s">
        <v>2137</v>
      </c>
      <c r="M21" s="457">
        <v>46052</v>
      </c>
      <c r="N21" s="457">
        <v>46058</v>
      </c>
      <c r="O21" s="457">
        <v>46063</v>
      </c>
      <c r="P21" s="452" t="s">
        <v>214</v>
      </c>
      <c r="Q21" s="483">
        <v>7054</v>
      </c>
      <c r="R21" s="482">
        <v>0</v>
      </c>
      <c r="S21" s="482">
        <v>0</v>
      </c>
      <c r="T21" s="115">
        <f>SUM(mFEV[[#This Row],[PRINCIPAL]:[JUROS]])</f>
        <v>7054</v>
      </c>
      <c r="V21" s="115"/>
    </row>
    <row r="22" spans="2:22" ht="21" customHeight="1">
      <c r="B22" s="451" t="str">
        <f t="shared" si="0"/>
        <v>2/26</v>
      </c>
      <c r="C22" s="121" t="str">
        <f>VLOOKUP(mFEV[[#This Row],[CÓDIGO CONTABIL]],Contas_Gerencial[#All],3,FALSE)</f>
        <v>TRIBUTOS</v>
      </c>
      <c r="D22" s="445" t="str">
        <f>VLOOKUP(mFEV[[#This Row],[DESCRIÇÃO CONTABIL]],Contas_Gerencial[[#All],[DESCRIÇÃO DA CONTA - NÃO UTILIZAR]:[Código2]],2,FALSE)</f>
        <v>20.08.008</v>
      </c>
      <c r="E22" s="452" t="s">
        <v>2650</v>
      </c>
      <c r="F22" s="107" t="s">
        <v>41</v>
      </c>
      <c r="G22" s="480" t="s">
        <v>982</v>
      </c>
      <c r="H22" s="107" t="s">
        <v>1788</v>
      </c>
      <c r="I22" s="481">
        <v>398</v>
      </c>
      <c r="J22" s="453" t="s">
        <v>378</v>
      </c>
      <c r="K22" s="453" t="s">
        <v>2087</v>
      </c>
      <c r="L22" s="456" t="s">
        <v>2137</v>
      </c>
      <c r="M22" s="457">
        <v>46052</v>
      </c>
      <c r="N22" s="457">
        <v>46073</v>
      </c>
      <c r="O22" s="457">
        <v>46073</v>
      </c>
      <c r="P22" s="453" t="s">
        <v>214</v>
      </c>
      <c r="Q22" s="482">
        <f>45.85+211.62+70.54</f>
        <v>328.01000000000005</v>
      </c>
      <c r="R22" s="482">
        <v>0</v>
      </c>
      <c r="S22" s="482">
        <v>0</v>
      </c>
      <c r="T22" s="115">
        <f>SUM(mFEV[[#This Row],[PRINCIPAL]:[JUROS]])</f>
        <v>328.01000000000005</v>
      </c>
      <c r="V22" s="115"/>
    </row>
    <row r="23" spans="2:22" ht="21" customHeight="1">
      <c r="B23" s="451" t="str">
        <f t="shared" si="0"/>
        <v>2/26</v>
      </c>
      <c r="C23" s="121" t="str">
        <f>VLOOKUP(mFEV[[#This Row],[CÓDIGO CONTABIL]],Contas_Gerencial[#All],3,FALSE)</f>
        <v>ENCARGOS</v>
      </c>
      <c r="D23" s="445" t="str">
        <f>VLOOKUP(mFEV[[#This Row],[DESCRIÇÃO CONTABIL]],Contas_Gerencial[[#All],[DESCRIÇÃO DA CONTA - NÃO UTILIZAR]:[Código2]],2,FALSE)</f>
        <v>20.04.004</v>
      </c>
      <c r="E23" s="452" t="s">
        <v>2651</v>
      </c>
      <c r="F23" s="107" t="s">
        <v>41</v>
      </c>
      <c r="G23" s="480" t="s">
        <v>982</v>
      </c>
      <c r="H23" s="107" t="s">
        <v>1788</v>
      </c>
      <c r="I23" s="481">
        <v>398</v>
      </c>
      <c r="J23" s="453" t="s">
        <v>264</v>
      </c>
      <c r="K23" s="453" t="s">
        <v>2113</v>
      </c>
      <c r="L23" s="456" t="s">
        <v>2137</v>
      </c>
      <c r="M23" s="457">
        <v>46052</v>
      </c>
      <c r="N23" s="457">
        <v>46073</v>
      </c>
      <c r="O23" s="457">
        <v>46073</v>
      </c>
      <c r="P23" s="453" t="s">
        <v>214</v>
      </c>
      <c r="Q23" s="483">
        <v>422.58</v>
      </c>
      <c r="R23" s="482">
        <v>0</v>
      </c>
      <c r="S23" s="482">
        <v>0</v>
      </c>
      <c r="T23" s="115">
        <f>SUM(mFEV[[#This Row],[PRINCIPAL]:[JUROS]])</f>
        <v>422.58</v>
      </c>
      <c r="V23" s="115"/>
    </row>
    <row r="24" spans="2:22" ht="21" customHeight="1">
      <c r="B24" s="451" t="str">
        <f t="shared" si="0"/>
        <v>2/26</v>
      </c>
      <c r="C24" s="121" t="str">
        <f>VLOOKUP(mFEV[[#This Row],[CÓDIGO CONTABIL]],Contas_Gerencial[#All],3,FALSE)</f>
        <v>TRIBUTOS</v>
      </c>
      <c r="D24" s="445" t="str">
        <f>VLOOKUP(mFEV[[#This Row],[DESCRIÇÃO CONTABIL]],Contas_Gerencial[[#All],[DESCRIÇÃO DA CONTA - NÃO UTILIZAR]:[Código2]],2,FALSE)</f>
        <v>20.08.005</v>
      </c>
      <c r="E24" s="107" t="s">
        <v>2649</v>
      </c>
      <c r="F24" s="452" t="s">
        <v>41</v>
      </c>
      <c r="G24" s="480" t="s">
        <v>982</v>
      </c>
      <c r="H24" s="107" t="s">
        <v>1788</v>
      </c>
      <c r="I24" s="481">
        <v>398</v>
      </c>
      <c r="J24" s="453" t="s">
        <v>378</v>
      </c>
      <c r="K24" s="453" t="s">
        <v>2086</v>
      </c>
      <c r="L24" s="456" t="s">
        <v>2137</v>
      </c>
      <c r="M24" s="457">
        <v>46052</v>
      </c>
      <c r="N24" s="457">
        <v>46073</v>
      </c>
      <c r="O24" s="457">
        <v>46073</v>
      </c>
      <c r="P24" s="453" t="s">
        <v>214</v>
      </c>
      <c r="Q24" s="467">
        <v>70.540000000000006</v>
      </c>
      <c r="R24" s="467">
        <v>0</v>
      </c>
      <c r="S24" s="467">
        <v>0</v>
      </c>
      <c r="T24" s="115">
        <f>SUM(mFEV[[#This Row],[PRINCIPAL]:[JUROS]])</f>
        <v>70.540000000000006</v>
      </c>
      <c r="V24" s="115"/>
    </row>
    <row r="25" spans="2:22" ht="21" customHeight="1">
      <c r="B25" s="451" t="str">
        <f t="shared" si="0"/>
        <v>2/26</v>
      </c>
      <c r="C25" s="121" t="str">
        <f>VLOOKUP(mFEV[[#This Row],[CÓDIGO CONTABIL]],Contas_Gerencial[#All],3,FALSE)</f>
        <v>TRIBUTOS</v>
      </c>
      <c r="D25" s="445" t="str">
        <f>VLOOKUP(mFEV[[#This Row],[DESCRIÇÃO CONTABIL]],Contas_Gerencial[[#All],[DESCRIÇÃO DA CONTA - NÃO UTILIZAR]:[Código2]],2,FALSE)</f>
        <v>20.08.004</v>
      </c>
      <c r="E25" s="452" t="s">
        <v>2648</v>
      </c>
      <c r="F25" s="107" t="s">
        <v>41</v>
      </c>
      <c r="G25" s="480" t="s">
        <v>982</v>
      </c>
      <c r="H25" s="107" t="s">
        <v>1788</v>
      </c>
      <c r="I25" s="481">
        <v>398</v>
      </c>
      <c r="J25" s="453" t="s">
        <v>378</v>
      </c>
      <c r="K25" s="453" t="s">
        <v>2085</v>
      </c>
      <c r="L25" s="456" t="s">
        <v>2137</v>
      </c>
      <c r="M25" s="457">
        <v>46052</v>
      </c>
      <c r="N25" s="457">
        <v>46073</v>
      </c>
      <c r="O25" s="457">
        <v>46073</v>
      </c>
      <c r="P25" s="453" t="s">
        <v>214</v>
      </c>
      <c r="Q25" s="482">
        <v>352.7</v>
      </c>
      <c r="R25" s="482">
        <v>0</v>
      </c>
      <c r="S25" s="482">
        <v>0</v>
      </c>
      <c r="T25" s="115">
        <f>SUM(mFEV[[#This Row],[PRINCIPAL]:[JUROS]])</f>
        <v>352.7</v>
      </c>
      <c r="V25" s="115"/>
    </row>
    <row r="26" spans="2:22" ht="21" customHeight="1">
      <c r="B26" s="451" t="str">
        <f t="shared" si="0"/>
        <v>2/26</v>
      </c>
      <c r="C26" s="121" t="str">
        <f>VLOOKUP(mFEV[[#This Row],[CÓDIGO CONTABIL]],Contas_Gerencial[#All],3,FALSE)</f>
        <v>FOLHA DE PAGAMENTO</v>
      </c>
      <c r="D26" s="445" t="str">
        <f>VLOOKUP(mFEV[[#This Row],[DESCRIÇÃO CONTABIL]],Contas_Gerencial[[#All],[DESCRIÇÃO DA CONTA - NÃO UTILIZAR]:[Código2]],2,FALSE)</f>
        <v>20.05.021</v>
      </c>
      <c r="E26" s="452" t="s">
        <v>59</v>
      </c>
      <c r="F26" s="452" t="s">
        <v>581</v>
      </c>
      <c r="G26" s="107" t="s">
        <v>982</v>
      </c>
      <c r="H26" s="452" t="s">
        <v>1791</v>
      </c>
      <c r="I26" s="481">
        <v>398</v>
      </c>
      <c r="J26" s="453" t="s">
        <v>581</v>
      </c>
      <c r="K26" s="453" t="s">
        <v>1790</v>
      </c>
      <c r="L26" s="456" t="s">
        <v>2137</v>
      </c>
      <c r="M26" s="457">
        <v>46052</v>
      </c>
      <c r="N26" s="457">
        <v>46059</v>
      </c>
      <c r="O26" s="457">
        <v>46058</v>
      </c>
      <c r="P26" s="453" t="s">
        <v>214</v>
      </c>
      <c r="Q26" s="483">
        <v>1702.95</v>
      </c>
      <c r="R26" s="459">
        <v>0</v>
      </c>
      <c r="S26" s="459">
        <v>0</v>
      </c>
      <c r="T26" s="115">
        <f>SUM(mFEV[[#This Row],[PRINCIPAL]:[JUROS]])</f>
        <v>1702.95</v>
      </c>
      <c r="V26" s="115"/>
    </row>
    <row r="27" spans="2:22" ht="21" customHeight="1">
      <c r="B27" s="451" t="str">
        <f t="shared" si="0"/>
        <v>2/26</v>
      </c>
      <c r="C27" s="121" t="str">
        <f>VLOOKUP(mFEV[[#This Row],[CÓDIGO CONTABIL]],Contas_Gerencial[#All],3,FALSE)</f>
        <v>ENCARGOS</v>
      </c>
      <c r="D27" s="445" t="str">
        <f>VLOOKUP(mFEV[[#This Row],[DESCRIÇÃO CONTABIL]],Contas_Gerencial[[#All],[DESCRIÇÃO DA CONTA - NÃO UTILIZAR]:[Código2]],2,FALSE)</f>
        <v>20.04.006</v>
      </c>
      <c r="E27" s="452" t="s">
        <v>1180</v>
      </c>
      <c r="F27" s="452" t="s">
        <v>581</v>
      </c>
      <c r="G27" s="480" t="s">
        <v>982</v>
      </c>
      <c r="H27" s="452" t="s">
        <v>1180</v>
      </c>
      <c r="I27" s="481">
        <v>398</v>
      </c>
      <c r="J27" s="453" t="s">
        <v>384</v>
      </c>
      <c r="K27" s="452" t="s">
        <v>1180</v>
      </c>
      <c r="L27" s="456" t="s">
        <v>2137</v>
      </c>
      <c r="M27" s="457">
        <v>46052</v>
      </c>
      <c r="N27" s="457">
        <v>46073</v>
      </c>
      <c r="O27" s="457">
        <v>46072</v>
      </c>
      <c r="P27" s="453" t="s">
        <v>214</v>
      </c>
      <c r="Q27" s="483">
        <v>152.01</v>
      </c>
      <c r="R27" s="459">
        <v>0</v>
      </c>
      <c r="S27" s="459">
        <v>0</v>
      </c>
      <c r="T27" s="115">
        <f>SUM(mFEV[[#This Row],[PRINCIPAL]:[JUROS]])</f>
        <v>152.01</v>
      </c>
      <c r="V27" s="115"/>
    </row>
    <row r="28" spans="2:22" ht="21" customHeight="1">
      <c r="B28" s="451" t="str">
        <f t="shared" si="0"/>
        <v>2/26</v>
      </c>
      <c r="C28" s="121" t="str">
        <f>VLOOKUP(mFEV[[#This Row],[CÓDIGO CONTABIL]],Contas_Gerencial[#All],3,FALSE)</f>
        <v>ENCARGOS</v>
      </c>
      <c r="D28" s="445" t="str">
        <f>VLOOKUP(mFEV[[#This Row],[DESCRIÇÃO CONTABIL]],Contas_Gerencial[[#All],[DESCRIÇÃO DA CONTA - NÃO UTILIZAR]:[Código2]],2,FALSE)</f>
        <v>20.04.001</v>
      </c>
      <c r="E28" s="464" t="s">
        <v>2659</v>
      </c>
      <c r="F28" s="464" t="s">
        <v>581</v>
      </c>
      <c r="G28" s="986" t="s">
        <v>982</v>
      </c>
      <c r="H28" s="983" t="s">
        <v>1788</v>
      </c>
      <c r="I28" s="984">
        <v>398</v>
      </c>
      <c r="J28" s="461" t="s">
        <v>757</v>
      </c>
      <c r="K28" s="461" t="s">
        <v>2089</v>
      </c>
      <c r="L28" s="462" t="s">
        <v>2137</v>
      </c>
      <c r="M28" s="463">
        <v>46052</v>
      </c>
      <c r="N28" s="463">
        <v>46073</v>
      </c>
      <c r="O28" s="463"/>
      <c r="P28" s="461" t="s">
        <v>1</v>
      </c>
      <c r="Q28" s="985">
        <f>148.24-65</f>
        <v>83.240000000000009</v>
      </c>
      <c r="R28" s="987">
        <v>0</v>
      </c>
      <c r="S28" s="987">
        <v>0</v>
      </c>
      <c r="T28" s="115">
        <f>SUM(mFEV[[#This Row],[PRINCIPAL]:[JUROS]])</f>
        <v>83.240000000000009</v>
      </c>
      <c r="V28" s="115"/>
    </row>
    <row r="29" spans="2:22" ht="21" customHeight="1">
      <c r="B29" s="451" t="str">
        <f t="shared" si="0"/>
        <v>2/26</v>
      </c>
      <c r="C29" s="121" t="str">
        <f>VLOOKUP(mFEV[[#This Row],[CÓDIGO CONTABIL]],Contas_Gerencial[#All],3,FALSE)</f>
        <v>BENEFICIO</v>
      </c>
      <c r="D29" s="445" t="str">
        <f>VLOOKUP(mFEV[[#This Row],[DESCRIÇÃO CONTABIL]],Contas_Gerencial[[#All],[DESCRIÇÃO DA CONTA - NÃO UTILIZAR]:[Código2]],2,FALSE)</f>
        <v>20.05.006</v>
      </c>
      <c r="E29" s="480" t="s">
        <v>24</v>
      </c>
      <c r="F29" s="452" t="s">
        <v>581</v>
      </c>
      <c r="G29" s="452" t="s">
        <v>982</v>
      </c>
      <c r="H29" s="452" t="s">
        <v>1791</v>
      </c>
      <c r="I29" s="481">
        <v>200226</v>
      </c>
      <c r="J29" s="453" t="s">
        <v>581</v>
      </c>
      <c r="K29" s="453" t="s">
        <v>2257</v>
      </c>
      <c r="L29" s="451" t="s">
        <v>2258</v>
      </c>
      <c r="M29" s="457">
        <v>46073</v>
      </c>
      <c r="N29" s="457">
        <v>46073</v>
      </c>
      <c r="O29" s="457">
        <v>46073</v>
      </c>
      <c r="P29" s="452" t="s">
        <v>214</v>
      </c>
      <c r="Q29" s="467">
        <v>324.66000000000003</v>
      </c>
      <c r="R29" s="467">
        <v>0</v>
      </c>
      <c r="S29" s="467">
        <v>0</v>
      </c>
      <c r="T29" s="115">
        <f>SUM(mFEV[[#This Row],[PRINCIPAL]:[JUROS]])</f>
        <v>324.66000000000003</v>
      </c>
      <c r="V29" s="115"/>
    </row>
    <row r="30" spans="2:22" ht="21" customHeight="1">
      <c r="B30" s="451" t="str">
        <f t="shared" si="0"/>
        <v>2/26</v>
      </c>
      <c r="C30" s="121" t="str">
        <f>VLOOKUP(mFEV[[#This Row],[CÓDIGO CONTABIL]],Contas_Gerencial[#All],3,FALSE)</f>
        <v>BENEFICIO</v>
      </c>
      <c r="D30" s="445" t="str">
        <f>VLOOKUP(mFEV[[#This Row],[DESCRIÇÃO CONTABIL]],Contas_Gerencial[[#All],[DESCRIÇÃO DA CONTA - NÃO UTILIZAR]:[Código2]],2,FALSE)</f>
        <v>20.05.007</v>
      </c>
      <c r="E30" s="480" t="s">
        <v>25</v>
      </c>
      <c r="F30" s="452" t="s">
        <v>581</v>
      </c>
      <c r="G30" s="452" t="s">
        <v>982</v>
      </c>
      <c r="H30" s="452" t="s">
        <v>1791</v>
      </c>
      <c r="I30" s="481">
        <v>200226</v>
      </c>
      <c r="J30" s="453" t="s">
        <v>581</v>
      </c>
      <c r="K30" s="453" t="s">
        <v>2257</v>
      </c>
      <c r="L30" s="451" t="s">
        <v>2258</v>
      </c>
      <c r="M30" s="457">
        <v>46073</v>
      </c>
      <c r="N30" s="457">
        <v>46073</v>
      </c>
      <c r="O30" s="457">
        <v>46073</v>
      </c>
      <c r="P30" s="452" t="s">
        <v>214</v>
      </c>
      <c r="Q30" s="467">
        <v>37.799999999999997</v>
      </c>
      <c r="R30" s="467">
        <v>0</v>
      </c>
      <c r="S30" s="467">
        <v>0</v>
      </c>
      <c r="T30" s="115">
        <f>SUM(mFEV[[#This Row],[PRINCIPAL]:[JUROS]])</f>
        <v>37.799999999999997</v>
      </c>
      <c r="V30" s="115"/>
    </row>
    <row r="31" spans="2:22" ht="21" customHeight="1">
      <c r="B31" s="451" t="str">
        <f t="shared" si="0"/>
        <v>2/26</v>
      </c>
      <c r="C31" s="121" t="str">
        <f>VLOOKUP(mFEV[[#This Row],[CÓDIGO CONTABIL]],Contas_Gerencial[#All],3,FALSE)</f>
        <v>RECEITA SUBCONTA</v>
      </c>
      <c r="D31" s="445" t="str">
        <f>VLOOKUP(mFEV[[#This Row],[DESCRIÇÃO CONTABIL]],Contas_Gerencial[[#All],[DESCRIÇÃO DA CONTA - NÃO UTILIZAR]:[Código2]],2,FALSE)</f>
        <v>10.01.001</v>
      </c>
      <c r="E31" s="107" t="s">
        <v>90</v>
      </c>
      <c r="F31" s="107" t="s">
        <v>41</v>
      </c>
      <c r="G31" s="107" t="s">
        <v>1081</v>
      </c>
      <c r="H31" s="107" t="s">
        <v>1788</v>
      </c>
      <c r="I31" s="481">
        <v>396</v>
      </c>
      <c r="J31" s="121" t="s">
        <v>41</v>
      </c>
      <c r="K31" s="121" t="s">
        <v>1792</v>
      </c>
      <c r="L31" s="456" t="s">
        <v>2137</v>
      </c>
      <c r="M31" s="457">
        <v>46052</v>
      </c>
      <c r="N31" s="457">
        <v>46068</v>
      </c>
      <c r="O31" s="457">
        <v>46064</v>
      </c>
      <c r="P31" s="452" t="s">
        <v>214</v>
      </c>
      <c r="Q31" s="483">
        <v>7388</v>
      </c>
      <c r="R31" s="482">
        <v>0</v>
      </c>
      <c r="S31" s="482">
        <v>0</v>
      </c>
      <c r="T31" s="115">
        <f>SUM(mFEV[[#This Row],[PRINCIPAL]:[JUROS]])</f>
        <v>7388</v>
      </c>
      <c r="V31" s="115"/>
    </row>
    <row r="32" spans="2:22" ht="21" customHeight="1">
      <c r="B32" s="451" t="str">
        <f t="shared" si="0"/>
        <v>2/26</v>
      </c>
      <c r="C32" s="121" t="str">
        <f>VLOOKUP(mFEV[[#This Row],[CÓDIGO CONTABIL]],Contas_Gerencial[#All],3,FALSE)</f>
        <v>TRIBUTOS</v>
      </c>
      <c r="D32" s="445" t="str">
        <f>VLOOKUP(mFEV[[#This Row],[DESCRIÇÃO CONTABIL]],Contas_Gerencial[[#All],[DESCRIÇÃO DA CONTA - NÃO UTILIZAR]:[Código2]],2,FALSE)</f>
        <v>20.08.008</v>
      </c>
      <c r="E32" s="452" t="s">
        <v>2650</v>
      </c>
      <c r="F32" s="107" t="s">
        <v>41</v>
      </c>
      <c r="G32" s="480" t="s">
        <v>1081</v>
      </c>
      <c r="H32" s="107" t="s">
        <v>1788</v>
      </c>
      <c r="I32" s="481">
        <v>396</v>
      </c>
      <c r="J32" s="453" t="s">
        <v>378</v>
      </c>
      <c r="K32" s="453" t="s">
        <v>2087</v>
      </c>
      <c r="L32" s="456" t="s">
        <v>2137</v>
      </c>
      <c r="M32" s="457">
        <v>46052</v>
      </c>
      <c r="N32" s="457">
        <v>46073</v>
      </c>
      <c r="O32" s="457">
        <v>46073</v>
      </c>
      <c r="P32" s="453" t="s">
        <v>214</v>
      </c>
      <c r="Q32" s="482">
        <f>48.02+221.64+73.88</f>
        <v>343.53999999999996</v>
      </c>
      <c r="R32" s="482">
        <v>0</v>
      </c>
      <c r="S32" s="482">
        <v>0</v>
      </c>
      <c r="T32" s="115">
        <f>SUM(mFEV[[#This Row],[PRINCIPAL]:[JUROS]])</f>
        <v>343.53999999999996</v>
      </c>
      <c r="V32" s="115"/>
    </row>
    <row r="33" spans="2:22" ht="21" customHeight="1">
      <c r="B33" s="451" t="str">
        <f t="shared" si="0"/>
        <v>2/26</v>
      </c>
      <c r="C33" s="121" t="str">
        <f>VLOOKUP(mFEV[[#This Row],[CÓDIGO CONTABIL]],Contas_Gerencial[#All],3,FALSE)</f>
        <v>ENCARGOS</v>
      </c>
      <c r="D33" s="445" t="str">
        <f>VLOOKUP(mFEV[[#This Row],[DESCRIÇÃO CONTABIL]],Contas_Gerencial[[#All],[DESCRIÇÃO DA CONTA - NÃO UTILIZAR]:[Código2]],2,FALSE)</f>
        <v>20.04.004</v>
      </c>
      <c r="E33" s="452" t="s">
        <v>2651</v>
      </c>
      <c r="F33" s="107" t="s">
        <v>41</v>
      </c>
      <c r="G33" s="480" t="s">
        <v>1081</v>
      </c>
      <c r="H33" s="107" t="s">
        <v>1788</v>
      </c>
      <c r="I33" s="481">
        <v>396</v>
      </c>
      <c r="J33" s="453" t="s">
        <v>264</v>
      </c>
      <c r="K33" s="453" t="s">
        <v>2113</v>
      </c>
      <c r="L33" s="456" t="s">
        <v>2137</v>
      </c>
      <c r="M33" s="457">
        <v>46052</v>
      </c>
      <c r="N33" s="457">
        <v>46073</v>
      </c>
      <c r="O33" s="457">
        <v>46073</v>
      </c>
      <c r="P33" s="453" t="s">
        <v>214</v>
      </c>
      <c r="Q33" s="483">
        <v>459.32</v>
      </c>
      <c r="R33" s="482">
        <v>0</v>
      </c>
      <c r="S33" s="482">
        <v>0</v>
      </c>
      <c r="T33" s="115">
        <f>SUM(mFEV[[#This Row],[PRINCIPAL]:[JUROS]])</f>
        <v>459.32</v>
      </c>
      <c r="V33" s="115"/>
    </row>
    <row r="34" spans="2:22" ht="21" customHeight="1">
      <c r="B34" s="451" t="str">
        <f t="shared" si="0"/>
        <v>2/26</v>
      </c>
      <c r="C34" s="121" t="str">
        <f>VLOOKUP(mFEV[[#This Row],[CÓDIGO CONTABIL]],Contas_Gerencial[#All],3,FALSE)</f>
        <v>TRIBUTOS</v>
      </c>
      <c r="D34" s="445" t="str">
        <f>VLOOKUP(mFEV[[#This Row],[DESCRIÇÃO CONTABIL]],Contas_Gerencial[[#All],[DESCRIÇÃO DA CONTA - NÃO UTILIZAR]:[Código2]],2,FALSE)</f>
        <v>20.08.005</v>
      </c>
      <c r="E34" s="107" t="s">
        <v>2649</v>
      </c>
      <c r="F34" s="452" t="s">
        <v>41</v>
      </c>
      <c r="G34" s="480" t="s">
        <v>1081</v>
      </c>
      <c r="H34" s="107" t="s">
        <v>1788</v>
      </c>
      <c r="I34" s="481">
        <v>396</v>
      </c>
      <c r="J34" s="453" t="s">
        <v>378</v>
      </c>
      <c r="K34" s="453" t="s">
        <v>2086</v>
      </c>
      <c r="L34" s="456" t="s">
        <v>2137</v>
      </c>
      <c r="M34" s="457">
        <v>46052</v>
      </c>
      <c r="N34" s="457">
        <v>46073</v>
      </c>
      <c r="O34" s="457">
        <v>46073</v>
      </c>
      <c r="P34" s="453" t="s">
        <v>214</v>
      </c>
      <c r="Q34" s="467">
        <v>73.88</v>
      </c>
      <c r="R34" s="467">
        <v>0</v>
      </c>
      <c r="S34" s="467">
        <v>0</v>
      </c>
      <c r="T34" s="115">
        <f>SUM(mFEV[[#This Row],[PRINCIPAL]:[JUROS]])</f>
        <v>73.88</v>
      </c>
      <c r="V34" s="115"/>
    </row>
    <row r="35" spans="2:22" ht="21" customHeight="1">
      <c r="B35" s="451" t="str">
        <f t="shared" si="0"/>
        <v>2/26</v>
      </c>
      <c r="C35" s="121" t="str">
        <f>VLOOKUP(mFEV[[#This Row],[CÓDIGO CONTABIL]],Contas_Gerencial[#All],3,FALSE)</f>
        <v>TRIBUTOS</v>
      </c>
      <c r="D35" s="445" t="str">
        <f>VLOOKUP(mFEV[[#This Row],[DESCRIÇÃO CONTABIL]],Contas_Gerencial[[#All],[DESCRIÇÃO DA CONTA - NÃO UTILIZAR]:[Código2]],2,FALSE)</f>
        <v>20.08.004</v>
      </c>
      <c r="E35" s="452" t="s">
        <v>2648</v>
      </c>
      <c r="F35" s="107" t="s">
        <v>41</v>
      </c>
      <c r="G35" s="480" t="s">
        <v>1081</v>
      </c>
      <c r="H35" s="107" t="s">
        <v>1788</v>
      </c>
      <c r="I35" s="481">
        <v>396</v>
      </c>
      <c r="J35" s="453" t="s">
        <v>378</v>
      </c>
      <c r="K35" s="453" t="s">
        <v>2085</v>
      </c>
      <c r="L35" s="456" t="s">
        <v>2137</v>
      </c>
      <c r="M35" s="457">
        <v>46052</v>
      </c>
      <c r="N35" s="457">
        <v>46073</v>
      </c>
      <c r="O35" s="457">
        <v>46073</v>
      </c>
      <c r="P35" s="453" t="s">
        <v>214</v>
      </c>
      <c r="Q35" s="482">
        <v>369.4</v>
      </c>
      <c r="R35" s="482">
        <v>0</v>
      </c>
      <c r="S35" s="482">
        <v>0</v>
      </c>
      <c r="T35" s="115">
        <f>SUM(mFEV[[#This Row],[PRINCIPAL]:[JUROS]])</f>
        <v>369.4</v>
      </c>
      <c r="V35" s="115"/>
    </row>
    <row r="36" spans="2:22" ht="21" customHeight="1">
      <c r="B36" s="451" t="str">
        <f t="shared" si="0"/>
        <v>2/26</v>
      </c>
      <c r="C36" s="121" t="str">
        <f>VLOOKUP(mFEV[[#This Row],[CÓDIGO CONTABIL]],Contas_Gerencial[#All],3,FALSE)</f>
        <v>FOLHA DE PAGAMENTO</v>
      </c>
      <c r="D36" s="445" t="str">
        <f>VLOOKUP(mFEV[[#This Row],[DESCRIÇÃO CONTABIL]],Contas_Gerencial[[#All],[DESCRIÇÃO DA CONTA - NÃO UTILIZAR]:[Código2]],2,FALSE)</f>
        <v>20.05.021</v>
      </c>
      <c r="E36" s="452" t="s">
        <v>59</v>
      </c>
      <c r="F36" s="452" t="s">
        <v>582</v>
      </c>
      <c r="G36" s="107" t="s">
        <v>1081</v>
      </c>
      <c r="H36" s="452" t="s">
        <v>1791</v>
      </c>
      <c r="I36" s="481">
        <v>396</v>
      </c>
      <c r="J36" s="452" t="s">
        <v>582</v>
      </c>
      <c r="K36" s="453" t="s">
        <v>1790</v>
      </c>
      <c r="L36" s="456" t="s">
        <v>2137</v>
      </c>
      <c r="M36" s="457">
        <v>46052</v>
      </c>
      <c r="N36" s="457">
        <v>46059</v>
      </c>
      <c r="O36" s="457">
        <v>46059</v>
      </c>
      <c r="P36" s="453" t="s">
        <v>214</v>
      </c>
      <c r="Q36" s="483">
        <v>1524.52</v>
      </c>
      <c r="R36" s="459">
        <v>0</v>
      </c>
      <c r="S36" s="459">
        <v>0</v>
      </c>
      <c r="T36" s="115">
        <f>SUM(mFEV[[#This Row],[PRINCIPAL]:[JUROS]])</f>
        <v>1524.52</v>
      </c>
      <c r="V36" s="115"/>
    </row>
    <row r="37" spans="2:22" ht="21" customHeight="1">
      <c r="B37" s="451" t="str">
        <f t="shared" si="0"/>
        <v>2/26</v>
      </c>
      <c r="C37" s="121" t="str">
        <f>VLOOKUP(mFEV[[#This Row],[CÓDIGO CONTABIL]],Contas_Gerencial[#All],3,FALSE)</f>
        <v>ENCARGOS</v>
      </c>
      <c r="D37" s="445" t="str">
        <f>VLOOKUP(mFEV[[#This Row],[DESCRIÇÃO CONTABIL]],Contas_Gerencial[[#All],[DESCRIÇÃO DA CONTA - NÃO UTILIZAR]:[Código2]],2,FALSE)</f>
        <v>20.04.006</v>
      </c>
      <c r="E37" s="452" t="s">
        <v>1180</v>
      </c>
      <c r="F37" s="452" t="s">
        <v>582</v>
      </c>
      <c r="G37" s="480" t="s">
        <v>1081</v>
      </c>
      <c r="H37" s="452" t="s">
        <v>1180</v>
      </c>
      <c r="I37" s="481">
        <v>396</v>
      </c>
      <c r="J37" s="453" t="s">
        <v>384</v>
      </c>
      <c r="K37" s="452" t="s">
        <v>1180</v>
      </c>
      <c r="L37" s="456" t="s">
        <v>2137</v>
      </c>
      <c r="M37" s="457">
        <v>46052</v>
      </c>
      <c r="N37" s="457">
        <v>46073</v>
      </c>
      <c r="O37" s="457">
        <v>46072</v>
      </c>
      <c r="P37" s="453" t="s">
        <v>214</v>
      </c>
      <c r="Q37" s="483">
        <v>142.04</v>
      </c>
      <c r="R37" s="459">
        <v>0</v>
      </c>
      <c r="S37" s="459">
        <v>0</v>
      </c>
      <c r="T37" s="115">
        <f>SUM(mFEV[[#This Row],[PRINCIPAL]:[JUROS]])</f>
        <v>142.04</v>
      </c>
      <c r="V37" s="115"/>
    </row>
    <row r="38" spans="2:22" ht="21" customHeight="1">
      <c r="B38" s="451" t="str">
        <f t="shared" si="0"/>
        <v>2/26</v>
      </c>
      <c r="C38" s="121" t="str">
        <f>VLOOKUP(mFEV[[#This Row],[CÓDIGO CONTABIL]],Contas_Gerencial[#All],3,FALSE)</f>
        <v>ENCARGOS</v>
      </c>
      <c r="D38" s="445" t="str">
        <f>VLOOKUP(mFEV[[#This Row],[DESCRIÇÃO CONTABIL]],Contas_Gerencial[[#All],[DESCRIÇÃO DA CONTA - NÃO UTILIZAR]:[Código2]],2,FALSE)</f>
        <v>20.04.001</v>
      </c>
      <c r="E38" s="464" t="s">
        <v>2659</v>
      </c>
      <c r="F38" s="464" t="s">
        <v>582</v>
      </c>
      <c r="G38" s="996" t="s">
        <v>1081</v>
      </c>
      <c r="H38" s="461" t="s">
        <v>1788</v>
      </c>
      <c r="I38" s="984">
        <v>396</v>
      </c>
      <c r="J38" s="461" t="s">
        <v>757</v>
      </c>
      <c r="K38" s="461" t="s">
        <v>2089</v>
      </c>
      <c r="L38" s="462" t="s">
        <v>2137</v>
      </c>
      <c r="M38" s="463">
        <v>46052</v>
      </c>
      <c r="N38" s="463">
        <v>46073</v>
      </c>
      <c r="O38" s="463"/>
      <c r="P38" s="461" t="s">
        <v>1</v>
      </c>
      <c r="Q38" s="985">
        <v>137.03</v>
      </c>
      <c r="R38" s="998">
        <v>0</v>
      </c>
      <c r="S38" s="998">
        <v>0</v>
      </c>
      <c r="T38" s="115">
        <f>SUM(mFEV[[#This Row],[PRINCIPAL]:[JUROS]])</f>
        <v>137.03</v>
      </c>
      <c r="V38" s="115"/>
    </row>
    <row r="39" spans="2:22" ht="21" customHeight="1">
      <c r="B39" s="451" t="str">
        <f t="shared" si="0"/>
        <v>2/26</v>
      </c>
      <c r="C39" s="121" t="str">
        <f>VLOOKUP(mFEV[[#This Row],[CÓDIGO CONTABIL]],Contas_Gerencial[#All],3,FALSE)</f>
        <v>BENEFICIO</v>
      </c>
      <c r="D39" s="445" t="str">
        <f>VLOOKUP(mFEV[[#This Row],[DESCRIÇÃO CONTABIL]],Contas_Gerencial[[#All],[DESCRIÇÃO DA CONTA - NÃO UTILIZAR]:[Código2]],2,FALSE)</f>
        <v>20.05.006</v>
      </c>
      <c r="E39" s="480" t="s">
        <v>24</v>
      </c>
      <c r="F39" s="452" t="s">
        <v>582</v>
      </c>
      <c r="G39" s="452" t="s">
        <v>1081</v>
      </c>
      <c r="H39" s="452" t="s">
        <v>1791</v>
      </c>
      <c r="I39" s="481">
        <v>200226</v>
      </c>
      <c r="J39" s="452" t="s">
        <v>582</v>
      </c>
      <c r="K39" s="453" t="s">
        <v>2257</v>
      </c>
      <c r="L39" s="451" t="s">
        <v>2258</v>
      </c>
      <c r="M39" s="457">
        <v>46073</v>
      </c>
      <c r="N39" s="457">
        <v>46073</v>
      </c>
      <c r="O39" s="457">
        <v>46073</v>
      </c>
      <c r="P39" s="452" t="s">
        <v>214</v>
      </c>
      <c r="Q39" s="467">
        <v>1113.1200000000001</v>
      </c>
      <c r="R39" s="467">
        <v>0</v>
      </c>
      <c r="S39" s="467">
        <v>0</v>
      </c>
      <c r="T39" s="115">
        <f>SUM(mFEV[[#This Row],[PRINCIPAL]:[JUROS]])</f>
        <v>1113.1200000000001</v>
      </c>
      <c r="V39" s="115"/>
    </row>
    <row r="40" spans="2:22" ht="21" customHeight="1">
      <c r="B40" s="451" t="str">
        <f t="shared" si="0"/>
        <v>2/26</v>
      </c>
      <c r="C40" s="121" t="str">
        <f>VLOOKUP(mFEV[[#This Row],[CÓDIGO CONTABIL]],Contas_Gerencial[#All],3,FALSE)</f>
        <v>BENEFICIO</v>
      </c>
      <c r="D40" s="445" t="str">
        <f>VLOOKUP(mFEV[[#This Row],[DESCRIÇÃO CONTABIL]],Contas_Gerencial[[#All],[DESCRIÇÃO DA CONTA - NÃO UTILIZAR]:[Código2]],2,FALSE)</f>
        <v>20.05.007</v>
      </c>
      <c r="E40" s="480" t="s">
        <v>25</v>
      </c>
      <c r="F40" s="452" t="s">
        <v>582</v>
      </c>
      <c r="G40" s="452" t="s">
        <v>1081</v>
      </c>
      <c r="H40" s="452" t="s">
        <v>1791</v>
      </c>
      <c r="I40" s="481">
        <v>200226</v>
      </c>
      <c r="J40" s="452" t="s">
        <v>582</v>
      </c>
      <c r="K40" s="453" t="s">
        <v>2257</v>
      </c>
      <c r="L40" s="451" t="s">
        <v>2258</v>
      </c>
      <c r="M40" s="457">
        <v>46073</v>
      </c>
      <c r="N40" s="457">
        <v>46073</v>
      </c>
      <c r="O40" s="457">
        <v>46073</v>
      </c>
      <c r="P40" s="452" t="s">
        <v>214</v>
      </c>
      <c r="Q40" s="467">
        <v>264</v>
      </c>
      <c r="R40" s="467">
        <v>0</v>
      </c>
      <c r="S40" s="467">
        <v>0</v>
      </c>
      <c r="T40" s="115">
        <f>SUM(mFEV[[#This Row],[PRINCIPAL]:[JUROS]])</f>
        <v>264</v>
      </c>
    </row>
    <row r="41" spans="2:22" ht="21" customHeight="1">
      <c r="B41" s="451" t="str">
        <f t="shared" si="0"/>
        <v>2/26</v>
      </c>
      <c r="C41" s="121" t="str">
        <f>VLOOKUP(mFEV[[#This Row],[CÓDIGO CONTABIL]],Contas_Gerencial[#All],3,FALSE)</f>
        <v>RECEITA SUBCONTA</v>
      </c>
      <c r="D41" s="445" t="str">
        <f>VLOOKUP(mFEV[[#This Row],[DESCRIÇÃO CONTABIL]],Contas_Gerencial[[#All],[DESCRIÇÃO DA CONTA - NÃO UTILIZAR]:[Código2]],2,FALSE)</f>
        <v>10.01.001</v>
      </c>
      <c r="E41" s="107" t="s">
        <v>90</v>
      </c>
      <c r="F41" s="107" t="s">
        <v>41</v>
      </c>
      <c r="G41" s="107" t="s">
        <v>1767</v>
      </c>
      <c r="H41" s="107" t="s">
        <v>1788</v>
      </c>
      <c r="I41" s="481">
        <v>397</v>
      </c>
      <c r="J41" s="121" t="s">
        <v>41</v>
      </c>
      <c r="K41" s="121" t="s">
        <v>1792</v>
      </c>
      <c r="L41" s="456" t="s">
        <v>2137</v>
      </c>
      <c r="M41" s="457">
        <v>46052</v>
      </c>
      <c r="N41" s="457">
        <v>46063</v>
      </c>
      <c r="O41" s="457">
        <v>46063</v>
      </c>
      <c r="P41" s="452" t="s">
        <v>214</v>
      </c>
      <c r="Q41" s="483">
        <v>41450</v>
      </c>
      <c r="R41" s="482">
        <v>0</v>
      </c>
      <c r="S41" s="482">
        <v>0</v>
      </c>
      <c r="T41" s="115">
        <f>SUM(mFEV[[#This Row],[PRINCIPAL]:[JUROS]])</f>
        <v>41450</v>
      </c>
    </row>
    <row r="42" spans="2:22" ht="21" customHeight="1">
      <c r="B42" s="451" t="str">
        <f t="shared" si="0"/>
        <v>2/26</v>
      </c>
      <c r="C42" s="121" t="str">
        <f>VLOOKUP(mFEV[[#This Row],[CÓDIGO CONTABIL]],Contas_Gerencial[#All],3,FALSE)</f>
        <v>TRIBUTOS</v>
      </c>
      <c r="D42" s="445" t="str">
        <f>VLOOKUP(mFEV[[#This Row],[DESCRIÇÃO CONTABIL]],Contas_Gerencial[[#All],[DESCRIÇÃO DA CONTA - NÃO UTILIZAR]:[Código2]],2,FALSE)</f>
        <v>20.08.008</v>
      </c>
      <c r="E42" s="452" t="s">
        <v>2650</v>
      </c>
      <c r="F42" s="107" t="s">
        <v>41</v>
      </c>
      <c r="G42" s="480" t="s">
        <v>1767</v>
      </c>
      <c r="H42" s="107" t="s">
        <v>1788</v>
      </c>
      <c r="I42" s="481">
        <v>397</v>
      </c>
      <c r="J42" s="453" t="s">
        <v>378</v>
      </c>
      <c r="K42" s="453" t="s">
        <v>2087</v>
      </c>
      <c r="L42" s="456" t="s">
        <v>2137</v>
      </c>
      <c r="M42" s="457">
        <v>46052</v>
      </c>
      <c r="N42" s="457">
        <v>46073</v>
      </c>
      <c r="O42" s="457">
        <v>46073</v>
      </c>
      <c r="P42" s="453" t="s">
        <v>214</v>
      </c>
      <c r="Q42" s="482">
        <f>269.43+1243.5+414.5</f>
        <v>1927.43</v>
      </c>
      <c r="R42" s="482">
        <v>0</v>
      </c>
      <c r="S42" s="482">
        <v>0</v>
      </c>
      <c r="T42" s="115">
        <f>SUM(mFEV[[#This Row],[PRINCIPAL]:[JUROS]])</f>
        <v>1927.43</v>
      </c>
    </row>
    <row r="43" spans="2:22" ht="21" customHeight="1">
      <c r="B43" s="451" t="str">
        <f t="shared" si="0"/>
        <v>2/26</v>
      </c>
      <c r="C43" s="121" t="str">
        <f>VLOOKUP(mFEV[[#This Row],[CÓDIGO CONTABIL]],Contas_Gerencial[#All],3,FALSE)</f>
        <v>ENCARGOS</v>
      </c>
      <c r="D43" s="445" t="str">
        <f>VLOOKUP(mFEV[[#This Row],[DESCRIÇÃO CONTABIL]],Contas_Gerencial[[#All],[DESCRIÇÃO DA CONTA - NÃO UTILIZAR]:[Código2]],2,FALSE)</f>
        <v>20.04.004</v>
      </c>
      <c r="E43" s="452" t="s">
        <v>2651</v>
      </c>
      <c r="F43" s="107" t="s">
        <v>41</v>
      </c>
      <c r="G43" s="480" t="s">
        <v>1767</v>
      </c>
      <c r="H43" s="107" t="s">
        <v>1788</v>
      </c>
      <c r="I43" s="481">
        <v>397</v>
      </c>
      <c r="J43" s="453" t="s">
        <v>264</v>
      </c>
      <c r="K43" s="453" t="s">
        <v>2113</v>
      </c>
      <c r="L43" s="456" t="s">
        <v>2137</v>
      </c>
      <c r="M43" s="457">
        <v>46052</v>
      </c>
      <c r="N43" s="457">
        <v>46073</v>
      </c>
      <c r="O43" s="457">
        <v>46073</v>
      </c>
      <c r="P43" s="453" t="s">
        <v>214</v>
      </c>
      <c r="Q43" s="483">
        <v>3155.24</v>
      </c>
      <c r="R43" s="482">
        <v>0</v>
      </c>
      <c r="S43" s="482">
        <v>0</v>
      </c>
      <c r="T43" s="115">
        <f>SUM(mFEV[[#This Row],[PRINCIPAL]:[JUROS]])</f>
        <v>3155.24</v>
      </c>
      <c r="V43" s="115"/>
    </row>
    <row r="44" spans="2:22" ht="21" customHeight="1">
      <c r="B44" s="451" t="str">
        <f t="shared" si="0"/>
        <v>2/26</v>
      </c>
      <c r="C44" s="121" t="str">
        <f>VLOOKUP(mFEV[[#This Row],[CÓDIGO CONTABIL]],Contas_Gerencial[#All],3,FALSE)</f>
        <v>TRIBUTOS</v>
      </c>
      <c r="D44" s="445" t="str">
        <f>VLOOKUP(mFEV[[#This Row],[DESCRIÇÃO CONTABIL]],Contas_Gerencial[[#All],[DESCRIÇÃO DA CONTA - NÃO UTILIZAR]:[Código2]],2,FALSE)</f>
        <v>20.08.005</v>
      </c>
      <c r="E44" s="107" t="s">
        <v>2649</v>
      </c>
      <c r="F44" s="452" t="s">
        <v>41</v>
      </c>
      <c r="G44" s="480" t="s">
        <v>1767</v>
      </c>
      <c r="H44" s="107" t="s">
        <v>1788</v>
      </c>
      <c r="I44" s="481">
        <v>397</v>
      </c>
      <c r="J44" s="453" t="s">
        <v>378</v>
      </c>
      <c r="K44" s="453" t="s">
        <v>2086</v>
      </c>
      <c r="L44" s="456" t="s">
        <v>2137</v>
      </c>
      <c r="M44" s="457">
        <v>46052</v>
      </c>
      <c r="N44" s="457">
        <v>46073</v>
      </c>
      <c r="O44" s="457">
        <v>46073</v>
      </c>
      <c r="P44" s="453" t="s">
        <v>214</v>
      </c>
      <c r="Q44" s="467">
        <v>414.5</v>
      </c>
      <c r="R44" s="467">
        <v>0</v>
      </c>
      <c r="S44" s="467">
        <v>0</v>
      </c>
      <c r="T44" s="115">
        <f>SUM(mFEV[[#This Row],[PRINCIPAL]:[JUROS]])</f>
        <v>414.5</v>
      </c>
    </row>
    <row r="45" spans="2:22" ht="21" customHeight="1">
      <c r="B45" s="451" t="str">
        <f t="shared" si="0"/>
        <v>2/26</v>
      </c>
      <c r="C45" s="121" t="str">
        <f>VLOOKUP(mFEV[[#This Row],[CÓDIGO CONTABIL]],Contas_Gerencial[#All],3,FALSE)</f>
        <v>TRIBUTOS</v>
      </c>
      <c r="D45" s="445" t="str">
        <f>VLOOKUP(mFEV[[#This Row],[DESCRIÇÃO CONTABIL]],Contas_Gerencial[[#All],[DESCRIÇÃO DA CONTA - NÃO UTILIZAR]:[Código2]],2,FALSE)</f>
        <v>20.08.004</v>
      </c>
      <c r="E45" s="452" t="s">
        <v>2648</v>
      </c>
      <c r="F45" s="107" t="s">
        <v>41</v>
      </c>
      <c r="G45" s="480" t="s">
        <v>1767</v>
      </c>
      <c r="H45" s="107" t="s">
        <v>1788</v>
      </c>
      <c r="I45" s="481">
        <v>397</v>
      </c>
      <c r="J45" s="453" t="s">
        <v>378</v>
      </c>
      <c r="K45" s="453" t="s">
        <v>2085</v>
      </c>
      <c r="L45" s="456" t="s">
        <v>2137</v>
      </c>
      <c r="M45" s="457">
        <v>46052</v>
      </c>
      <c r="N45" s="457">
        <v>46073</v>
      </c>
      <c r="O45" s="457">
        <v>46073</v>
      </c>
      <c r="P45" s="453" t="s">
        <v>214</v>
      </c>
      <c r="Q45" s="482">
        <v>2072.5</v>
      </c>
      <c r="R45" s="482">
        <v>0</v>
      </c>
      <c r="S45" s="482">
        <v>0</v>
      </c>
      <c r="T45" s="115">
        <f>SUM(mFEV[[#This Row],[PRINCIPAL]:[JUROS]])</f>
        <v>2072.5</v>
      </c>
    </row>
    <row r="46" spans="2:22" ht="21" customHeight="1">
      <c r="B46" s="451" t="str">
        <f t="shared" si="0"/>
        <v>2/26</v>
      </c>
      <c r="C46" s="121" t="str">
        <f>VLOOKUP(mFEV[[#This Row],[CÓDIGO CONTABIL]],Contas_Gerencial[#All],3,FALSE)</f>
        <v>FOLHA DE PAGAMENTO</v>
      </c>
      <c r="D46" s="445" t="str">
        <f>VLOOKUP(mFEV[[#This Row],[DESCRIÇÃO CONTABIL]],Contas_Gerencial[[#All],[DESCRIÇÃO DA CONTA - NÃO UTILIZAR]:[Código2]],2,FALSE)</f>
        <v>20.05.021</v>
      </c>
      <c r="E46" s="452" t="s">
        <v>59</v>
      </c>
      <c r="F46" s="452" t="s">
        <v>41</v>
      </c>
      <c r="G46" s="107" t="s">
        <v>1767</v>
      </c>
      <c r="H46" s="452" t="s">
        <v>1791</v>
      </c>
      <c r="I46" s="481">
        <v>397</v>
      </c>
      <c r="J46" s="453" t="s">
        <v>41</v>
      </c>
      <c r="K46" s="453" t="s">
        <v>1868</v>
      </c>
      <c r="L46" s="456" t="s">
        <v>2137</v>
      </c>
      <c r="M46" s="457">
        <v>46055</v>
      </c>
      <c r="N46" s="457">
        <v>46059</v>
      </c>
      <c r="O46" s="457">
        <v>46057</v>
      </c>
      <c r="P46" s="453" t="s">
        <v>214</v>
      </c>
      <c r="Q46" s="483">
        <v>9980.0499999999993</v>
      </c>
      <c r="R46" s="459">
        <v>0</v>
      </c>
      <c r="S46" s="459">
        <v>0</v>
      </c>
      <c r="T46" s="115">
        <f>SUM(mFEV[[#This Row],[PRINCIPAL]:[JUROS]])</f>
        <v>9980.0499999999993</v>
      </c>
      <c r="V46" s="115"/>
    </row>
    <row r="47" spans="2:22" ht="21" customHeight="1">
      <c r="B47" s="451" t="str">
        <f t="shared" si="0"/>
        <v>2/26</v>
      </c>
      <c r="C47" s="121" t="str">
        <f>VLOOKUP(mFEV[[#This Row],[CÓDIGO CONTABIL]],Contas_Gerencial[#All],3,FALSE)</f>
        <v>ENCARGOS</v>
      </c>
      <c r="D47" s="445" t="str">
        <f>VLOOKUP(mFEV[[#This Row],[DESCRIÇÃO CONTABIL]],Contas_Gerencial[[#All],[DESCRIÇÃO DA CONTA - NÃO UTILIZAR]:[Código2]],2,FALSE)</f>
        <v>20.04.006</v>
      </c>
      <c r="E47" s="452" t="s">
        <v>1180</v>
      </c>
      <c r="F47" s="452" t="s">
        <v>581</v>
      </c>
      <c r="G47" s="480" t="s">
        <v>1767</v>
      </c>
      <c r="H47" s="452" t="s">
        <v>1180</v>
      </c>
      <c r="I47" s="481">
        <v>397</v>
      </c>
      <c r="J47" s="453" t="s">
        <v>384</v>
      </c>
      <c r="K47" s="452" t="s">
        <v>1180</v>
      </c>
      <c r="L47" s="456" t="s">
        <v>2137</v>
      </c>
      <c r="M47" s="457">
        <v>46055</v>
      </c>
      <c r="N47" s="457">
        <v>46073</v>
      </c>
      <c r="O47" s="457">
        <v>46072</v>
      </c>
      <c r="P47" s="453" t="s">
        <v>214</v>
      </c>
      <c r="Q47" s="483">
        <v>1121.71</v>
      </c>
      <c r="R47" s="459">
        <v>0</v>
      </c>
      <c r="S47" s="459">
        <v>0</v>
      </c>
      <c r="T47" s="115">
        <f>SUM(mFEV[[#This Row],[PRINCIPAL]:[JUROS]])</f>
        <v>1121.71</v>
      </c>
    </row>
    <row r="48" spans="2:22" ht="21" customHeight="1">
      <c r="B48" s="451" t="str">
        <f t="shared" si="0"/>
        <v>2/26</v>
      </c>
      <c r="C48" s="121" t="str">
        <f>VLOOKUP(mFEV[[#This Row],[CÓDIGO CONTABIL]],Contas_Gerencial[#All],3,FALSE)</f>
        <v>ENCARGOS</v>
      </c>
      <c r="D48" s="445" t="str">
        <f>VLOOKUP(mFEV[[#This Row],[DESCRIÇÃO CONTABIL]],Contas_Gerencial[[#All],[DESCRIÇÃO DA CONTA - NÃO UTILIZAR]:[Código2]],2,FALSE)</f>
        <v>20.04.001</v>
      </c>
      <c r="E48" s="464" t="s">
        <v>2659</v>
      </c>
      <c r="F48" s="464" t="s">
        <v>581</v>
      </c>
      <c r="G48" s="986" t="s">
        <v>1767</v>
      </c>
      <c r="H48" s="983" t="s">
        <v>1788</v>
      </c>
      <c r="I48" s="984">
        <v>397</v>
      </c>
      <c r="J48" s="461" t="s">
        <v>757</v>
      </c>
      <c r="K48" s="461" t="s">
        <v>2089</v>
      </c>
      <c r="L48" s="462" t="s">
        <v>2137</v>
      </c>
      <c r="M48" s="463">
        <v>46055</v>
      </c>
      <c r="N48" s="463">
        <v>46073</v>
      </c>
      <c r="O48" s="463"/>
      <c r="P48" s="461" t="s">
        <v>1</v>
      </c>
      <c r="Q48" s="985">
        <f>954.39-130</f>
        <v>824.39</v>
      </c>
      <c r="R48" s="987">
        <v>0</v>
      </c>
      <c r="S48" s="987">
        <v>0</v>
      </c>
      <c r="T48" s="115">
        <f>SUM(mFEV[[#This Row],[PRINCIPAL]:[JUROS]])</f>
        <v>824.39</v>
      </c>
    </row>
    <row r="49" spans="2:22" ht="21" customHeight="1">
      <c r="B49" s="451" t="str">
        <f t="shared" si="0"/>
        <v>2/26</v>
      </c>
      <c r="C49" s="121" t="str">
        <f>VLOOKUP(mFEV[[#This Row],[CÓDIGO CONTABIL]],Contas_Gerencial[#All],3,FALSE)</f>
        <v>BENEFICIO</v>
      </c>
      <c r="D49" s="445" t="str">
        <f>VLOOKUP(mFEV[[#This Row],[DESCRIÇÃO CONTABIL]],Contas_Gerencial[[#All],[DESCRIÇÃO DA CONTA - NÃO UTILIZAR]:[Código2]],2,FALSE)</f>
        <v>20.05.006</v>
      </c>
      <c r="E49" s="480" t="s">
        <v>24</v>
      </c>
      <c r="F49" s="452" t="s">
        <v>581</v>
      </c>
      <c r="G49" s="452" t="s">
        <v>1767</v>
      </c>
      <c r="H49" s="452" t="s">
        <v>1819</v>
      </c>
      <c r="I49" s="481">
        <v>200226</v>
      </c>
      <c r="J49" s="452" t="s">
        <v>581</v>
      </c>
      <c r="K49" s="453" t="s">
        <v>2257</v>
      </c>
      <c r="L49" s="451" t="s">
        <v>2258</v>
      </c>
      <c r="M49" s="457">
        <v>46073</v>
      </c>
      <c r="N49" s="457">
        <v>46073</v>
      </c>
      <c r="O49" s="457">
        <v>46073</v>
      </c>
      <c r="P49" s="452" t="s">
        <v>214</v>
      </c>
      <c r="Q49" s="467">
        <v>5519.22</v>
      </c>
      <c r="R49" s="467">
        <v>0</v>
      </c>
      <c r="S49" s="467">
        <v>0</v>
      </c>
      <c r="T49" s="115">
        <f>SUM(mFEV[[#This Row],[PRINCIPAL]:[JUROS]])</f>
        <v>5519.22</v>
      </c>
    </row>
    <row r="50" spans="2:22" ht="21" customHeight="1">
      <c r="B50" s="451" t="str">
        <f t="shared" si="0"/>
        <v>2/26</v>
      </c>
      <c r="C50" s="121" t="str">
        <f>VLOOKUP(mFEV[[#This Row],[CÓDIGO CONTABIL]],Contas_Gerencial[#All],3,FALSE)</f>
        <v>BENEFICIO</v>
      </c>
      <c r="D50" s="445" t="str">
        <f>VLOOKUP(mFEV[[#This Row],[DESCRIÇÃO CONTABIL]],Contas_Gerencial[[#All],[DESCRIÇÃO DA CONTA - NÃO UTILIZAR]:[Código2]],2,FALSE)</f>
        <v>20.05.007</v>
      </c>
      <c r="E50" s="480" t="s">
        <v>25</v>
      </c>
      <c r="F50" s="452" t="s">
        <v>581</v>
      </c>
      <c r="G50" s="452" t="s">
        <v>1767</v>
      </c>
      <c r="H50" s="452" t="s">
        <v>1819</v>
      </c>
      <c r="I50" s="481">
        <v>200226</v>
      </c>
      <c r="J50" s="452" t="s">
        <v>581</v>
      </c>
      <c r="K50" s="453" t="s">
        <v>2257</v>
      </c>
      <c r="L50" s="451" t="s">
        <v>2258</v>
      </c>
      <c r="M50" s="457">
        <v>46073</v>
      </c>
      <c r="N50" s="457">
        <v>46073</v>
      </c>
      <c r="O50" s="457">
        <v>46073</v>
      </c>
      <c r="P50" s="452" t="s">
        <v>214</v>
      </c>
      <c r="Q50" s="467">
        <v>1067</v>
      </c>
      <c r="R50" s="467">
        <v>0</v>
      </c>
      <c r="S50" s="467">
        <v>0</v>
      </c>
      <c r="T50" s="115">
        <f>SUM(mFEV[[#This Row],[PRINCIPAL]:[JUROS]])</f>
        <v>1067</v>
      </c>
    </row>
    <row r="51" spans="2:22" ht="21" customHeight="1">
      <c r="B51" s="451" t="str">
        <f t="shared" si="0"/>
        <v>2/26</v>
      </c>
      <c r="C51" s="121" t="str">
        <f>VLOOKUP(mFEV[[#This Row],[CÓDIGO CONTABIL]],Contas_Gerencial[#All],3,FALSE)</f>
        <v>RECEITA SUBCONTA</v>
      </c>
      <c r="D51" s="445" t="str">
        <f>VLOOKUP(mFEV[[#This Row],[DESCRIÇÃO CONTABIL]],Contas_Gerencial[[#All],[DESCRIÇÃO DA CONTA - NÃO UTILIZAR]:[Código2]],2,FALSE)</f>
        <v>10.01.001</v>
      </c>
      <c r="E51" s="107" t="s">
        <v>90</v>
      </c>
      <c r="F51" s="107" t="s">
        <v>41</v>
      </c>
      <c r="G51" s="107" t="s">
        <v>49</v>
      </c>
      <c r="H51" s="107" t="s">
        <v>1788</v>
      </c>
      <c r="I51" s="481">
        <v>395</v>
      </c>
      <c r="J51" s="121" t="s">
        <v>41</v>
      </c>
      <c r="K51" s="121" t="s">
        <v>1792</v>
      </c>
      <c r="L51" s="456" t="s">
        <v>2137</v>
      </c>
      <c r="M51" s="457">
        <v>46052</v>
      </c>
      <c r="N51" s="457">
        <v>46058</v>
      </c>
      <c r="O51" s="457">
        <v>46064</v>
      </c>
      <c r="P51" s="452" t="s">
        <v>214</v>
      </c>
      <c r="Q51" s="483">
        <v>36427</v>
      </c>
      <c r="R51" s="482">
        <v>0</v>
      </c>
      <c r="S51" s="482">
        <v>0</v>
      </c>
      <c r="T51" s="115">
        <f>SUM(mFEV[[#This Row],[PRINCIPAL]:[JUROS]])</f>
        <v>36427</v>
      </c>
    </row>
    <row r="52" spans="2:22" ht="21" customHeight="1">
      <c r="B52" s="451" t="str">
        <f t="shared" si="0"/>
        <v>2/26</v>
      </c>
      <c r="C52" s="121" t="str">
        <f>VLOOKUP(mFEV[[#This Row],[CÓDIGO CONTABIL]],Contas_Gerencial[#All],3,FALSE)</f>
        <v>TRIBUTOS</v>
      </c>
      <c r="D52" s="445" t="str">
        <f>VLOOKUP(mFEV[[#This Row],[DESCRIÇÃO CONTABIL]],Contas_Gerencial[[#All],[DESCRIÇÃO DA CONTA - NÃO UTILIZAR]:[Código2]],2,FALSE)</f>
        <v>20.08.008</v>
      </c>
      <c r="E52" s="452" t="s">
        <v>2650</v>
      </c>
      <c r="F52" s="107" t="s">
        <v>41</v>
      </c>
      <c r="G52" s="480" t="s">
        <v>49</v>
      </c>
      <c r="H52" s="107" t="s">
        <v>1788</v>
      </c>
      <c r="I52" s="481">
        <v>395</v>
      </c>
      <c r="J52" s="453" t="s">
        <v>378</v>
      </c>
      <c r="K52" s="453" t="s">
        <v>2087</v>
      </c>
      <c r="L52" s="456" t="s">
        <v>2137</v>
      </c>
      <c r="M52" s="457">
        <v>46052</v>
      </c>
      <c r="N52" s="457">
        <v>46073</v>
      </c>
      <c r="O52" s="457">
        <v>46073</v>
      </c>
      <c r="P52" s="453" t="s">
        <v>214</v>
      </c>
      <c r="Q52" s="482">
        <f>236.77+1092.81+364.27</f>
        <v>1693.85</v>
      </c>
      <c r="R52" s="482">
        <v>0</v>
      </c>
      <c r="S52" s="482">
        <v>0</v>
      </c>
      <c r="T52" s="115">
        <f>SUM(mFEV[[#This Row],[PRINCIPAL]:[JUROS]])</f>
        <v>1693.85</v>
      </c>
    </row>
    <row r="53" spans="2:22" ht="21" customHeight="1">
      <c r="B53" s="451" t="str">
        <f t="shared" si="0"/>
        <v>2/26</v>
      </c>
      <c r="C53" s="121" t="str">
        <f>VLOOKUP(mFEV[[#This Row],[CÓDIGO CONTABIL]],Contas_Gerencial[#All],3,FALSE)</f>
        <v>ENCARGOS</v>
      </c>
      <c r="D53" s="445" t="str">
        <f>VLOOKUP(mFEV[[#This Row],[DESCRIÇÃO CONTABIL]],Contas_Gerencial[[#All],[DESCRIÇÃO DA CONTA - NÃO UTILIZAR]:[Código2]],2,FALSE)</f>
        <v>20.04.004</v>
      </c>
      <c r="E53" s="452" t="s">
        <v>2651</v>
      </c>
      <c r="F53" s="107" t="s">
        <v>41</v>
      </c>
      <c r="G53" s="480" t="s">
        <v>49</v>
      </c>
      <c r="H53" s="107" t="s">
        <v>1788</v>
      </c>
      <c r="I53" s="481">
        <v>395</v>
      </c>
      <c r="J53" s="453" t="s">
        <v>264</v>
      </c>
      <c r="K53" s="453" t="s">
        <v>2113</v>
      </c>
      <c r="L53" s="456" t="s">
        <v>2137</v>
      </c>
      <c r="M53" s="457">
        <v>46052</v>
      </c>
      <c r="N53" s="457">
        <v>46073</v>
      </c>
      <c r="O53" s="457">
        <v>46073</v>
      </c>
      <c r="P53" s="453" t="s">
        <v>214</v>
      </c>
      <c r="Q53" s="483">
        <v>2639.67</v>
      </c>
      <c r="R53" s="482">
        <v>0</v>
      </c>
      <c r="S53" s="482">
        <v>0</v>
      </c>
      <c r="T53" s="115">
        <f>SUM(mFEV[[#This Row],[PRINCIPAL]:[JUROS]])</f>
        <v>2639.67</v>
      </c>
    </row>
    <row r="54" spans="2:22" ht="21" customHeight="1">
      <c r="B54" s="451" t="str">
        <f t="shared" si="0"/>
        <v>2/26</v>
      </c>
      <c r="C54" s="121" t="str">
        <f>VLOOKUP(mFEV[[#This Row],[CÓDIGO CONTABIL]],Contas_Gerencial[#All],3,FALSE)</f>
        <v>TRIBUTOS</v>
      </c>
      <c r="D54" s="445" t="str">
        <f>VLOOKUP(mFEV[[#This Row],[DESCRIÇÃO CONTABIL]],Contas_Gerencial[[#All],[DESCRIÇÃO DA CONTA - NÃO UTILIZAR]:[Código2]],2,FALSE)</f>
        <v>20.08.005</v>
      </c>
      <c r="E54" s="107" t="s">
        <v>2649</v>
      </c>
      <c r="F54" s="452" t="s">
        <v>41</v>
      </c>
      <c r="G54" s="480" t="s">
        <v>49</v>
      </c>
      <c r="H54" s="107" t="s">
        <v>1788</v>
      </c>
      <c r="I54" s="481">
        <v>395</v>
      </c>
      <c r="J54" s="453" t="s">
        <v>378</v>
      </c>
      <c r="K54" s="453" t="s">
        <v>2086</v>
      </c>
      <c r="L54" s="456" t="s">
        <v>2137</v>
      </c>
      <c r="M54" s="457">
        <v>46052</v>
      </c>
      <c r="N54" s="457">
        <v>46073</v>
      </c>
      <c r="O54" s="457">
        <v>46073</v>
      </c>
      <c r="P54" s="453" t="s">
        <v>214</v>
      </c>
      <c r="Q54" s="467">
        <v>364.27</v>
      </c>
      <c r="R54" s="467">
        <v>0</v>
      </c>
      <c r="S54" s="467">
        <v>0</v>
      </c>
      <c r="T54" s="115">
        <f>SUM(mFEV[[#This Row],[PRINCIPAL]:[JUROS]])</f>
        <v>364.27</v>
      </c>
    </row>
    <row r="55" spans="2:22" ht="21" customHeight="1">
      <c r="B55" s="451" t="str">
        <f t="shared" si="0"/>
        <v>2/26</v>
      </c>
      <c r="C55" s="121" t="str">
        <f>VLOOKUP(mFEV[[#This Row],[CÓDIGO CONTABIL]],Contas_Gerencial[#All],3,FALSE)</f>
        <v>TRIBUTOS</v>
      </c>
      <c r="D55" s="445" t="str">
        <f>VLOOKUP(mFEV[[#This Row],[DESCRIÇÃO CONTABIL]],Contas_Gerencial[[#All],[DESCRIÇÃO DA CONTA - NÃO UTILIZAR]:[Código2]],2,FALSE)</f>
        <v>20.08.004</v>
      </c>
      <c r="E55" s="452" t="s">
        <v>2648</v>
      </c>
      <c r="F55" s="107" t="s">
        <v>41</v>
      </c>
      <c r="G55" s="480" t="s">
        <v>49</v>
      </c>
      <c r="H55" s="107" t="s">
        <v>1788</v>
      </c>
      <c r="I55" s="481">
        <v>395</v>
      </c>
      <c r="J55" s="453" t="s">
        <v>378</v>
      </c>
      <c r="K55" s="453" t="s">
        <v>2085</v>
      </c>
      <c r="L55" s="456" t="s">
        <v>2137</v>
      </c>
      <c r="M55" s="457">
        <v>46052</v>
      </c>
      <c r="N55" s="457">
        <v>46073</v>
      </c>
      <c r="O55" s="457">
        <v>46073</v>
      </c>
      <c r="P55" s="453" t="s">
        <v>214</v>
      </c>
      <c r="Q55" s="482">
        <v>1821.35</v>
      </c>
      <c r="R55" s="482">
        <v>0</v>
      </c>
      <c r="S55" s="482">
        <v>0</v>
      </c>
      <c r="T55" s="115">
        <f>SUM(mFEV[[#This Row],[PRINCIPAL]:[JUROS]])</f>
        <v>1821.35</v>
      </c>
    </row>
    <row r="56" spans="2:22" ht="21" customHeight="1">
      <c r="B56" s="451" t="str">
        <f t="shared" si="0"/>
        <v>2/26</v>
      </c>
      <c r="C56" s="121" t="str">
        <f>VLOOKUP(mFEV[[#This Row],[CÓDIGO CONTABIL]],Contas_Gerencial[#All],3,FALSE)</f>
        <v>FOLHA DE PAGAMENTO</v>
      </c>
      <c r="D56" s="445" t="str">
        <f>VLOOKUP(mFEV[[#This Row],[DESCRIÇÃO CONTABIL]],Contas_Gerencial[[#All],[DESCRIÇÃO DA CONTA - NÃO UTILIZAR]:[Código2]],2,FALSE)</f>
        <v>20.05.021</v>
      </c>
      <c r="E56" s="452" t="s">
        <v>59</v>
      </c>
      <c r="F56" s="452" t="s">
        <v>41</v>
      </c>
      <c r="G56" s="107" t="s">
        <v>49</v>
      </c>
      <c r="H56" s="452" t="s">
        <v>1791</v>
      </c>
      <c r="I56" s="481">
        <v>395</v>
      </c>
      <c r="J56" s="453" t="s">
        <v>41</v>
      </c>
      <c r="K56" s="453" t="s">
        <v>2139</v>
      </c>
      <c r="L56" s="456" t="s">
        <v>2137</v>
      </c>
      <c r="M56" s="457">
        <v>46055</v>
      </c>
      <c r="N56" s="457">
        <v>46059</v>
      </c>
      <c r="O56" s="457">
        <v>46057</v>
      </c>
      <c r="P56" s="453" t="s">
        <v>214</v>
      </c>
      <c r="Q56" s="483">
        <v>8841.11</v>
      </c>
      <c r="R56" s="459">
        <v>0</v>
      </c>
      <c r="S56" s="459">
        <v>0</v>
      </c>
      <c r="T56" s="115">
        <f>SUM(mFEV[[#This Row],[PRINCIPAL]:[JUROS]])</f>
        <v>8841.11</v>
      </c>
    </row>
    <row r="57" spans="2:22" ht="21" customHeight="1">
      <c r="B57" s="451" t="str">
        <f t="shared" si="0"/>
        <v>2/26</v>
      </c>
      <c r="C57" s="121" t="str">
        <f>VLOOKUP(mFEV[[#This Row],[CÓDIGO CONTABIL]],Contas_Gerencial[#All],3,FALSE)</f>
        <v>ENCARGOS</v>
      </c>
      <c r="D57" s="445" t="str">
        <f>VLOOKUP(mFEV[[#This Row],[DESCRIÇÃO CONTABIL]],Contas_Gerencial[[#All],[DESCRIÇÃO DA CONTA - NÃO UTILIZAR]:[Código2]],2,FALSE)</f>
        <v>20.04.006</v>
      </c>
      <c r="E57" s="452" t="s">
        <v>1180</v>
      </c>
      <c r="F57" s="452" t="s">
        <v>581</v>
      </c>
      <c r="G57" s="480" t="s">
        <v>49</v>
      </c>
      <c r="H57" s="452" t="s">
        <v>1180</v>
      </c>
      <c r="I57" s="481">
        <v>395</v>
      </c>
      <c r="J57" s="453" t="s">
        <v>384</v>
      </c>
      <c r="K57" s="452" t="s">
        <v>1180</v>
      </c>
      <c r="L57" s="456" t="s">
        <v>2137</v>
      </c>
      <c r="M57" s="457">
        <v>46055</v>
      </c>
      <c r="N57" s="457">
        <v>46073</v>
      </c>
      <c r="O57" s="457">
        <v>46072</v>
      </c>
      <c r="P57" s="453" t="s">
        <v>214</v>
      </c>
      <c r="Q57" s="483">
        <v>783.03</v>
      </c>
      <c r="R57" s="459">
        <v>0</v>
      </c>
      <c r="S57" s="459">
        <v>0</v>
      </c>
      <c r="T57" s="115">
        <f>SUM(mFEV[[#This Row],[PRINCIPAL]:[JUROS]])</f>
        <v>783.03</v>
      </c>
    </row>
    <row r="58" spans="2:22" ht="21" customHeight="1">
      <c r="B58" s="451" t="str">
        <f t="shared" si="0"/>
        <v>2/26</v>
      </c>
      <c r="C58" s="121" t="str">
        <f>VLOOKUP(mFEV[[#This Row],[CÓDIGO CONTABIL]],Contas_Gerencial[#All],3,FALSE)</f>
        <v>ENCARGOS</v>
      </c>
      <c r="D58" s="445" t="str">
        <f>VLOOKUP(mFEV[[#This Row],[DESCRIÇÃO CONTABIL]],Contas_Gerencial[[#All],[DESCRIÇÃO DA CONTA - NÃO UTILIZAR]:[Código2]],2,FALSE)</f>
        <v>20.04.001</v>
      </c>
      <c r="E58" s="464" t="s">
        <v>2659</v>
      </c>
      <c r="F58" s="461" t="s">
        <v>581</v>
      </c>
      <c r="G58" s="996" t="s">
        <v>49</v>
      </c>
      <c r="H58" s="992" t="s">
        <v>1788</v>
      </c>
      <c r="I58" s="984">
        <v>395</v>
      </c>
      <c r="J58" s="461" t="s">
        <v>757</v>
      </c>
      <c r="K58" s="461" t="s">
        <v>2089</v>
      </c>
      <c r="L58" s="462" t="s">
        <v>2137</v>
      </c>
      <c r="M58" s="463">
        <v>46055</v>
      </c>
      <c r="N58" s="463">
        <v>46073</v>
      </c>
      <c r="O58" s="463"/>
      <c r="P58" s="461" t="s">
        <v>1</v>
      </c>
      <c r="Q58" s="985">
        <f>767.05-390</f>
        <v>377.04999999999995</v>
      </c>
      <c r="R58" s="987">
        <v>0</v>
      </c>
      <c r="S58" s="987">
        <v>0</v>
      </c>
      <c r="T58" s="115">
        <f>SUM(mFEV[[#This Row],[PRINCIPAL]:[JUROS]])</f>
        <v>377.04999999999995</v>
      </c>
    </row>
    <row r="59" spans="2:22" ht="21" customHeight="1">
      <c r="B59" s="451" t="str">
        <f t="shared" si="0"/>
        <v>2/26</v>
      </c>
      <c r="C59" s="121" t="str">
        <f>VLOOKUP(mFEV[[#This Row],[CÓDIGO CONTABIL]],Contas_Gerencial[#All],3,FALSE)</f>
        <v>FOLHA DE PAGAMENTO</v>
      </c>
      <c r="D59" s="445" t="str">
        <f>VLOOKUP(mFEV[[#This Row],[DESCRIÇÃO CONTABIL]],Contas_Gerencial[[#All],[DESCRIÇÃO DA CONTA - NÃO UTILIZAR]:[Código2]],2,FALSE)</f>
        <v>20.05.021</v>
      </c>
      <c r="E59" s="453" t="s">
        <v>59</v>
      </c>
      <c r="F59" s="453" t="s">
        <v>582</v>
      </c>
      <c r="G59" s="121" t="s">
        <v>49</v>
      </c>
      <c r="H59" s="453" t="s">
        <v>1791</v>
      </c>
      <c r="I59" s="481">
        <v>395</v>
      </c>
      <c r="J59" s="453" t="s">
        <v>582</v>
      </c>
      <c r="K59" s="453" t="s">
        <v>2077</v>
      </c>
      <c r="L59" s="456" t="s">
        <v>2137</v>
      </c>
      <c r="M59" s="457">
        <v>46055</v>
      </c>
      <c r="N59" s="457">
        <v>46059</v>
      </c>
      <c r="O59" s="457">
        <v>46058</v>
      </c>
      <c r="P59" s="453" t="s">
        <v>214</v>
      </c>
      <c r="Q59" s="483">
        <v>1923.37</v>
      </c>
      <c r="R59" s="459">
        <v>0</v>
      </c>
      <c r="S59" s="459">
        <v>0</v>
      </c>
      <c r="T59" s="115">
        <f>SUM(mFEV[[#This Row],[PRINCIPAL]:[JUROS]])</f>
        <v>1923.37</v>
      </c>
      <c r="V59" s="115"/>
    </row>
    <row r="60" spans="2:22" ht="21" customHeight="1">
      <c r="B60" s="451" t="str">
        <f t="shared" si="0"/>
        <v>2/26</v>
      </c>
      <c r="C60" s="121" t="str">
        <f>VLOOKUP(mFEV[[#This Row],[CÓDIGO CONTABIL]],Contas_Gerencial[#All],3,FALSE)</f>
        <v>ENCARGOS</v>
      </c>
      <c r="D60" s="445" t="str">
        <f>VLOOKUP(mFEV[[#This Row],[DESCRIÇÃO CONTABIL]],Contas_Gerencial[[#All],[DESCRIÇÃO DA CONTA - NÃO UTILIZAR]:[Código2]],2,FALSE)</f>
        <v>20.04.006</v>
      </c>
      <c r="E60" s="453" t="s">
        <v>1180</v>
      </c>
      <c r="F60" s="453" t="s">
        <v>582</v>
      </c>
      <c r="G60" s="454" t="s">
        <v>49</v>
      </c>
      <c r="H60" s="453" t="s">
        <v>1180</v>
      </c>
      <c r="I60" s="481">
        <v>395</v>
      </c>
      <c r="J60" s="453" t="s">
        <v>384</v>
      </c>
      <c r="K60" s="452" t="s">
        <v>1180</v>
      </c>
      <c r="L60" s="456" t="s">
        <v>2137</v>
      </c>
      <c r="M60" s="457">
        <v>46055</v>
      </c>
      <c r="N60" s="457">
        <v>46073</v>
      </c>
      <c r="O60" s="457">
        <v>46072</v>
      </c>
      <c r="P60" s="453" t="s">
        <v>214</v>
      </c>
      <c r="Q60" s="483">
        <v>170.61</v>
      </c>
      <c r="R60" s="459">
        <v>0</v>
      </c>
      <c r="S60" s="459">
        <v>0</v>
      </c>
      <c r="T60" s="115">
        <f>SUM(mFEV[[#This Row],[PRINCIPAL]:[JUROS]])</f>
        <v>170.61</v>
      </c>
    </row>
    <row r="61" spans="2:22" ht="21" customHeight="1">
      <c r="B61" s="451" t="str">
        <f t="shared" si="0"/>
        <v>2/26</v>
      </c>
      <c r="C61" s="121" t="str">
        <f>VLOOKUP(mFEV[[#This Row],[CÓDIGO CONTABIL]],Contas_Gerencial[#All],3,FALSE)</f>
        <v>ENCARGOS</v>
      </c>
      <c r="D61" s="445" t="str">
        <f>VLOOKUP(mFEV[[#This Row],[DESCRIÇÃO CONTABIL]],Contas_Gerencial[[#All],[DESCRIÇÃO DA CONTA - NÃO UTILIZAR]:[Código2]],2,FALSE)</f>
        <v>20.04.001</v>
      </c>
      <c r="E61" s="464" t="s">
        <v>2659</v>
      </c>
      <c r="F61" s="461" t="s">
        <v>582</v>
      </c>
      <c r="G61" s="996" t="s">
        <v>49</v>
      </c>
      <c r="H61" s="992" t="s">
        <v>1788</v>
      </c>
      <c r="I61" s="984">
        <v>395</v>
      </c>
      <c r="J61" s="461" t="s">
        <v>757</v>
      </c>
      <c r="K61" s="461" t="s">
        <v>2089</v>
      </c>
      <c r="L61" s="462" t="s">
        <v>2137</v>
      </c>
      <c r="M61" s="463">
        <v>46055</v>
      </c>
      <c r="N61" s="463">
        <v>46073</v>
      </c>
      <c r="O61" s="463"/>
      <c r="P61" s="461" t="s">
        <v>1</v>
      </c>
      <c r="Q61" s="985">
        <v>169.17</v>
      </c>
      <c r="R61" s="987">
        <v>0</v>
      </c>
      <c r="S61" s="987">
        <v>0</v>
      </c>
      <c r="T61" s="115">
        <f>SUM(mFEV[[#This Row],[PRINCIPAL]:[JUROS]])</f>
        <v>169.17</v>
      </c>
    </row>
    <row r="62" spans="2:22" ht="21" customHeight="1">
      <c r="B62" s="451" t="str">
        <f t="shared" si="0"/>
        <v>2/26</v>
      </c>
      <c r="C62" s="121" t="str">
        <f>VLOOKUP(mFEV[[#This Row],[CÓDIGO CONTABIL]],Contas_Gerencial[#All],3,FALSE)</f>
        <v>BENEFICIO</v>
      </c>
      <c r="D62" s="445" t="str">
        <f>VLOOKUP(mFEV[[#This Row],[DESCRIÇÃO CONTABIL]],Contas_Gerencial[[#All],[DESCRIÇÃO DA CONTA - NÃO UTILIZAR]:[Código2]],2,FALSE)</f>
        <v>20.05.006</v>
      </c>
      <c r="E62" s="480" t="s">
        <v>24</v>
      </c>
      <c r="F62" s="452" t="s">
        <v>581</v>
      </c>
      <c r="G62" s="452" t="s">
        <v>49</v>
      </c>
      <c r="H62" s="452" t="s">
        <v>1791</v>
      </c>
      <c r="I62" s="481">
        <v>200226</v>
      </c>
      <c r="J62" s="453" t="s">
        <v>41</v>
      </c>
      <c r="K62" s="453" t="s">
        <v>2257</v>
      </c>
      <c r="L62" s="451" t="s">
        <v>2258</v>
      </c>
      <c r="M62" s="457">
        <v>46073</v>
      </c>
      <c r="N62" s="457">
        <v>46073</v>
      </c>
      <c r="O62" s="457">
        <v>46073</v>
      </c>
      <c r="P62" s="452" t="s">
        <v>214</v>
      </c>
      <c r="Q62" s="467">
        <v>4174.2</v>
      </c>
      <c r="R62" s="467">
        <v>0</v>
      </c>
      <c r="S62" s="467">
        <v>0</v>
      </c>
      <c r="T62" s="115">
        <f>SUM(mFEV[[#This Row],[PRINCIPAL]:[JUROS]])</f>
        <v>4174.2</v>
      </c>
    </row>
    <row r="63" spans="2:22" ht="21" customHeight="1">
      <c r="B63" s="451" t="str">
        <f t="shared" si="0"/>
        <v>2/26</v>
      </c>
      <c r="C63" s="121" t="str">
        <f>VLOOKUP(mFEV[[#This Row],[CÓDIGO CONTABIL]],Contas_Gerencial[#All],3,FALSE)</f>
        <v>BENEFICIO</v>
      </c>
      <c r="D63" s="445" t="str">
        <f>VLOOKUP(mFEV[[#This Row],[DESCRIÇÃO CONTABIL]],Contas_Gerencial[[#All],[DESCRIÇÃO DA CONTA - NÃO UTILIZAR]:[Código2]],2,FALSE)</f>
        <v>20.05.007</v>
      </c>
      <c r="E63" s="480" t="s">
        <v>25</v>
      </c>
      <c r="F63" s="452" t="s">
        <v>581</v>
      </c>
      <c r="G63" s="452" t="s">
        <v>49</v>
      </c>
      <c r="H63" s="452" t="s">
        <v>1791</v>
      </c>
      <c r="I63" s="481">
        <v>200226</v>
      </c>
      <c r="J63" s="453" t="s">
        <v>41</v>
      </c>
      <c r="K63" s="453" t="s">
        <v>2257</v>
      </c>
      <c r="L63" s="451" t="s">
        <v>2258</v>
      </c>
      <c r="M63" s="457">
        <v>46073</v>
      </c>
      <c r="N63" s="457">
        <v>46073</v>
      </c>
      <c r="O63" s="457">
        <v>46073</v>
      </c>
      <c r="P63" s="452" t="s">
        <v>214</v>
      </c>
      <c r="Q63" s="467">
        <v>1041.8</v>
      </c>
      <c r="R63" s="467">
        <v>0</v>
      </c>
      <c r="S63" s="467">
        <v>0</v>
      </c>
      <c r="T63" s="115">
        <f>SUM(mFEV[[#This Row],[PRINCIPAL]:[JUROS]])</f>
        <v>1041.8</v>
      </c>
    </row>
    <row r="64" spans="2:22" ht="21" customHeight="1">
      <c r="B64" s="451" t="str">
        <f t="shared" si="0"/>
        <v>2/26</v>
      </c>
      <c r="C64" s="121" t="str">
        <f>VLOOKUP(mFEV[[#This Row],[CÓDIGO CONTABIL]],Contas_Gerencial[#All],3,FALSE)</f>
        <v>BENEFICIO</v>
      </c>
      <c r="D64" s="445" t="str">
        <f>VLOOKUP(mFEV[[#This Row],[DESCRIÇÃO CONTABIL]],Contas_Gerencial[[#All],[DESCRIÇÃO DA CONTA - NÃO UTILIZAR]:[Código2]],2,FALSE)</f>
        <v>20.05.006</v>
      </c>
      <c r="E64" s="480" t="s">
        <v>24</v>
      </c>
      <c r="F64" s="452" t="s">
        <v>582</v>
      </c>
      <c r="G64" s="452" t="s">
        <v>49</v>
      </c>
      <c r="H64" s="452" t="s">
        <v>1791</v>
      </c>
      <c r="I64" s="481">
        <v>200226</v>
      </c>
      <c r="J64" s="453" t="s">
        <v>581</v>
      </c>
      <c r="K64" s="453" t="s">
        <v>2259</v>
      </c>
      <c r="L64" s="451" t="s">
        <v>2258</v>
      </c>
      <c r="M64" s="457">
        <v>46073</v>
      </c>
      <c r="N64" s="457">
        <v>46073</v>
      </c>
      <c r="O64" s="457">
        <v>46073</v>
      </c>
      <c r="P64" s="452" t="s">
        <v>214</v>
      </c>
      <c r="Q64" s="467">
        <v>185.52</v>
      </c>
      <c r="R64" s="467">
        <v>0</v>
      </c>
      <c r="S64" s="467">
        <v>0</v>
      </c>
      <c r="T64" s="115">
        <f>SUM(mFEV[[#This Row],[PRINCIPAL]:[JUROS]])</f>
        <v>185.52</v>
      </c>
    </row>
    <row r="65" spans="2:22" ht="21" customHeight="1">
      <c r="B65" s="451" t="str">
        <f t="shared" si="0"/>
        <v>2/26</v>
      </c>
      <c r="C65" s="121" t="str">
        <f>VLOOKUP(mFEV[[#This Row],[CÓDIGO CONTABIL]],Contas_Gerencial[#All],3,FALSE)</f>
        <v>BENEFICIO</v>
      </c>
      <c r="D65" s="445" t="str">
        <f>VLOOKUP(mFEV[[#This Row],[DESCRIÇÃO CONTABIL]],Contas_Gerencial[[#All],[DESCRIÇÃO DA CONTA - NÃO UTILIZAR]:[Código2]],2,FALSE)</f>
        <v>20.05.007</v>
      </c>
      <c r="E65" s="480" t="s">
        <v>25</v>
      </c>
      <c r="F65" s="452" t="s">
        <v>582</v>
      </c>
      <c r="G65" s="452" t="s">
        <v>49</v>
      </c>
      <c r="H65" s="452" t="s">
        <v>1791</v>
      </c>
      <c r="I65" s="481">
        <v>200226</v>
      </c>
      <c r="J65" s="453" t="s">
        <v>582</v>
      </c>
      <c r="K65" s="453" t="s">
        <v>2259</v>
      </c>
      <c r="L65" s="451" t="s">
        <v>2258</v>
      </c>
      <c r="M65" s="457">
        <v>46073</v>
      </c>
      <c r="N65" s="457">
        <v>46073</v>
      </c>
      <c r="O65" s="457">
        <v>46073</v>
      </c>
      <c r="P65" s="452" t="s">
        <v>214</v>
      </c>
      <c r="Q65" s="467">
        <v>38.5</v>
      </c>
      <c r="R65" s="467">
        <v>0</v>
      </c>
      <c r="S65" s="467">
        <v>0</v>
      </c>
      <c r="T65" s="115">
        <f>SUM(mFEV[[#This Row],[PRINCIPAL]:[JUROS]])</f>
        <v>38.5</v>
      </c>
    </row>
    <row r="66" spans="2:22" ht="21" customHeight="1">
      <c r="B66" s="451" t="str">
        <f t="shared" si="0"/>
        <v>2/26</v>
      </c>
      <c r="C66" s="121" t="str">
        <f>VLOOKUP(mFEV[[#This Row],[CÓDIGO CONTABIL]],Contas_Gerencial[#All],3,FALSE)</f>
        <v>RECEITA SUBCONTA</v>
      </c>
      <c r="D66" s="445" t="str">
        <f>VLOOKUP(mFEV[[#This Row],[DESCRIÇÃO CONTABIL]],Contas_Gerencial[[#All],[DESCRIÇÃO DA CONTA - NÃO UTILIZAR]:[Código2]],2,FALSE)</f>
        <v>10.01.001</v>
      </c>
      <c r="E66" s="452" t="s">
        <v>90</v>
      </c>
      <c r="F66" s="452" t="s">
        <v>582</v>
      </c>
      <c r="G66" s="480" t="s">
        <v>653</v>
      </c>
      <c r="H66" s="452" t="s">
        <v>1788</v>
      </c>
      <c r="I66" s="481">
        <v>158</v>
      </c>
      <c r="J66" s="453" t="s">
        <v>582</v>
      </c>
      <c r="K66" s="453" t="s">
        <v>1792</v>
      </c>
      <c r="L66" s="456" t="s">
        <v>2260</v>
      </c>
      <c r="M66" s="457">
        <v>46052</v>
      </c>
      <c r="N66" s="457">
        <v>46068</v>
      </c>
      <c r="O66" s="457">
        <v>46066</v>
      </c>
      <c r="P66" s="452" t="s">
        <v>214</v>
      </c>
      <c r="Q66" s="1006">
        <v>24230</v>
      </c>
      <c r="R66" s="459">
        <v>0</v>
      </c>
      <c r="S66" s="459">
        <v>0</v>
      </c>
      <c r="T66" s="115">
        <f>SUM(mFEV[[#This Row],[PRINCIPAL]:[JUROS]])</f>
        <v>24230</v>
      </c>
      <c r="V66" s="115"/>
    </row>
    <row r="67" spans="2:22" ht="21" customHeight="1">
      <c r="B67" s="451" t="str">
        <f t="shared" si="0"/>
        <v>2/26</v>
      </c>
      <c r="C67" s="121" t="str">
        <f>VLOOKUP(mFEV[[#This Row],[CÓDIGO CONTABIL]],Contas_Gerencial[#All],3,FALSE)</f>
        <v>ENCARGOS</v>
      </c>
      <c r="D67" s="445" t="str">
        <f>VLOOKUP(mFEV[[#This Row],[DESCRIÇÃO CONTABIL]],Contas_Gerencial[[#All],[DESCRIÇÃO DA CONTA - NÃO UTILIZAR]:[Código2]],2,FALSE)</f>
        <v>20.04.004</v>
      </c>
      <c r="E67" s="452" t="s">
        <v>2651</v>
      </c>
      <c r="F67" s="452" t="s">
        <v>582</v>
      </c>
      <c r="G67" s="480" t="s">
        <v>653</v>
      </c>
      <c r="H67" s="452" t="s">
        <v>1788</v>
      </c>
      <c r="I67" s="481">
        <v>158</v>
      </c>
      <c r="J67" s="453" t="s">
        <v>264</v>
      </c>
      <c r="K67" s="453" t="s">
        <v>2113</v>
      </c>
      <c r="L67" s="456" t="s">
        <v>2260</v>
      </c>
      <c r="M67" s="457">
        <v>46052</v>
      </c>
      <c r="N67" s="457">
        <v>46073</v>
      </c>
      <c r="O67" s="457">
        <v>46073</v>
      </c>
      <c r="P67" s="453" t="s">
        <v>214</v>
      </c>
      <c r="Q67" s="482">
        <v>1600.87</v>
      </c>
      <c r="R67" s="459">
        <v>0</v>
      </c>
      <c r="S67" s="459">
        <v>0</v>
      </c>
      <c r="T67" s="115">
        <f>SUM(mFEV[[#This Row],[PRINCIPAL]:[JUROS]])</f>
        <v>1600.87</v>
      </c>
    </row>
    <row r="68" spans="2:22" ht="21" customHeight="1">
      <c r="B68" s="451" t="str">
        <f t="shared" si="0"/>
        <v>2/26</v>
      </c>
      <c r="C68" s="121" t="str">
        <f>VLOOKUP(mFEV[[#This Row],[CÓDIGO CONTABIL]],Contas_Gerencial[#All],3,FALSE)</f>
        <v>TRIBUTOS</v>
      </c>
      <c r="D68" s="445" t="str">
        <f>VLOOKUP(mFEV[[#This Row],[DESCRIÇÃO CONTABIL]],Contas_Gerencial[[#All],[DESCRIÇÃO DA CONTA - NÃO UTILIZAR]:[Código2]],2,FALSE)</f>
        <v>20.08.004</v>
      </c>
      <c r="E68" s="452" t="s">
        <v>2648</v>
      </c>
      <c r="F68" s="452" t="s">
        <v>582</v>
      </c>
      <c r="G68" s="480" t="s">
        <v>653</v>
      </c>
      <c r="H68" s="452" t="s">
        <v>1788</v>
      </c>
      <c r="I68" s="481">
        <v>158</v>
      </c>
      <c r="J68" s="453" t="s">
        <v>654</v>
      </c>
      <c r="K68" s="453" t="s">
        <v>2114</v>
      </c>
      <c r="L68" s="456" t="s">
        <v>2260</v>
      </c>
      <c r="M68" s="457">
        <v>46052</v>
      </c>
      <c r="N68" s="457">
        <v>46073</v>
      </c>
      <c r="O68" s="457">
        <v>46073</v>
      </c>
      <c r="P68" s="453" t="s">
        <v>214</v>
      </c>
      <c r="Q68" s="458">
        <v>804.44</v>
      </c>
      <c r="R68" s="459">
        <v>0</v>
      </c>
      <c r="S68" s="459">
        <v>0</v>
      </c>
      <c r="T68" s="115">
        <f>SUM(mFEV[[#This Row],[PRINCIPAL]:[JUROS]])</f>
        <v>804.44</v>
      </c>
    </row>
    <row r="69" spans="2:22" ht="21" customHeight="1">
      <c r="B69" s="451" t="str">
        <f t="shared" si="0"/>
        <v>2/26</v>
      </c>
      <c r="C69" s="121" t="str">
        <f>VLOOKUP(mFEV[[#This Row],[CÓDIGO CONTABIL]],Contas_Gerencial[#All],3,FALSE)</f>
        <v>TRIBUTOS</v>
      </c>
      <c r="D69" s="445" t="str">
        <f>VLOOKUP(mFEV[[#This Row],[DESCRIÇÃO CONTABIL]],Contas_Gerencial[[#All],[DESCRIÇÃO DA CONTA - NÃO UTILIZAR]:[Código2]],2,FALSE)</f>
        <v>20.08.001</v>
      </c>
      <c r="E69" s="452" t="s">
        <v>2112</v>
      </c>
      <c r="F69" s="452" t="s">
        <v>582</v>
      </c>
      <c r="G69" s="480" t="s">
        <v>653</v>
      </c>
      <c r="H69" s="452" t="s">
        <v>1788</v>
      </c>
      <c r="I69" s="481">
        <v>158</v>
      </c>
      <c r="J69" s="453" t="s">
        <v>654</v>
      </c>
      <c r="K69" s="453" t="s">
        <v>1907</v>
      </c>
      <c r="L69" s="456" t="s">
        <v>2260</v>
      </c>
      <c r="M69" s="457">
        <v>46052</v>
      </c>
      <c r="N69" s="457">
        <v>46073</v>
      </c>
      <c r="O69" s="457">
        <v>46072</v>
      </c>
      <c r="P69" s="453" t="s">
        <v>214</v>
      </c>
      <c r="Q69" s="458">
        <v>0</v>
      </c>
      <c r="R69" s="459">
        <v>0</v>
      </c>
      <c r="S69" s="459">
        <v>0</v>
      </c>
      <c r="T69" s="115">
        <f>SUM(mFEV[[#This Row],[PRINCIPAL]:[JUROS]])</f>
        <v>0</v>
      </c>
    </row>
    <row r="70" spans="2:22" ht="21" customHeight="1">
      <c r="B70" s="451" t="str">
        <f t="shared" si="0"/>
        <v>2/26</v>
      </c>
      <c r="C70" s="121" t="str">
        <f>VLOOKUP(mFEV[[#This Row],[CÓDIGO CONTABIL]],Contas_Gerencial[#All],3,FALSE)</f>
        <v>TRIBUTOS</v>
      </c>
      <c r="D70" s="445" t="str">
        <f>VLOOKUP(mFEV[[#This Row],[DESCRIÇÃO CONTABIL]],Contas_Gerencial[[#All],[DESCRIÇÃO DA CONTA - NÃO UTILIZAR]:[Código2]],2,FALSE)</f>
        <v>20.08.002</v>
      </c>
      <c r="E70" s="452" t="s">
        <v>589</v>
      </c>
      <c r="F70" s="452" t="s">
        <v>582</v>
      </c>
      <c r="G70" s="480" t="s">
        <v>653</v>
      </c>
      <c r="H70" s="452" t="s">
        <v>1788</v>
      </c>
      <c r="I70" s="481">
        <v>158</v>
      </c>
      <c r="J70" s="453" t="s">
        <v>654</v>
      </c>
      <c r="K70" s="453" t="s">
        <v>1907</v>
      </c>
      <c r="L70" s="456" t="s">
        <v>2260</v>
      </c>
      <c r="M70" s="457">
        <v>46052</v>
      </c>
      <c r="N70" s="457">
        <v>46073</v>
      </c>
      <c r="O70" s="457">
        <v>46072</v>
      </c>
      <c r="P70" s="453" t="s">
        <v>214</v>
      </c>
      <c r="Q70" s="483">
        <v>1200.6263095683694</v>
      </c>
      <c r="R70" s="459">
        <v>0</v>
      </c>
      <c r="S70" s="459">
        <v>0</v>
      </c>
      <c r="T70" s="115">
        <f>SUM(mFEV[[#This Row],[PRINCIPAL]:[JUROS]])</f>
        <v>1200.6263095683694</v>
      </c>
    </row>
    <row r="71" spans="2:22" ht="21" customHeight="1">
      <c r="B71" s="451" t="str">
        <f t="shared" si="0"/>
        <v>2/26</v>
      </c>
      <c r="C71" s="121" t="str">
        <f>VLOOKUP(mFEV[[#This Row],[CÓDIGO CONTABIL]],Contas_Gerencial[#All],3,FALSE)</f>
        <v>FOLHA DE PAGAMENTO</v>
      </c>
      <c r="D71" s="445" t="str">
        <f>VLOOKUP(mFEV[[#This Row],[DESCRIÇÃO CONTABIL]],Contas_Gerencial[[#All],[DESCRIÇÃO DA CONTA - NÃO UTILIZAR]:[Código2]],2,FALSE)</f>
        <v>20.05.021</v>
      </c>
      <c r="E71" s="452" t="s">
        <v>59</v>
      </c>
      <c r="F71" s="453" t="s">
        <v>582</v>
      </c>
      <c r="G71" s="454" t="s">
        <v>653</v>
      </c>
      <c r="H71" s="452" t="s">
        <v>1791</v>
      </c>
      <c r="I71" s="481">
        <v>158</v>
      </c>
      <c r="J71" s="453" t="s">
        <v>582</v>
      </c>
      <c r="K71" s="452" t="s">
        <v>1794</v>
      </c>
      <c r="L71" s="456" t="s">
        <v>2260</v>
      </c>
      <c r="M71" s="457">
        <v>46024</v>
      </c>
      <c r="N71" s="457">
        <v>46059</v>
      </c>
      <c r="O71" s="457">
        <v>46058</v>
      </c>
      <c r="P71" s="453" t="s">
        <v>214</v>
      </c>
      <c r="Q71" s="458">
        <v>5353.43</v>
      </c>
      <c r="R71" s="459">
        <v>0</v>
      </c>
      <c r="S71" s="459">
        <v>0</v>
      </c>
      <c r="T71" s="115">
        <f>SUM(mFEV[[#This Row],[PRINCIPAL]:[JUROS]])</f>
        <v>5353.43</v>
      </c>
    </row>
    <row r="72" spans="2:22" ht="21" customHeight="1">
      <c r="B72" s="451" t="str">
        <f t="shared" si="0"/>
        <v>2/26</v>
      </c>
      <c r="C72" s="121" t="str">
        <f>VLOOKUP(mFEV[[#This Row],[CÓDIGO CONTABIL]],Contas_Gerencial[#All],3,FALSE)</f>
        <v>ENCARGOS</v>
      </c>
      <c r="D72" s="445" t="str">
        <f>VLOOKUP(mFEV[[#This Row],[DESCRIÇÃO CONTABIL]],Contas_Gerencial[[#All],[DESCRIÇÃO DA CONTA - NÃO UTILIZAR]:[Código2]],2,FALSE)</f>
        <v>20.04.006</v>
      </c>
      <c r="E72" s="452" t="s">
        <v>1180</v>
      </c>
      <c r="F72" s="452" t="s">
        <v>582</v>
      </c>
      <c r="G72" s="480" t="s">
        <v>653</v>
      </c>
      <c r="H72" s="452" t="s">
        <v>1180</v>
      </c>
      <c r="I72" s="481">
        <v>158</v>
      </c>
      <c r="J72" s="453" t="s">
        <v>384</v>
      </c>
      <c r="K72" s="453" t="s">
        <v>1180</v>
      </c>
      <c r="L72" s="456" t="s">
        <v>2260</v>
      </c>
      <c r="M72" s="457">
        <v>46055</v>
      </c>
      <c r="N72" s="457">
        <v>46073</v>
      </c>
      <c r="O72" s="457">
        <v>46072</v>
      </c>
      <c r="P72" s="453" t="s">
        <v>214</v>
      </c>
      <c r="Q72" s="458">
        <v>482.1</v>
      </c>
      <c r="R72" s="459">
        <v>0</v>
      </c>
      <c r="S72" s="459">
        <v>0</v>
      </c>
      <c r="T72" s="115">
        <f>SUM(mFEV[[#This Row],[PRINCIPAL]:[JUROS]])</f>
        <v>482.1</v>
      </c>
    </row>
    <row r="73" spans="2:22" ht="21" customHeight="1">
      <c r="B73" s="451" t="str">
        <f t="shared" si="0"/>
        <v>2/26</v>
      </c>
      <c r="C73" s="121" t="str">
        <f>VLOOKUP(mFEV[[#This Row],[CÓDIGO CONTABIL]],Contas_Gerencial[#All],3,FALSE)</f>
        <v>ENCARGOS</v>
      </c>
      <c r="D73" s="445" t="str">
        <f>VLOOKUP(mFEV[[#This Row],[DESCRIÇÃO CONTABIL]],Contas_Gerencial[[#All],[DESCRIÇÃO DA CONTA - NÃO UTILIZAR]:[Código2]],2,FALSE)</f>
        <v>20.04.001</v>
      </c>
      <c r="E73" s="464" t="s">
        <v>2659</v>
      </c>
      <c r="F73" s="464" t="s">
        <v>582</v>
      </c>
      <c r="G73" s="464" t="s">
        <v>653</v>
      </c>
      <c r="H73" s="464" t="s">
        <v>1788</v>
      </c>
      <c r="I73" s="984">
        <v>158</v>
      </c>
      <c r="J73" s="461" t="s">
        <v>757</v>
      </c>
      <c r="K73" s="461" t="s">
        <v>2089</v>
      </c>
      <c r="L73" s="462" t="s">
        <v>2260</v>
      </c>
      <c r="M73" s="463">
        <v>46055</v>
      </c>
      <c r="N73" s="463">
        <v>46073</v>
      </c>
      <c r="O73" s="463"/>
      <c r="P73" s="741" t="s">
        <v>1</v>
      </c>
      <c r="Q73" s="484">
        <v>474.06</v>
      </c>
      <c r="R73" s="465">
        <v>0</v>
      </c>
      <c r="S73" s="465">
        <v>0</v>
      </c>
      <c r="T73" s="115">
        <f>SUM(mFEV[[#This Row],[PRINCIPAL]:[JUROS]])</f>
        <v>474.06</v>
      </c>
    </row>
    <row r="74" spans="2:22" ht="21" customHeight="1">
      <c r="B74" s="451" t="str">
        <f t="shared" si="0"/>
        <v>2/26</v>
      </c>
      <c r="C74" s="121" t="str">
        <f>VLOOKUP(mFEV[[#This Row],[CÓDIGO CONTABIL]],Contas_Gerencial[#All],3,FALSE)</f>
        <v>BENEFICIO</v>
      </c>
      <c r="D74" s="445" t="str">
        <f>VLOOKUP(mFEV[[#This Row],[DESCRIÇÃO CONTABIL]],Contas_Gerencial[[#All],[DESCRIÇÃO DA CONTA - NÃO UTILIZAR]:[Código2]],2,FALSE)</f>
        <v>20.05.006</v>
      </c>
      <c r="E74" s="480" t="s">
        <v>24</v>
      </c>
      <c r="F74" s="452" t="s">
        <v>582</v>
      </c>
      <c r="G74" s="452" t="s">
        <v>653</v>
      </c>
      <c r="H74" s="452" t="s">
        <v>1791</v>
      </c>
      <c r="I74" s="481">
        <v>200226</v>
      </c>
      <c r="J74" s="453" t="s">
        <v>582</v>
      </c>
      <c r="K74" s="453" t="s">
        <v>2257</v>
      </c>
      <c r="L74" s="451" t="s">
        <v>2258</v>
      </c>
      <c r="M74" s="457">
        <v>46073</v>
      </c>
      <c r="N74" s="457">
        <v>46073</v>
      </c>
      <c r="O74" s="457">
        <v>46073</v>
      </c>
      <c r="P74" s="452" t="s">
        <v>214</v>
      </c>
      <c r="Q74" s="467">
        <v>1298.6400000000001</v>
      </c>
      <c r="R74" s="467">
        <v>0</v>
      </c>
      <c r="S74" s="467">
        <v>0</v>
      </c>
      <c r="T74" s="115">
        <f>SUM(mFEV[[#This Row],[PRINCIPAL]:[JUROS]])</f>
        <v>1298.6400000000001</v>
      </c>
    </row>
    <row r="75" spans="2:22" ht="21" customHeight="1">
      <c r="B75" s="451" t="str">
        <f t="shared" ref="B75:B138" si="1">B74</f>
        <v>2/26</v>
      </c>
      <c r="C75" s="121" t="str">
        <f>VLOOKUP(mFEV[[#This Row],[CÓDIGO CONTABIL]],Contas_Gerencial[#All],3,FALSE)</f>
        <v>BENEFICIO</v>
      </c>
      <c r="D75" s="445" t="str">
        <f>VLOOKUP(mFEV[[#This Row],[DESCRIÇÃO CONTABIL]],Contas_Gerencial[[#All],[DESCRIÇÃO DA CONTA - NÃO UTILIZAR]:[Código2]],2,FALSE)</f>
        <v>20.05.007</v>
      </c>
      <c r="E75" s="480" t="s">
        <v>25</v>
      </c>
      <c r="F75" s="452" t="s">
        <v>582</v>
      </c>
      <c r="G75" s="452" t="s">
        <v>653</v>
      </c>
      <c r="H75" s="452" t="s">
        <v>1791</v>
      </c>
      <c r="I75" s="481">
        <v>200226</v>
      </c>
      <c r="J75" s="453" t="s">
        <v>582</v>
      </c>
      <c r="K75" s="453" t="s">
        <v>2257</v>
      </c>
      <c r="L75" s="451" t="s">
        <v>2258</v>
      </c>
      <c r="M75" s="457">
        <v>46073</v>
      </c>
      <c r="N75" s="457">
        <v>46073</v>
      </c>
      <c r="O75" s="457">
        <v>46073</v>
      </c>
      <c r="P75" s="452" t="s">
        <v>214</v>
      </c>
      <c r="Q75" s="467">
        <v>197.59999999999997</v>
      </c>
      <c r="R75" s="467">
        <v>0</v>
      </c>
      <c r="S75" s="467">
        <v>0</v>
      </c>
      <c r="T75" s="115">
        <f>SUM(mFEV[[#This Row],[PRINCIPAL]:[JUROS]])</f>
        <v>197.59999999999997</v>
      </c>
    </row>
    <row r="76" spans="2:22" ht="21" customHeight="1">
      <c r="B76" s="451" t="str">
        <f t="shared" si="1"/>
        <v>2/26</v>
      </c>
      <c r="C76" s="121" t="str">
        <f>VLOOKUP(mFEV[[#This Row],[CÓDIGO CONTABIL]],Contas_Gerencial[#All],3,FALSE)</f>
        <v>RECEITA SUBCONTA</v>
      </c>
      <c r="D76" s="445" t="str">
        <f>VLOOKUP(mFEV[[#This Row],[DESCRIÇÃO CONTABIL]],Contas_Gerencial[[#All],[DESCRIÇÃO DA CONTA - NÃO UTILIZAR]:[Código2]],2,FALSE)</f>
        <v>10.01.001</v>
      </c>
      <c r="E76" s="452" t="s">
        <v>90</v>
      </c>
      <c r="F76" s="452" t="s">
        <v>582</v>
      </c>
      <c r="G76" s="480" t="s">
        <v>583</v>
      </c>
      <c r="H76" s="452" t="s">
        <v>1788</v>
      </c>
      <c r="I76" s="481">
        <v>159</v>
      </c>
      <c r="J76" s="453" t="s">
        <v>582</v>
      </c>
      <c r="K76" s="453" t="s">
        <v>1792</v>
      </c>
      <c r="L76" s="456" t="s">
        <v>2137</v>
      </c>
      <c r="M76" s="457">
        <v>46052</v>
      </c>
      <c r="N76" s="457">
        <v>46081</v>
      </c>
      <c r="O76" s="457">
        <v>46078</v>
      </c>
      <c r="P76" s="452" t="s">
        <v>214</v>
      </c>
      <c r="Q76" s="1006">
        <v>13744</v>
      </c>
      <c r="R76" s="459">
        <v>0</v>
      </c>
      <c r="S76" s="459">
        <v>0</v>
      </c>
      <c r="T76" s="115">
        <f>SUM(mFEV[[#This Row],[PRINCIPAL]:[JUROS]])</f>
        <v>13744</v>
      </c>
      <c r="V76" s="115"/>
    </row>
    <row r="77" spans="2:22" ht="21" customHeight="1">
      <c r="B77" s="451" t="str">
        <f t="shared" si="1"/>
        <v>2/26</v>
      </c>
      <c r="C77" s="121" t="str">
        <f>VLOOKUP(mFEV[[#This Row],[CÓDIGO CONTABIL]],Contas_Gerencial[#All],3,FALSE)</f>
        <v>ENCARGOS</v>
      </c>
      <c r="D77" s="445" t="str">
        <f>VLOOKUP(mFEV[[#This Row],[DESCRIÇÃO CONTABIL]],Contas_Gerencial[[#All],[DESCRIÇÃO DA CONTA - NÃO UTILIZAR]:[Código2]],2,FALSE)</f>
        <v>20.04.004</v>
      </c>
      <c r="E77" s="452" t="s">
        <v>2651</v>
      </c>
      <c r="F77" s="452" t="s">
        <v>582</v>
      </c>
      <c r="G77" s="480" t="s">
        <v>583</v>
      </c>
      <c r="H77" s="452" t="s">
        <v>1788</v>
      </c>
      <c r="I77" s="481">
        <v>159</v>
      </c>
      <c r="J77" s="453" t="s">
        <v>264</v>
      </c>
      <c r="K77" s="453" t="s">
        <v>2113</v>
      </c>
      <c r="L77" s="456" t="s">
        <v>2137</v>
      </c>
      <c r="M77" s="457">
        <v>46052</v>
      </c>
      <c r="N77" s="457">
        <v>46073</v>
      </c>
      <c r="O77" s="457">
        <v>46073</v>
      </c>
      <c r="P77" s="453" t="s">
        <v>214</v>
      </c>
      <c r="Q77" s="482">
        <v>684.59</v>
      </c>
      <c r="R77" s="459">
        <v>0</v>
      </c>
      <c r="S77" s="459">
        <v>0</v>
      </c>
      <c r="T77" s="115">
        <f>SUM(mFEV[[#This Row],[PRINCIPAL]:[JUROS]])</f>
        <v>684.59</v>
      </c>
      <c r="V77" s="115"/>
    </row>
    <row r="78" spans="2:22" ht="21" customHeight="1">
      <c r="B78" s="451" t="str">
        <f t="shared" si="1"/>
        <v>2/26</v>
      </c>
      <c r="C78" s="121" t="str">
        <f>VLOOKUP(mFEV[[#This Row],[CÓDIGO CONTABIL]],Contas_Gerencial[#All],3,FALSE)</f>
        <v>TRIBUTOS</v>
      </c>
      <c r="D78" s="445" t="str">
        <f>VLOOKUP(mFEV[[#This Row],[DESCRIÇÃO CONTABIL]],Contas_Gerencial[[#All],[DESCRIÇÃO DA CONTA - NÃO UTILIZAR]:[Código2]],2,FALSE)</f>
        <v>20.08.004</v>
      </c>
      <c r="E78" s="452" t="s">
        <v>2648</v>
      </c>
      <c r="F78" s="452" t="s">
        <v>582</v>
      </c>
      <c r="G78" s="480" t="s">
        <v>583</v>
      </c>
      <c r="H78" s="452" t="s">
        <v>1788</v>
      </c>
      <c r="I78" s="481">
        <v>159</v>
      </c>
      <c r="J78" s="453" t="s">
        <v>654</v>
      </c>
      <c r="K78" s="453" t="s">
        <v>2114</v>
      </c>
      <c r="L78" s="456" t="s">
        <v>2137</v>
      </c>
      <c r="M78" s="457">
        <v>46052</v>
      </c>
      <c r="N78" s="457">
        <v>46073</v>
      </c>
      <c r="O78" s="457">
        <v>46073</v>
      </c>
      <c r="P78" s="453" t="s">
        <v>214</v>
      </c>
      <c r="Q78" s="458">
        <v>456.3</v>
      </c>
      <c r="R78" s="459">
        <v>0</v>
      </c>
      <c r="S78" s="459">
        <v>0</v>
      </c>
      <c r="T78" s="115">
        <f>SUM(mFEV[[#This Row],[PRINCIPAL]:[JUROS]])</f>
        <v>456.3</v>
      </c>
    </row>
    <row r="79" spans="2:22" ht="21" customHeight="1">
      <c r="B79" s="451" t="str">
        <f t="shared" si="1"/>
        <v>2/26</v>
      </c>
      <c r="C79" s="121" t="str">
        <f>VLOOKUP(mFEV[[#This Row],[CÓDIGO CONTABIL]],Contas_Gerencial[#All],3,FALSE)</f>
        <v>TRIBUTOS</v>
      </c>
      <c r="D79" s="445" t="str">
        <f>VLOOKUP(mFEV[[#This Row],[DESCRIÇÃO CONTABIL]],Contas_Gerencial[[#All],[DESCRIÇÃO DA CONTA - NÃO UTILIZAR]:[Código2]],2,FALSE)</f>
        <v>20.08.001</v>
      </c>
      <c r="E79" s="452" t="s">
        <v>2112</v>
      </c>
      <c r="F79" s="452" t="s">
        <v>582</v>
      </c>
      <c r="G79" s="480" t="s">
        <v>583</v>
      </c>
      <c r="H79" s="452" t="s">
        <v>1788</v>
      </c>
      <c r="I79" s="481">
        <v>159</v>
      </c>
      <c r="J79" s="453" t="s">
        <v>654</v>
      </c>
      <c r="K79" s="453" t="s">
        <v>1907</v>
      </c>
      <c r="L79" s="456" t="s">
        <v>2137</v>
      </c>
      <c r="M79" s="457">
        <v>46052</v>
      </c>
      <c r="N79" s="457">
        <v>46073</v>
      </c>
      <c r="O79" s="457">
        <v>46072</v>
      </c>
      <c r="P79" s="453" t="s">
        <v>214</v>
      </c>
      <c r="Q79" s="458">
        <v>0</v>
      </c>
      <c r="R79" s="459">
        <v>0</v>
      </c>
      <c r="S79" s="459">
        <v>0</v>
      </c>
      <c r="T79" s="115">
        <f>SUM(mFEV[[#This Row],[PRINCIPAL]:[JUROS]])</f>
        <v>0</v>
      </c>
    </row>
    <row r="80" spans="2:22" ht="21" customHeight="1">
      <c r="B80" s="451" t="str">
        <f t="shared" si="1"/>
        <v>2/26</v>
      </c>
      <c r="C80" s="121" t="str">
        <f>VLOOKUP(mFEV[[#This Row],[CÓDIGO CONTABIL]],Contas_Gerencial[#All],3,FALSE)</f>
        <v>TRIBUTOS</v>
      </c>
      <c r="D80" s="445" t="str">
        <f>VLOOKUP(mFEV[[#This Row],[DESCRIÇÃO CONTABIL]],Contas_Gerencial[[#All],[DESCRIÇÃO DA CONTA - NÃO UTILIZAR]:[Código2]],2,FALSE)</f>
        <v>20.08.002</v>
      </c>
      <c r="E80" s="452" t="s">
        <v>589</v>
      </c>
      <c r="F80" s="452" t="s">
        <v>582</v>
      </c>
      <c r="G80" s="480" t="s">
        <v>583</v>
      </c>
      <c r="H80" s="452" t="s">
        <v>1788</v>
      </c>
      <c r="I80" s="481">
        <v>159</v>
      </c>
      <c r="J80" s="453" t="s">
        <v>654</v>
      </c>
      <c r="K80" s="453" t="s">
        <v>1907</v>
      </c>
      <c r="L80" s="456" t="s">
        <v>2137</v>
      </c>
      <c r="M80" s="457">
        <v>46052</v>
      </c>
      <c r="N80" s="457">
        <v>46073</v>
      </c>
      <c r="O80" s="457">
        <v>46072</v>
      </c>
      <c r="P80" s="453" t="s">
        <v>214</v>
      </c>
      <c r="Q80" s="483">
        <v>681.03210890250386</v>
      </c>
      <c r="R80" s="459">
        <v>0</v>
      </c>
      <c r="S80" s="459">
        <v>0</v>
      </c>
      <c r="T80" s="115">
        <f>SUM(mFEV[[#This Row],[PRINCIPAL]:[JUROS]])</f>
        <v>681.03210890250386</v>
      </c>
    </row>
    <row r="81" spans="2:22" ht="21" customHeight="1">
      <c r="B81" s="451" t="str">
        <f t="shared" si="1"/>
        <v>2/26</v>
      </c>
      <c r="C81" s="121" t="str">
        <f>VLOOKUP(mFEV[[#This Row],[CÓDIGO CONTABIL]],Contas_Gerencial[#All],3,FALSE)</f>
        <v>FOLHA DE PAGAMENTO</v>
      </c>
      <c r="D81" s="445" t="str">
        <f>VLOOKUP(mFEV[[#This Row],[DESCRIÇÃO CONTABIL]],Contas_Gerencial[[#All],[DESCRIÇÃO DA CONTA - NÃO UTILIZAR]:[Código2]],2,FALSE)</f>
        <v>20.05.021</v>
      </c>
      <c r="E81" s="452" t="s">
        <v>59</v>
      </c>
      <c r="F81" s="453" t="s">
        <v>582</v>
      </c>
      <c r="G81" s="480" t="s">
        <v>583</v>
      </c>
      <c r="H81" s="452" t="s">
        <v>1791</v>
      </c>
      <c r="I81" s="481">
        <v>159</v>
      </c>
      <c r="J81" s="453" t="s">
        <v>582</v>
      </c>
      <c r="K81" s="452" t="s">
        <v>1793</v>
      </c>
      <c r="L81" s="456" t="s">
        <v>2137</v>
      </c>
      <c r="M81" s="457">
        <v>46052</v>
      </c>
      <c r="N81" s="457">
        <v>46058</v>
      </c>
      <c r="O81" s="457">
        <v>46059</v>
      </c>
      <c r="P81" s="453" t="s">
        <v>214</v>
      </c>
      <c r="Q81" s="458">
        <v>1702.95</v>
      </c>
      <c r="R81" s="459">
        <v>0</v>
      </c>
      <c r="S81" s="459">
        <v>0</v>
      </c>
      <c r="T81" s="115">
        <f>SUM(mFEV[[#This Row],[PRINCIPAL]:[JUROS]])</f>
        <v>1702.95</v>
      </c>
      <c r="V81" s="115"/>
    </row>
    <row r="82" spans="2:22" ht="21" customHeight="1">
      <c r="B82" s="451" t="str">
        <f t="shared" si="1"/>
        <v>2/26</v>
      </c>
      <c r="C82" s="121" t="str">
        <f>VLOOKUP(mFEV[[#This Row],[CÓDIGO CONTABIL]],Contas_Gerencial[#All],3,FALSE)</f>
        <v>ENCARGOS</v>
      </c>
      <c r="D82" s="445" t="str">
        <f>VLOOKUP(mFEV[[#This Row],[DESCRIÇÃO CONTABIL]],Contas_Gerencial[[#All],[DESCRIÇÃO DA CONTA - NÃO UTILIZAR]:[Código2]],2,FALSE)</f>
        <v>20.04.006</v>
      </c>
      <c r="E82" s="452" t="s">
        <v>1180</v>
      </c>
      <c r="F82" s="452" t="s">
        <v>582</v>
      </c>
      <c r="G82" s="480" t="s">
        <v>583</v>
      </c>
      <c r="H82" s="452" t="s">
        <v>1180</v>
      </c>
      <c r="I82" s="481">
        <v>159</v>
      </c>
      <c r="J82" s="453" t="s">
        <v>384</v>
      </c>
      <c r="K82" s="453" t="s">
        <v>1180</v>
      </c>
      <c r="L82" s="456" t="s">
        <v>2137</v>
      </c>
      <c r="M82" s="457">
        <v>46052</v>
      </c>
      <c r="N82" s="457">
        <v>46073</v>
      </c>
      <c r="O82" s="457">
        <v>46072</v>
      </c>
      <c r="P82" s="453" t="s">
        <v>214</v>
      </c>
      <c r="Q82" s="458">
        <v>152.01</v>
      </c>
      <c r="R82" s="459">
        <v>0</v>
      </c>
      <c r="S82" s="459">
        <v>0</v>
      </c>
      <c r="T82" s="115">
        <f>SUM(mFEV[[#This Row],[PRINCIPAL]:[JUROS]])</f>
        <v>152.01</v>
      </c>
    </row>
    <row r="83" spans="2:22" ht="21" customHeight="1">
      <c r="B83" s="451" t="str">
        <f t="shared" si="1"/>
        <v>2/26</v>
      </c>
      <c r="C83" s="121" t="str">
        <f>VLOOKUP(mFEV[[#This Row],[CÓDIGO CONTABIL]],Contas_Gerencial[#All],3,FALSE)</f>
        <v>ENCARGOS</v>
      </c>
      <c r="D83" s="445" t="str">
        <f>VLOOKUP(mFEV[[#This Row],[DESCRIÇÃO CONTABIL]],Contas_Gerencial[[#All],[DESCRIÇÃO DA CONTA - NÃO UTILIZAR]:[Código2]],2,FALSE)</f>
        <v>20.04.001</v>
      </c>
      <c r="E83" s="464" t="s">
        <v>2659</v>
      </c>
      <c r="F83" s="464" t="s">
        <v>582</v>
      </c>
      <c r="G83" s="464" t="s">
        <v>583</v>
      </c>
      <c r="H83" s="464" t="s">
        <v>1788</v>
      </c>
      <c r="I83" s="984">
        <v>159</v>
      </c>
      <c r="J83" s="461" t="s">
        <v>757</v>
      </c>
      <c r="K83" s="461" t="s">
        <v>2089</v>
      </c>
      <c r="L83" s="462" t="s">
        <v>2137</v>
      </c>
      <c r="M83" s="463">
        <v>46052</v>
      </c>
      <c r="N83" s="463">
        <v>46073</v>
      </c>
      <c r="O83" s="463"/>
      <c r="P83" s="741" t="s">
        <v>1</v>
      </c>
      <c r="Q83" s="1084">
        <v>148.24</v>
      </c>
      <c r="R83" s="465">
        <v>0</v>
      </c>
      <c r="S83" s="465">
        <v>0</v>
      </c>
      <c r="T83" s="115">
        <f>SUM(mFEV[[#This Row],[PRINCIPAL]:[JUROS]])</f>
        <v>148.24</v>
      </c>
    </row>
    <row r="84" spans="2:22" ht="21" customHeight="1">
      <c r="B84" s="451" t="str">
        <f t="shared" si="1"/>
        <v>2/26</v>
      </c>
      <c r="C84" s="121" t="str">
        <f>VLOOKUP(mFEV[[#This Row],[CÓDIGO CONTABIL]],Contas_Gerencial[#All],3,FALSE)</f>
        <v>BENEFICIO</v>
      </c>
      <c r="D84" s="445" t="str">
        <f>VLOOKUP(mFEV[[#This Row],[DESCRIÇÃO CONTABIL]],Contas_Gerencial[[#All],[DESCRIÇÃO DA CONTA - NÃO UTILIZAR]:[Código2]],2,FALSE)</f>
        <v>20.05.006</v>
      </c>
      <c r="E84" s="480" t="s">
        <v>24</v>
      </c>
      <c r="F84" s="452" t="s">
        <v>582</v>
      </c>
      <c r="G84" s="452" t="s">
        <v>583</v>
      </c>
      <c r="H84" s="452" t="s">
        <v>1791</v>
      </c>
      <c r="I84" s="481">
        <v>200226</v>
      </c>
      <c r="J84" s="453" t="s">
        <v>582</v>
      </c>
      <c r="K84" s="453" t="s">
        <v>2257</v>
      </c>
      <c r="L84" s="451" t="s">
        <v>2258</v>
      </c>
      <c r="M84" s="457">
        <v>46073</v>
      </c>
      <c r="N84" s="457">
        <v>46073</v>
      </c>
      <c r="O84" s="457">
        <v>46073</v>
      </c>
      <c r="P84" s="452" t="s">
        <v>214</v>
      </c>
      <c r="Q84" s="467">
        <v>2179.86</v>
      </c>
      <c r="R84" s="467">
        <v>0</v>
      </c>
      <c r="S84" s="467">
        <v>0</v>
      </c>
      <c r="T84" s="115">
        <f>SUM(mFEV[[#This Row],[PRINCIPAL]:[JUROS]])</f>
        <v>2179.86</v>
      </c>
    </row>
    <row r="85" spans="2:22" ht="21" customHeight="1">
      <c r="B85" s="451" t="str">
        <f t="shared" si="1"/>
        <v>2/26</v>
      </c>
      <c r="C85" s="121" t="str">
        <f>VLOOKUP(mFEV[[#This Row],[CÓDIGO CONTABIL]],Contas_Gerencial[#All],3,FALSE)</f>
        <v>BENEFICIO</v>
      </c>
      <c r="D85" s="445" t="str">
        <f>VLOOKUP(mFEV[[#This Row],[DESCRIÇÃO CONTABIL]],Contas_Gerencial[[#All],[DESCRIÇÃO DA CONTA - NÃO UTILIZAR]:[Código2]],2,FALSE)</f>
        <v>20.05.007</v>
      </c>
      <c r="E85" s="480" t="s">
        <v>25</v>
      </c>
      <c r="F85" s="452" t="s">
        <v>582</v>
      </c>
      <c r="G85" s="452" t="s">
        <v>583</v>
      </c>
      <c r="H85" s="452" t="s">
        <v>1791</v>
      </c>
      <c r="I85" s="481">
        <v>200226</v>
      </c>
      <c r="J85" s="453" t="s">
        <v>582</v>
      </c>
      <c r="K85" s="453" t="s">
        <v>2257</v>
      </c>
      <c r="L85" s="451" t="s">
        <v>2258</v>
      </c>
      <c r="M85" s="457">
        <v>46073</v>
      </c>
      <c r="N85" s="457">
        <v>46073</v>
      </c>
      <c r="O85" s="457">
        <v>46073</v>
      </c>
      <c r="P85" s="452" t="s">
        <v>214</v>
      </c>
      <c r="Q85" s="467">
        <v>517</v>
      </c>
      <c r="R85" s="467">
        <v>0</v>
      </c>
      <c r="S85" s="467">
        <v>0</v>
      </c>
      <c r="T85" s="115">
        <f>SUM(mFEV[[#This Row],[PRINCIPAL]:[JUROS]])</f>
        <v>517</v>
      </c>
    </row>
    <row r="86" spans="2:22" ht="21" customHeight="1">
      <c r="B86" s="451" t="str">
        <f t="shared" si="1"/>
        <v>2/26</v>
      </c>
      <c r="C86" s="121" t="str">
        <f>VLOOKUP(mFEV[[#This Row],[CÓDIGO CONTABIL]],Contas_Gerencial[#All],3,FALSE)</f>
        <v>RECEITA SUBCONTA</v>
      </c>
      <c r="D86" s="445" t="str">
        <f>VLOOKUP(mFEV[[#This Row],[DESCRIÇÃO CONTABIL]],Contas_Gerencial[[#All],[DESCRIÇÃO DA CONTA - NÃO UTILIZAR]:[Código2]],2,FALSE)</f>
        <v>10.01.001</v>
      </c>
      <c r="E86" s="485" t="s">
        <v>90</v>
      </c>
      <c r="F86" s="485" t="s">
        <v>582</v>
      </c>
      <c r="G86" s="486" t="s">
        <v>638</v>
      </c>
      <c r="H86" s="485" t="s">
        <v>1788</v>
      </c>
      <c r="I86" s="474">
        <v>160</v>
      </c>
      <c r="J86" s="477" t="s">
        <v>582</v>
      </c>
      <c r="K86" s="477" t="s">
        <v>1792</v>
      </c>
      <c r="L86" s="475" t="s">
        <v>2137</v>
      </c>
      <c r="M86" s="476">
        <v>46052</v>
      </c>
      <c r="N86" s="476">
        <v>46058</v>
      </c>
      <c r="O86" s="476"/>
      <c r="P86" s="867" t="s">
        <v>215</v>
      </c>
      <c r="Q86" s="738">
        <v>6301</v>
      </c>
      <c r="R86" s="487">
        <v>0</v>
      </c>
      <c r="S86" s="487">
        <v>0</v>
      </c>
      <c r="T86" s="115">
        <f>SUM(mFEV[[#This Row],[PRINCIPAL]:[JUROS]])</f>
        <v>6301</v>
      </c>
    </row>
    <row r="87" spans="2:22" ht="21" customHeight="1">
      <c r="B87" s="451" t="str">
        <f t="shared" si="1"/>
        <v>2/26</v>
      </c>
      <c r="C87" s="121" t="str">
        <f>VLOOKUP(mFEV[[#This Row],[CÓDIGO CONTABIL]],Contas_Gerencial[#All],3,FALSE)</f>
        <v>ENCARGOS</v>
      </c>
      <c r="D87" s="445" t="str">
        <f>VLOOKUP(mFEV[[#This Row],[DESCRIÇÃO CONTABIL]],Contas_Gerencial[[#All],[DESCRIÇÃO DA CONTA - NÃO UTILIZAR]:[Código2]],2,FALSE)</f>
        <v>20.04.004</v>
      </c>
      <c r="E87" s="452" t="s">
        <v>2651</v>
      </c>
      <c r="F87" s="452" t="s">
        <v>582</v>
      </c>
      <c r="G87" s="480" t="s">
        <v>638</v>
      </c>
      <c r="H87" s="452" t="s">
        <v>1788</v>
      </c>
      <c r="I87" s="481">
        <v>160</v>
      </c>
      <c r="J87" s="453" t="s">
        <v>264</v>
      </c>
      <c r="K87" s="453" t="s">
        <v>2113</v>
      </c>
      <c r="L87" s="456" t="s">
        <v>2137</v>
      </c>
      <c r="M87" s="457">
        <v>46052</v>
      </c>
      <c r="N87" s="457">
        <v>46073</v>
      </c>
      <c r="O87" s="457">
        <v>46073</v>
      </c>
      <c r="P87" s="453" t="s">
        <v>214</v>
      </c>
      <c r="Q87" s="482">
        <v>491.83</v>
      </c>
      <c r="R87" s="459">
        <v>0</v>
      </c>
      <c r="S87" s="459">
        <v>0</v>
      </c>
      <c r="T87" s="115">
        <f>SUM(mFEV[[#This Row],[PRINCIPAL]:[JUROS]])</f>
        <v>491.83</v>
      </c>
      <c r="V87" s="115"/>
    </row>
    <row r="88" spans="2:22" ht="21" customHeight="1">
      <c r="B88" s="451" t="str">
        <f t="shared" si="1"/>
        <v>2/26</v>
      </c>
      <c r="C88" s="121" t="str">
        <f>VLOOKUP(mFEV[[#This Row],[CÓDIGO CONTABIL]],Contas_Gerencial[#All],3,FALSE)</f>
        <v>TRIBUTOS</v>
      </c>
      <c r="D88" s="445" t="str">
        <f>VLOOKUP(mFEV[[#This Row],[DESCRIÇÃO CONTABIL]],Contas_Gerencial[[#All],[DESCRIÇÃO DA CONTA - NÃO UTILIZAR]:[Código2]],2,FALSE)</f>
        <v>20.08.004</v>
      </c>
      <c r="E88" s="452" t="s">
        <v>2648</v>
      </c>
      <c r="F88" s="452" t="s">
        <v>582</v>
      </c>
      <c r="G88" s="480" t="s">
        <v>638</v>
      </c>
      <c r="H88" s="452" t="s">
        <v>1788</v>
      </c>
      <c r="I88" s="481">
        <v>160</v>
      </c>
      <c r="J88" s="453" t="s">
        <v>654</v>
      </c>
      <c r="K88" s="453" t="s">
        <v>2114</v>
      </c>
      <c r="L88" s="456" t="s">
        <v>2137</v>
      </c>
      <c r="M88" s="457">
        <v>46052</v>
      </c>
      <c r="N88" s="457">
        <v>46073</v>
      </c>
      <c r="O88" s="457">
        <v>46073</v>
      </c>
      <c r="P88" s="453" t="s">
        <v>214</v>
      </c>
      <c r="Q88" s="458">
        <v>209.19</v>
      </c>
      <c r="R88" s="459">
        <v>0</v>
      </c>
      <c r="S88" s="459">
        <v>0</v>
      </c>
      <c r="T88" s="115">
        <f>SUM(mFEV[[#This Row],[PRINCIPAL]:[JUROS]])</f>
        <v>209.19</v>
      </c>
    </row>
    <row r="89" spans="2:22" ht="21" customHeight="1">
      <c r="B89" s="451" t="str">
        <f t="shared" si="1"/>
        <v>2/26</v>
      </c>
      <c r="C89" s="121" t="str">
        <f>VLOOKUP(mFEV[[#This Row],[CÓDIGO CONTABIL]],Contas_Gerencial[#All],3,FALSE)</f>
        <v>TRIBUTOS</v>
      </c>
      <c r="D89" s="445" t="str">
        <f>VLOOKUP(mFEV[[#This Row],[DESCRIÇÃO CONTABIL]],Contas_Gerencial[[#All],[DESCRIÇÃO DA CONTA - NÃO UTILIZAR]:[Código2]],2,FALSE)</f>
        <v>20.08.001</v>
      </c>
      <c r="E89" s="452" t="s">
        <v>2112</v>
      </c>
      <c r="F89" s="452" t="s">
        <v>582</v>
      </c>
      <c r="G89" s="480" t="s">
        <v>638</v>
      </c>
      <c r="H89" s="452" t="s">
        <v>1788</v>
      </c>
      <c r="I89" s="481">
        <v>160</v>
      </c>
      <c r="J89" s="453" t="s">
        <v>654</v>
      </c>
      <c r="K89" s="453" t="s">
        <v>1907</v>
      </c>
      <c r="L89" s="456" t="s">
        <v>2137</v>
      </c>
      <c r="M89" s="457">
        <v>46052</v>
      </c>
      <c r="N89" s="457">
        <v>46073</v>
      </c>
      <c r="O89" s="457">
        <v>46072</v>
      </c>
      <c r="P89" s="453" t="s">
        <v>214</v>
      </c>
      <c r="Q89" s="458">
        <v>0</v>
      </c>
      <c r="R89" s="459">
        <v>0</v>
      </c>
      <c r="S89" s="459">
        <v>0</v>
      </c>
      <c r="T89" s="115">
        <f>SUM(mFEV[[#This Row],[PRINCIPAL]:[JUROS]])</f>
        <v>0</v>
      </c>
    </row>
    <row r="90" spans="2:22" ht="21" customHeight="1">
      <c r="B90" s="451" t="str">
        <f t="shared" si="1"/>
        <v>2/26</v>
      </c>
      <c r="C90" s="121" t="str">
        <f>VLOOKUP(mFEV[[#This Row],[CÓDIGO CONTABIL]],Contas_Gerencial[#All],3,FALSE)</f>
        <v>TRIBUTOS</v>
      </c>
      <c r="D90" s="445" t="str">
        <f>VLOOKUP(mFEV[[#This Row],[DESCRIÇÃO CONTABIL]],Contas_Gerencial[[#All],[DESCRIÇÃO DA CONTA - NÃO UTILIZAR]:[Código2]],2,FALSE)</f>
        <v>20.08.002</v>
      </c>
      <c r="E90" s="452" t="s">
        <v>589</v>
      </c>
      <c r="F90" s="452" t="s">
        <v>582</v>
      </c>
      <c r="G90" s="480" t="s">
        <v>638</v>
      </c>
      <c r="H90" s="452" t="s">
        <v>1788</v>
      </c>
      <c r="I90" s="481">
        <v>160</v>
      </c>
      <c r="J90" s="453" t="s">
        <v>654</v>
      </c>
      <c r="K90" s="453" t="s">
        <v>1907</v>
      </c>
      <c r="L90" s="456" t="s">
        <v>2137</v>
      </c>
      <c r="M90" s="457">
        <v>46052</v>
      </c>
      <c r="N90" s="457">
        <v>46073</v>
      </c>
      <c r="O90" s="457">
        <v>46072</v>
      </c>
      <c r="P90" s="453" t="s">
        <v>214</v>
      </c>
      <c r="Q90" s="483">
        <v>312.22230196410635</v>
      </c>
      <c r="R90" s="459">
        <v>0</v>
      </c>
      <c r="S90" s="459">
        <v>0</v>
      </c>
      <c r="T90" s="115">
        <f>SUM(mFEV[[#This Row],[PRINCIPAL]:[JUROS]])</f>
        <v>312.22230196410635</v>
      </c>
    </row>
    <row r="91" spans="2:22" ht="21" customHeight="1">
      <c r="B91" s="451" t="str">
        <f t="shared" si="1"/>
        <v>2/26</v>
      </c>
      <c r="C91" s="121" t="str">
        <f>VLOOKUP(mFEV[[#This Row],[CÓDIGO CONTABIL]],Contas_Gerencial[#All],3,FALSE)</f>
        <v>FOLHA DE PAGAMENTO</v>
      </c>
      <c r="D91" s="445" t="str">
        <f>VLOOKUP(mFEV[[#This Row],[DESCRIÇÃO CONTABIL]],Contas_Gerencial[[#All],[DESCRIÇÃO DA CONTA - NÃO UTILIZAR]:[Código2]],2,FALSE)</f>
        <v>20.05.021</v>
      </c>
      <c r="E91" s="452" t="s">
        <v>59</v>
      </c>
      <c r="F91" s="453" t="s">
        <v>582</v>
      </c>
      <c r="G91" s="480" t="s">
        <v>638</v>
      </c>
      <c r="H91" s="452" t="s">
        <v>1791</v>
      </c>
      <c r="I91" s="481">
        <v>160</v>
      </c>
      <c r="J91" s="453" t="s">
        <v>582</v>
      </c>
      <c r="K91" s="452" t="s">
        <v>1790</v>
      </c>
      <c r="L91" s="456" t="s">
        <v>2137</v>
      </c>
      <c r="M91" s="457">
        <v>46055</v>
      </c>
      <c r="N91" s="457">
        <v>46059</v>
      </c>
      <c r="O91" s="457">
        <v>46058</v>
      </c>
      <c r="P91" s="453" t="s">
        <v>214</v>
      </c>
      <c r="Q91" s="458">
        <v>1702.95</v>
      </c>
      <c r="R91" s="459">
        <v>0</v>
      </c>
      <c r="S91" s="459">
        <v>0</v>
      </c>
      <c r="T91" s="115">
        <f>SUM(mFEV[[#This Row],[PRINCIPAL]:[JUROS]])</f>
        <v>1702.95</v>
      </c>
      <c r="V91" s="115"/>
    </row>
    <row r="92" spans="2:22" ht="21" customHeight="1">
      <c r="B92" s="451" t="str">
        <f t="shared" si="1"/>
        <v>2/26</v>
      </c>
      <c r="C92" s="121" t="str">
        <f>VLOOKUP(mFEV[[#This Row],[CÓDIGO CONTABIL]],Contas_Gerencial[#All],3,FALSE)</f>
        <v>ENCARGOS</v>
      </c>
      <c r="D92" s="445" t="str">
        <f>VLOOKUP(mFEV[[#This Row],[DESCRIÇÃO CONTABIL]],Contas_Gerencial[[#All],[DESCRIÇÃO DA CONTA - NÃO UTILIZAR]:[Código2]],2,FALSE)</f>
        <v>20.04.006</v>
      </c>
      <c r="E92" s="452" t="s">
        <v>1180</v>
      </c>
      <c r="F92" s="452" t="s">
        <v>582</v>
      </c>
      <c r="G92" s="480" t="s">
        <v>638</v>
      </c>
      <c r="H92" s="452" t="s">
        <v>1180</v>
      </c>
      <c r="I92" s="481">
        <v>160</v>
      </c>
      <c r="J92" s="453" t="s">
        <v>384</v>
      </c>
      <c r="K92" s="453" t="s">
        <v>1180</v>
      </c>
      <c r="L92" s="456" t="s">
        <v>2137</v>
      </c>
      <c r="M92" s="457">
        <v>46055</v>
      </c>
      <c r="N92" s="457">
        <v>46073</v>
      </c>
      <c r="O92" s="457">
        <v>46072</v>
      </c>
      <c r="P92" s="453" t="s">
        <v>214</v>
      </c>
      <c r="Q92" s="458">
        <v>152.01</v>
      </c>
      <c r="R92" s="459">
        <v>0</v>
      </c>
      <c r="S92" s="459">
        <v>0</v>
      </c>
      <c r="T92" s="115">
        <f>SUM(mFEV[[#This Row],[PRINCIPAL]:[JUROS]])</f>
        <v>152.01</v>
      </c>
    </row>
    <row r="93" spans="2:22" ht="21" customHeight="1">
      <c r="B93" s="451" t="str">
        <f t="shared" si="1"/>
        <v>2/26</v>
      </c>
      <c r="C93" s="121" t="str">
        <f>VLOOKUP(mFEV[[#This Row],[CÓDIGO CONTABIL]],Contas_Gerencial[#All],3,FALSE)</f>
        <v>ENCARGOS</v>
      </c>
      <c r="D93" s="445" t="str">
        <f>VLOOKUP(mFEV[[#This Row],[DESCRIÇÃO CONTABIL]],Contas_Gerencial[[#All],[DESCRIÇÃO DA CONTA - NÃO UTILIZAR]:[Código2]],2,FALSE)</f>
        <v>20.04.001</v>
      </c>
      <c r="E93" s="464" t="s">
        <v>2659</v>
      </c>
      <c r="F93" s="464" t="s">
        <v>582</v>
      </c>
      <c r="G93" s="464" t="s">
        <v>638</v>
      </c>
      <c r="H93" s="464" t="s">
        <v>1788</v>
      </c>
      <c r="I93" s="984">
        <v>160</v>
      </c>
      <c r="J93" s="461" t="s">
        <v>757</v>
      </c>
      <c r="K93" s="461" t="s">
        <v>2089</v>
      </c>
      <c r="L93" s="462" t="s">
        <v>2137</v>
      </c>
      <c r="M93" s="463">
        <v>46055</v>
      </c>
      <c r="N93" s="463">
        <v>46073</v>
      </c>
      <c r="O93" s="463"/>
      <c r="P93" s="741" t="s">
        <v>1</v>
      </c>
      <c r="Q93" s="484">
        <f>148.24-65</f>
        <v>83.240000000000009</v>
      </c>
      <c r="R93" s="465">
        <v>0</v>
      </c>
      <c r="S93" s="465">
        <v>0</v>
      </c>
      <c r="T93" s="115">
        <f>SUM(mFEV[[#This Row],[PRINCIPAL]:[JUROS]])</f>
        <v>83.240000000000009</v>
      </c>
    </row>
    <row r="94" spans="2:22" ht="21" customHeight="1">
      <c r="B94" s="451" t="str">
        <f t="shared" si="1"/>
        <v>2/26</v>
      </c>
      <c r="C94" s="121" t="str">
        <f>VLOOKUP(mFEV[[#This Row],[CÓDIGO CONTABIL]],Contas_Gerencial[#All],3,FALSE)</f>
        <v>BENEFICIO</v>
      </c>
      <c r="D94" s="445" t="str">
        <f>VLOOKUP(mFEV[[#This Row],[DESCRIÇÃO CONTABIL]],Contas_Gerencial[[#All],[DESCRIÇÃO DA CONTA - NÃO UTILIZAR]:[Código2]],2,FALSE)</f>
        <v>20.05.006</v>
      </c>
      <c r="E94" s="480" t="s">
        <v>24</v>
      </c>
      <c r="F94" s="452" t="s">
        <v>582</v>
      </c>
      <c r="G94" s="452" t="s">
        <v>638</v>
      </c>
      <c r="H94" s="452" t="s">
        <v>1791</v>
      </c>
      <c r="I94" s="481">
        <v>200226</v>
      </c>
      <c r="J94" s="453" t="s">
        <v>582</v>
      </c>
      <c r="K94" s="453" t="s">
        <v>2257</v>
      </c>
      <c r="L94" s="451" t="s">
        <v>2258</v>
      </c>
      <c r="M94" s="457">
        <v>46073</v>
      </c>
      <c r="N94" s="457">
        <v>46073</v>
      </c>
      <c r="O94" s="457">
        <v>46073</v>
      </c>
      <c r="P94" s="452" t="s">
        <v>214</v>
      </c>
      <c r="Q94" s="467">
        <v>1113.1200000000001</v>
      </c>
      <c r="R94" s="467">
        <v>0</v>
      </c>
      <c r="S94" s="467">
        <v>0</v>
      </c>
      <c r="T94" s="115">
        <f>SUM(mFEV[[#This Row],[PRINCIPAL]:[JUROS]])</f>
        <v>1113.1200000000001</v>
      </c>
    </row>
    <row r="95" spans="2:22" ht="21" customHeight="1">
      <c r="B95" s="451" t="str">
        <f t="shared" si="1"/>
        <v>2/26</v>
      </c>
      <c r="C95" s="121" t="str">
        <f>VLOOKUP(mFEV[[#This Row],[CÓDIGO CONTABIL]],Contas_Gerencial[#All],3,FALSE)</f>
        <v>BENEFICIO</v>
      </c>
      <c r="D95" s="445" t="str">
        <f>VLOOKUP(mFEV[[#This Row],[DESCRIÇÃO CONTABIL]],Contas_Gerencial[[#All],[DESCRIÇÃO DA CONTA - NÃO UTILIZAR]:[Código2]],2,FALSE)</f>
        <v>20.05.007</v>
      </c>
      <c r="E95" s="480" t="s">
        <v>25</v>
      </c>
      <c r="F95" s="452" t="s">
        <v>582</v>
      </c>
      <c r="G95" s="452" t="s">
        <v>638</v>
      </c>
      <c r="H95" s="452" t="s">
        <v>1791</v>
      </c>
      <c r="I95" s="481">
        <v>200226</v>
      </c>
      <c r="J95" s="453" t="s">
        <v>582</v>
      </c>
      <c r="K95" s="453" t="s">
        <v>2257</v>
      </c>
      <c r="L95" s="451" t="s">
        <v>2258</v>
      </c>
      <c r="M95" s="457">
        <v>46073</v>
      </c>
      <c r="N95" s="457">
        <v>46073</v>
      </c>
      <c r="O95" s="457">
        <v>46073</v>
      </c>
      <c r="P95" s="452" t="s">
        <v>214</v>
      </c>
      <c r="Q95" s="467">
        <v>264</v>
      </c>
      <c r="R95" s="467">
        <v>0</v>
      </c>
      <c r="S95" s="467">
        <v>0</v>
      </c>
      <c r="T95" s="115">
        <f>SUM(mFEV[[#This Row],[PRINCIPAL]:[JUROS]])</f>
        <v>264</v>
      </c>
    </row>
    <row r="96" spans="2:22" ht="21" customHeight="1">
      <c r="B96" s="451" t="str">
        <f t="shared" si="1"/>
        <v>2/26</v>
      </c>
      <c r="C96" s="121" t="str">
        <f>VLOOKUP(mFEV[[#This Row],[CÓDIGO CONTABIL]],Contas_Gerencial[#All],3,FALSE)</f>
        <v>RECEITA SUBCONTA</v>
      </c>
      <c r="D96" s="445" t="str">
        <f>VLOOKUP(mFEV[[#This Row],[DESCRIÇÃO CONTABIL]],Contas_Gerencial[[#All],[DESCRIÇÃO DA CONTA - NÃO UTILIZAR]:[Código2]],2,FALSE)</f>
        <v>10.01.001</v>
      </c>
      <c r="E96" s="485" t="s">
        <v>90</v>
      </c>
      <c r="F96" s="485" t="s">
        <v>582</v>
      </c>
      <c r="G96" s="486" t="s">
        <v>1082</v>
      </c>
      <c r="H96" s="485" t="s">
        <v>1788</v>
      </c>
      <c r="I96" s="474">
        <v>157</v>
      </c>
      <c r="J96" s="477" t="s">
        <v>582</v>
      </c>
      <c r="K96" s="477" t="s">
        <v>1792</v>
      </c>
      <c r="L96" s="475" t="s">
        <v>2137</v>
      </c>
      <c r="M96" s="476">
        <v>46052</v>
      </c>
      <c r="N96" s="476">
        <v>46068</v>
      </c>
      <c r="O96" s="476"/>
      <c r="P96" s="867" t="s">
        <v>215</v>
      </c>
      <c r="Q96" s="488">
        <v>6486</v>
      </c>
      <c r="R96" s="487">
        <v>0</v>
      </c>
      <c r="S96" s="487">
        <v>0</v>
      </c>
      <c r="T96" s="115">
        <f>SUM(mFEV[[#This Row],[PRINCIPAL]:[JUROS]])</f>
        <v>6486</v>
      </c>
    </row>
    <row r="97" spans="2:22" ht="21" customHeight="1">
      <c r="B97" s="451" t="str">
        <f t="shared" si="1"/>
        <v>2/26</v>
      </c>
      <c r="C97" s="121" t="str">
        <f>VLOOKUP(mFEV[[#This Row],[CÓDIGO CONTABIL]],Contas_Gerencial[#All],3,FALSE)</f>
        <v>ENCARGOS</v>
      </c>
      <c r="D97" s="445" t="str">
        <f>VLOOKUP(mFEV[[#This Row],[DESCRIÇÃO CONTABIL]],Contas_Gerencial[[#All],[DESCRIÇÃO DA CONTA - NÃO UTILIZAR]:[Código2]],2,FALSE)</f>
        <v>20.04.004</v>
      </c>
      <c r="E97" s="452" t="s">
        <v>2651</v>
      </c>
      <c r="F97" s="452" t="s">
        <v>582</v>
      </c>
      <c r="G97" s="480" t="s">
        <v>1082</v>
      </c>
      <c r="H97" s="452" t="s">
        <v>1788</v>
      </c>
      <c r="I97" s="481">
        <v>157</v>
      </c>
      <c r="J97" s="453" t="s">
        <v>264</v>
      </c>
      <c r="K97" s="453" t="s">
        <v>2113</v>
      </c>
      <c r="L97" s="456" t="s">
        <v>2137</v>
      </c>
      <c r="M97" s="457">
        <v>46052</v>
      </c>
      <c r="N97" s="457">
        <v>46073</v>
      </c>
      <c r="O97" s="457">
        <v>46073</v>
      </c>
      <c r="P97" s="453" t="s">
        <v>214</v>
      </c>
      <c r="Q97" s="482">
        <v>349.09</v>
      </c>
      <c r="R97" s="459">
        <v>0</v>
      </c>
      <c r="S97" s="459">
        <v>0</v>
      </c>
      <c r="T97" s="115">
        <f>SUM(mFEV[[#This Row],[PRINCIPAL]:[JUROS]])</f>
        <v>349.09</v>
      </c>
      <c r="V97" s="115"/>
    </row>
    <row r="98" spans="2:22" ht="21" customHeight="1">
      <c r="B98" s="451" t="str">
        <f t="shared" si="1"/>
        <v>2/26</v>
      </c>
      <c r="C98" s="121" t="str">
        <f>VLOOKUP(mFEV[[#This Row],[CÓDIGO CONTABIL]],Contas_Gerencial[#All],3,FALSE)</f>
        <v>TRIBUTOS</v>
      </c>
      <c r="D98" s="445" t="str">
        <f>VLOOKUP(mFEV[[#This Row],[DESCRIÇÃO CONTABIL]],Contas_Gerencial[[#All],[DESCRIÇÃO DA CONTA - NÃO UTILIZAR]:[Código2]],2,FALSE)</f>
        <v>20.08.004</v>
      </c>
      <c r="E98" s="452" t="s">
        <v>2648</v>
      </c>
      <c r="F98" s="452" t="s">
        <v>582</v>
      </c>
      <c r="G98" s="480" t="s">
        <v>1082</v>
      </c>
      <c r="H98" s="452" t="s">
        <v>1788</v>
      </c>
      <c r="I98" s="481">
        <v>157</v>
      </c>
      <c r="J98" s="453" t="s">
        <v>654</v>
      </c>
      <c r="K98" s="453" t="s">
        <v>2114</v>
      </c>
      <c r="L98" s="456" t="s">
        <v>2137</v>
      </c>
      <c r="M98" s="457">
        <v>46052</v>
      </c>
      <c r="N98" s="457">
        <v>46073</v>
      </c>
      <c r="O98" s="457">
        <v>46073</v>
      </c>
      <c r="P98" s="453" t="s">
        <v>214</v>
      </c>
      <c r="Q98" s="458">
        <v>215.34</v>
      </c>
      <c r="R98" s="459">
        <v>0</v>
      </c>
      <c r="S98" s="459">
        <v>0</v>
      </c>
      <c r="T98" s="115">
        <f>SUM(mFEV[[#This Row],[PRINCIPAL]:[JUROS]])</f>
        <v>215.34</v>
      </c>
    </row>
    <row r="99" spans="2:22" ht="21" customHeight="1">
      <c r="B99" s="451" t="str">
        <f t="shared" si="1"/>
        <v>2/26</v>
      </c>
      <c r="C99" s="121" t="str">
        <f>VLOOKUP(mFEV[[#This Row],[CÓDIGO CONTABIL]],Contas_Gerencial[#All],3,FALSE)</f>
        <v>TRIBUTOS</v>
      </c>
      <c r="D99" s="445" t="str">
        <f>VLOOKUP(mFEV[[#This Row],[DESCRIÇÃO CONTABIL]],Contas_Gerencial[[#All],[DESCRIÇÃO DA CONTA - NÃO UTILIZAR]:[Código2]],2,FALSE)</f>
        <v>20.08.001</v>
      </c>
      <c r="E99" s="452" t="s">
        <v>2112</v>
      </c>
      <c r="F99" s="452" t="s">
        <v>582</v>
      </c>
      <c r="G99" s="480" t="s">
        <v>1082</v>
      </c>
      <c r="H99" s="452" t="s">
        <v>1788</v>
      </c>
      <c r="I99" s="481">
        <v>157</v>
      </c>
      <c r="J99" s="453" t="s">
        <v>654</v>
      </c>
      <c r="K99" s="453" t="s">
        <v>1907</v>
      </c>
      <c r="L99" s="456" t="s">
        <v>2137</v>
      </c>
      <c r="M99" s="457">
        <v>46052</v>
      </c>
      <c r="N99" s="457">
        <v>46073</v>
      </c>
      <c r="O99" s="457">
        <v>46072</v>
      </c>
      <c r="P99" s="453" t="s">
        <v>214</v>
      </c>
      <c r="Q99" s="458">
        <v>0</v>
      </c>
      <c r="R99" s="459">
        <v>0</v>
      </c>
      <c r="S99" s="459">
        <v>0</v>
      </c>
      <c r="T99" s="115">
        <f>SUM(mFEV[[#This Row],[PRINCIPAL]:[JUROS]])</f>
        <v>0</v>
      </c>
    </row>
    <row r="100" spans="2:22" ht="21" customHeight="1">
      <c r="B100" s="451" t="str">
        <f t="shared" si="1"/>
        <v>2/26</v>
      </c>
      <c r="C100" s="121" t="str">
        <f>VLOOKUP(mFEV[[#This Row],[CÓDIGO CONTABIL]],Contas_Gerencial[#All],3,FALSE)</f>
        <v>TRIBUTOS</v>
      </c>
      <c r="D100" s="445" t="str">
        <f>VLOOKUP(mFEV[[#This Row],[DESCRIÇÃO CONTABIL]],Contas_Gerencial[[#All],[DESCRIÇÃO DA CONTA - NÃO UTILIZAR]:[Código2]],2,FALSE)</f>
        <v>20.08.002</v>
      </c>
      <c r="E100" s="452" t="s">
        <v>589</v>
      </c>
      <c r="F100" s="452" t="s">
        <v>582</v>
      </c>
      <c r="G100" s="480" t="s">
        <v>1082</v>
      </c>
      <c r="H100" s="452" t="s">
        <v>1788</v>
      </c>
      <c r="I100" s="481">
        <v>157</v>
      </c>
      <c r="J100" s="453" t="s">
        <v>654</v>
      </c>
      <c r="K100" s="453" t="s">
        <v>1907</v>
      </c>
      <c r="L100" s="456" t="s">
        <v>2137</v>
      </c>
      <c r="M100" s="457">
        <v>46052</v>
      </c>
      <c r="N100" s="457">
        <v>46073</v>
      </c>
      <c r="O100" s="457">
        <v>46072</v>
      </c>
      <c r="P100" s="453" t="s">
        <v>214</v>
      </c>
      <c r="Q100" s="483">
        <v>321.38927956502039</v>
      </c>
      <c r="R100" s="459">
        <v>0</v>
      </c>
      <c r="S100" s="459">
        <v>0</v>
      </c>
      <c r="T100" s="115">
        <f>SUM(mFEV[[#This Row],[PRINCIPAL]:[JUROS]])</f>
        <v>321.38927956502039</v>
      </c>
    </row>
    <row r="101" spans="2:22" ht="21" customHeight="1">
      <c r="B101" s="451" t="str">
        <f t="shared" si="1"/>
        <v>2/26</v>
      </c>
      <c r="C101" s="121" t="str">
        <f>VLOOKUP(mFEV[[#This Row],[CÓDIGO CONTABIL]],Contas_Gerencial[#All],3,FALSE)</f>
        <v>FOLHA DE PAGAMENTO</v>
      </c>
      <c r="D101" s="445" t="str">
        <f>VLOOKUP(mFEV[[#This Row],[DESCRIÇÃO CONTABIL]],Contas_Gerencial[[#All],[DESCRIÇÃO DA CONTA - NÃO UTILIZAR]:[Código2]],2,FALSE)</f>
        <v>20.05.021</v>
      </c>
      <c r="E101" s="452" t="s">
        <v>59</v>
      </c>
      <c r="F101" s="453" t="s">
        <v>582</v>
      </c>
      <c r="G101" s="480" t="s">
        <v>1082</v>
      </c>
      <c r="H101" s="452" t="s">
        <v>1791</v>
      </c>
      <c r="I101" s="481">
        <v>157</v>
      </c>
      <c r="J101" s="453" t="s">
        <v>582</v>
      </c>
      <c r="K101" s="452" t="s">
        <v>2063</v>
      </c>
      <c r="L101" s="456" t="s">
        <v>2137</v>
      </c>
      <c r="M101" s="457">
        <v>46052</v>
      </c>
      <c r="N101" s="457">
        <v>46059</v>
      </c>
      <c r="O101" s="457">
        <v>46058</v>
      </c>
      <c r="P101" s="453" t="s">
        <v>214</v>
      </c>
      <c r="Q101" s="458">
        <v>1702.95</v>
      </c>
      <c r="R101" s="459">
        <v>0</v>
      </c>
      <c r="S101" s="459">
        <v>0</v>
      </c>
      <c r="T101" s="115">
        <f>SUM(mFEV[[#This Row],[PRINCIPAL]:[JUROS]])</f>
        <v>1702.95</v>
      </c>
      <c r="V101" s="115"/>
    </row>
    <row r="102" spans="2:22" ht="21" customHeight="1">
      <c r="B102" s="451" t="str">
        <f t="shared" si="1"/>
        <v>2/26</v>
      </c>
      <c r="C102" s="121" t="str">
        <f>VLOOKUP(mFEV[[#This Row],[CÓDIGO CONTABIL]],Contas_Gerencial[#All],3,FALSE)</f>
        <v>ENCARGOS</v>
      </c>
      <c r="D102" s="445" t="str">
        <f>VLOOKUP(mFEV[[#This Row],[DESCRIÇÃO CONTABIL]],Contas_Gerencial[[#All],[DESCRIÇÃO DA CONTA - NÃO UTILIZAR]:[Código2]],2,FALSE)</f>
        <v>20.04.006</v>
      </c>
      <c r="E102" s="452" t="s">
        <v>1180</v>
      </c>
      <c r="F102" s="452" t="s">
        <v>582</v>
      </c>
      <c r="G102" s="480" t="s">
        <v>1082</v>
      </c>
      <c r="H102" s="452" t="s">
        <v>1180</v>
      </c>
      <c r="I102" s="481">
        <v>157</v>
      </c>
      <c r="J102" s="453" t="s">
        <v>384</v>
      </c>
      <c r="K102" s="453" t="s">
        <v>1180</v>
      </c>
      <c r="L102" s="456" t="s">
        <v>2137</v>
      </c>
      <c r="M102" s="457">
        <v>46052</v>
      </c>
      <c r="N102" s="457">
        <v>46073</v>
      </c>
      <c r="O102" s="457">
        <v>46072</v>
      </c>
      <c r="P102" s="453" t="s">
        <v>214</v>
      </c>
      <c r="Q102" s="458">
        <v>152.01</v>
      </c>
      <c r="R102" s="459">
        <v>0</v>
      </c>
      <c r="S102" s="459">
        <v>0</v>
      </c>
      <c r="T102" s="115">
        <f>SUM(mFEV[[#This Row],[PRINCIPAL]:[JUROS]])</f>
        <v>152.01</v>
      </c>
    </row>
    <row r="103" spans="2:22" ht="21" customHeight="1">
      <c r="B103" s="451" t="str">
        <f t="shared" si="1"/>
        <v>2/26</v>
      </c>
      <c r="C103" s="121" t="str">
        <f>VLOOKUP(mFEV[[#This Row],[CÓDIGO CONTABIL]],Contas_Gerencial[#All],3,FALSE)</f>
        <v>ENCARGOS</v>
      </c>
      <c r="D103" s="445" t="str">
        <f>VLOOKUP(mFEV[[#This Row],[DESCRIÇÃO CONTABIL]],Contas_Gerencial[[#All],[DESCRIÇÃO DA CONTA - NÃO UTILIZAR]:[Código2]],2,FALSE)</f>
        <v>20.04.001</v>
      </c>
      <c r="E103" s="464" t="s">
        <v>2659</v>
      </c>
      <c r="F103" s="464" t="s">
        <v>582</v>
      </c>
      <c r="G103" s="464" t="s">
        <v>1082</v>
      </c>
      <c r="H103" s="464" t="s">
        <v>1788</v>
      </c>
      <c r="I103" s="984">
        <v>157</v>
      </c>
      <c r="J103" s="461" t="s">
        <v>757</v>
      </c>
      <c r="K103" s="461" t="s">
        <v>2089</v>
      </c>
      <c r="L103" s="462" t="s">
        <v>2137</v>
      </c>
      <c r="M103" s="463">
        <v>46052</v>
      </c>
      <c r="N103" s="463">
        <v>46073</v>
      </c>
      <c r="O103" s="463"/>
      <c r="P103" s="741" t="s">
        <v>1</v>
      </c>
      <c r="Q103" s="484">
        <f>148.24-65</f>
        <v>83.240000000000009</v>
      </c>
      <c r="R103" s="465">
        <v>0</v>
      </c>
      <c r="S103" s="465">
        <v>0</v>
      </c>
      <c r="T103" s="115">
        <f>SUM(mFEV[[#This Row],[PRINCIPAL]:[JUROS]])</f>
        <v>83.240000000000009</v>
      </c>
    </row>
    <row r="104" spans="2:22" ht="21" customHeight="1">
      <c r="B104" s="451" t="str">
        <f t="shared" si="1"/>
        <v>2/26</v>
      </c>
      <c r="C104" s="121" t="str">
        <f>VLOOKUP(mFEV[[#This Row],[CÓDIGO CONTABIL]],Contas_Gerencial[#All],3,FALSE)</f>
        <v>BENEFICIO</v>
      </c>
      <c r="D104" s="445" t="str">
        <f>VLOOKUP(mFEV[[#This Row],[DESCRIÇÃO CONTABIL]],Contas_Gerencial[[#All],[DESCRIÇÃO DA CONTA - NÃO UTILIZAR]:[Código2]],2,FALSE)</f>
        <v>20.05.006</v>
      </c>
      <c r="E104" s="480" t="s">
        <v>24</v>
      </c>
      <c r="F104" s="452" t="s">
        <v>582</v>
      </c>
      <c r="G104" s="480" t="s">
        <v>1082</v>
      </c>
      <c r="H104" s="452" t="s">
        <v>1791</v>
      </c>
      <c r="I104" s="481">
        <v>200226</v>
      </c>
      <c r="J104" s="453" t="s">
        <v>581</v>
      </c>
      <c r="K104" s="453" t="s">
        <v>2257</v>
      </c>
      <c r="L104" s="451" t="s">
        <v>2258</v>
      </c>
      <c r="M104" s="457">
        <v>46073</v>
      </c>
      <c r="N104" s="457">
        <v>46073</v>
      </c>
      <c r="O104" s="457">
        <v>46073</v>
      </c>
      <c r="P104" s="452" t="s">
        <v>214</v>
      </c>
      <c r="Q104" s="467">
        <v>1066.74</v>
      </c>
      <c r="R104" s="467">
        <v>0</v>
      </c>
      <c r="S104" s="467">
        <v>0</v>
      </c>
      <c r="T104" s="115">
        <f>SUM(mFEV[[#This Row],[PRINCIPAL]:[JUROS]])</f>
        <v>1066.74</v>
      </c>
    </row>
    <row r="105" spans="2:22" ht="21" customHeight="1">
      <c r="B105" s="451" t="str">
        <f t="shared" si="1"/>
        <v>2/26</v>
      </c>
      <c r="C105" s="121" t="str">
        <f>VLOOKUP(mFEV[[#This Row],[CÓDIGO CONTABIL]],Contas_Gerencial[#All],3,FALSE)</f>
        <v>BENEFICIO</v>
      </c>
      <c r="D105" s="445" t="str">
        <f>VLOOKUP(mFEV[[#This Row],[DESCRIÇÃO CONTABIL]],Contas_Gerencial[[#All],[DESCRIÇÃO DA CONTA - NÃO UTILIZAR]:[Código2]],2,FALSE)</f>
        <v>20.05.007</v>
      </c>
      <c r="E105" s="480" t="s">
        <v>25</v>
      </c>
      <c r="F105" s="452" t="s">
        <v>582</v>
      </c>
      <c r="G105" s="480" t="s">
        <v>1082</v>
      </c>
      <c r="H105" s="452" t="s">
        <v>1791</v>
      </c>
      <c r="I105" s="481">
        <v>200226</v>
      </c>
      <c r="J105" s="453" t="s">
        <v>581</v>
      </c>
      <c r="K105" s="453" t="s">
        <v>2257</v>
      </c>
      <c r="L105" s="451" t="s">
        <v>2258</v>
      </c>
      <c r="M105" s="457">
        <v>46073</v>
      </c>
      <c r="N105" s="457">
        <v>46073</v>
      </c>
      <c r="O105" s="457">
        <v>46073</v>
      </c>
      <c r="P105" s="452" t="s">
        <v>214</v>
      </c>
      <c r="Q105" s="467">
        <v>453.09999999999985</v>
      </c>
      <c r="R105" s="467">
        <v>0</v>
      </c>
      <c r="S105" s="467">
        <v>0</v>
      </c>
      <c r="T105" s="115">
        <f>SUM(mFEV[[#This Row],[PRINCIPAL]:[JUROS]])</f>
        <v>453.09999999999985</v>
      </c>
    </row>
    <row r="106" spans="2:22" ht="21" customHeight="1">
      <c r="B106" s="451" t="str">
        <f t="shared" si="1"/>
        <v>2/26</v>
      </c>
      <c r="C106" s="121" t="str">
        <f>VLOOKUP(mFEV[[#This Row],[CÓDIGO CONTABIL]],Contas_Gerencial[#All],3,FALSE)</f>
        <v>RECEITA SUBCONTA</v>
      </c>
      <c r="D106" s="445" t="str">
        <f>VLOOKUP(mFEV[[#This Row],[DESCRIÇÃO CONTABIL]],Contas_Gerencial[[#All],[DESCRIÇÃO DA CONTA - NÃO UTILIZAR]:[Código2]],2,FALSE)</f>
        <v>10.01.001</v>
      </c>
      <c r="E106" s="452" t="s">
        <v>90</v>
      </c>
      <c r="F106" s="452" t="s">
        <v>581</v>
      </c>
      <c r="G106" s="480" t="s">
        <v>595</v>
      </c>
      <c r="H106" s="452" t="s">
        <v>1788</v>
      </c>
      <c r="I106" s="481">
        <v>0</v>
      </c>
      <c r="J106" s="453" t="s">
        <v>581</v>
      </c>
      <c r="K106" s="453" t="s">
        <v>1792</v>
      </c>
      <c r="L106" s="456" t="s">
        <v>2137</v>
      </c>
      <c r="M106" s="457">
        <v>46052</v>
      </c>
      <c r="N106" s="457">
        <v>46058</v>
      </c>
      <c r="O106" s="457">
        <v>46058</v>
      </c>
      <c r="P106" s="452" t="s">
        <v>214</v>
      </c>
      <c r="Q106" s="458">
        <v>0</v>
      </c>
      <c r="R106" s="459">
        <v>0</v>
      </c>
      <c r="S106" s="459">
        <v>0</v>
      </c>
      <c r="T106" s="115">
        <f>SUM(mFEV[[#This Row],[PRINCIPAL]:[JUROS]])</f>
        <v>0</v>
      </c>
      <c r="V106" s="115"/>
    </row>
    <row r="107" spans="2:22" ht="21" customHeight="1">
      <c r="B107" s="451" t="str">
        <f t="shared" si="1"/>
        <v>2/26</v>
      </c>
      <c r="C107" s="121" t="str">
        <f>VLOOKUP(mFEV[[#This Row],[CÓDIGO CONTABIL]],Contas_Gerencial[#All],3,FALSE)</f>
        <v>FOLHA DE PAGAMENTO</v>
      </c>
      <c r="D107" s="445" t="str">
        <f>VLOOKUP(mFEV[[#This Row],[DESCRIÇÃO CONTABIL]],Contas_Gerencial[[#All],[DESCRIÇÃO DA CONTA - NÃO UTILIZAR]:[Código2]],2,FALSE)</f>
        <v>20.05.021</v>
      </c>
      <c r="E107" s="452" t="s">
        <v>59</v>
      </c>
      <c r="F107" s="452" t="s">
        <v>581</v>
      </c>
      <c r="G107" s="480" t="s">
        <v>595</v>
      </c>
      <c r="H107" s="452" t="s">
        <v>1791</v>
      </c>
      <c r="I107" s="481">
        <v>0</v>
      </c>
      <c r="J107" s="453" t="s">
        <v>581</v>
      </c>
      <c r="K107" s="453" t="s">
        <v>1973</v>
      </c>
      <c r="L107" s="456" t="s">
        <v>2137</v>
      </c>
      <c r="M107" s="457">
        <v>46055</v>
      </c>
      <c r="N107" s="457">
        <v>46059</v>
      </c>
      <c r="O107" s="457">
        <v>46058</v>
      </c>
      <c r="P107" s="453" t="s">
        <v>214</v>
      </c>
      <c r="Q107" s="483">
        <v>4526.7700000000004</v>
      </c>
      <c r="R107" s="459">
        <v>0</v>
      </c>
      <c r="S107" s="459">
        <v>0</v>
      </c>
      <c r="T107" s="115">
        <f>SUM(mFEV[[#This Row],[PRINCIPAL]:[JUROS]])</f>
        <v>4526.7700000000004</v>
      </c>
      <c r="V107" s="115"/>
    </row>
    <row r="108" spans="2:22" ht="21" customHeight="1">
      <c r="B108" s="451" t="str">
        <f t="shared" si="1"/>
        <v>2/26</v>
      </c>
      <c r="C108" s="121" t="str">
        <f>VLOOKUP(mFEV[[#This Row],[CÓDIGO CONTABIL]],Contas_Gerencial[#All],3,FALSE)</f>
        <v>ENCARGOS</v>
      </c>
      <c r="D108" s="445" t="str">
        <f>VLOOKUP(mFEV[[#This Row],[DESCRIÇÃO CONTABIL]],Contas_Gerencial[[#All],[DESCRIÇÃO DA CONTA - NÃO UTILIZAR]:[Código2]],2,FALSE)</f>
        <v>20.04.006</v>
      </c>
      <c r="E108" s="452" t="s">
        <v>1180</v>
      </c>
      <c r="F108" s="453" t="s">
        <v>581</v>
      </c>
      <c r="G108" s="480" t="s">
        <v>595</v>
      </c>
      <c r="H108" s="452" t="s">
        <v>1180</v>
      </c>
      <c r="I108" s="481">
        <v>0</v>
      </c>
      <c r="J108" s="453" t="s">
        <v>384</v>
      </c>
      <c r="K108" s="452" t="s">
        <v>1180</v>
      </c>
      <c r="L108" s="456" t="s">
        <v>2137</v>
      </c>
      <c r="M108" s="457">
        <v>46055</v>
      </c>
      <c r="N108" s="457">
        <v>46073</v>
      </c>
      <c r="O108" s="457">
        <v>46072</v>
      </c>
      <c r="P108" s="453" t="s">
        <v>214</v>
      </c>
      <c r="Q108" s="458">
        <v>270.68</v>
      </c>
      <c r="R108" s="459">
        <v>0</v>
      </c>
      <c r="S108" s="459">
        <v>0</v>
      </c>
      <c r="T108" s="115">
        <f>SUM(mFEV[[#This Row],[PRINCIPAL]:[JUROS]])</f>
        <v>270.68</v>
      </c>
    </row>
    <row r="109" spans="2:22" ht="21" customHeight="1">
      <c r="B109" s="451" t="str">
        <f t="shared" si="1"/>
        <v>2/26</v>
      </c>
      <c r="C109" s="121" t="str">
        <f>VLOOKUP(mFEV[[#This Row],[CÓDIGO CONTABIL]],Contas_Gerencial[#All],3,FALSE)</f>
        <v>ENCARGOS</v>
      </c>
      <c r="D109" s="445" t="str">
        <f>VLOOKUP(mFEV[[#This Row],[DESCRIÇÃO CONTABIL]],Contas_Gerencial[[#All],[DESCRIÇÃO DA CONTA - NÃO UTILIZAR]:[Código2]],2,FALSE)</f>
        <v>20.04.001</v>
      </c>
      <c r="E109" s="464" t="s">
        <v>2659</v>
      </c>
      <c r="F109" s="464" t="s">
        <v>581</v>
      </c>
      <c r="G109" s="986" t="s">
        <v>595</v>
      </c>
      <c r="H109" s="464" t="s">
        <v>1788</v>
      </c>
      <c r="I109" s="984">
        <v>0</v>
      </c>
      <c r="J109" s="461" t="s">
        <v>757</v>
      </c>
      <c r="K109" s="461" t="s">
        <v>2089</v>
      </c>
      <c r="L109" s="462" t="s">
        <v>2137</v>
      </c>
      <c r="M109" s="463">
        <v>46055</v>
      </c>
      <c r="N109" s="463">
        <v>46073</v>
      </c>
      <c r="O109" s="463"/>
      <c r="P109" s="464" t="s">
        <v>1</v>
      </c>
      <c r="Q109" s="993">
        <v>477.73</v>
      </c>
      <c r="R109" s="465">
        <v>0</v>
      </c>
      <c r="S109" s="465">
        <v>0</v>
      </c>
      <c r="T109" s="115">
        <f>SUM(mFEV[[#This Row],[PRINCIPAL]:[JUROS]])</f>
        <v>477.73</v>
      </c>
    </row>
    <row r="110" spans="2:22" ht="21" customHeight="1">
      <c r="B110" s="451" t="str">
        <f t="shared" si="1"/>
        <v>2/26</v>
      </c>
      <c r="C110" s="121" t="str">
        <f>VLOOKUP(mFEV[[#This Row],[CÓDIGO CONTABIL]],Contas_Gerencial[#All],3,FALSE)</f>
        <v>BENEFICIO</v>
      </c>
      <c r="D110" s="445" t="str">
        <f>VLOOKUP(mFEV[[#This Row],[DESCRIÇÃO CONTABIL]],Contas_Gerencial[[#All],[DESCRIÇÃO DA CONTA - NÃO UTILIZAR]:[Código2]],2,FALSE)</f>
        <v>20.05.006</v>
      </c>
      <c r="E110" s="480" t="s">
        <v>24</v>
      </c>
      <c r="F110" s="452" t="s">
        <v>581</v>
      </c>
      <c r="G110" s="480" t="s">
        <v>595</v>
      </c>
      <c r="H110" s="452" t="s">
        <v>1791</v>
      </c>
      <c r="I110" s="481">
        <v>200226</v>
      </c>
      <c r="J110" s="453" t="s">
        <v>581</v>
      </c>
      <c r="K110" s="453" t="s">
        <v>2257</v>
      </c>
      <c r="L110" s="451" t="s">
        <v>2258</v>
      </c>
      <c r="M110" s="457">
        <v>46073</v>
      </c>
      <c r="N110" s="457">
        <v>46073</v>
      </c>
      <c r="O110" s="457">
        <v>46073</v>
      </c>
      <c r="P110" s="452" t="s">
        <v>214</v>
      </c>
      <c r="Q110" s="467">
        <v>2226.2400000000002</v>
      </c>
      <c r="R110" s="467">
        <v>0</v>
      </c>
      <c r="S110" s="467">
        <v>0</v>
      </c>
      <c r="T110" s="115">
        <f>SUM(mFEV[[#This Row],[PRINCIPAL]:[JUROS]])</f>
        <v>2226.2400000000002</v>
      </c>
    </row>
    <row r="111" spans="2:22" ht="21" customHeight="1">
      <c r="B111" s="451" t="str">
        <f t="shared" si="1"/>
        <v>2/26</v>
      </c>
      <c r="C111" s="121" t="str">
        <f>VLOOKUP(mFEV[[#This Row],[CÓDIGO CONTABIL]],Contas_Gerencial[#All],3,FALSE)</f>
        <v>BENEFICIO</v>
      </c>
      <c r="D111" s="445" t="str">
        <f>VLOOKUP(mFEV[[#This Row],[DESCRIÇÃO CONTABIL]],Contas_Gerencial[[#All],[DESCRIÇÃO DA CONTA - NÃO UTILIZAR]:[Código2]],2,FALSE)</f>
        <v>20.05.007</v>
      </c>
      <c r="E111" s="480" t="s">
        <v>25</v>
      </c>
      <c r="F111" s="452" t="s">
        <v>581</v>
      </c>
      <c r="G111" s="480" t="s">
        <v>595</v>
      </c>
      <c r="H111" s="452" t="s">
        <v>1791</v>
      </c>
      <c r="I111" s="481">
        <v>200226</v>
      </c>
      <c r="J111" s="453" t="s">
        <v>581</v>
      </c>
      <c r="K111" s="453" t="s">
        <v>2257</v>
      </c>
      <c r="L111" s="451" t="s">
        <v>2258</v>
      </c>
      <c r="M111" s="457">
        <v>46073</v>
      </c>
      <c r="N111" s="457">
        <v>46073</v>
      </c>
      <c r="O111" s="457">
        <v>46073</v>
      </c>
      <c r="P111" s="452" t="s">
        <v>214</v>
      </c>
      <c r="Q111" s="467">
        <v>528</v>
      </c>
      <c r="R111" s="467">
        <v>0</v>
      </c>
      <c r="S111" s="467">
        <v>0</v>
      </c>
      <c r="T111" s="115">
        <f>SUM(mFEV[[#This Row],[PRINCIPAL]:[JUROS]])</f>
        <v>528</v>
      </c>
    </row>
    <row r="112" spans="2:22" ht="21" customHeight="1">
      <c r="B112" s="451" t="str">
        <f t="shared" si="1"/>
        <v>2/26</v>
      </c>
      <c r="C112" s="121" t="str">
        <f>VLOOKUP(mFEV[[#This Row],[CÓDIGO CONTABIL]],Contas_Gerencial[#All],3,FALSE)</f>
        <v>RECEITA SUBCONTA</v>
      </c>
      <c r="D112" s="445" t="str">
        <f>VLOOKUP(mFEV[[#This Row],[DESCRIÇÃO CONTABIL]],Contas_Gerencial[[#All],[DESCRIÇÃO DA CONTA - NÃO UTILIZAR]:[Código2]],2,FALSE)</f>
        <v>10.01.001</v>
      </c>
      <c r="E112" s="452" t="s">
        <v>90</v>
      </c>
      <c r="F112" s="452" t="s">
        <v>581</v>
      </c>
      <c r="G112" s="480" t="s">
        <v>1130</v>
      </c>
      <c r="H112" s="452" t="s">
        <v>1788</v>
      </c>
      <c r="I112" s="481" t="s">
        <v>2065</v>
      </c>
      <c r="J112" s="453" t="s">
        <v>581</v>
      </c>
      <c r="K112" s="453" t="s">
        <v>1792</v>
      </c>
      <c r="L112" s="456" t="s">
        <v>2137</v>
      </c>
      <c r="M112" s="457">
        <v>46052</v>
      </c>
      <c r="N112" s="457">
        <v>46058</v>
      </c>
      <c r="O112" s="457">
        <v>46058</v>
      </c>
      <c r="P112" s="452" t="s">
        <v>214</v>
      </c>
      <c r="Q112" s="458">
        <v>0</v>
      </c>
      <c r="R112" s="459">
        <v>0</v>
      </c>
      <c r="S112" s="459">
        <v>0</v>
      </c>
      <c r="T112" s="115">
        <f>SUM(mFEV[[#This Row],[PRINCIPAL]:[JUROS]])</f>
        <v>0</v>
      </c>
      <c r="V112" s="115"/>
    </row>
    <row r="113" spans="2:22" ht="21" customHeight="1">
      <c r="B113" s="451" t="str">
        <f t="shared" si="1"/>
        <v>2/26</v>
      </c>
      <c r="C113" s="121" t="str">
        <f>VLOOKUP(mFEV[[#This Row],[CÓDIGO CONTABIL]],Contas_Gerencial[#All],3,FALSE)</f>
        <v>FOLHA DE PAGAMENTO</v>
      </c>
      <c r="D113" s="445" t="str">
        <f>VLOOKUP(mFEV[[#This Row],[DESCRIÇÃO CONTABIL]],Contas_Gerencial[[#All],[DESCRIÇÃO DA CONTA - NÃO UTILIZAR]:[Código2]],2,FALSE)</f>
        <v>20.05.021</v>
      </c>
      <c r="E113" s="452" t="s">
        <v>59</v>
      </c>
      <c r="F113" s="453" t="s">
        <v>581</v>
      </c>
      <c r="G113" s="453" t="s">
        <v>1130</v>
      </c>
      <c r="H113" s="453" t="s">
        <v>1791</v>
      </c>
      <c r="I113" s="481">
        <v>50226</v>
      </c>
      <c r="J113" s="453" t="s">
        <v>581</v>
      </c>
      <c r="K113" s="503" t="s">
        <v>2152</v>
      </c>
      <c r="L113" s="456" t="s">
        <v>2137</v>
      </c>
      <c r="M113" s="457">
        <v>46055</v>
      </c>
      <c r="N113" s="457">
        <v>46059</v>
      </c>
      <c r="O113" s="457">
        <v>46058</v>
      </c>
      <c r="P113" s="453" t="s">
        <v>214</v>
      </c>
      <c r="Q113" s="483">
        <v>4837.3100000000004</v>
      </c>
      <c r="R113" s="459">
        <v>0</v>
      </c>
      <c r="S113" s="459">
        <v>0</v>
      </c>
      <c r="T113" s="115">
        <f>SUM(mFEV[[#This Row],[PRINCIPAL]:[JUROS]])</f>
        <v>4837.3100000000004</v>
      </c>
      <c r="V113" s="115"/>
    </row>
    <row r="114" spans="2:22" ht="21" customHeight="1">
      <c r="B114" s="451" t="str">
        <f t="shared" si="1"/>
        <v>2/26</v>
      </c>
      <c r="C114" s="121" t="str">
        <f>VLOOKUP(mFEV[[#This Row],[CÓDIGO CONTABIL]],Contas_Gerencial[#All],3,FALSE)</f>
        <v>ENCARGOS</v>
      </c>
      <c r="D114" s="445" t="str">
        <f>VLOOKUP(mFEV[[#This Row],[DESCRIÇÃO CONTABIL]],Contas_Gerencial[[#All],[DESCRIÇÃO DA CONTA - NÃO UTILIZAR]:[Código2]],2,FALSE)</f>
        <v>20.04.006</v>
      </c>
      <c r="E114" s="452" t="s">
        <v>1180</v>
      </c>
      <c r="F114" s="453" t="s">
        <v>581</v>
      </c>
      <c r="G114" s="453" t="s">
        <v>1130</v>
      </c>
      <c r="H114" s="452" t="s">
        <v>1180</v>
      </c>
      <c r="I114" s="481">
        <v>0</v>
      </c>
      <c r="J114" s="453" t="s">
        <v>384</v>
      </c>
      <c r="K114" s="452" t="s">
        <v>1180</v>
      </c>
      <c r="L114" s="456" t="s">
        <v>2137</v>
      </c>
      <c r="M114" s="457">
        <v>46055</v>
      </c>
      <c r="N114" s="457">
        <v>46073</v>
      </c>
      <c r="O114" s="457">
        <v>46072</v>
      </c>
      <c r="P114" s="453" t="s">
        <v>214</v>
      </c>
      <c r="Q114" s="483">
        <v>446.22</v>
      </c>
      <c r="R114" s="459">
        <v>0</v>
      </c>
      <c r="S114" s="459">
        <v>0</v>
      </c>
      <c r="T114" s="115">
        <f>SUM(mFEV[[#This Row],[PRINCIPAL]:[JUROS]])</f>
        <v>446.22</v>
      </c>
    </row>
    <row r="115" spans="2:22" ht="21" customHeight="1">
      <c r="B115" s="451" t="str">
        <f t="shared" si="1"/>
        <v>2/26</v>
      </c>
      <c r="C115" s="121" t="str">
        <f>VLOOKUP(mFEV[[#This Row],[CÓDIGO CONTABIL]],Contas_Gerencial[#All],3,FALSE)</f>
        <v>ENCARGOS</v>
      </c>
      <c r="D115" s="445" t="str">
        <f>VLOOKUP(mFEV[[#This Row],[DESCRIÇÃO CONTABIL]],Contas_Gerencial[[#All],[DESCRIÇÃO DA CONTA - NÃO UTILIZAR]:[Código2]],2,FALSE)</f>
        <v>20.04.001</v>
      </c>
      <c r="E115" s="464" t="s">
        <v>2659</v>
      </c>
      <c r="F115" s="464" t="s">
        <v>581</v>
      </c>
      <c r="G115" s="461" t="s">
        <v>1130</v>
      </c>
      <c r="H115" s="464" t="s">
        <v>1788</v>
      </c>
      <c r="I115" s="984" t="s">
        <v>2065</v>
      </c>
      <c r="J115" s="461" t="s">
        <v>757</v>
      </c>
      <c r="K115" s="461" t="s">
        <v>2089</v>
      </c>
      <c r="L115" s="462" t="s">
        <v>2137</v>
      </c>
      <c r="M115" s="463">
        <v>46055</v>
      </c>
      <c r="N115" s="463">
        <v>46073</v>
      </c>
      <c r="O115" s="463"/>
      <c r="P115" s="464" t="s">
        <v>1</v>
      </c>
      <c r="Q115" s="993">
        <f>433.69-65</f>
        <v>368.69</v>
      </c>
      <c r="R115" s="465">
        <v>0</v>
      </c>
      <c r="S115" s="465">
        <v>0</v>
      </c>
      <c r="T115" s="115">
        <f>SUM(mFEV[[#This Row],[PRINCIPAL]:[JUROS]])</f>
        <v>368.69</v>
      </c>
    </row>
    <row r="116" spans="2:22" ht="21" customHeight="1">
      <c r="B116" s="451" t="str">
        <f t="shared" si="1"/>
        <v>2/26</v>
      </c>
      <c r="C116" s="121" t="str">
        <f>VLOOKUP(mFEV[[#This Row],[CÓDIGO CONTABIL]],Contas_Gerencial[#All],3,FALSE)</f>
        <v>BENEFICIO</v>
      </c>
      <c r="D116" s="445" t="str">
        <f>VLOOKUP(mFEV[[#This Row],[DESCRIÇÃO CONTABIL]],Contas_Gerencial[[#All],[DESCRIÇÃO DA CONTA - NÃO UTILIZAR]:[Código2]],2,FALSE)</f>
        <v>20.05.006</v>
      </c>
      <c r="E116" s="480" t="s">
        <v>24</v>
      </c>
      <c r="F116" s="452" t="s">
        <v>581</v>
      </c>
      <c r="G116" s="480" t="s">
        <v>1130</v>
      </c>
      <c r="H116" s="452" t="s">
        <v>1791</v>
      </c>
      <c r="I116" s="481">
        <v>200226</v>
      </c>
      <c r="J116" s="453" t="s">
        <v>581</v>
      </c>
      <c r="K116" s="453" t="s">
        <v>2257</v>
      </c>
      <c r="L116" s="451" t="s">
        <v>2258</v>
      </c>
      <c r="M116" s="457">
        <v>46073</v>
      </c>
      <c r="N116" s="457">
        <v>46073</v>
      </c>
      <c r="O116" s="457">
        <v>46073</v>
      </c>
      <c r="P116" s="452" t="s">
        <v>214</v>
      </c>
      <c r="Q116" s="467">
        <v>1994.3400000000001</v>
      </c>
      <c r="R116" s="467">
        <v>0</v>
      </c>
      <c r="S116" s="467">
        <v>0</v>
      </c>
      <c r="T116" s="115">
        <f>SUM(mFEV[[#This Row],[PRINCIPAL]:[JUROS]])</f>
        <v>1994.3400000000001</v>
      </c>
    </row>
    <row r="117" spans="2:22" ht="21" customHeight="1">
      <c r="B117" s="451" t="str">
        <f t="shared" si="1"/>
        <v>2/26</v>
      </c>
      <c r="C117" s="121" t="str">
        <f>VLOOKUP(mFEV[[#This Row],[CÓDIGO CONTABIL]],Contas_Gerencial[#All],3,FALSE)</f>
        <v>BENEFICIO</v>
      </c>
      <c r="D117" s="445" t="str">
        <f>VLOOKUP(mFEV[[#This Row],[DESCRIÇÃO CONTABIL]],Contas_Gerencial[[#All],[DESCRIÇÃO DA CONTA - NÃO UTILIZAR]:[Código2]],2,FALSE)</f>
        <v>20.05.007</v>
      </c>
      <c r="E117" s="480" t="s">
        <v>25</v>
      </c>
      <c r="F117" s="452" t="s">
        <v>581</v>
      </c>
      <c r="G117" s="480" t="s">
        <v>1130</v>
      </c>
      <c r="H117" s="452" t="s">
        <v>1791</v>
      </c>
      <c r="I117" s="481">
        <v>200226</v>
      </c>
      <c r="J117" s="453" t="s">
        <v>581</v>
      </c>
      <c r="K117" s="453" t="s">
        <v>2257</v>
      </c>
      <c r="L117" s="451" t="s">
        <v>2258</v>
      </c>
      <c r="M117" s="457">
        <v>46073</v>
      </c>
      <c r="N117" s="457">
        <v>46073</v>
      </c>
      <c r="O117" s="457">
        <v>46073</v>
      </c>
      <c r="P117" s="452" t="s">
        <v>214</v>
      </c>
      <c r="Q117" s="467">
        <v>451</v>
      </c>
      <c r="R117" s="467">
        <v>0</v>
      </c>
      <c r="S117" s="467">
        <v>0</v>
      </c>
      <c r="T117" s="115">
        <f>SUM(mFEV[[#This Row],[PRINCIPAL]:[JUROS]])</f>
        <v>451</v>
      </c>
    </row>
    <row r="118" spans="2:22" ht="21" customHeight="1">
      <c r="B118" s="451" t="str">
        <f t="shared" si="1"/>
        <v>2/26</v>
      </c>
      <c r="C118" s="121" t="str">
        <f>VLOOKUP(mFEV[[#This Row],[CÓDIGO CONTABIL]],Contas_Gerencial[#All],3,FALSE)</f>
        <v>FOLHA DE PAGAMENTO</v>
      </c>
      <c r="D118" s="445" t="str">
        <f>VLOOKUP(mFEV[[#This Row],[DESCRIÇÃO CONTABIL]],Contas_Gerencial[[#All],[DESCRIÇÃO DA CONTA - NÃO UTILIZAR]:[Código2]],2,FALSE)</f>
        <v>20.05.021</v>
      </c>
      <c r="E118" s="452" t="s">
        <v>59</v>
      </c>
      <c r="F118" s="453" t="s">
        <v>581</v>
      </c>
      <c r="G118" s="453" t="s">
        <v>653</v>
      </c>
      <c r="H118" s="453" t="s">
        <v>1791</v>
      </c>
      <c r="I118" s="481">
        <v>158</v>
      </c>
      <c r="J118" s="453" t="s">
        <v>581</v>
      </c>
      <c r="K118" s="453" t="s">
        <v>2145</v>
      </c>
      <c r="L118" s="456" t="s">
        <v>2137</v>
      </c>
      <c r="M118" s="457">
        <v>46055</v>
      </c>
      <c r="N118" s="457">
        <v>46059</v>
      </c>
      <c r="O118" s="457">
        <v>46058</v>
      </c>
      <c r="P118" s="453" t="s">
        <v>214</v>
      </c>
      <c r="Q118" s="483">
        <v>1637.95</v>
      </c>
      <c r="R118" s="459">
        <v>0</v>
      </c>
      <c r="S118" s="459">
        <v>0</v>
      </c>
      <c r="T118" s="115">
        <f>SUM(mFEV[[#This Row],[PRINCIPAL]:[JUROS]])</f>
        <v>1637.95</v>
      </c>
      <c r="V118" s="115"/>
    </row>
    <row r="119" spans="2:22" ht="21" customHeight="1">
      <c r="B119" s="451" t="str">
        <f t="shared" si="1"/>
        <v>2/26</v>
      </c>
      <c r="C119" s="121" t="str">
        <f>VLOOKUP(mFEV[[#This Row],[CÓDIGO CONTABIL]],Contas_Gerencial[#All],3,FALSE)</f>
        <v>ENCARGOS</v>
      </c>
      <c r="D119" s="445" t="str">
        <f>VLOOKUP(mFEV[[#This Row],[DESCRIÇÃO CONTABIL]],Contas_Gerencial[[#All],[DESCRIÇÃO DA CONTA - NÃO UTILIZAR]:[Código2]],2,FALSE)</f>
        <v>20.04.006</v>
      </c>
      <c r="E119" s="452" t="s">
        <v>1180</v>
      </c>
      <c r="F119" s="453" t="s">
        <v>581</v>
      </c>
      <c r="G119" s="453" t="s">
        <v>653</v>
      </c>
      <c r="H119" s="452" t="s">
        <v>1180</v>
      </c>
      <c r="I119" s="481">
        <v>158</v>
      </c>
      <c r="J119" s="453" t="s">
        <v>384</v>
      </c>
      <c r="K119" s="452" t="s">
        <v>1180</v>
      </c>
      <c r="L119" s="456" t="s">
        <v>2137</v>
      </c>
      <c r="M119" s="457">
        <v>46055</v>
      </c>
      <c r="N119" s="457">
        <v>46073</v>
      </c>
      <c r="O119" s="457">
        <v>46072</v>
      </c>
      <c r="P119" s="453" t="s">
        <v>214</v>
      </c>
      <c r="Q119" s="483">
        <v>152.01</v>
      </c>
      <c r="R119" s="459">
        <v>0</v>
      </c>
      <c r="S119" s="459">
        <v>0</v>
      </c>
      <c r="T119" s="115">
        <f>SUM(mFEV[[#This Row],[PRINCIPAL]:[JUROS]])</f>
        <v>152.01</v>
      </c>
    </row>
    <row r="120" spans="2:22" ht="21" customHeight="1">
      <c r="B120" s="451" t="str">
        <f t="shared" si="1"/>
        <v>2/26</v>
      </c>
      <c r="C120" s="121" t="str">
        <f>VLOOKUP(mFEV[[#This Row],[CÓDIGO CONTABIL]],Contas_Gerencial[#All],3,FALSE)</f>
        <v>ENCARGOS</v>
      </c>
      <c r="D120" s="445" t="str">
        <f>VLOOKUP(mFEV[[#This Row],[DESCRIÇÃO CONTABIL]],Contas_Gerencial[[#All],[DESCRIÇÃO DA CONTA - NÃO UTILIZAR]:[Código2]],2,FALSE)</f>
        <v>20.04.001</v>
      </c>
      <c r="E120" s="464" t="s">
        <v>2659</v>
      </c>
      <c r="F120" s="464" t="s">
        <v>581</v>
      </c>
      <c r="G120" s="461" t="s">
        <v>653</v>
      </c>
      <c r="H120" s="464" t="s">
        <v>1788</v>
      </c>
      <c r="I120" s="984">
        <v>158</v>
      </c>
      <c r="J120" s="461" t="s">
        <v>757</v>
      </c>
      <c r="K120" s="461" t="s">
        <v>2089</v>
      </c>
      <c r="L120" s="462" t="s">
        <v>2137</v>
      </c>
      <c r="M120" s="463">
        <v>46055</v>
      </c>
      <c r="N120" s="463">
        <v>46073</v>
      </c>
      <c r="O120" s="463"/>
      <c r="P120" s="464" t="s">
        <v>1</v>
      </c>
      <c r="Q120" s="993">
        <v>148.24</v>
      </c>
      <c r="R120" s="465">
        <v>0</v>
      </c>
      <c r="S120" s="465">
        <v>0</v>
      </c>
      <c r="T120" s="115">
        <f>SUM(mFEV[[#This Row],[PRINCIPAL]:[JUROS]])</f>
        <v>148.24</v>
      </c>
    </row>
    <row r="121" spans="2:22" ht="21" customHeight="1">
      <c r="B121" s="451" t="str">
        <f t="shared" si="1"/>
        <v>2/26</v>
      </c>
      <c r="C121" s="121" t="str">
        <f>VLOOKUP(mFEV[[#This Row],[CÓDIGO CONTABIL]],Contas_Gerencial[#All],3,FALSE)</f>
        <v>BENEFICIO</v>
      </c>
      <c r="D121" s="445" t="str">
        <f>VLOOKUP(mFEV[[#This Row],[DESCRIÇÃO CONTABIL]],Contas_Gerencial[[#All],[DESCRIÇÃO DA CONTA - NÃO UTILIZAR]:[Código2]],2,FALSE)</f>
        <v>20.05.006</v>
      </c>
      <c r="E121" s="480" t="s">
        <v>24</v>
      </c>
      <c r="F121" s="452" t="s">
        <v>581</v>
      </c>
      <c r="G121" s="453" t="s">
        <v>653</v>
      </c>
      <c r="H121" s="452" t="s">
        <v>1791</v>
      </c>
      <c r="I121" s="481">
        <v>200226</v>
      </c>
      <c r="J121" s="453" t="s">
        <v>581</v>
      </c>
      <c r="K121" s="453" t="s">
        <v>2375</v>
      </c>
      <c r="L121" s="451" t="s">
        <v>2258</v>
      </c>
      <c r="M121" s="457">
        <v>46073</v>
      </c>
      <c r="N121" s="457">
        <v>46073</v>
      </c>
      <c r="O121" s="457">
        <v>46073</v>
      </c>
      <c r="P121" s="452" t="s">
        <v>214</v>
      </c>
      <c r="Q121" s="467">
        <v>1298.6400000000001</v>
      </c>
      <c r="R121" s="467">
        <v>0</v>
      </c>
      <c r="S121" s="467">
        <v>0</v>
      </c>
      <c r="T121" s="115">
        <f>SUM(mFEV[[#This Row],[PRINCIPAL]:[JUROS]])</f>
        <v>1298.6400000000001</v>
      </c>
    </row>
    <row r="122" spans="2:22" ht="21" customHeight="1">
      <c r="B122" s="451" t="str">
        <f t="shared" si="1"/>
        <v>2/26</v>
      </c>
      <c r="C122" s="121" t="str">
        <f>VLOOKUP(mFEV[[#This Row],[CÓDIGO CONTABIL]],Contas_Gerencial[#All],3,FALSE)</f>
        <v>BENEFICIO</v>
      </c>
      <c r="D122" s="445" t="str">
        <f>VLOOKUP(mFEV[[#This Row],[DESCRIÇÃO CONTABIL]],Contas_Gerencial[[#All],[DESCRIÇÃO DA CONTA - NÃO UTILIZAR]:[Código2]],2,FALSE)</f>
        <v>20.05.007</v>
      </c>
      <c r="E122" s="480" t="s">
        <v>25</v>
      </c>
      <c r="F122" s="452" t="s">
        <v>581</v>
      </c>
      <c r="G122" s="453" t="s">
        <v>653</v>
      </c>
      <c r="H122" s="452" t="s">
        <v>1791</v>
      </c>
      <c r="I122" s="481">
        <v>200226</v>
      </c>
      <c r="J122" s="453" t="s">
        <v>581</v>
      </c>
      <c r="K122" s="453" t="s">
        <v>2375</v>
      </c>
      <c r="L122" s="451" t="s">
        <v>2258</v>
      </c>
      <c r="M122" s="457">
        <v>46073</v>
      </c>
      <c r="N122" s="457">
        <v>46073</v>
      </c>
      <c r="O122" s="457">
        <v>46073</v>
      </c>
      <c r="P122" s="452" t="s">
        <v>214</v>
      </c>
      <c r="Q122" s="467">
        <v>182.39999999999998</v>
      </c>
      <c r="R122" s="467">
        <v>0</v>
      </c>
      <c r="S122" s="467">
        <v>0</v>
      </c>
      <c r="T122" s="115">
        <f>SUM(mFEV[[#This Row],[PRINCIPAL]:[JUROS]])</f>
        <v>182.39999999999998</v>
      </c>
    </row>
    <row r="123" spans="2:22" ht="21" customHeight="1">
      <c r="B123" s="451" t="str">
        <f t="shared" si="1"/>
        <v>2/26</v>
      </c>
      <c r="C123" s="121" t="str">
        <f>VLOOKUP(mFEV[[#This Row],[CÓDIGO CONTABIL]],Contas_Gerencial[#All],3,FALSE)</f>
        <v>RECEITA SUBCONTA</v>
      </c>
      <c r="D123" s="445" t="str">
        <f>VLOOKUP(mFEV[[#This Row],[DESCRIÇÃO CONTABIL]],Contas_Gerencial[[#All],[DESCRIÇÃO DA CONTA - NÃO UTILIZAR]:[Código2]],2,FALSE)</f>
        <v>10.01.001</v>
      </c>
      <c r="E123" s="452" t="s">
        <v>90</v>
      </c>
      <c r="F123" s="452" t="s">
        <v>581</v>
      </c>
      <c r="G123" s="480" t="s">
        <v>1834</v>
      </c>
      <c r="H123" s="452" t="s">
        <v>1788</v>
      </c>
      <c r="I123" s="481">
        <v>186</v>
      </c>
      <c r="J123" s="453" t="s">
        <v>581</v>
      </c>
      <c r="K123" s="453" t="s">
        <v>1792</v>
      </c>
      <c r="L123" s="456" t="s">
        <v>2137</v>
      </c>
      <c r="M123" s="457">
        <v>46052</v>
      </c>
      <c r="N123" s="457">
        <v>46063</v>
      </c>
      <c r="O123" s="457">
        <v>46066</v>
      </c>
      <c r="P123" s="452" t="s">
        <v>214</v>
      </c>
      <c r="Q123" s="458">
        <v>6699</v>
      </c>
      <c r="R123" s="459">
        <v>0</v>
      </c>
      <c r="S123" s="459">
        <v>0</v>
      </c>
      <c r="T123" s="115">
        <f>SUM(mFEV[[#This Row],[PRINCIPAL]:[JUROS]])</f>
        <v>6699</v>
      </c>
      <c r="V123" s="115"/>
    </row>
    <row r="124" spans="2:22" ht="21" customHeight="1">
      <c r="B124" s="451" t="str">
        <f t="shared" si="1"/>
        <v>2/26</v>
      </c>
      <c r="C124" s="121" t="str">
        <f>VLOOKUP(mFEV[[#This Row],[CÓDIGO CONTABIL]],Contas_Gerencial[#All],3,FALSE)</f>
        <v>ENCARGOS</v>
      </c>
      <c r="D124" s="445" t="str">
        <f>VLOOKUP(mFEV[[#This Row],[DESCRIÇÃO CONTABIL]],Contas_Gerencial[[#All],[DESCRIÇÃO DA CONTA - NÃO UTILIZAR]:[Código2]],2,FALSE)</f>
        <v>20.04.004</v>
      </c>
      <c r="E124" s="452" t="s">
        <v>2651</v>
      </c>
      <c r="F124" s="452" t="s">
        <v>581</v>
      </c>
      <c r="G124" s="480" t="s">
        <v>1834</v>
      </c>
      <c r="H124" s="452" t="s">
        <v>1788</v>
      </c>
      <c r="I124" s="481">
        <v>186</v>
      </c>
      <c r="J124" s="453" t="s">
        <v>264</v>
      </c>
      <c r="K124" s="453" t="s">
        <v>2113</v>
      </c>
      <c r="L124" s="456" t="s">
        <v>2137</v>
      </c>
      <c r="M124" s="457">
        <v>46052</v>
      </c>
      <c r="N124" s="457">
        <v>46073</v>
      </c>
      <c r="O124" s="457">
        <v>46073</v>
      </c>
      <c r="P124" s="453" t="s">
        <v>214</v>
      </c>
      <c r="Q124" s="482">
        <v>313.02999999999997</v>
      </c>
      <c r="R124" s="459">
        <v>0</v>
      </c>
      <c r="S124" s="459">
        <v>0</v>
      </c>
      <c r="T124" s="115">
        <f>SUM(mFEV[[#This Row],[PRINCIPAL]:[JUROS]])</f>
        <v>313.02999999999997</v>
      </c>
      <c r="V124" s="115"/>
    </row>
    <row r="125" spans="2:22" ht="21" customHeight="1">
      <c r="B125" s="451" t="str">
        <f t="shared" si="1"/>
        <v>2/26</v>
      </c>
      <c r="C125" s="121" t="str">
        <f>VLOOKUP(mFEV[[#This Row],[CÓDIGO CONTABIL]],Contas_Gerencial[#All],3,FALSE)</f>
        <v>TRIBUTOS</v>
      </c>
      <c r="D125" s="445" t="str">
        <f>VLOOKUP(mFEV[[#This Row],[DESCRIÇÃO CONTABIL]],Contas_Gerencial[[#All],[DESCRIÇÃO DA CONTA - NÃO UTILIZAR]:[Código2]],2,FALSE)</f>
        <v>20.08.004</v>
      </c>
      <c r="E125" s="452" t="s">
        <v>2648</v>
      </c>
      <c r="F125" s="452" t="s">
        <v>581</v>
      </c>
      <c r="G125" s="480" t="s">
        <v>1834</v>
      </c>
      <c r="H125" s="452" t="s">
        <v>1788</v>
      </c>
      <c r="I125" s="481">
        <v>186</v>
      </c>
      <c r="J125" s="453" t="s">
        <v>654</v>
      </c>
      <c r="K125" s="453" t="s">
        <v>2114</v>
      </c>
      <c r="L125" s="456" t="s">
        <v>2137</v>
      </c>
      <c r="M125" s="457">
        <v>46052</v>
      </c>
      <c r="N125" s="457">
        <v>46073</v>
      </c>
      <c r="O125" s="457">
        <v>46073</v>
      </c>
      <c r="P125" s="453" t="s">
        <v>214</v>
      </c>
      <c r="Q125" s="458">
        <v>289.3914084507042</v>
      </c>
      <c r="R125" s="459">
        <v>0</v>
      </c>
      <c r="S125" s="459">
        <v>0</v>
      </c>
      <c r="T125" s="115">
        <f>SUM(mFEV[[#This Row],[PRINCIPAL]:[JUROS]])</f>
        <v>289.3914084507042</v>
      </c>
    </row>
    <row r="126" spans="2:22" ht="21" customHeight="1">
      <c r="B126" s="451" t="str">
        <f t="shared" si="1"/>
        <v>2/26</v>
      </c>
      <c r="C126" s="121" t="str">
        <f>VLOOKUP(mFEV[[#This Row],[CÓDIGO CONTABIL]],Contas_Gerencial[#All],3,FALSE)</f>
        <v>TRIBUTOS</v>
      </c>
      <c r="D126" s="445" t="str">
        <f>VLOOKUP(mFEV[[#This Row],[DESCRIÇÃO CONTABIL]],Contas_Gerencial[[#All],[DESCRIÇÃO DA CONTA - NÃO UTILIZAR]:[Código2]],2,FALSE)</f>
        <v>20.08.001</v>
      </c>
      <c r="E126" s="452" t="s">
        <v>2112</v>
      </c>
      <c r="F126" s="452" t="s">
        <v>581</v>
      </c>
      <c r="G126" s="480" t="s">
        <v>1834</v>
      </c>
      <c r="H126" s="452" t="s">
        <v>1788</v>
      </c>
      <c r="I126" s="481">
        <v>186</v>
      </c>
      <c r="J126" s="453" t="s">
        <v>654</v>
      </c>
      <c r="K126" s="453" t="s">
        <v>1907</v>
      </c>
      <c r="L126" s="456" t="s">
        <v>2137</v>
      </c>
      <c r="M126" s="457">
        <v>46052</v>
      </c>
      <c r="N126" s="457">
        <v>46073</v>
      </c>
      <c r="O126" s="457">
        <v>46072</v>
      </c>
      <c r="P126" s="453" t="s">
        <v>214</v>
      </c>
      <c r="Q126" s="458">
        <v>0</v>
      </c>
      <c r="R126" s="459">
        <v>0</v>
      </c>
      <c r="S126" s="459">
        <v>0</v>
      </c>
      <c r="T126" s="115">
        <f>SUM(mFEV[[#This Row],[PRINCIPAL]:[JUROS]])</f>
        <v>0</v>
      </c>
    </row>
    <row r="127" spans="2:22" ht="21" customHeight="1">
      <c r="B127" s="451" t="str">
        <f t="shared" si="1"/>
        <v>2/26</v>
      </c>
      <c r="C127" s="121" t="str">
        <f>VLOOKUP(mFEV[[#This Row],[CÓDIGO CONTABIL]],Contas_Gerencial[#All],3,FALSE)</f>
        <v>TRIBUTOS</v>
      </c>
      <c r="D127" s="445" t="str">
        <f>VLOOKUP(mFEV[[#This Row],[DESCRIÇÃO CONTABIL]],Contas_Gerencial[[#All],[DESCRIÇÃO DA CONTA - NÃO UTILIZAR]:[Código2]],2,FALSE)</f>
        <v>20.08.002</v>
      </c>
      <c r="E127" s="452" t="s">
        <v>589</v>
      </c>
      <c r="F127" s="452" t="s">
        <v>581</v>
      </c>
      <c r="G127" s="480" t="s">
        <v>1834</v>
      </c>
      <c r="H127" s="452" t="s">
        <v>1788</v>
      </c>
      <c r="I127" s="481">
        <v>186</v>
      </c>
      <c r="J127" s="453" t="s">
        <v>654</v>
      </c>
      <c r="K127" s="453" t="s">
        <v>1907</v>
      </c>
      <c r="L127" s="456" t="s">
        <v>2137</v>
      </c>
      <c r="M127" s="457">
        <v>46052</v>
      </c>
      <c r="N127" s="457">
        <v>46073</v>
      </c>
      <c r="O127" s="457">
        <v>46072</v>
      </c>
      <c r="P127" s="453" t="s">
        <v>214</v>
      </c>
      <c r="Q127" s="483">
        <v>433.51792066364999</v>
      </c>
      <c r="R127" s="459">
        <v>0</v>
      </c>
      <c r="S127" s="459">
        <v>0</v>
      </c>
      <c r="T127" s="115">
        <f>SUM(mFEV[[#This Row],[PRINCIPAL]:[JUROS]])</f>
        <v>433.51792066364999</v>
      </c>
    </row>
    <row r="128" spans="2:22" ht="21" customHeight="1">
      <c r="B128" s="451" t="str">
        <f t="shared" si="1"/>
        <v>2/26</v>
      </c>
      <c r="C128" s="121" t="str">
        <f>VLOOKUP(mFEV[[#This Row],[CÓDIGO CONTABIL]],Contas_Gerencial[#All],3,FALSE)</f>
        <v>FOLHA DE PAGAMENTO</v>
      </c>
      <c r="D128" s="445" t="str">
        <f>VLOOKUP(mFEV[[#This Row],[DESCRIÇÃO CONTABIL]],Contas_Gerencial[[#All],[DESCRIÇÃO DA CONTA - NÃO UTILIZAR]:[Código2]],2,FALSE)</f>
        <v>20.05.021</v>
      </c>
      <c r="E128" s="452" t="s">
        <v>59</v>
      </c>
      <c r="F128" s="453" t="s">
        <v>581</v>
      </c>
      <c r="G128" s="480" t="s">
        <v>1834</v>
      </c>
      <c r="H128" s="452" t="s">
        <v>1791</v>
      </c>
      <c r="I128" s="481">
        <v>186</v>
      </c>
      <c r="J128" s="453" t="s">
        <v>581</v>
      </c>
      <c r="K128" s="452" t="s">
        <v>2153</v>
      </c>
      <c r="L128" s="456" t="s">
        <v>2137</v>
      </c>
      <c r="M128" s="457">
        <v>46055</v>
      </c>
      <c r="N128" s="457">
        <v>46059</v>
      </c>
      <c r="O128" s="457">
        <v>46058</v>
      </c>
      <c r="P128" s="453" t="s">
        <v>214</v>
      </c>
      <c r="Q128" s="458">
        <v>1767.95</v>
      </c>
      <c r="R128" s="459">
        <v>0</v>
      </c>
      <c r="S128" s="459">
        <v>0</v>
      </c>
      <c r="T128" s="115">
        <f>SUM(mFEV[[#This Row],[PRINCIPAL]:[JUROS]])</f>
        <v>1767.95</v>
      </c>
      <c r="V128" s="115"/>
    </row>
    <row r="129" spans="2:22" ht="21" customHeight="1">
      <c r="B129" s="451" t="str">
        <f t="shared" si="1"/>
        <v>2/26</v>
      </c>
      <c r="C129" s="121" t="str">
        <f>VLOOKUP(mFEV[[#This Row],[CÓDIGO CONTABIL]],Contas_Gerencial[#All],3,FALSE)</f>
        <v>ENCARGOS</v>
      </c>
      <c r="D129" s="445" t="str">
        <f>VLOOKUP(mFEV[[#This Row],[DESCRIÇÃO CONTABIL]],Contas_Gerencial[[#All],[DESCRIÇÃO DA CONTA - NÃO UTILIZAR]:[Código2]],2,FALSE)</f>
        <v>20.04.006</v>
      </c>
      <c r="E129" s="452" t="s">
        <v>1180</v>
      </c>
      <c r="F129" s="452" t="s">
        <v>581</v>
      </c>
      <c r="G129" s="480" t="s">
        <v>1834</v>
      </c>
      <c r="H129" s="452" t="s">
        <v>1180</v>
      </c>
      <c r="I129" s="481">
        <v>186</v>
      </c>
      <c r="J129" s="453" t="s">
        <v>384</v>
      </c>
      <c r="K129" s="453" t="s">
        <v>1180</v>
      </c>
      <c r="L129" s="456" t="s">
        <v>2137</v>
      </c>
      <c r="M129" s="457">
        <v>46055</v>
      </c>
      <c r="N129" s="457">
        <v>46073</v>
      </c>
      <c r="O129" s="457">
        <v>46072</v>
      </c>
      <c r="P129" s="453" t="s">
        <v>214</v>
      </c>
      <c r="Q129" s="458">
        <v>152.01</v>
      </c>
      <c r="R129" s="459">
        <v>0</v>
      </c>
      <c r="S129" s="459">
        <v>0</v>
      </c>
      <c r="T129" s="115">
        <f>SUM(mFEV[[#This Row],[PRINCIPAL]:[JUROS]])</f>
        <v>152.01</v>
      </c>
    </row>
    <row r="130" spans="2:22" ht="21" customHeight="1">
      <c r="B130" s="451" t="str">
        <f t="shared" si="1"/>
        <v>2/26</v>
      </c>
      <c r="C130" s="121" t="str">
        <f>VLOOKUP(mFEV[[#This Row],[CÓDIGO CONTABIL]],Contas_Gerencial[#All],3,FALSE)</f>
        <v>ENCARGOS</v>
      </c>
      <c r="D130" s="445" t="str">
        <f>VLOOKUP(mFEV[[#This Row],[DESCRIÇÃO CONTABIL]],Contas_Gerencial[[#All],[DESCRIÇÃO DA CONTA - NÃO UTILIZAR]:[Código2]],2,FALSE)</f>
        <v>20.04.001</v>
      </c>
      <c r="E130" s="464" t="s">
        <v>2659</v>
      </c>
      <c r="F130" s="464" t="s">
        <v>581</v>
      </c>
      <c r="G130" s="464" t="s">
        <v>1834</v>
      </c>
      <c r="H130" s="464" t="s">
        <v>1788</v>
      </c>
      <c r="I130" s="984">
        <v>186</v>
      </c>
      <c r="J130" s="461" t="s">
        <v>757</v>
      </c>
      <c r="K130" s="461" t="s">
        <v>2089</v>
      </c>
      <c r="L130" s="462" t="s">
        <v>2137</v>
      </c>
      <c r="M130" s="463">
        <v>46055</v>
      </c>
      <c r="N130" s="463">
        <v>46073</v>
      </c>
      <c r="O130" s="463"/>
      <c r="P130" s="741" t="s">
        <v>1</v>
      </c>
      <c r="Q130" s="484">
        <f>148.24-130</f>
        <v>18.240000000000009</v>
      </c>
      <c r="R130" s="465">
        <v>0</v>
      </c>
      <c r="S130" s="465">
        <v>0</v>
      </c>
      <c r="T130" s="115">
        <f>SUM(mFEV[[#This Row],[PRINCIPAL]:[JUROS]])</f>
        <v>18.240000000000009</v>
      </c>
    </row>
    <row r="131" spans="2:22" ht="21" customHeight="1">
      <c r="B131" s="451" t="str">
        <f t="shared" si="1"/>
        <v>2/26</v>
      </c>
      <c r="C131" s="121" t="str">
        <f>VLOOKUP(mFEV[[#This Row],[CÓDIGO CONTABIL]],Contas_Gerencial[#All],3,FALSE)</f>
        <v>BENEFICIO</v>
      </c>
      <c r="D131" s="445" t="str">
        <f>VLOOKUP(mFEV[[#This Row],[DESCRIÇÃO CONTABIL]],Contas_Gerencial[[#All],[DESCRIÇÃO DA CONTA - NÃO UTILIZAR]:[Código2]],2,FALSE)</f>
        <v>20.05.006</v>
      </c>
      <c r="E131" s="480" t="s">
        <v>24</v>
      </c>
      <c r="F131" s="452" t="s">
        <v>581</v>
      </c>
      <c r="G131" s="480" t="s">
        <v>1834</v>
      </c>
      <c r="H131" s="452" t="s">
        <v>1791</v>
      </c>
      <c r="I131" s="481">
        <v>200226</v>
      </c>
      <c r="J131" s="453" t="s">
        <v>581</v>
      </c>
      <c r="K131" s="453" t="s">
        <v>2257</v>
      </c>
      <c r="L131" s="451" t="s">
        <v>2258</v>
      </c>
      <c r="M131" s="457">
        <v>46073</v>
      </c>
      <c r="N131" s="457">
        <v>46073</v>
      </c>
      <c r="O131" s="457">
        <v>46073</v>
      </c>
      <c r="P131" s="452" t="s">
        <v>214</v>
      </c>
      <c r="Q131" s="467">
        <v>950.69</v>
      </c>
      <c r="R131" s="467">
        <v>0</v>
      </c>
      <c r="S131" s="467">
        <v>0</v>
      </c>
      <c r="T131" s="115">
        <f>SUM(mFEV[[#This Row],[PRINCIPAL]:[JUROS]])</f>
        <v>950.69</v>
      </c>
    </row>
    <row r="132" spans="2:22" ht="21" customHeight="1">
      <c r="B132" s="451" t="str">
        <f t="shared" si="1"/>
        <v>2/26</v>
      </c>
      <c r="C132" s="121" t="str">
        <f>VLOOKUP(mFEV[[#This Row],[CÓDIGO CONTABIL]],Contas_Gerencial[#All],3,FALSE)</f>
        <v>BENEFICIO</v>
      </c>
      <c r="D132" s="445" t="str">
        <f>VLOOKUP(mFEV[[#This Row],[DESCRIÇÃO CONTABIL]],Contas_Gerencial[[#All],[DESCRIÇÃO DA CONTA - NÃO UTILIZAR]:[Código2]],2,FALSE)</f>
        <v>20.05.007</v>
      </c>
      <c r="E132" s="480" t="s">
        <v>25</v>
      </c>
      <c r="F132" s="452" t="s">
        <v>581</v>
      </c>
      <c r="G132" s="480" t="s">
        <v>1834</v>
      </c>
      <c r="H132" s="452" t="s">
        <v>1791</v>
      </c>
      <c r="I132" s="481">
        <v>200226</v>
      </c>
      <c r="J132" s="453" t="s">
        <v>581</v>
      </c>
      <c r="K132" s="453" t="s">
        <v>2257</v>
      </c>
      <c r="L132" s="451" t="s">
        <v>2258</v>
      </c>
      <c r="M132" s="457">
        <v>46073</v>
      </c>
      <c r="N132" s="457">
        <v>46073</v>
      </c>
      <c r="O132" s="457">
        <v>46073</v>
      </c>
      <c r="P132" s="452" t="s">
        <v>214</v>
      </c>
      <c r="Q132" s="467">
        <v>223.67000000000002</v>
      </c>
      <c r="R132" s="467">
        <v>0</v>
      </c>
      <c r="S132" s="467">
        <v>0</v>
      </c>
      <c r="T132" s="115">
        <f>SUM(mFEV[[#This Row],[PRINCIPAL]:[JUROS]])</f>
        <v>223.67000000000002</v>
      </c>
    </row>
    <row r="133" spans="2:22" ht="21" customHeight="1">
      <c r="B133" s="451" t="str">
        <f t="shared" si="1"/>
        <v>2/26</v>
      </c>
      <c r="C133" s="121" t="str">
        <f>VLOOKUP(mFEV[[#This Row],[CÓDIGO CONTABIL]],Contas_Gerencial[#All],3,FALSE)</f>
        <v>RECEITA SUBCONTA</v>
      </c>
      <c r="D133" s="445" t="str">
        <f>VLOOKUP(mFEV[[#This Row],[DESCRIÇÃO CONTABIL]],Contas_Gerencial[[#All],[DESCRIÇÃO DA CONTA - NÃO UTILIZAR]:[Código2]],2,FALSE)</f>
        <v>10.01.001</v>
      </c>
      <c r="E133" s="107" t="s">
        <v>90</v>
      </c>
      <c r="F133" s="452" t="s">
        <v>581</v>
      </c>
      <c r="G133" s="107" t="s">
        <v>1137</v>
      </c>
      <c r="H133" s="107" t="s">
        <v>2496</v>
      </c>
      <c r="I133" s="481">
        <v>195</v>
      </c>
      <c r="J133" s="121" t="s">
        <v>581</v>
      </c>
      <c r="K133" s="121" t="s">
        <v>1792</v>
      </c>
      <c r="L133" s="456" t="s">
        <v>2137</v>
      </c>
      <c r="M133" s="457">
        <v>46052</v>
      </c>
      <c r="N133" s="457">
        <v>46068</v>
      </c>
      <c r="O133" s="457">
        <v>46071</v>
      </c>
      <c r="P133" s="452" t="s">
        <v>214</v>
      </c>
      <c r="Q133" s="483">
        <v>35740</v>
      </c>
      <c r="R133" s="482">
        <v>0</v>
      </c>
      <c r="S133" s="482">
        <v>0</v>
      </c>
      <c r="T133" s="115">
        <f>SUM(mFEV[[#This Row],[PRINCIPAL]:[JUROS]])</f>
        <v>35740</v>
      </c>
      <c r="V133" s="115"/>
    </row>
    <row r="134" spans="2:22" ht="21" customHeight="1">
      <c r="B134" s="451" t="str">
        <f t="shared" si="1"/>
        <v>2/26</v>
      </c>
      <c r="C134" s="121" t="str">
        <f>VLOOKUP(mFEV[[#This Row],[CÓDIGO CONTABIL]],Contas_Gerencial[#All],3,FALSE)</f>
        <v>ENCARGOS</v>
      </c>
      <c r="D134" s="445" t="str">
        <f>VLOOKUP(mFEV[[#This Row],[DESCRIÇÃO CONTABIL]],Contas_Gerencial[[#All],[DESCRIÇÃO DA CONTA - NÃO UTILIZAR]:[Código2]],2,FALSE)</f>
        <v>20.04.004</v>
      </c>
      <c r="E134" s="452" t="s">
        <v>2651</v>
      </c>
      <c r="F134" s="452" t="s">
        <v>581</v>
      </c>
      <c r="G134" s="480" t="s">
        <v>1137</v>
      </c>
      <c r="H134" s="452" t="s">
        <v>1788</v>
      </c>
      <c r="I134" s="481">
        <v>195</v>
      </c>
      <c r="J134" s="453" t="s">
        <v>264</v>
      </c>
      <c r="K134" s="453" t="s">
        <v>2113</v>
      </c>
      <c r="L134" s="456" t="s">
        <v>2137</v>
      </c>
      <c r="M134" s="457">
        <v>46052</v>
      </c>
      <c r="N134" s="457">
        <v>46073</v>
      </c>
      <c r="O134" s="457">
        <v>46073</v>
      </c>
      <c r="P134" s="453" t="s">
        <v>214</v>
      </c>
      <c r="Q134" s="458">
        <v>1642</v>
      </c>
      <c r="R134" s="459">
        <v>0</v>
      </c>
      <c r="S134" s="459">
        <v>0</v>
      </c>
      <c r="T134" s="115">
        <f>SUM(mFEV[[#This Row],[PRINCIPAL]:[JUROS]])</f>
        <v>1642</v>
      </c>
      <c r="V134" s="115"/>
    </row>
    <row r="135" spans="2:22" ht="21" customHeight="1">
      <c r="B135" s="451" t="str">
        <f t="shared" si="1"/>
        <v>2/26</v>
      </c>
      <c r="C135" s="121" t="str">
        <f>VLOOKUP(mFEV[[#This Row],[CÓDIGO CONTABIL]],Contas_Gerencial[#All],3,FALSE)</f>
        <v>TRIBUTOS</v>
      </c>
      <c r="D135" s="445" t="str">
        <f>VLOOKUP(mFEV[[#This Row],[DESCRIÇÃO CONTABIL]],Contas_Gerencial[[#All],[DESCRIÇÃO DA CONTA - NÃO UTILIZAR]:[Código2]],2,FALSE)</f>
        <v>20.08.004</v>
      </c>
      <c r="E135" s="452" t="s">
        <v>2648</v>
      </c>
      <c r="F135" s="452" t="s">
        <v>581</v>
      </c>
      <c r="G135" s="480" t="s">
        <v>1137</v>
      </c>
      <c r="H135" s="452" t="s">
        <v>1788</v>
      </c>
      <c r="I135" s="481">
        <v>195</v>
      </c>
      <c r="J135" s="453" t="s">
        <v>654</v>
      </c>
      <c r="K135" s="453" t="s">
        <v>2114</v>
      </c>
      <c r="L135" s="456" t="s">
        <v>2137</v>
      </c>
      <c r="M135" s="457">
        <v>46052</v>
      </c>
      <c r="N135" s="457">
        <v>46073</v>
      </c>
      <c r="O135" s="457">
        <v>46073</v>
      </c>
      <c r="P135" s="453" t="s">
        <v>214</v>
      </c>
      <c r="Q135" s="458">
        <v>0</v>
      </c>
      <c r="R135" s="459">
        <v>0</v>
      </c>
      <c r="S135" s="459">
        <v>0</v>
      </c>
      <c r="T135" s="115">
        <f>SUM(mFEV[[#This Row],[PRINCIPAL]:[JUROS]])</f>
        <v>0</v>
      </c>
    </row>
    <row r="136" spans="2:22" ht="21" customHeight="1">
      <c r="B136" s="451" t="str">
        <f t="shared" si="1"/>
        <v>2/26</v>
      </c>
      <c r="C136" s="121" t="str">
        <f>VLOOKUP(mFEV[[#This Row],[CÓDIGO CONTABIL]],Contas_Gerencial[#All],3,FALSE)</f>
        <v>TRIBUTOS</v>
      </c>
      <c r="D136" s="445" t="str">
        <f>VLOOKUP(mFEV[[#This Row],[DESCRIÇÃO CONTABIL]],Contas_Gerencial[[#All],[DESCRIÇÃO DA CONTA - NÃO UTILIZAR]:[Código2]],2,FALSE)</f>
        <v>20.08.001</v>
      </c>
      <c r="E136" s="452" t="s">
        <v>2112</v>
      </c>
      <c r="F136" s="452" t="s">
        <v>581</v>
      </c>
      <c r="G136" s="480" t="s">
        <v>1137</v>
      </c>
      <c r="H136" s="452" t="s">
        <v>1788</v>
      </c>
      <c r="I136" s="481">
        <v>195</v>
      </c>
      <c r="J136" s="453" t="s">
        <v>654</v>
      </c>
      <c r="K136" s="453" t="s">
        <v>1907</v>
      </c>
      <c r="L136" s="456" t="s">
        <v>2137</v>
      </c>
      <c r="M136" s="457">
        <v>46052</v>
      </c>
      <c r="N136" s="457">
        <v>46073</v>
      </c>
      <c r="O136" s="457">
        <v>46072</v>
      </c>
      <c r="P136" s="453" t="s">
        <v>214</v>
      </c>
      <c r="Q136" s="458">
        <v>1543.9392354124748</v>
      </c>
      <c r="R136" s="459">
        <v>0</v>
      </c>
      <c r="S136" s="459">
        <v>0</v>
      </c>
      <c r="T136" s="115">
        <f>SUM(mFEV[[#This Row],[PRINCIPAL]:[JUROS]])</f>
        <v>1543.9392354124748</v>
      </c>
    </row>
    <row r="137" spans="2:22" ht="21" customHeight="1">
      <c r="B137" s="451" t="str">
        <f t="shared" si="1"/>
        <v>2/26</v>
      </c>
      <c r="C137" s="121" t="str">
        <f>VLOOKUP(mFEV[[#This Row],[CÓDIGO CONTABIL]],Contas_Gerencial[#All],3,FALSE)</f>
        <v>TRIBUTOS</v>
      </c>
      <c r="D137" s="445" t="str">
        <f>VLOOKUP(mFEV[[#This Row],[DESCRIÇÃO CONTABIL]],Contas_Gerencial[[#All],[DESCRIÇÃO DA CONTA - NÃO UTILIZAR]:[Código2]],2,FALSE)</f>
        <v>20.08.002</v>
      </c>
      <c r="E137" s="452" t="s">
        <v>589</v>
      </c>
      <c r="F137" s="452" t="s">
        <v>581</v>
      </c>
      <c r="G137" s="480" t="s">
        <v>1137</v>
      </c>
      <c r="H137" s="452" t="s">
        <v>1788</v>
      </c>
      <c r="I137" s="481">
        <v>195</v>
      </c>
      <c r="J137" s="453" t="s">
        <v>654</v>
      </c>
      <c r="K137" s="453" t="s">
        <v>1907</v>
      </c>
      <c r="L137" s="456" t="s">
        <v>2137</v>
      </c>
      <c r="M137" s="457">
        <v>46052</v>
      </c>
      <c r="N137" s="457">
        <v>46073</v>
      </c>
      <c r="O137" s="457">
        <v>46072</v>
      </c>
      <c r="P137" s="453" t="s">
        <v>214</v>
      </c>
      <c r="Q137" s="483">
        <v>2312.8721427853188</v>
      </c>
      <c r="R137" s="459">
        <v>0</v>
      </c>
      <c r="S137" s="459">
        <v>0</v>
      </c>
      <c r="T137" s="115">
        <f>SUM(mFEV[[#This Row],[PRINCIPAL]:[JUROS]])</f>
        <v>2312.8721427853188</v>
      </c>
    </row>
    <row r="138" spans="2:22" ht="21" customHeight="1">
      <c r="B138" s="451" t="str">
        <f t="shared" si="1"/>
        <v>2/26</v>
      </c>
      <c r="C138" s="121" t="str">
        <f>VLOOKUP(mFEV[[#This Row],[CÓDIGO CONTABIL]],Contas_Gerencial[#All],3,FALSE)</f>
        <v>FOLHA DE PAGAMENTO</v>
      </c>
      <c r="D138" s="445" t="str">
        <f>VLOOKUP(mFEV[[#This Row],[DESCRIÇÃO CONTABIL]],Contas_Gerencial[[#All],[DESCRIÇÃO DA CONTA - NÃO UTILIZAR]:[Código2]],2,FALSE)</f>
        <v>20.05.021</v>
      </c>
      <c r="E138" s="452" t="s">
        <v>59</v>
      </c>
      <c r="F138" s="453" t="s">
        <v>581</v>
      </c>
      <c r="G138" s="480" t="s">
        <v>1137</v>
      </c>
      <c r="H138" s="452" t="s">
        <v>1791</v>
      </c>
      <c r="I138" s="481">
        <v>195</v>
      </c>
      <c r="J138" s="453" t="s">
        <v>581</v>
      </c>
      <c r="K138" s="452" t="s">
        <v>2146</v>
      </c>
      <c r="L138" s="456" t="s">
        <v>2137</v>
      </c>
      <c r="M138" s="457">
        <v>46055</v>
      </c>
      <c r="N138" s="457">
        <v>46059</v>
      </c>
      <c r="O138" s="457">
        <v>46057</v>
      </c>
      <c r="P138" s="453" t="s">
        <v>214</v>
      </c>
      <c r="Q138" s="458">
        <v>7365.73</v>
      </c>
      <c r="R138" s="459">
        <v>0</v>
      </c>
      <c r="S138" s="459">
        <v>0</v>
      </c>
      <c r="T138" s="115">
        <f>SUM(mFEV[[#This Row],[PRINCIPAL]:[JUROS]])</f>
        <v>7365.73</v>
      </c>
      <c r="V138" s="115"/>
    </row>
    <row r="139" spans="2:22" ht="21" customHeight="1">
      <c r="B139" s="451" t="str">
        <f t="shared" ref="B139:B202" si="2">B138</f>
        <v>2/26</v>
      </c>
      <c r="C139" s="121" t="str">
        <f>VLOOKUP(mFEV[[#This Row],[CÓDIGO CONTABIL]],Contas_Gerencial[#All],3,FALSE)</f>
        <v>ENCARGOS</v>
      </c>
      <c r="D139" s="445" t="str">
        <f>VLOOKUP(mFEV[[#This Row],[DESCRIÇÃO CONTABIL]],Contas_Gerencial[[#All],[DESCRIÇÃO DA CONTA - NÃO UTILIZAR]:[Código2]],2,FALSE)</f>
        <v>20.04.006</v>
      </c>
      <c r="E139" s="452" t="s">
        <v>1180</v>
      </c>
      <c r="F139" s="452" t="s">
        <v>581</v>
      </c>
      <c r="G139" s="480" t="s">
        <v>1137</v>
      </c>
      <c r="H139" s="452" t="s">
        <v>1180</v>
      </c>
      <c r="I139" s="481">
        <v>195</v>
      </c>
      <c r="J139" s="453" t="s">
        <v>384</v>
      </c>
      <c r="K139" s="453" t="s">
        <v>1180</v>
      </c>
      <c r="L139" s="456" t="s">
        <v>2137</v>
      </c>
      <c r="M139" s="457">
        <v>46055</v>
      </c>
      <c r="N139" s="457">
        <v>46073</v>
      </c>
      <c r="O139" s="457">
        <v>46072</v>
      </c>
      <c r="P139" s="453" t="s">
        <v>214</v>
      </c>
      <c r="Q139" s="458">
        <v>639.05999999999995</v>
      </c>
      <c r="R139" s="459">
        <v>0</v>
      </c>
      <c r="S139" s="459">
        <v>0</v>
      </c>
      <c r="T139" s="115">
        <f>SUM(mFEV[[#This Row],[PRINCIPAL]:[JUROS]])</f>
        <v>639.05999999999995</v>
      </c>
    </row>
    <row r="140" spans="2:22" ht="21" customHeight="1">
      <c r="B140" s="451" t="str">
        <f t="shared" si="2"/>
        <v>2/26</v>
      </c>
      <c r="C140" s="121" t="str">
        <f>VLOOKUP(mFEV[[#This Row],[CÓDIGO CONTABIL]],Contas_Gerencial[#All],3,FALSE)</f>
        <v>ENCARGOS</v>
      </c>
      <c r="D140" s="445" t="str">
        <f>VLOOKUP(mFEV[[#This Row],[DESCRIÇÃO CONTABIL]],Contas_Gerencial[[#All],[DESCRIÇÃO DA CONTA - NÃO UTILIZAR]:[Código2]],2,FALSE)</f>
        <v>20.04.001</v>
      </c>
      <c r="E140" s="464" t="s">
        <v>2659</v>
      </c>
      <c r="F140" s="464" t="s">
        <v>581</v>
      </c>
      <c r="G140" s="464" t="s">
        <v>1137</v>
      </c>
      <c r="H140" s="464" t="s">
        <v>1788</v>
      </c>
      <c r="I140" s="984">
        <v>195</v>
      </c>
      <c r="J140" s="461" t="s">
        <v>757</v>
      </c>
      <c r="K140" s="461" t="s">
        <v>2089</v>
      </c>
      <c r="L140" s="462" t="s">
        <v>2137</v>
      </c>
      <c r="M140" s="463">
        <v>46055</v>
      </c>
      <c r="N140" s="463">
        <v>46073</v>
      </c>
      <c r="O140" s="463"/>
      <c r="P140" s="741" t="s">
        <v>1</v>
      </c>
      <c r="Q140" s="484">
        <f>661.13-65</f>
        <v>596.13</v>
      </c>
      <c r="R140" s="465">
        <v>0</v>
      </c>
      <c r="S140" s="465">
        <v>0</v>
      </c>
      <c r="T140" s="115">
        <f>SUM(mFEV[[#This Row],[PRINCIPAL]:[JUROS]])</f>
        <v>596.13</v>
      </c>
    </row>
    <row r="141" spans="2:22" ht="21" customHeight="1">
      <c r="B141" s="451" t="str">
        <f t="shared" si="2"/>
        <v>2/26</v>
      </c>
      <c r="C141" s="121" t="str">
        <f>VLOOKUP(mFEV[[#This Row],[CÓDIGO CONTABIL]],Contas_Gerencial[#All],3,FALSE)</f>
        <v>BENEFICIO</v>
      </c>
      <c r="D141" s="445" t="str">
        <f>VLOOKUP(mFEV[[#This Row],[DESCRIÇÃO CONTABIL]],Contas_Gerencial[[#All],[DESCRIÇÃO DA CONTA - NÃO UTILIZAR]:[Código2]],2,FALSE)</f>
        <v>20.05.006</v>
      </c>
      <c r="E141" s="480" t="s">
        <v>24</v>
      </c>
      <c r="F141" s="452" t="s">
        <v>581</v>
      </c>
      <c r="G141" s="480" t="s">
        <v>1137</v>
      </c>
      <c r="H141" s="452" t="s">
        <v>1791</v>
      </c>
      <c r="I141" s="481">
        <v>200226</v>
      </c>
      <c r="J141" s="453" t="s">
        <v>581</v>
      </c>
      <c r="K141" s="453" t="s">
        <v>2257</v>
      </c>
      <c r="L141" s="451" t="s">
        <v>2258</v>
      </c>
      <c r="M141" s="457">
        <v>46073</v>
      </c>
      <c r="N141" s="457">
        <v>46073</v>
      </c>
      <c r="O141" s="457">
        <v>46073</v>
      </c>
      <c r="P141" s="452" t="s">
        <v>214</v>
      </c>
      <c r="Q141" s="467">
        <v>2080</v>
      </c>
      <c r="R141" s="467">
        <v>0</v>
      </c>
      <c r="S141" s="467">
        <v>0</v>
      </c>
      <c r="T141" s="115">
        <f>SUM(mFEV[[#This Row],[PRINCIPAL]:[JUROS]])</f>
        <v>2080</v>
      </c>
    </row>
    <row r="142" spans="2:22" ht="21" customHeight="1">
      <c r="B142" s="451" t="str">
        <f t="shared" si="2"/>
        <v>2/26</v>
      </c>
      <c r="C142" s="121" t="str">
        <f>VLOOKUP(mFEV[[#This Row],[CÓDIGO CONTABIL]],Contas_Gerencial[#All],3,FALSE)</f>
        <v>BENEFICIO</v>
      </c>
      <c r="D142" s="445" t="str">
        <f>VLOOKUP(mFEV[[#This Row],[DESCRIÇÃO CONTABIL]],Contas_Gerencial[[#All],[DESCRIÇÃO DA CONTA - NÃO UTILIZAR]:[Código2]],2,FALSE)</f>
        <v>20.05.007</v>
      </c>
      <c r="E142" s="480" t="s">
        <v>25</v>
      </c>
      <c r="F142" s="452" t="s">
        <v>581</v>
      </c>
      <c r="G142" s="480" t="s">
        <v>1137</v>
      </c>
      <c r="H142" s="452" t="s">
        <v>1791</v>
      </c>
      <c r="I142" s="481">
        <v>200226</v>
      </c>
      <c r="J142" s="453" t="s">
        <v>581</v>
      </c>
      <c r="K142" s="453" t="s">
        <v>2257</v>
      </c>
      <c r="L142" s="451" t="s">
        <v>2258</v>
      </c>
      <c r="M142" s="457">
        <v>46073</v>
      </c>
      <c r="N142" s="457">
        <v>46073</v>
      </c>
      <c r="O142" s="457">
        <v>46073</v>
      </c>
      <c r="P142" s="452" t="s">
        <v>214</v>
      </c>
      <c r="Q142" s="467">
        <v>0</v>
      </c>
      <c r="R142" s="467">
        <v>0</v>
      </c>
      <c r="S142" s="467">
        <v>0</v>
      </c>
      <c r="T142" s="115">
        <f>SUM(mFEV[[#This Row],[PRINCIPAL]:[JUROS]])</f>
        <v>0</v>
      </c>
    </row>
    <row r="143" spans="2:22" ht="21" customHeight="1">
      <c r="B143" s="451" t="str">
        <f t="shared" si="2"/>
        <v>2/26</v>
      </c>
      <c r="C143" s="121" t="str">
        <f>VLOOKUP(mFEV[[#This Row],[CÓDIGO CONTABIL]],Contas_Gerencial[#All],3,FALSE)</f>
        <v>RECEITA SUBCONTA</v>
      </c>
      <c r="D143" s="445" t="str">
        <f>VLOOKUP(mFEV[[#This Row],[DESCRIÇÃO CONTABIL]],Contas_Gerencial[[#All],[DESCRIÇÃO DA CONTA - NÃO UTILIZAR]:[Código2]],2,FALSE)</f>
        <v>10.01.001</v>
      </c>
      <c r="E143" s="107" t="s">
        <v>90</v>
      </c>
      <c r="F143" s="452" t="s">
        <v>581</v>
      </c>
      <c r="G143" s="107" t="s">
        <v>1508</v>
      </c>
      <c r="H143" s="107" t="s">
        <v>1788</v>
      </c>
      <c r="I143" s="481">
        <v>192</v>
      </c>
      <c r="J143" s="121" t="s">
        <v>581</v>
      </c>
      <c r="K143" s="121" t="s">
        <v>1792</v>
      </c>
      <c r="L143" s="456" t="s">
        <v>2137</v>
      </c>
      <c r="M143" s="457">
        <v>46052</v>
      </c>
      <c r="N143" s="457">
        <v>46063</v>
      </c>
      <c r="O143" s="457">
        <v>46063</v>
      </c>
      <c r="P143" s="452" t="s">
        <v>214</v>
      </c>
      <c r="Q143" s="1008">
        <v>1562</v>
      </c>
      <c r="R143" s="482">
        <v>0</v>
      </c>
      <c r="S143" s="482">
        <v>0</v>
      </c>
      <c r="T143" s="115">
        <f>SUM(mFEV[[#This Row],[PRINCIPAL]:[JUROS]])</f>
        <v>1562</v>
      </c>
      <c r="V143" s="115"/>
    </row>
    <row r="144" spans="2:22" ht="21" customHeight="1">
      <c r="B144" s="451" t="str">
        <f t="shared" si="2"/>
        <v>2/26</v>
      </c>
      <c r="C144" s="121" t="str">
        <f>VLOOKUP(mFEV[[#This Row],[CÓDIGO CONTABIL]],Contas_Gerencial[#All],3,FALSE)</f>
        <v>ENCARGOS</v>
      </c>
      <c r="D144" s="445" t="str">
        <f>VLOOKUP(mFEV[[#This Row],[DESCRIÇÃO CONTABIL]],Contas_Gerencial[[#All],[DESCRIÇÃO DA CONTA - NÃO UTILIZAR]:[Código2]],2,FALSE)</f>
        <v>20.04.004</v>
      </c>
      <c r="E144" s="452" t="s">
        <v>2651</v>
      </c>
      <c r="F144" s="452" t="s">
        <v>581</v>
      </c>
      <c r="G144" s="480" t="s">
        <v>1508</v>
      </c>
      <c r="H144" s="452" t="s">
        <v>1788</v>
      </c>
      <c r="I144" s="481">
        <v>192</v>
      </c>
      <c r="J144" s="453" t="s">
        <v>264</v>
      </c>
      <c r="K144" s="453" t="s">
        <v>2113</v>
      </c>
      <c r="L144" s="456" t="s">
        <v>2137</v>
      </c>
      <c r="M144" s="457">
        <v>46052</v>
      </c>
      <c r="N144" s="457">
        <v>46073</v>
      </c>
      <c r="O144" s="457">
        <v>46073</v>
      </c>
      <c r="P144" s="453" t="s">
        <v>214</v>
      </c>
      <c r="Q144" s="458">
        <v>87.48</v>
      </c>
      <c r="R144" s="459">
        <v>0</v>
      </c>
      <c r="S144" s="459">
        <v>0</v>
      </c>
      <c r="T144" s="115">
        <f>SUM(mFEV[[#This Row],[PRINCIPAL]:[JUROS]])</f>
        <v>87.48</v>
      </c>
      <c r="V144" s="115"/>
    </row>
    <row r="145" spans="2:22" ht="21" customHeight="1">
      <c r="B145" s="451" t="str">
        <f t="shared" si="2"/>
        <v>2/26</v>
      </c>
      <c r="C145" s="121" t="str">
        <f>VLOOKUP(mFEV[[#This Row],[CÓDIGO CONTABIL]],Contas_Gerencial[#All],3,FALSE)</f>
        <v>TRIBUTOS</v>
      </c>
      <c r="D145" s="445" t="str">
        <f>VLOOKUP(mFEV[[#This Row],[DESCRIÇÃO CONTABIL]],Contas_Gerencial[[#All],[DESCRIÇÃO DA CONTA - NÃO UTILIZAR]:[Código2]],2,FALSE)</f>
        <v>20.08.004</v>
      </c>
      <c r="E145" s="452" t="s">
        <v>2648</v>
      </c>
      <c r="F145" s="452" t="s">
        <v>581</v>
      </c>
      <c r="G145" s="480" t="s">
        <v>1508</v>
      </c>
      <c r="H145" s="452" t="s">
        <v>1788</v>
      </c>
      <c r="I145" s="481">
        <v>192</v>
      </c>
      <c r="J145" s="453" t="s">
        <v>654</v>
      </c>
      <c r="K145" s="453" t="s">
        <v>2114</v>
      </c>
      <c r="L145" s="456" t="s">
        <v>2137</v>
      </c>
      <c r="M145" s="457">
        <v>46052</v>
      </c>
      <c r="N145" s="457">
        <v>46073</v>
      </c>
      <c r="O145" s="457">
        <v>46073</v>
      </c>
      <c r="P145" s="453" t="s">
        <v>214</v>
      </c>
      <c r="Q145" s="458">
        <v>0</v>
      </c>
      <c r="R145" s="459">
        <v>0</v>
      </c>
      <c r="S145" s="459">
        <v>0</v>
      </c>
      <c r="T145" s="115">
        <f>SUM(mFEV[[#This Row],[PRINCIPAL]:[JUROS]])</f>
        <v>0</v>
      </c>
    </row>
    <row r="146" spans="2:22" ht="21" customHeight="1">
      <c r="B146" s="451" t="str">
        <f t="shared" si="2"/>
        <v>2/26</v>
      </c>
      <c r="C146" s="121" t="str">
        <f>VLOOKUP(mFEV[[#This Row],[CÓDIGO CONTABIL]],Contas_Gerencial[#All],3,FALSE)</f>
        <v>TRIBUTOS</v>
      </c>
      <c r="D146" s="445" t="str">
        <f>VLOOKUP(mFEV[[#This Row],[DESCRIÇÃO CONTABIL]],Contas_Gerencial[[#All],[DESCRIÇÃO DA CONTA - NÃO UTILIZAR]:[Código2]],2,FALSE)</f>
        <v>20.08.001</v>
      </c>
      <c r="E146" s="452" t="s">
        <v>2112</v>
      </c>
      <c r="F146" s="452" t="s">
        <v>581</v>
      </c>
      <c r="G146" s="480" t="s">
        <v>1508</v>
      </c>
      <c r="H146" s="452" t="s">
        <v>1788</v>
      </c>
      <c r="I146" s="481">
        <v>192</v>
      </c>
      <c r="J146" s="453" t="s">
        <v>654</v>
      </c>
      <c r="K146" s="453" t="s">
        <v>1907</v>
      </c>
      <c r="L146" s="456" t="s">
        <v>2137</v>
      </c>
      <c r="M146" s="457">
        <v>46055</v>
      </c>
      <c r="N146" s="457">
        <v>46073</v>
      </c>
      <c r="O146" s="457">
        <v>46072</v>
      </c>
      <c r="P146" s="453" t="s">
        <v>214</v>
      </c>
      <c r="Q146" s="458">
        <v>67.48</v>
      </c>
      <c r="R146" s="459">
        <v>0</v>
      </c>
      <c r="S146" s="459">
        <v>0</v>
      </c>
      <c r="T146" s="115">
        <f>SUM(mFEV[[#This Row],[PRINCIPAL]:[JUROS]])</f>
        <v>67.48</v>
      </c>
    </row>
    <row r="147" spans="2:22" ht="21" customHeight="1">
      <c r="B147" s="451" t="str">
        <f t="shared" si="2"/>
        <v>2/26</v>
      </c>
      <c r="C147" s="121" t="str">
        <f>VLOOKUP(mFEV[[#This Row],[CÓDIGO CONTABIL]],Contas_Gerencial[#All],3,FALSE)</f>
        <v>TRIBUTOS</v>
      </c>
      <c r="D147" s="445" t="str">
        <f>VLOOKUP(mFEV[[#This Row],[DESCRIÇÃO CONTABIL]],Contas_Gerencial[[#All],[DESCRIÇÃO DA CONTA - NÃO UTILIZAR]:[Código2]],2,FALSE)</f>
        <v>20.08.002</v>
      </c>
      <c r="E147" s="452" t="s">
        <v>589</v>
      </c>
      <c r="F147" s="452" t="s">
        <v>581</v>
      </c>
      <c r="G147" s="452" t="s">
        <v>1508</v>
      </c>
      <c r="H147" s="452" t="s">
        <v>1788</v>
      </c>
      <c r="I147" s="481">
        <v>192</v>
      </c>
      <c r="J147" s="453" t="s">
        <v>654</v>
      </c>
      <c r="K147" s="453" t="s">
        <v>1907</v>
      </c>
      <c r="L147" s="456" t="s">
        <v>2137</v>
      </c>
      <c r="M147" s="457">
        <v>46055</v>
      </c>
      <c r="N147" s="457">
        <v>46073</v>
      </c>
      <c r="O147" s="457">
        <v>46072</v>
      </c>
      <c r="P147" s="453" t="s">
        <v>214</v>
      </c>
      <c r="Q147" s="519">
        <v>101.08299627953745</v>
      </c>
      <c r="R147" s="459">
        <v>0</v>
      </c>
      <c r="S147" s="459">
        <v>0</v>
      </c>
      <c r="T147" s="115">
        <f>SUM(mFEV[[#This Row],[PRINCIPAL]:[JUROS]])</f>
        <v>101.08299627953745</v>
      </c>
    </row>
    <row r="148" spans="2:22" ht="21" customHeight="1">
      <c r="B148" s="451" t="str">
        <f t="shared" si="2"/>
        <v>2/26</v>
      </c>
      <c r="C148" s="121" t="str">
        <f>VLOOKUP(mFEV[[#This Row],[CÓDIGO CONTABIL]],Contas_Gerencial[#All],3,FALSE)</f>
        <v>RECEITA SUBCONTA</v>
      </c>
      <c r="D148" s="445" t="str">
        <f>VLOOKUP(mFEV[[#This Row],[DESCRIÇÃO CONTABIL]],Contas_Gerencial[[#All],[DESCRIÇÃO DA CONTA - NÃO UTILIZAR]:[Código2]],2,FALSE)</f>
        <v>10.01.001</v>
      </c>
      <c r="E148" s="107" t="s">
        <v>90</v>
      </c>
      <c r="F148" s="452" t="s">
        <v>581</v>
      </c>
      <c r="G148" s="107" t="s">
        <v>1630</v>
      </c>
      <c r="H148" s="107" t="s">
        <v>1788</v>
      </c>
      <c r="I148" s="481">
        <v>193</v>
      </c>
      <c r="J148" s="121" t="s">
        <v>581</v>
      </c>
      <c r="K148" s="121" t="s">
        <v>1792</v>
      </c>
      <c r="L148" s="456" t="s">
        <v>2137</v>
      </c>
      <c r="M148" s="457">
        <v>46052</v>
      </c>
      <c r="N148" s="457">
        <v>46058</v>
      </c>
      <c r="O148" s="457">
        <v>46063</v>
      </c>
      <c r="P148" s="452" t="s">
        <v>214</v>
      </c>
      <c r="Q148" s="482">
        <v>11996</v>
      </c>
      <c r="R148" s="482">
        <v>0</v>
      </c>
      <c r="S148" s="482">
        <v>0</v>
      </c>
      <c r="T148" s="115">
        <f>SUM(mFEV[[#This Row],[PRINCIPAL]:[JUROS]])</f>
        <v>11996</v>
      </c>
      <c r="V148" s="115"/>
    </row>
    <row r="149" spans="2:22" ht="21" customHeight="1">
      <c r="B149" s="451" t="str">
        <f t="shared" si="2"/>
        <v>2/26</v>
      </c>
      <c r="C149" s="121" t="str">
        <f>VLOOKUP(mFEV[[#This Row],[CÓDIGO CONTABIL]],Contas_Gerencial[#All],3,FALSE)</f>
        <v>ENCARGOS</v>
      </c>
      <c r="D149" s="445" t="str">
        <f>VLOOKUP(mFEV[[#This Row],[DESCRIÇÃO CONTABIL]],Contas_Gerencial[[#All],[DESCRIÇÃO DA CONTA - NÃO UTILIZAR]:[Código2]],2,FALSE)</f>
        <v>20.04.004</v>
      </c>
      <c r="E149" s="452" t="s">
        <v>2651</v>
      </c>
      <c r="F149" s="452" t="s">
        <v>581</v>
      </c>
      <c r="G149" s="480" t="s">
        <v>1630</v>
      </c>
      <c r="H149" s="452" t="s">
        <v>1788</v>
      </c>
      <c r="I149" s="481">
        <v>193</v>
      </c>
      <c r="J149" s="453" t="s">
        <v>264</v>
      </c>
      <c r="K149" s="453" t="s">
        <v>2113</v>
      </c>
      <c r="L149" s="456" t="s">
        <v>2137</v>
      </c>
      <c r="M149" s="457">
        <v>46052</v>
      </c>
      <c r="N149" s="457">
        <v>46073</v>
      </c>
      <c r="O149" s="457">
        <v>46073</v>
      </c>
      <c r="P149" s="453" t="s">
        <v>214</v>
      </c>
      <c r="Q149" s="458">
        <v>1319.56</v>
      </c>
      <c r="R149" s="459">
        <v>0</v>
      </c>
      <c r="S149" s="459">
        <v>0</v>
      </c>
      <c r="T149" s="115">
        <f>SUM(mFEV[[#This Row],[PRINCIPAL]:[JUROS]])</f>
        <v>1319.56</v>
      </c>
      <c r="V149" s="115"/>
    </row>
    <row r="150" spans="2:22" ht="21" customHeight="1">
      <c r="B150" s="451" t="str">
        <f t="shared" si="2"/>
        <v>2/26</v>
      </c>
      <c r="C150" s="121" t="str">
        <f>VLOOKUP(mFEV[[#This Row],[CÓDIGO CONTABIL]],Contas_Gerencial[#All],3,FALSE)</f>
        <v>TRIBUTOS</v>
      </c>
      <c r="D150" s="445" t="str">
        <f>VLOOKUP(mFEV[[#This Row],[DESCRIÇÃO CONTABIL]],Contas_Gerencial[[#All],[DESCRIÇÃO DA CONTA - NÃO UTILIZAR]:[Código2]],2,FALSE)</f>
        <v>20.08.004</v>
      </c>
      <c r="E150" s="452" t="s">
        <v>2648</v>
      </c>
      <c r="F150" s="452" t="s">
        <v>581</v>
      </c>
      <c r="G150" s="480" t="s">
        <v>1630</v>
      </c>
      <c r="H150" s="452" t="s">
        <v>1788</v>
      </c>
      <c r="I150" s="481">
        <v>193</v>
      </c>
      <c r="J150" s="453" t="s">
        <v>654</v>
      </c>
      <c r="K150" s="453" t="s">
        <v>2114</v>
      </c>
      <c r="L150" s="456" t="s">
        <v>2137</v>
      </c>
      <c r="M150" s="457">
        <v>46052</v>
      </c>
      <c r="N150" s="457">
        <v>46073</v>
      </c>
      <c r="O150" s="457">
        <v>46073</v>
      </c>
      <c r="P150" s="453" t="s">
        <v>214</v>
      </c>
      <c r="Q150" s="458">
        <v>0</v>
      </c>
      <c r="R150" s="459">
        <v>0</v>
      </c>
      <c r="S150" s="459">
        <v>0</v>
      </c>
      <c r="T150" s="115">
        <f>SUM(mFEV[[#This Row],[PRINCIPAL]:[JUROS]])</f>
        <v>0</v>
      </c>
    </row>
    <row r="151" spans="2:22" ht="21" customHeight="1">
      <c r="B151" s="451" t="str">
        <f t="shared" si="2"/>
        <v>2/26</v>
      </c>
      <c r="C151" s="121" t="str">
        <f>VLOOKUP(mFEV[[#This Row],[CÓDIGO CONTABIL]],Contas_Gerencial[#All],3,FALSE)</f>
        <v>TRIBUTOS</v>
      </c>
      <c r="D151" s="445" t="str">
        <f>VLOOKUP(mFEV[[#This Row],[DESCRIÇÃO CONTABIL]],Contas_Gerencial[[#All],[DESCRIÇÃO DA CONTA - NÃO UTILIZAR]:[Código2]],2,FALSE)</f>
        <v>20.08.001</v>
      </c>
      <c r="E151" s="452" t="s">
        <v>2112</v>
      </c>
      <c r="F151" s="452" t="s">
        <v>581</v>
      </c>
      <c r="G151" s="480" t="s">
        <v>1630</v>
      </c>
      <c r="H151" s="452" t="s">
        <v>1788</v>
      </c>
      <c r="I151" s="481">
        <v>193</v>
      </c>
      <c r="J151" s="453" t="s">
        <v>654</v>
      </c>
      <c r="K151" s="453" t="s">
        <v>1907</v>
      </c>
      <c r="L151" s="456" t="s">
        <v>2137</v>
      </c>
      <c r="M151" s="457">
        <v>46052</v>
      </c>
      <c r="N151" s="457">
        <v>46073</v>
      </c>
      <c r="O151" s="457">
        <v>46072</v>
      </c>
      <c r="P151" s="453" t="s">
        <v>214</v>
      </c>
      <c r="Q151" s="458">
        <v>518.22</v>
      </c>
      <c r="R151" s="459">
        <v>0</v>
      </c>
      <c r="S151" s="459">
        <v>0</v>
      </c>
      <c r="T151" s="115">
        <f>SUM(mFEV[[#This Row],[PRINCIPAL]:[JUROS]])</f>
        <v>518.22</v>
      </c>
    </row>
    <row r="152" spans="2:22" ht="21" customHeight="1">
      <c r="B152" s="451" t="str">
        <f t="shared" si="2"/>
        <v>2/26</v>
      </c>
      <c r="C152" s="121" t="str">
        <f>VLOOKUP(mFEV[[#This Row],[CÓDIGO CONTABIL]],Contas_Gerencial[#All],3,FALSE)</f>
        <v>TRIBUTOS</v>
      </c>
      <c r="D152" s="445" t="str">
        <f>VLOOKUP(mFEV[[#This Row],[DESCRIÇÃO CONTABIL]],Contas_Gerencial[[#All],[DESCRIÇÃO DA CONTA - NÃO UTILIZAR]:[Código2]],2,FALSE)</f>
        <v>20.08.002</v>
      </c>
      <c r="E152" s="452" t="s">
        <v>589</v>
      </c>
      <c r="F152" s="452" t="s">
        <v>581</v>
      </c>
      <c r="G152" s="480" t="s">
        <v>1630</v>
      </c>
      <c r="H152" s="452" t="s">
        <v>1788</v>
      </c>
      <c r="I152" s="481">
        <v>193</v>
      </c>
      <c r="J152" s="453" t="s">
        <v>654</v>
      </c>
      <c r="K152" s="453" t="s">
        <v>1907</v>
      </c>
      <c r="L152" s="456" t="s">
        <v>2137</v>
      </c>
      <c r="M152" s="457">
        <v>46052</v>
      </c>
      <c r="N152" s="457">
        <v>46073</v>
      </c>
      <c r="O152" s="457">
        <v>46072</v>
      </c>
      <c r="P152" s="453" t="s">
        <v>214</v>
      </c>
      <c r="Q152" s="483">
        <v>776.30705721468064</v>
      </c>
      <c r="R152" s="459">
        <v>0</v>
      </c>
      <c r="S152" s="459">
        <v>0</v>
      </c>
      <c r="T152" s="115">
        <f>SUM(mFEV[[#This Row],[PRINCIPAL]:[JUROS]])</f>
        <v>776.30705721468064</v>
      </c>
    </row>
    <row r="153" spans="2:22" ht="21" customHeight="1">
      <c r="B153" s="451" t="str">
        <f t="shared" si="2"/>
        <v>2/26</v>
      </c>
      <c r="C153" s="121" t="str">
        <f>VLOOKUP(mFEV[[#This Row],[CÓDIGO CONTABIL]],Contas_Gerencial[#All],3,FALSE)</f>
        <v>FOLHA DE PAGAMENTO</v>
      </c>
      <c r="D153" s="445" t="str">
        <f>VLOOKUP(mFEV[[#This Row],[DESCRIÇÃO CONTABIL]],Contas_Gerencial[[#All],[DESCRIÇÃO DA CONTA - NÃO UTILIZAR]:[Código2]],2,FALSE)</f>
        <v>20.05.021</v>
      </c>
      <c r="E153" s="452" t="s">
        <v>59</v>
      </c>
      <c r="F153" s="453" t="s">
        <v>581</v>
      </c>
      <c r="G153" s="480" t="s">
        <v>1630</v>
      </c>
      <c r="H153" s="452" t="s">
        <v>1791</v>
      </c>
      <c r="I153" s="481">
        <v>193</v>
      </c>
      <c r="J153" s="453" t="s">
        <v>581</v>
      </c>
      <c r="K153" s="452" t="s">
        <v>1793</v>
      </c>
      <c r="L153" s="456" t="s">
        <v>2104</v>
      </c>
      <c r="M153" s="457">
        <v>46052</v>
      </c>
      <c r="N153" s="457">
        <v>46059</v>
      </c>
      <c r="O153" s="457">
        <v>46057</v>
      </c>
      <c r="P153" s="453" t="s">
        <v>214</v>
      </c>
      <c r="Q153" s="458">
        <v>3019.43</v>
      </c>
      <c r="R153" s="459">
        <v>0</v>
      </c>
      <c r="S153" s="459">
        <v>0</v>
      </c>
      <c r="T153" s="115">
        <f>SUM(mFEV[[#This Row],[PRINCIPAL]:[JUROS]])</f>
        <v>3019.43</v>
      </c>
      <c r="V153" s="115"/>
    </row>
    <row r="154" spans="2:22" ht="21" customHeight="1">
      <c r="B154" s="451" t="str">
        <f t="shared" si="2"/>
        <v>2/26</v>
      </c>
      <c r="C154" s="121" t="str">
        <f>VLOOKUP(mFEV[[#This Row],[CÓDIGO CONTABIL]],Contas_Gerencial[#All],3,FALSE)</f>
        <v>ENCARGOS</v>
      </c>
      <c r="D154" s="445" t="str">
        <f>VLOOKUP(mFEV[[#This Row],[DESCRIÇÃO CONTABIL]],Contas_Gerencial[[#All],[DESCRIÇÃO DA CONTA - NÃO UTILIZAR]:[Código2]],2,FALSE)</f>
        <v>20.04.006</v>
      </c>
      <c r="E154" s="452" t="s">
        <v>1180</v>
      </c>
      <c r="F154" s="452" t="s">
        <v>581</v>
      </c>
      <c r="G154" s="480" t="s">
        <v>1630</v>
      </c>
      <c r="H154" s="452" t="s">
        <v>1180</v>
      </c>
      <c r="I154" s="481">
        <v>193</v>
      </c>
      <c r="J154" s="453" t="s">
        <v>384</v>
      </c>
      <c r="K154" s="453" t="s">
        <v>1180</v>
      </c>
      <c r="L154" s="456" t="s">
        <v>2137</v>
      </c>
      <c r="M154" s="457">
        <v>46052</v>
      </c>
      <c r="N154" s="457">
        <v>46073</v>
      </c>
      <c r="O154" s="457">
        <v>46072</v>
      </c>
      <c r="P154" s="453" t="s">
        <v>214</v>
      </c>
      <c r="Q154" s="458">
        <v>247.97</v>
      </c>
      <c r="R154" s="459">
        <v>0</v>
      </c>
      <c r="S154" s="459">
        <v>0</v>
      </c>
      <c r="T154" s="115">
        <f>SUM(mFEV[[#This Row],[PRINCIPAL]:[JUROS]])</f>
        <v>247.97</v>
      </c>
    </row>
    <row r="155" spans="2:22" ht="21" customHeight="1">
      <c r="B155" s="451" t="str">
        <f t="shared" si="2"/>
        <v>2/26</v>
      </c>
      <c r="C155" s="121" t="str">
        <f>VLOOKUP(mFEV[[#This Row],[CÓDIGO CONTABIL]],Contas_Gerencial[#All],3,FALSE)</f>
        <v>ENCARGOS</v>
      </c>
      <c r="D155" s="445" t="str">
        <f>VLOOKUP(mFEV[[#This Row],[DESCRIÇÃO CONTABIL]],Contas_Gerencial[[#All],[DESCRIÇÃO DA CONTA - NÃO UTILIZAR]:[Código2]],2,FALSE)</f>
        <v>20.04.001</v>
      </c>
      <c r="E155" s="464" t="s">
        <v>2659</v>
      </c>
      <c r="F155" s="464" t="s">
        <v>581</v>
      </c>
      <c r="G155" s="464" t="s">
        <v>1630</v>
      </c>
      <c r="H155" s="464" t="s">
        <v>1788</v>
      </c>
      <c r="I155" s="984">
        <v>193</v>
      </c>
      <c r="J155" s="461" t="s">
        <v>757</v>
      </c>
      <c r="K155" s="461" t="s">
        <v>2089</v>
      </c>
      <c r="L155" s="462" t="s">
        <v>2137</v>
      </c>
      <c r="M155" s="463">
        <v>46052</v>
      </c>
      <c r="N155" s="463">
        <v>46073</v>
      </c>
      <c r="O155" s="463"/>
      <c r="P155" s="741" t="s">
        <v>1</v>
      </c>
      <c r="Q155" s="484">
        <f>229.85-65</f>
        <v>164.85</v>
      </c>
      <c r="R155" s="465">
        <v>0</v>
      </c>
      <c r="S155" s="465">
        <v>0</v>
      </c>
      <c r="T155" s="115">
        <f>SUM(mFEV[[#This Row],[PRINCIPAL]:[JUROS]])</f>
        <v>164.85</v>
      </c>
    </row>
    <row r="156" spans="2:22" ht="21" customHeight="1">
      <c r="B156" s="451" t="str">
        <f t="shared" si="2"/>
        <v>2/26</v>
      </c>
      <c r="C156" s="121" t="str">
        <f>VLOOKUP(mFEV[[#This Row],[CÓDIGO CONTABIL]],Contas_Gerencial[#All],3,FALSE)</f>
        <v>BENEFICIO</v>
      </c>
      <c r="D156" s="445" t="str">
        <f>VLOOKUP(mFEV[[#This Row],[DESCRIÇÃO CONTABIL]],Contas_Gerencial[[#All],[DESCRIÇÃO DA CONTA - NÃO UTILIZAR]:[Código2]],2,FALSE)</f>
        <v>20.05.006</v>
      </c>
      <c r="E156" s="480" t="s">
        <v>24</v>
      </c>
      <c r="F156" s="452" t="s">
        <v>581</v>
      </c>
      <c r="G156" s="480" t="s">
        <v>1630</v>
      </c>
      <c r="H156" s="452" t="s">
        <v>1791</v>
      </c>
      <c r="I156" s="481">
        <v>200226</v>
      </c>
      <c r="J156" s="453" t="s">
        <v>581</v>
      </c>
      <c r="K156" s="453" t="s">
        <v>2257</v>
      </c>
      <c r="L156" s="451" t="s">
        <v>2258</v>
      </c>
      <c r="M156" s="457">
        <v>46073</v>
      </c>
      <c r="N156" s="457">
        <v>46073</v>
      </c>
      <c r="O156" s="457">
        <v>46073</v>
      </c>
      <c r="P156" s="452" t="s">
        <v>214</v>
      </c>
      <c r="Q156" s="467">
        <v>1040</v>
      </c>
      <c r="R156" s="467">
        <v>0</v>
      </c>
      <c r="S156" s="467">
        <v>0</v>
      </c>
      <c r="T156" s="115">
        <f>SUM(mFEV[[#This Row],[PRINCIPAL]:[JUROS]])</f>
        <v>1040</v>
      </c>
    </row>
    <row r="157" spans="2:22" ht="21" customHeight="1">
      <c r="B157" s="451" t="str">
        <f t="shared" si="2"/>
        <v>2/26</v>
      </c>
      <c r="C157" s="121" t="str">
        <f>VLOOKUP(mFEV[[#This Row],[CÓDIGO CONTABIL]],Contas_Gerencial[#All],3,FALSE)</f>
        <v>BENEFICIO</v>
      </c>
      <c r="D157" s="445" t="str">
        <f>VLOOKUP(mFEV[[#This Row],[DESCRIÇÃO CONTABIL]],Contas_Gerencial[[#All],[DESCRIÇÃO DA CONTA - NÃO UTILIZAR]:[Código2]],2,FALSE)</f>
        <v>20.05.007</v>
      </c>
      <c r="E157" s="480" t="s">
        <v>25</v>
      </c>
      <c r="F157" s="452" t="s">
        <v>581</v>
      </c>
      <c r="G157" s="480" t="s">
        <v>1630</v>
      </c>
      <c r="H157" s="452" t="s">
        <v>1791</v>
      </c>
      <c r="I157" s="481">
        <v>200226</v>
      </c>
      <c r="J157" s="453" t="s">
        <v>581</v>
      </c>
      <c r="K157" s="453" t="s">
        <v>2257</v>
      </c>
      <c r="L157" s="451" t="s">
        <v>2258</v>
      </c>
      <c r="M157" s="457">
        <v>46073</v>
      </c>
      <c r="N157" s="457">
        <v>46073</v>
      </c>
      <c r="O157" s="457">
        <v>46073</v>
      </c>
      <c r="P157" s="452" t="s">
        <v>214</v>
      </c>
      <c r="Q157" s="467">
        <v>0</v>
      </c>
      <c r="R157" s="467">
        <v>0</v>
      </c>
      <c r="S157" s="467">
        <v>0</v>
      </c>
      <c r="T157" s="115">
        <f>SUM(mFEV[[#This Row],[PRINCIPAL]:[JUROS]])</f>
        <v>0</v>
      </c>
    </row>
    <row r="158" spans="2:22" ht="21" customHeight="1">
      <c r="B158" s="451" t="str">
        <f t="shared" si="2"/>
        <v>2/26</v>
      </c>
      <c r="C158" s="121" t="str">
        <f>VLOOKUP(mFEV[[#This Row],[CÓDIGO CONTABIL]],Contas_Gerencial[#All],3,FALSE)</f>
        <v>RECEITA SUBCONTA</v>
      </c>
      <c r="D158" s="445" t="str">
        <f>VLOOKUP(mFEV[[#This Row],[DESCRIÇÃO CONTABIL]],Contas_Gerencial[[#All],[DESCRIÇÃO DA CONTA - NÃO UTILIZAR]:[Código2]],2,FALSE)</f>
        <v>10.01.001</v>
      </c>
      <c r="E158" s="107" t="s">
        <v>90</v>
      </c>
      <c r="F158" s="452" t="s">
        <v>581</v>
      </c>
      <c r="G158" s="107" t="s">
        <v>1634</v>
      </c>
      <c r="H158" s="107" t="s">
        <v>1788</v>
      </c>
      <c r="I158" s="481">
        <v>190</v>
      </c>
      <c r="J158" s="121" t="s">
        <v>581</v>
      </c>
      <c r="K158" s="121" t="s">
        <v>1792</v>
      </c>
      <c r="L158" s="456" t="s">
        <v>2137</v>
      </c>
      <c r="M158" s="457">
        <v>46052</v>
      </c>
      <c r="N158" s="457">
        <v>46055</v>
      </c>
      <c r="O158" s="457">
        <v>46057</v>
      </c>
      <c r="P158" s="452" t="s">
        <v>214</v>
      </c>
      <c r="Q158" s="482">
        <v>6676</v>
      </c>
      <c r="R158" s="482">
        <v>0</v>
      </c>
      <c r="S158" s="482">
        <v>0</v>
      </c>
      <c r="T158" s="115">
        <f>SUM(mFEV[[#This Row],[PRINCIPAL]:[JUROS]])</f>
        <v>6676</v>
      </c>
      <c r="V158" s="115"/>
    </row>
    <row r="159" spans="2:22" ht="21" customHeight="1">
      <c r="B159" s="451" t="str">
        <f t="shared" si="2"/>
        <v>2/26</v>
      </c>
      <c r="C159" s="121" t="str">
        <f>VLOOKUP(mFEV[[#This Row],[CÓDIGO CONTABIL]],Contas_Gerencial[#All],3,FALSE)</f>
        <v>ENCARGOS</v>
      </c>
      <c r="D159" s="445" t="str">
        <f>VLOOKUP(mFEV[[#This Row],[DESCRIÇÃO CONTABIL]],Contas_Gerencial[[#All],[DESCRIÇÃO DA CONTA - NÃO UTILIZAR]:[Código2]],2,FALSE)</f>
        <v>20.04.004</v>
      </c>
      <c r="E159" s="452" t="s">
        <v>2651</v>
      </c>
      <c r="F159" s="452" t="s">
        <v>581</v>
      </c>
      <c r="G159" s="480" t="s">
        <v>1634</v>
      </c>
      <c r="H159" s="452" t="s">
        <v>1788</v>
      </c>
      <c r="I159" s="481">
        <v>190</v>
      </c>
      <c r="J159" s="453" t="s">
        <v>264</v>
      </c>
      <c r="K159" s="453" t="s">
        <v>2113</v>
      </c>
      <c r="L159" s="456" t="s">
        <v>2137</v>
      </c>
      <c r="M159" s="457">
        <v>46052</v>
      </c>
      <c r="N159" s="457">
        <v>46073</v>
      </c>
      <c r="O159" s="457">
        <v>46073</v>
      </c>
      <c r="P159" s="453" t="s">
        <v>214</v>
      </c>
      <c r="Q159" s="458">
        <v>355.97</v>
      </c>
      <c r="R159" s="459">
        <v>0</v>
      </c>
      <c r="S159" s="459">
        <v>0</v>
      </c>
      <c r="T159" s="115">
        <f>SUM(mFEV[[#This Row],[PRINCIPAL]:[JUROS]])</f>
        <v>355.97</v>
      </c>
      <c r="V159" s="115"/>
    </row>
    <row r="160" spans="2:22" ht="21" customHeight="1">
      <c r="B160" s="451" t="str">
        <f t="shared" si="2"/>
        <v>2/26</v>
      </c>
      <c r="C160" s="121" t="str">
        <f>VLOOKUP(mFEV[[#This Row],[CÓDIGO CONTABIL]],Contas_Gerencial[#All],3,FALSE)</f>
        <v>TRIBUTOS</v>
      </c>
      <c r="D160" s="445" t="str">
        <f>VLOOKUP(mFEV[[#This Row],[DESCRIÇÃO CONTABIL]],Contas_Gerencial[[#All],[DESCRIÇÃO DA CONTA - NÃO UTILIZAR]:[Código2]],2,FALSE)</f>
        <v>20.08.004</v>
      </c>
      <c r="E160" s="452" t="s">
        <v>2648</v>
      </c>
      <c r="F160" s="452" t="s">
        <v>581</v>
      </c>
      <c r="G160" s="480" t="s">
        <v>1634</v>
      </c>
      <c r="H160" s="452" t="s">
        <v>1788</v>
      </c>
      <c r="I160" s="481">
        <v>190</v>
      </c>
      <c r="J160" s="453" t="s">
        <v>654</v>
      </c>
      <c r="K160" s="453" t="s">
        <v>2114</v>
      </c>
      <c r="L160" s="456" t="s">
        <v>2137</v>
      </c>
      <c r="M160" s="457">
        <v>46052</v>
      </c>
      <c r="N160" s="457">
        <v>46073</v>
      </c>
      <c r="O160" s="457">
        <v>46073</v>
      </c>
      <c r="P160" s="453" t="s">
        <v>214</v>
      </c>
      <c r="Q160" s="458">
        <v>288.39999999999998</v>
      </c>
      <c r="R160" s="459">
        <v>0</v>
      </c>
      <c r="S160" s="459">
        <v>0</v>
      </c>
      <c r="T160" s="115">
        <f>SUM(mFEV[[#This Row],[PRINCIPAL]:[JUROS]])</f>
        <v>288.39999999999998</v>
      </c>
    </row>
    <row r="161" spans="2:22" ht="21" customHeight="1">
      <c r="B161" s="451" t="str">
        <f t="shared" si="2"/>
        <v>2/26</v>
      </c>
      <c r="C161" s="121" t="str">
        <f>VLOOKUP(mFEV[[#This Row],[CÓDIGO CONTABIL]],Contas_Gerencial[#All],3,FALSE)</f>
        <v>TRIBUTOS</v>
      </c>
      <c r="D161" s="445" t="str">
        <f>VLOOKUP(mFEV[[#This Row],[DESCRIÇÃO CONTABIL]],Contas_Gerencial[[#All],[DESCRIÇÃO DA CONTA - NÃO UTILIZAR]:[Código2]],2,FALSE)</f>
        <v>20.08.001</v>
      </c>
      <c r="E161" s="452" t="s">
        <v>2112</v>
      </c>
      <c r="F161" s="452" t="s">
        <v>581</v>
      </c>
      <c r="G161" s="480" t="s">
        <v>1634</v>
      </c>
      <c r="H161" s="452" t="s">
        <v>1788</v>
      </c>
      <c r="I161" s="481">
        <v>190</v>
      </c>
      <c r="J161" s="453" t="s">
        <v>654</v>
      </c>
      <c r="K161" s="453" t="s">
        <v>1907</v>
      </c>
      <c r="L161" s="456" t="s">
        <v>2137</v>
      </c>
      <c r="M161" s="457">
        <v>46052</v>
      </c>
      <c r="N161" s="457">
        <v>46073</v>
      </c>
      <c r="O161" s="457">
        <v>46072</v>
      </c>
      <c r="P161" s="453" t="s">
        <v>214</v>
      </c>
      <c r="Q161" s="458">
        <v>0</v>
      </c>
      <c r="R161" s="459">
        <v>0</v>
      </c>
      <c r="S161" s="459">
        <v>0</v>
      </c>
      <c r="T161" s="115">
        <f>SUM(mFEV[[#This Row],[PRINCIPAL]:[JUROS]])</f>
        <v>0</v>
      </c>
    </row>
    <row r="162" spans="2:22" ht="21" customHeight="1">
      <c r="B162" s="451" t="str">
        <f t="shared" si="2"/>
        <v>2/26</v>
      </c>
      <c r="C162" s="121" t="str">
        <f>VLOOKUP(mFEV[[#This Row],[CÓDIGO CONTABIL]],Contas_Gerencial[#All],3,FALSE)</f>
        <v>TRIBUTOS</v>
      </c>
      <c r="D162" s="445" t="str">
        <f>VLOOKUP(mFEV[[#This Row],[DESCRIÇÃO CONTABIL]],Contas_Gerencial[[#All],[DESCRIÇÃO DA CONTA - NÃO UTILIZAR]:[Código2]],2,FALSE)</f>
        <v>20.08.002</v>
      </c>
      <c r="E162" s="452" t="s">
        <v>589</v>
      </c>
      <c r="F162" s="452" t="s">
        <v>581</v>
      </c>
      <c r="G162" s="480" t="s">
        <v>1634</v>
      </c>
      <c r="H162" s="452" t="s">
        <v>1788</v>
      </c>
      <c r="I162" s="481">
        <v>190</v>
      </c>
      <c r="J162" s="453" t="s">
        <v>654</v>
      </c>
      <c r="K162" s="453" t="s">
        <v>1907</v>
      </c>
      <c r="L162" s="456" t="s">
        <v>2137</v>
      </c>
      <c r="M162" s="457">
        <v>46052</v>
      </c>
      <c r="N162" s="457">
        <v>46073</v>
      </c>
      <c r="O162" s="457">
        <v>46072</v>
      </c>
      <c r="P162" s="453" t="s">
        <v>214</v>
      </c>
      <c r="Q162" s="483">
        <v>432.02950266465558</v>
      </c>
      <c r="R162" s="459">
        <v>0</v>
      </c>
      <c r="S162" s="459">
        <v>0</v>
      </c>
      <c r="T162" s="115">
        <f>SUM(mFEV[[#This Row],[PRINCIPAL]:[JUROS]])</f>
        <v>432.02950266465558</v>
      </c>
    </row>
    <row r="163" spans="2:22" ht="21" customHeight="1">
      <c r="B163" s="451" t="str">
        <f t="shared" si="2"/>
        <v>2/26</v>
      </c>
      <c r="C163" s="121" t="str">
        <f>VLOOKUP(mFEV[[#This Row],[CÓDIGO CONTABIL]],Contas_Gerencial[#All],3,FALSE)</f>
        <v>FOLHA DE PAGAMENTO</v>
      </c>
      <c r="D163" s="445" t="str">
        <f>VLOOKUP(mFEV[[#This Row],[DESCRIÇÃO CONTABIL]],Contas_Gerencial[[#All],[DESCRIÇÃO DA CONTA - NÃO UTILIZAR]:[Código2]],2,FALSE)</f>
        <v>20.05.021</v>
      </c>
      <c r="E163" s="452" t="s">
        <v>59</v>
      </c>
      <c r="F163" s="453" t="s">
        <v>581</v>
      </c>
      <c r="G163" s="480" t="s">
        <v>1634</v>
      </c>
      <c r="H163" s="452" t="s">
        <v>1791</v>
      </c>
      <c r="I163" s="481">
        <v>190</v>
      </c>
      <c r="J163" s="453" t="s">
        <v>581</v>
      </c>
      <c r="K163" s="452" t="s">
        <v>1790</v>
      </c>
      <c r="L163" s="456" t="s">
        <v>2137</v>
      </c>
      <c r="M163" s="457">
        <v>46052</v>
      </c>
      <c r="N163" s="457">
        <v>46059</v>
      </c>
      <c r="O163" s="457">
        <v>46058</v>
      </c>
      <c r="P163" s="453" t="s">
        <v>214</v>
      </c>
      <c r="Q163" s="458">
        <v>1702.95</v>
      </c>
      <c r="R163" s="459">
        <v>0</v>
      </c>
      <c r="S163" s="459">
        <v>0</v>
      </c>
      <c r="T163" s="115">
        <f>SUM(mFEV[[#This Row],[PRINCIPAL]:[JUROS]])</f>
        <v>1702.95</v>
      </c>
      <c r="V163" s="115"/>
    </row>
    <row r="164" spans="2:22" ht="21" customHeight="1">
      <c r="B164" s="451" t="str">
        <f t="shared" si="2"/>
        <v>2/26</v>
      </c>
      <c r="C164" s="121" t="str">
        <f>VLOOKUP(mFEV[[#This Row],[CÓDIGO CONTABIL]],Contas_Gerencial[#All],3,FALSE)</f>
        <v>ENCARGOS</v>
      </c>
      <c r="D164" s="445" t="str">
        <f>VLOOKUP(mFEV[[#This Row],[DESCRIÇÃO CONTABIL]],Contas_Gerencial[[#All],[DESCRIÇÃO DA CONTA - NÃO UTILIZAR]:[Código2]],2,FALSE)</f>
        <v>20.04.006</v>
      </c>
      <c r="E164" s="452" t="s">
        <v>1180</v>
      </c>
      <c r="F164" s="452" t="s">
        <v>581</v>
      </c>
      <c r="G164" s="480" t="s">
        <v>1634</v>
      </c>
      <c r="H164" s="452" t="s">
        <v>1180</v>
      </c>
      <c r="I164" s="481">
        <v>190</v>
      </c>
      <c r="J164" s="453" t="s">
        <v>384</v>
      </c>
      <c r="K164" s="453" t="s">
        <v>1180</v>
      </c>
      <c r="L164" s="456" t="s">
        <v>2137</v>
      </c>
      <c r="M164" s="457">
        <v>46052</v>
      </c>
      <c r="N164" s="457">
        <v>46073</v>
      </c>
      <c r="O164" s="457">
        <v>46072</v>
      </c>
      <c r="P164" s="453" t="s">
        <v>214</v>
      </c>
      <c r="Q164" s="458">
        <v>152.01</v>
      </c>
      <c r="R164" s="459">
        <v>0</v>
      </c>
      <c r="S164" s="459">
        <v>0</v>
      </c>
      <c r="T164" s="115">
        <f>SUM(mFEV[[#This Row],[PRINCIPAL]:[JUROS]])</f>
        <v>152.01</v>
      </c>
    </row>
    <row r="165" spans="2:22" ht="21" customHeight="1">
      <c r="B165" s="451" t="str">
        <f t="shared" si="2"/>
        <v>2/26</v>
      </c>
      <c r="C165" s="121" t="str">
        <f>VLOOKUP(mFEV[[#This Row],[CÓDIGO CONTABIL]],Contas_Gerencial[#All],3,FALSE)</f>
        <v>ENCARGOS</v>
      </c>
      <c r="D165" s="445" t="str">
        <f>VLOOKUP(mFEV[[#This Row],[DESCRIÇÃO CONTABIL]],Contas_Gerencial[[#All],[DESCRIÇÃO DA CONTA - NÃO UTILIZAR]:[Código2]],2,FALSE)</f>
        <v>20.04.001</v>
      </c>
      <c r="E165" s="464" t="s">
        <v>2659</v>
      </c>
      <c r="F165" s="464" t="s">
        <v>581</v>
      </c>
      <c r="G165" s="464" t="s">
        <v>1634</v>
      </c>
      <c r="H165" s="464" t="s">
        <v>1788</v>
      </c>
      <c r="I165" s="984">
        <v>190</v>
      </c>
      <c r="J165" s="461" t="s">
        <v>757</v>
      </c>
      <c r="K165" s="461" t="s">
        <v>2089</v>
      </c>
      <c r="L165" s="462" t="s">
        <v>2137</v>
      </c>
      <c r="M165" s="463">
        <v>46052</v>
      </c>
      <c r="N165" s="463">
        <v>46073</v>
      </c>
      <c r="O165" s="463"/>
      <c r="P165" s="741" t="s">
        <v>1</v>
      </c>
      <c r="Q165" s="484">
        <f>148.24-65</f>
        <v>83.240000000000009</v>
      </c>
      <c r="R165" s="465">
        <v>0</v>
      </c>
      <c r="S165" s="465">
        <v>0</v>
      </c>
      <c r="T165" s="115">
        <f>SUM(mFEV[[#This Row],[PRINCIPAL]:[JUROS]])</f>
        <v>83.240000000000009</v>
      </c>
    </row>
    <row r="166" spans="2:22" ht="21" customHeight="1">
      <c r="B166" s="451" t="str">
        <f t="shared" si="2"/>
        <v>2/26</v>
      </c>
      <c r="C166" s="121" t="str">
        <f>VLOOKUP(mFEV[[#This Row],[CÓDIGO CONTABIL]],Contas_Gerencial[#All],3,FALSE)</f>
        <v>BENEFICIO</v>
      </c>
      <c r="D166" s="445" t="str">
        <f>VLOOKUP(mFEV[[#This Row],[DESCRIÇÃO CONTABIL]],Contas_Gerencial[[#All],[DESCRIÇÃO DA CONTA - NÃO UTILIZAR]:[Código2]],2,FALSE)</f>
        <v>20.05.006</v>
      </c>
      <c r="E166" s="480" t="s">
        <v>24</v>
      </c>
      <c r="F166" s="452" t="s">
        <v>581</v>
      </c>
      <c r="G166" s="480" t="s">
        <v>1634</v>
      </c>
      <c r="H166" s="452" t="s">
        <v>1791</v>
      </c>
      <c r="I166" s="481">
        <v>200226</v>
      </c>
      <c r="J166" s="453" t="s">
        <v>581</v>
      </c>
      <c r="K166" s="453" t="s">
        <v>2257</v>
      </c>
      <c r="L166" s="451" t="s">
        <v>2258</v>
      </c>
      <c r="M166" s="457">
        <v>46073</v>
      </c>
      <c r="N166" s="457">
        <v>46073</v>
      </c>
      <c r="O166" s="457">
        <v>46073</v>
      </c>
      <c r="P166" s="452" t="s">
        <v>214</v>
      </c>
      <c r="Q166" s="467">
        <v>1113.1200000000001</v>
      </c>
      <c r="R166" s="467">
        <v>0</v>
      </c>
      <c r="S166" s="467">
        <v>0</v>
      </c>
      <c r="T166" s="115">
        <f>SUM(mFEV[[#This Row],[PRINCIPAL]:[JUROS]])</f>
        <v>1113.1200000000001</v>
      </c>
    </row>
    <row r="167" spans="2:22" ht="21" customHeight="1">
      <c r="B167" s="451" t="str">
        <f t="shared" si="2"/>
        <v>2/26</v>
      </c>
      <c r="C167" s="121" t="str">
        <f>VLOOKUP(mFEV[[#This Row],[CÓDIGO CONTABIL]],Contas_Gerencial[#All],3,FALSE)</f>
        <v>BENEFICIO</v>
      </c>
      <c r="D167" s="445" t="str">
        <f>VLOOKUP(mFEV[[#This Row],[DESCRIÇÃO CONTABIL]],Contas_Gerencial[[#All],[DESCRIÇÃO DA CONTA - NÃO UTILIZAR]:[Código2]],2,FALSE)</f>
        <v>20.05.007</v>
      </c>
      <c r="E167" s="480" t="s">
        <v>25</v>
      </c>
      <c r="F167" s="452" t="s">
        <v>581</v>
      </c>
      <c r="G167" s="480" t="s">
        <v>1634</v>
      </c>
      <c r="H167" s="452" t="s">
        <v>1791</v>
      </c>
      <c r="I167" s="481">
        <v>200226</v>
      </c>
      <c r="J167" s="453" t="s">
        <v>581</v>
      </c>
      <c r="K167" s="453" t="s">
        <v>2257</v>
      </c>
      <c r="L167" s="451" t="s">
        <v>2258</v>
      </c>
      <c r="M167" s="457">
        <v>46073</v>
      </c>
      <c r="N167" s="457">
        <v>46073</v>
      </c>
      <c r="O167" s="457">
        <v>46073</v>
      </c>
      <c r="P167" s="452" t="s">
        <v>214</v>
      </c>
      <c r="Q167" s="467">
        <v>182.39999999999992</v>
      </c>
      <c r="R167" s="467">
        <v>0</v>
      </c>
      <c r="S167" s="467">
        <v>0</v>
      </c>
      <c r="T167" s="115">
        <f>SUM(mFEV[[#This Row],[PRINCIPAL]:[JUROS]])</f>
        <v>182.39999999999992</v>
      </c>
    </row>
    <row r="168" spans="2:22" ht="21" customHeight="1">
      <c r="B168" s="451" t="str">
        <f t="shared" si="2"/>
        <v>2/26</v>
      </c>
      <c r="C168" s="121" t="str">
        <f>VLOOKUP(mFEV[[#This Row],[CÓDIGO CONTABIL]],Contas_Gerencial[#All],3,FALSE)</f>
        <v>RECEITA SUBCONTA</v>
      </c>
      <c r="D168" s="445" t="str">
        <f>VLOOKUP(mFEV[[#This Row],[DESCRIÇÃO CONTABIL]],Contas_Gerencial[[#All],[DESCRIÇÃO DA CONTA - NÃO UTILIZAR]:[Código2]],2,FALSE)</f>
        <v>10.01.001</v>
      </c>
      <c r="E168" s="107" t="s">
        <v>90</v>
      </c>
      <c r="F168" s="452" t="s">
        <v>581</v>
      </c>
      <c r="G168" s="107" t="s">
        <v>1768</v>
      </c>
      <c r="H168" s="107" t="s">
        <v>2496</v>
      </c>
      <c r="I168" s="481">
        <v>189</v>
      </c>
      <c r="J168" s="121" t="s">
        <v>581</v>
      </c>
      <c r="K168" s="121" t="s">
        <v>1792</v>
      </c>
      <c r="L168" s="456" t="s">
        <v>2137</v>
      </c>
      <c r="M168" s="457">
        <v>46052</v>
      </c>
      <c r="N168" s="457">
        <v>46068</v>
      </c>
      <c r="O168" s="457">
        <v>46058</v>
      </c>
      <c r="P168" s="452" t="s">
        <v>214</v>
      </c>
      <c r="Q168" s="482">
        <v>9745</v>
      </c>
      <c r="R168" s="482">
        <v>0</v>
      </c>
      <c r="S168" s="482">
        <v>0</v>
      </c>
      <c r="T168" s="115">
        <f>SUM(mFEV[[#This Row],[PRINCIPAL]:[JUROS]])</f>
        <v>9745</v>
      </c>
      <c r="V168" s="115"/>
    </row>
    <row r="169" spans="2:22" ht="21" customHeight="1">
      <c r="B169" s="451" t="str">
        <f t="shared" si="2"/>
        <v>2/26</v>
      </c>
      <c r="C169" s="121" t="str">
        <f>VLOOKUP(mFEV[[#This Row],[CÓDIGO CONTABIL]],Contas_Gerencial[#All],3,FALSE)</f>
        <v>ENCARGOS</v>
      </c>
      <c r="D169" s="445" t="str">
        <f>VLOOKUP(mFEV[[#This Row],[DESCRIÇÃO CONTABIL]],Contas_Gerencial[[#All],[DESCRIÇÃO DA CONTA - NÃO UTILIZAR]:[Código2]],2,FALSE)</f>
        <v>20.04.004</v>
      </c>
      <c r="E169" s="452" t="s">
        <v>2651</v>
      </c>
      <c r="F169" s="452" t="s">
        <v>581</v>
      </c>
      <c r="G169" s="480" t="s">
        <v>1768</v>
      </c>
      <c r="H169" s="452" t="s">
        <v>1788</v>
      </c>
      <c r="I169" s="481">
        <v>189</v>
      </c>
      <c r="J169" s="453" t="s">
        <v>264</v>
      </c>
      <c r="K169" s="453" t="s">
        <v>2113</v>
      </c>
      <c r="L169" s="456" t="s">
        <v>2137</v>
      </c>
      <c r="M169" s="457">
        <v>46052</v>
      </c>
      <c r="N169" s="457">
        <v>46073</v>
      </c>
      <c r="O169" s="457">
        <v>46073</v>
      </c>
      <c r="P169" s="453" t="s">
        <v>214</v>
      </c>
      <c r="Q169" s="458">
        <v>608.91</v>
      </c>
      <c r="R169" s="459">
        <v>0</v>
      </c>
      <c r="S169" s="459">
        <v>0</v>
      </c>
      <c r="T169" s="115">
        <f>SUM(mFEV[[#This Row],[PRINCIPAL]:[JUROS]])</f>
        <v>608.91</v>
      </c>
      <c r="V169" s="115"/>
    </row>
    <row r="170" spans="2:22" ht="21" customHeight="1">
      <c r="B170" s="451" t="str">
        <f t="shared" si="2"/>
        <v>2/26</v>
      </c>
      <c r="C170" s="121" t="str">
        <f>VLOOKUP(mFEV[[#This Row],[CÓDIGO CONTABIL]],Contas_Gerencial[#All],3,FALSE)</f>
        <v>TRIBUTOS</v>
      </c>
      <c r="D170" s="445" t="str">
        <f>VLOOKUP(mFEV[[#This Row],[DESCRIÇÃO CONTABIL]],Contas_Gerencial[[#All],[DESCRIÇÃO DA CONTA - NÃO UTILIZAR]:[Código2]],2,FALSE)</f>
        <v>20.08.004</v>
      </c>
      <c r="E170" s="452" t="s">
        <v>2648</v>
      </c>
      <c r="F170" s="452" t="s">
        <v>581</v>
      </c>
      <c r="G170" s="480" t="s">
        <v>1768</v>
      </c>
      <c r="H170" s="452" t="s">
        <v>1788</v>
      </c>
      <c r="I170" s="481">
        <v>189</v>
      </c>
      <c r="J170" s="453" t="s">
        <v>654</v>
      </c>
      <c r="K170" s="453" t="s">
        <v>2114</v>
      </c>
      <c r="L170" s="456" t="s">
        <v>2137</v>
      </c>
      <c r="M170" s="457">
        <v>46052</v>
      </c>
      <c r="N170" s="457">
        <v>46073</v>
      </c>
      <c r="O170" s="457">
        <v>46073</v>
      </c>
      <c r="P170" s="453" t="s">
        <v>214</v>
      </c>
      <c r="Q170" s="458">
        <v>0</v>
      </c>
      <c r="R170" s="459">
        <v>0</v>
      </c>
      <c r="S170" s="459">
        <v>0</v>
      </c>
      <c r="T170" s="115">
        <f>SUM(mFEV[[#This Row],[PRINCIPAL]:[JUROS]])</f>
        <v>0</v>
      </c>
    </row>
    <row r="171" spans="2:22" ht="21" customHeight="1">
      <c r="B171" s="451" t="str">
        <f t="shared" si="2"/>
        <v>2/26</v>
      </c>
      <c r="C171" s="121" t="str">
        <f>VLOOKUP(mFEV[[#This Row],[CÓDIGO CONTABIL]],Contas_Gerencial[#All],3,FALSE)</f>
        <v>TRIBUTOS</v>
      </c>
      <c r="D171" s="445" t="str">
        <f>VLOOKUP(mFEV[[#This Row],[DESCRIÇÃO CONTABIL]],Contas_Gerencial[[#All],[DESCRIÇÃO DA CONTA - NÃO UTILIZAR]:[Código2]],2,FALSE)</f>
        <v>20.08.001</v>
      </c>
      <c r="E171" s="452" t="s">
        <v>2112</v>
      </c>
      <c r="F171" s="452" t="s">
        <v>581</v>
      </c>
      <c r="G171" s="480" t="s">
        <v>1768</v>
      </c>
      <c r="H171" s="452" t="s">
        <v>1788</v>
      </c>
      <c r="I171" s="481">
        <v>189</v>
      </c>
      <c r="J171" s="453" t="s">
        <v>654</v>
      </c>
      <c r="K171" s="453" t="s">
        <v>1907</v>
      </c>
      <c r="L171" s="456" t="s">
        <v>2137</v>
      </c>
      <c r="M171" s="457">
        <v>46052</v>
      </c>
      <c r="N171" s="457">
        <v>46073</v>
      </c>
      <c r="O171" s="457">
        <v>46072</v>
      </c>
      <c r="P171" s="453" t="s">
        <v>214</v>
      </c>
      <c r="Q171" s="458">
        <v>420.98</v>
      </c>
      <c r="R171" s="459">
        <v>0</v>
      </c>
      <c r="S171" s="459">
        <v>0</v>
      </c>
      <c r="T171" s="115">
        <f>SUM(mFEV[[#This Row],[PRINCIPAL]:[JUROS]])</f>
        <v>420.98</v>
      </c>
    </row>
    <row r="172" spans="2:22" ht="21" customHeight="1">
      <c r="B172" s="451" t="str">
        <f t="shared" si="2"/>
        <v>2/26</v>
      </c>
      <c r="C172" s="121" t="str">
        <f>VLOOKUP(mFEV[[#This Row],[CÓDIGO CONTABIL]],Contas_Gerencial[#All],3,FALSE)</f>
        <v>TRIBUTOS</v>
      </c>
      <c r="D172" s="445" t="str">
        <f>VLOOKUP(mFEV[[#This Row],[DESCRIÇÃO CONTABIL]],Contas_Gerencial[[#All],[DESCRIÇÃO DA CONTA - NÃO UTILIZAR]:[Código2]],2,FALSE)</f>
        <v>20.08.002</v>
      </c>
      <c r="E172" s="452" t="s">
        <v>589</v>
      </c>
      <c r="F172" s="452" t="s">
        <v>581</v>
      </c>
      <c r="G172" s="480" t="s">
        <v>1768</v>
      </c>
      <c r="H172" s="452" t="s">
        <v>1788</v>
      </c>
      <c r="I172" s="481">
        <v>189</v>
      </c>
      <c r="J172" s="453" t="s">
        <v>654</v>
      </c>
      <c r="K172" s="453" t="s">
        <v>1907</v>
      </c>
      <c r="L172" s="456" t="s">
        <v>2137</v>
      </c>
      <c r="M172" s="457">
        <v>46052</v>
      </c>
      <c r="N172" s="457">
        <v>46073</v>
      </c>
      <c r="O172" s="457">
        <v>46072</v>
      </c>
      <c r="P172" s="453" t="s">
        <v>214</v>
      </c>
      <c r="Q172" s="483">
        <v>630.63623479135231</v>
      </c>
      <c r="R172" s="459">
        <v>0</v>
      </c>
      <c r="S172" s="459">
        <v>0</v>
      </c>
      <c r="T172" s="115">
        <f>SUM(mFEV[[#This Row],[PRINCIPAL]:[JUROS]])</f>
        <v>630.63623479135231</v>
      </c>
    </row>
    <row r="173" spans="2:22" ht="21" customHeight="1">
      <c r="B173" s="451" t="str">
        <f t="shared" si="2"/>
        <v>2/26</v>
      </c>
      <c r="C173" s="121" t="str">
        <f>VLOOKUP(mFEV[[#This Row],[CÓDIGO CONTABIL]],Contas_Gerencial[#All],3,FALSE)</f>
        <v>FOLHA DE PAGAMENTO</v>
      </c>
      <c r="D173" s="445" t="str">
        <f>VLOOKUP(mFEV[[#This Row],[DESCRIÇÃO CONTABIL]],Contas_Gerencial[[#All],[DESCRIÇÃO DA CONTA - NÃO UTILIZAR]:[Código2]],2,FALSE)</f>
        <v>20.05.021</v>
      </c>
      <c r="E173" s="452" t="s">
        <v>59</v>
      </c>
      <c r="F173" s="453" t="s">
        <v>581</v>
      </c>
      <c r="G173" s="480" t="s">
        <v>1768</v>
      </c>
      <c r="H173" s="452" t="s">
        <v>1791</v>
      </c>
      <c r="I173" s="481">
        <v>189</v>
      </c>
      <c r="J173" s="453" t="s">
        <v>581</v>
      </c>
      <c r="K173" s="452" t="s">
        <v>1793</v>
      </c>
      <c r="L173" s="456" t="s">
        <v>2137</v>
      </c>
      <c r="M173" s="457">
        <v>46055</v>
      </c>
      <c r="N173" s="457">
        <v>46059</v>
      </c>
      <c r="O173" s="457">
        <v>46058</v>
      </c>
      <c r="P173" s="453" t="s">
        <v>214</v>
      </c>
      <c r="Q173" s="458">
        <v>3075.13</v>
      </c>
      <c r="R173" s="459">
        <v>0</v>
      </c>
      <c r="S173" s="459">
        <v>0</v>
      </c>
      <c r="T173" s="115">
        <f>SUM(mFEV[[#This Row],[PRINCIPAL]:[JUROS]])</f>
        <v>3075.13</v>
      </c>
      <c r="V173" s="115"/>
    </row>
    <row r="174" spans="2:22" ht="21" customHeight="1">
      <c r="B174" s="451" t="str">
        <f t="shared" si="2"/>
        <v>2/26</v>
      </c>
      <c r="C174" s="121" t="str">
        <f>VLOOKUP(mFEV[[#This Row],[CÓDIGO CONTABIL]],Contas_Gerencial[#All],3,FALSE)</f>
        <v>ENCARGOS</v>
      </c>
      <c r="D174" s="445" t="str">
        <f>VLOOKUP(mFEV[[#This Row],[DESCRIÇÃO CONTABIL]],Contas_Gerencial[[#All],[DESCRIÇÃO DA CONTA - NÃO UTILIZAR]:[Código2]],2,FALSE)</f>
        <v>20.04.006</v>
      </c>
      <c r="E174" s="452" t="s">
        <v>1180</v>
      </c>
      <c r="F174" s="452" t="s">
        <v>581</v>
      </c>
      <c r="G174" s="480" t="s">
        <v>1768</v>
      </c>
      <c r="H174" s="452" t="s">
        <v>1180</v>
      </c>
      <c r="I174" s="481">
        <v>189</v>
      </c>
      <c r="J174" s="453" t="s">
        <v>384</v>
      </c>
      <c r="K174" s="453" t="s">
        <v>1180</v>
      </c>
      <c r="L174" s="456" t="s">
        <v>2137</v>
      </c>
      <c r="M174" s="457">
        <v>46055</v>
      </c>
      <c r="N174" s="457">
        <v>46073</v>
      </c>
      <c r="O174" s="457">
        <v>46072</v>
      </c>
      <c r="P174" s="453" t="s">
        <v>214</v>
      </c>
      <c r="Q174" s="458">
        <v>256.24</v>
      </c>
      <c r="R174" s="459">
        <v>0</v>
      </c>
      <c r="S174" s="459">
        <v>0</v>
      </c>
      <c r="T174" s="115">
        <f>SUM(mFEV[[#This Row],[PRINCIPAL]:[JUROS]])</f>
        <v>256.24</v>
      </c>
    </row>
    <row r="175" spans="2:22" ht="21" customHeight="1">
      <c r="B175" s="451" t="str">
        <f t="shared" si="2"/>
        <v>2/26</v>
      </c>
      <c r="C175" s="121" t="str">
        <f>VLOOKUP(mFEV[[#This Row],[CÓDIGO CONTABIL]],Contas_Gerencial[#All],3,FALSE)</f>
        <v>ENCARGOS</v>
      </c>
      <c r="D175" s="445" t="str">
        <f>VLOOKUP(mFEV[[#This Row],[DESCRIÇÃO CONTABIL]],Contas_Gerencial[[#All],[DESCRIÇÃO DA CONTA - NÃO UTILIZAR]:[Código2]],2,FALSE)</f>
        <v>20.04.001</v>
      </c>
      <c r="E175" s="464" t="s">
        <v>2659</v>
      </c>
      <c r="F175" s="464" t="s">
        <v>581</v>
      </c>
      <c r="G175" s="464" t="s">
        <v>1768</v>
      </c>
      <c r="H175" s="464" t="s">
        <v>1788</v>
      </c>
      <c r="I175" s="984">
        <v>189</v>
      </c>
      <c r="J175" s="461" t="s">
        <v>757</v>
      </c>
      <c r="K175" s="461" t="s">
        <v>2089</v>
      </c>
      <c r="L175" s="462" t="s">
        <v>2137</v>
      </c>
      <c r="M175" s="463">
        <v>46055</v>
      </c>
      <c r="N175" s="463">
        <v>46073</v>
      </c>
      <c r="O175" s="463"/>
      <c r="P175" s="741" t="s">
        <v>1</v>
      </c>
      <c r="Q175" s="484">
        <v>242.72</v>
      </c>
      <c r="R175" s="465">
        <v>0</v>
      </c>
      <c r="S175" s="465">
        <v>0</v>
      </c>
      <c r="T175" s="115">
        <f>SUM(mFEV[[#This Row],[PRINCIPAL]:[JUROS]])</f>
        <v>242.72</v>
      </c>
    </row>
    <row r="176" spans="2:22" ht="21" customHeight="1">
      <c r="B176" s="451" t="str">
        <f t="shared" si="2"/>
        <v>2/26</v>
      </c>
      <c r="C176" s="121" t="str">
        <f>VLOOKUP(mFEV[[#This Row],[CÓDIGO CONTABIL]],Contas_Gerencial[#All],3,FALSE)</f>
        <v>BENEFICIO</v>
      </c>
      <c r="D176" s="445" t="str">
        <f>VLOOKUP(mFEV[[#This Row],[DESCRIÇÃO CONTABIL]],Contas_Gerencial[[#All],[DESCRIÇÃO DA CONTA - NÃO UTILIZAR]:[Código2]],2,FALSE)</f>
        <v>20.05.006</v>
      </c>
      <c r="E176" s="480" t="s">
        <v>24</v>
      </c>
      <c r="F176" s="452" t="s">
        <v>581</v>
      </c>
      <c r="G176" s="480" t="s">
        <v>1768</v>
      </c>
      <c r="H176" s="452" t="s">
        <v>1791</v>
      </c>
      <c r="I176" s="481">
        <v>200226</v>
      </c>
      <c r="J176" s="453" t="s">
        <v>581</v>
      </c>
      <c r="K176" s="453" t="s">
        <v>2257</v>
      </c>
      <c r="L176" s="451" t="s">
        <v>2258</v>
      </c>
      <c r="M176" s="457">
        <v>46073</v>
      </c>
      <c r="N176" s="457">
        <v>46073</v>
      </c>
      <c r="O176" s="457">
        <v>46073</v>
      </c>
      <c r="P176" s="452" t="s">
        <v>214</v>
      </c>
      <c r="Q176" s="467">
        <v>728</v>
      </c>
      <c r="R176" s="467">
        <v>0</v>
      </c>
      <c r="S176" s="467">
        <v>0</v>
      </c>
      <c r="T176" s="115">
        <f>SUM(mFEV[[#This Row],[PRINCIPAL]:[JUROS]])</f>
        <v>728</v>
      </c>
    </row>
    <row r="177" spans="2:22" ht="21" customHeight="1">
      <c r="B177" s="451" t="str">
        <f t="shared" si="2"/>
        <v>2/26</v>
      </c>
      <c r="C177" s="121" t="str">
        <f>VLOOKUP(mFEV[[#This Row],[CÓDIGO CONTABIL]],Contas_Gerencial[#All],3,FALSE)</f>
        <v>BENEFICIO</v>
      </c>
      <c r="D177" s="445" t="str">
        <f>VLOOKUP(mFEV[[#This Row],[DESCRIÇÃO CONTABIL]],Contas_Gerencial[[#All],[DESCRIÇÃO DA CONTA - NÃO UTILIZAR]:[Código2]],2,FALSE)</f>
        <v>20.05.007</v>
      </c>
      <c r="E177" s="480" t="s">
        <v>25</v>
      </c>
      <c r="F177" s="452" t="s">
        <v>581</v>
      </c>
      <c r="G177" s="480" t="s">
        <v>1768</v>
      </c>
      <c r="H177" s="452" t="s">
        <v>1791</v>
      </c>
      <c r="I177" s="481">
        <v>200226</v>
      </c>
      <c r="J177" s="453" t="s">
        <v>581</v>
      </c>
      <c r="K177" s="453" t="s">
        <v>2257</v>
      </c>
      <c r="L177" s="451" t="s">
        <v>2258</v>
      </c>
      <c r="M177" s="457">
        <v>46073</v>
      </c>
      <c r="N177" s="457">
        <v>46073</v>
      </c>
      <c r="O177" s="457">
        <v>46073</v>
      </c>
      <c r="P177" s="452" t="s">
        <v>214</v>
      </c>
      <c r="Q177" s="467">
        <v>0</v>
      </c>
      <c r="R177" s="467">
        <v>0</v>
      </c>
      <c r="S177" s="467">
        <v>0</v>
      </c>
      <c r="T177" s="115">
        <f>SUM(mFEV[[#This Row],[PRINCIPAL]:[JUROS]])</f>
        <v>0</v>
      </c>
    </row>
    <row r="178" spans="2:22" ht="21" customHeight="1">
      <c r="B178" s="451" t="str">
        <f t="shared" si="2"/>
        <v>2/26</v>
      </c>
      <c r="C178" s="121" t="str">
        <f>VLOOKUP(mFEV[[#This Row],[CÓDIGO CONTABIL]],Contas_Gerencial[#All],3,FALSE)</f>
        <v>RECEITA SUBCONTA</v>
      </c>
      <c r="D178" s="445" t="str">
        <f>VLOOKUP(mFEV[[#This Row],[DESCRIÇÃO CONTABIL]],Contas_Gerencial[[#All],[DESCRIÇÃO DA CONTA - NÃO UTILIZAR]:[Código2]],2,FALSE)</f>
        <v>10.01.001</v>
      </c>
      <c r="E178" s="107" t="s">
        <v>90</v>
      </c>
      <c r="F178" s="452" t="s">
        <v>581</v>
      </c>
      <c r="G178" s="107" t="s">
        <v>1003</v>
      </c>
      <c r="H178" s="107" t="s">
        <v>2496</v>
      </c>
      <c r="I178" s="481">
        <v>188</v>
      </c>
      <c r="J178" s="121" t="s">
        <v>581</v>
      </c>
      <c r="K178" s="121" t="s">
        <v>1792</v>
      </c>
      <c r="L178" s="456" t="s">
        <v>2137</v>
      </c>
      <c r="M178" s="457">
        <v>46052</v>
      </c>
      <c r="N178" s="457">
        <v>46068</v>
      </c>
      <c r="O178" s="457">
        <v>46071</v>
      </c>
      <c r="P178" s="452" t="s">
        <v>214</v>
      </c>
      <c r="Q178" s="482">
        <v>19698</v>
      </c>
      <c r="R178" s="482">
        <v>0</v>
      </c>
      <c r="S178" s="482">
        <v>0</v>
      </c>
      <c r="T178" s="115">
        <f>SUM(mFEV[[#This Row],[PRINCIPAL]:[JUROS]])</f>
        <v>19698</v>
      </c>
      <c r="V178" s="115"/>
    </row>
    <row r="179" spans="2:22" ht="21" customHeight="1">
      <c r="B179" s="451" t="str">
        <f t="shared" si="2"/>
        <v>2/26</v>
      </c>
      <c r="C179" s="121" t="str">
        <f>VLOOKUP(mFEV[[#This Row],[CÓDIGO CONTABIL]],Contas_Gerencial[#All],3,FALSE)</f>
        <v>ENCARGOS</v>
      </c>
      <c r="D179" s="445" t="str">
        <f>VLOOKUP(mFEV[[#This Row],[DESCRIÇÃO CONTABIL]],Contas_Gerencial[[#All],[DESCRIÇÃO DA CONTA - NÃO UTILIZAR]:[Código2]],2,FALSE)</f>
        <v>20.04.004</v>
      </c>
      <c r="E179" s="452" t="s">
        <v>2651</v>
      </c>
      <c r="F179" s="452" t="s">
        <v>581</v>
      </c>
      <c r="G179" s="480" t="s">
        <v>1003</v>
      </c>
      <c r="H179" s="452" t="s">
        <v>1788</v>
      </c>
      <c r="I179" s="481">
        <v>188</v>
      </c>
      <c r="J179" s="453" t="s">
        <v>264</v>
      </c>
      <c r="K179" s="453" t="s">
        <v>2113</v>
      </c>
      <c r="L179" s="456" t="s">
        <v>2137</v>
      </c>
      <c r="M179" s="457">
        <v>46052</v>
      </c>
      <c r="N179" s="457">
        <v>46073</v>
      </c>
      <c r="O179" s="457">
        <v>46073</v>
      </c>
      <c r="P179" s="453" t="s">
        <v>214</v>
      </c>
      <c r="Q179" s="458">
        <v>1328.59</v>
      </c>
      <c r="R179" s="459">
        <v>0</v>
      </c>
      <c r="S179" s="459">
        <v>0</v>
      </c>
      <c r="T179" s="115">
        <f>SUM(mFEV[[#This Row],[PRINCIPAL]:[JUROS]])</f>
        <v>1328.59</v>
      </c>
      <c r="V179" s="115"/>
    </row>
    <row r="180" spans="2:22" ht="21" customHeight="1">
      <c r="B180" s="451" t="str">
        <f t="shared" si="2"/>
        <v>2/26</v>
      </c>
      <c r="C180" s="121" t="str">
        <f>VLOOKUP(mFEV[[#This Row],[CÓDIGO CONTABIL]],Contas_Gerencial[#All],3,FALSE)</f>
        <v>TRIBUTOS</v>
      </c>
      <c r="D180" s="445" t="str">
        <f>VLOOKUP(mFEV[[#This Row],[DESCRIÇÃO CONTABIL]],Contas_Gerencial[[#All],[DESCRIÇÃO DA CONTA - NÃO UTILIZAR]:[Código2]],2,FALSE)</f>
        <v>20.08.004</v>
      </c>
      <c r="E180" s="452" t="s">
        <v>2648</v>
      </c>
      <c r="F180" s="452" t="s">
        <v>581</v>
      </c>
      <c r="G180" s="480" t="s">
        <v>1003</v>
      </c>
      <c r="H180" s="452" t="s">
        <v>1788</v>
      </c>
      <c r="I180" s="481">
        <v>188</v>
      </c>
      <c r="J180" s="453" t="s">
        <v>654</v>
      </c>
      <c r="K180" s="453" t="s">
        <v>2114</v>
      </c>
      <c r="L180" s="456" t="s">
        <v>2137</v>
      </c>
      <c r="M180" s="457">
        <v>46052</v>
      </c>
      <c r="N180" s="457">
        <v>46073</v>
      </c>
      <c r="O180" s="457">
        <v>46073</v>
      </c>
      <c r="P180" s="453" t="s">
        <v>214</v>
      </c>
      <c r="Q180" s="458">
        <v>850.94</v>
      </c>
      <c r="R180" s="459">
        <v>0</v>
      </c>
      <c r="S180" s="459">
        <v>0</v>
      </c>
      <c r="T180" s="115">
        <f>SUM(mFEV[[#This Row],[PRINCIPAL]:[JUROS]])</f>
        <v>850.94</v>
      </c>
    </row>
    <row r="181" spans="2:22" ht="21" customHeight="1">
      <c r="B181" s="451" t="str">
        <f t="shared" si="2"/>
        <v>2/26</v>
      </c>
      <c r="C181" s="121" t="str">
        <f>VLOOKUP(mFEV[[#This Row],[CÓDIGO CONTABIL]],Contas_Gerencial[#All],3,FALSE)</f>
        <v>TRIBUTOS</v>
      </c>
      <c r="D181" s="445" t="str">
        <f>VLOOKUP(mFEV[[#This Row],[DESCRIÇÃO CONTABIL]],Contas_Gerencial[[#All],[DESCRIÇÃO DA CONTA - NÃO UTILIZAR]:[Código2]],2,FALSE)</f>
        <v>20.08.001</v>
      </c>
      <c r="E181" s="452" t="s">
        <v>2112</v>
      </c>
      <c r="F181" s="452" t="s">
        <v>581</v>
      </c>
      <c r="G181" s="480" t="s">
        <v>1003</v>
      </c>
      <c r="H181" s="452" t="s">
        <v>1788</v>
      </c>
      <c r="I181" s="481">
        <v>188</v>
      </c>
      <c r="J181" s="453" t="s">
        <v>654</v>
      </c>
      <c r="K181" s="453" t="s">
        <v>1907</v>
      </c>
      <c r="L181" s="456" t="s">
        <v>2137</v>
      </c>
      <c r="M181" s="457">
        <v>46052</v>
      </c>
      <c r="N181" s="457">
        <v>46073</v>
      </c>
      <c r="O181" s="457">
        <v>46072</v>
      </c>
      <c r="P181" s="453" t="s">
        <v>214</v>
      </c>
      <c r="Q181" s="458">
        <v>0</v>
      </c>
      <c r="R181" s="459">
        <v>0</v>
      </c>
      <c r="S181" s="459">
        <v>0</v>
      </c>
      <c r="T181" s="115">
        <f>SUM(mFEV[[#This Row],[PRINCIPAL]:[JUROS]])</f>
        <v>0</v>
      </c>
    </row>
    <row r="182" spans="2:22" ht="21" customHeight="1">
      <c r="B182" s="451" t="str">
        <f t="shared" si="2"/>
        <v>2/26</v>
      </c>
      <c r="C182" s="121" t="str">
        <f>VLOOKUP(mFEV[[#This Row],[CÓDIGO CONTABIL]],Contas_Gerencial[#All],3,FALSE)</f>
        <v>TRIBUTOS</v>
      </c>
      <c r="D182" s="445" t="str">
        <f>VLOOKUP(mFEV[[#This Row],[DESCRIÇÃO CONTABIL]],Contas_Gerencial[[#All],[DESCRIÇÃO DA CONTA - NÃO UTILIZAR]:[Código2]],2,FALSE)</f>
        <v>20.08.002</v>
      </c>
      <c r="E182" s="452" t="s">
        <v>589</v>
      </c>
      <c r="F182" s="452" t="s">
        <v>581</v>
      </c>
      <c r="G182" s="480" t="s">
        <v>1003</v>
      </c>
      <c r="H182" s="452" t="s">
        <v>1788</v>
      </c>
      <c r="I182" s="481">
        <v>188</v>
      </c>
      <c r="J182" s="453" t="s">
        <v>654</v>
      </c>
      <c r="K182" s="453" t="s">
        <v>1907</v>
      </c>
      <c r="L182" s="456" t="s">
        <v>2137</v>
      </c>
      <c r="M182" s="457">
        <v>46052</v>
      </c>
      <c r="N182" s="457">
        <v>46073</v>
      </c>
      <c r="O182" s="457">
        <v>46072</v>
      </c>
      <c r="P182" s="453" t="s">
        <v>214</v>
      </c>
      <c r="Q182" s="483">
        <v>1274.7329453996983</v>
      </c>
      <c r="R182" s="459">
        <v>0</v>
      </c>
      <c r="S182" s="459">
        <v>0</v>
      </c>
      <c r="T182" s="115">
        <f>SUM(mFEV[[#This Row],[PRINCIPAL]:[JUROS]])</f>
        <v>1274.7329453996983</v>
      </c>
    </row>
    <row r="183" spans="2:22" ht="21" customHeight="1">
      <c r="B183" s="451" t="str">
        <f t="shared" si="2"/>
        <v>2/26</v>
      </c>
      <c r="C183" s="121" t="str">
        <f>VLOOKUP(mFEV[[#This Row],[CÓDIGO CONTABIL]],Contas_Gerencial[#All],3,FALSE)</f>
        <v>FOLHA DE PAGAMENTO</v>
      </c>
      <c r="D183" s="445" t="str">
        <f>VLOOKUP(mFEV[[#This Row],[DESCRIÇÃO CONTABIL]],Contas_Gerencial[[#All],[DESCRIÇÃO DA CONTA - NÃO UTILIZAR]:[Código2]],2,FALSE)</f>
        <v>20.05.021</v>
      </c>
      <c r="E183" s="452" t="s">
        <v>59</v>
      </c>
      <c r="F183" s="453" t="s">
        <v>581</v>
      </c>
      <c r="G183" s="480" t="s">
        <v>1003</v>
      </c>
      <c r="H183" s="452" t="s">
        <v>1791</v>
      </c>
      <c r="I183" s="481">
        <v>188</v>
      </c>
      <c r="J183" s="453" t="s">
        <v>581</v>
      </c>
      <c r="K183" s="452" t="s">
        <v>1793</v>
      </c>
      <c r="L183" s="456" t="s">
        <v>2137</v>
      </c>
      <c r="M183" s="457">
        <v>46055</v>
      </c>
      <c r="N183" s="457">
        <v>46059</v>
      </c>
      <c r="O183" s="457">
        <v>46058</v>
      </c>
      <c r="P183" s="453" t="s">
        <v>214</v>
      </c>
      <c r="Q183" s="458">
        <v>5080.62</v>
      </c>
      <c r="R183" s="459">
        <v>0</v>
      </c>
      <c r="S183" s="459">
        <v>0</v>
      </c>
      <c r="T183" s="115">
        <f>SUM(mFEV[[#This Row],[PRINCIPAL]:[JUROS]])</f>
        <v>5080.62</v>
      </c>
      <c r="V183" s="115"/>
    </row>
    <row r="184" spans="2:22" ht="21" customHeight="1">
      <c r="B184" s="451" t="str">
        <f t="shared" si="2"/>
        <v>2/26</v>
      </c>
      <c r="C184" s="121" t="str">
        <f>VLOOKUP(mFEV[[#This Row],[CÓDIGO CONTABIL]],Contas_Gerencial[#All],3,FALSE)</f>
        <v>ENCARGOS</v>
      </c>
      <c r="D184" s="445" t="str">
        <f>VLOOKUP(mFEV[[#This Row],[DESCRIÇÃO CONTABIL]],Contas_Gerencial[[#All],[DESCRIÇÃO DA CONTA - NÃO UTILIZAR]:[Código2]],2,FALSE)</f>
        <v>20.04.006</v>
      </c>
      <c r="E184" s="452" t="s">
        <v>1180</v>
      </c>
      <c r="F184" s="452" t="s">
        <v>581</v>
      </c>
      <c r="G184" s="480" t="s">
        <v>1003</v>
      </c>
      <c r="H184" s="452" t="s">
        <v>1180</v>
      </c>
      <c r="I184" s="481">
        <v>188</v>
      </c>
      <c r="J184" s="453" t="s">
        <v>384</v>
      </c>
      <c r="K184" s="453" t="s">
        <v>1180</v>
      </c>
      <c r="L184" s="456" t="s">
        <v>2137</v>
      </c>
      <c r="M184" s="457">
        <v>46055</v>
      </c>
      <c r="N184" s="457">
        <v>46073</v>
      </c>
      <c r="O184" s="457">
        <v>46072</v>
      </c>
      <c r="P184" s="453" t="s">
        <v>214</v>
      </c>
      <c r="Q184" s="458">
        <v>456.03</v>
      </c>
      <c r="R184" s="459">
        <v>0</v>
      </c>
      <c r="S184" s="459">
        <v>0</v>
      </c>
      <c r="T184" s="115">
        <f>SUM(mFEV[[#This Row],[PRINCIPAL]:[JUROS]])</f>
        <v>456.03</v>
      </c>
    </row>
    <row r="185" spans="2:22" ht="21" customHeight="1">
      <c r="B185" s="451" t="str">
        <f t="shared" si="2"/>
        <v>2/26</v>
      </c>
      <c r="C185" s="121" t="str">
        <f>VLOOKUP(mFEV[[#This Row],[CÓDIGO CONTABIL]],Contas_Gerencial[#All],3,FALSE)</f>
        <v>ENCARGOS</v>
      </c>
      <c r="D185" s="445" t="str">
        <f>VLOOKUP(mFEV[[#This Row],[DESCRIÇÃO CONTABIL]],Contas_Gerencial[[#All],[DESCRIÇÃO DA CONTA - NÃO UTILIZAR]:[Código2]],2,FALSE)</f>
        <v>20.04.001</v>
      </c>
      <c r="E185" s="464" t="s">
        <v>2659</v>
      </c>
      <c r="F185" s="464" t="s">
        <v>581</v>
      </c>
      <c r="G185" s="464" t="s">
        <v>1003</v>
      </c>
      <c r="H185" s="464" t="s">
        <v>1788</v>
      </c>
      <c r="I185" s="984">
        <v>188</v>
      </c>
      <c r="J185" s="461" t="s">
        <v>757</v>
      </c>
      <c r="K185" s="461" t="s">
        <v>2089</v>
      </c>
      <c r="L185" s="462" t="s">
        <v>2137</v>
      </c>
      <c r="M185" s="463">
        <v>46055</v>
      </c>
      <c r="N185" s="463">
        <v>46073</v>
      </c>
      <c r="O185" s="463"/>
      <c r="P185" s="741" t="s">
        <v>1</v>
      </c>
      <c r="Q185" s="484">
        <f>422.66-130</f>
        <v>292.66000000000003</v>
      </c>
      <c r="R185" s="465">
        <v>0</v>
      </c>
      <c r="S185" s="465">
        <v>0</v>
      </c>
      <c r="T185" s="115">
        <f>SUM(mFEV[[#This Row],[PRINCIPAL]:[JUROS]])</f>
        <v>292.66000000000003</v>
      </c>
    </row>
    <row r="186" spans="2:22" ht="21" customHeight="1">
      <c r="B186" s="451" t="str">
        <f t="shared" si="2"/>
        <v>2/26</v>
      </c>
      <c r="C186" s="121" t="str">
        <f>VLOOKUP(mFEV[[#This Row],[CÓDIGO CONTABIL]],Contas_Gerencial[#All],3,FALSE)</f>
        <v>BENEFICIO</v>
      </c>
      <c r="D186" s="445" t="str">
        <f>VLOOKUP(mFEV[[#This Row],[DESCRIÇÃO CONTABIL]],Contas_Gerencial[[#All],[DESCRIÇÃO DA CONTA - NÃO UTILIZAR]:[Código2]],2,FALSE)</f>
        <v>20.05.006</v>
      </c>
      <c r="E186" s="480" t="s">
        <v>24</v>
      </c>
      <c r="F186" s="452" t="s">
        <v>581</v>
      </c>
      <c r="G186" s="452" t="s">
        <v>1003</v>
      </c>
      <c r="H186" s="452" t="s">
        <v>1791</v>
      </c>
      <c r="I186" s="481">
        <v>200226</v>
      </c>
      <c r="J186" s="453" t="s">
        <v>581</v>
      </c>
      <c r="K186" s="453" t="s">
        <v>2257</v>
      </c>
      <c r="L186" s="451" t="s">
        <v>2258</v>
      </c>
      <c r="M186" s="457">
        <v>46073</v>
      </c>
      <c r="N186" s="457">
        <v>46073</v>
      </c>
      <c r="O186" s="457">
        <v>46073</v>
      </c>
      <c r="P186" s="452" t="s">
        <v>214</v>
      </c>
      <c r="Q186" s="467">
        <v>2272.6200000000003</v>
      </c>
      <c r="R186" s="467">
        <v>0</v>
      </c>
      <c r="S186" s="467">
        <v>0</v>
      </c>
      <c r="T186" s="115">
        <f>SUM(mFEV[[#This Row],[PRINCIPAL]:[JUROS]])</f>
        <v>2272.6200000000003</v>
      </c>
    </row>
    <row r="187" spans="2:22" ht="21" customHeight="1">
      <c r="B187" s="451" t="str">
        <f t="shared" si="2"/>
        <v>2/26</v>
      </c>
      <c r="C187" s="121" t="str">
        <f>VLOOKUP(mFEV[[#This Row],[CÓDIGO CONTABIL]],Contas_Gerencial[#All],3,FALSE)</f>
        <v>BENEFICIO</v>
      </c>
      <c r="D187" s="445" t="str">
        <f>VLOOKUP(mFEV[[#This Row],[DESCRIÇÃO CONTABIL]],Contas_Gerencial[[#All],[DESCRIÇÃO DA CONTA - NÃO UTILIZAR]:[Código2]],2,FALSE)</f>
        <v>20.05.007</v>
      </c>
      <c r="E187" s="480" t="s">
        <v>25</v>
      </c>
      <c r="F187" s="452" t="s">
        <v>581</v>
      </c>
      <c r="G187" s="452" t="s">
        <v>1003</v>
      </c>
      <c r="H187" s="452" t="s">
        <v>1791</v>
      </c>
      <c r="I187" s="481">
        <v>200226</v>
      </c>
      <c r="J187" s="453" t="s">
        <v>581</v>
      </c>
      <c r="K187" s="453" t="s">
        <v>2257</v>
      </c>
      <c r="L187" s="451" t="s">
        <v>2258</v>
      </c>
      <c r="M187" s="457">
        <v>46073</v>
      </c>
      <c r="N187" s="457">
        <v>46073</v>
      </c>
      <c r="O187" s="457">
        <v>46073</v>
      </c>
      <c r="P187" s="452" t="s">
        <v>214</v>
      </c>
      <c r="Q187" s="467">
        <v>295.8</v>
      </c>
      <c r="R187" s="467">
        <v>0</v>
      </c>
      <c r="S187" s="467">
        <v>0</v>
      </c>
      <c r="T187" s="115">
        <f>SUM(mFEV[[#This Row],[PRINCIPAL]:[JUROS]])</f>
        <v>295.8</v>
      </c>
    </row>
    <row r="188" spans="2:22" ht="21" customHeight="1">
      <c r="B188" s="451" t="str">
        <f t="shared" si="2"/>
        <v>2/26</v>
      </c>
      <c r="C188" s="121" t="str">
        <f>VLOOKUP(mFEV[[#This Row],[CÓDIGO CONTABIL]],Contas_Gerencial[#All],3,FALSE)</f>
        <v>RECEITA SUBCONTA</v>
      </c>
      <c r="D188" s="445" t="str">
        <f>VLOOKUP(mFEV[[#This Row],[DESCRIÇÃO CONTABIL]],Contas_Gerencial[[#All],[DESCRIÇÃO DA CONTA - NÃO UTILIZAR]:[Código2]],2,FALSE)</f>
        <v>10.01.001</v>
      </c>
      <c r="E188" s="107" t="s">
        <v>90</v>
      </c>
      <c r="F188" s="452" t="s">
        <v>581</v>
      </c>
      <c r="G188" s="107" t="s">
        <v>1991</v>
      </c>
      <c r="H188" s="107" t="s">
        <v>2496</v>
      </c>
      <c r="I188" s="481">
        <v>187</v>
      </c>
      <c r="J188" s="121" t="s">
        <v>581</v>
      </c>
      <c r="K188" s="121" t="s">
        <v>1792</v>
      </c>
      <c r="L188" s="456" t="s">
        <v>2137</v>
      </c>
      <c r="M188" s="457">
        <v>46052</v>
      </c>
      <c r="N188" s="457">
        <v>46068</v>
      </c>
      <c r="O188" s="457">
        <v>46058</v>
      </c>
      <c r="P188" s="452" t="s">
        <v>214</v>
      </c>
      <c r="Q188" s="482">
        <v>6086</v>
      </c>
      <c r="R188" s="482">
        <v>0</v>
      </c>
      <c r="S188" s="482">
        <v>0</v>
      </c>
      <c r="T188" s="115">
        <f>SUM(mFEV[[#This Row],[PRINCIPAL]:[JUROS]])</f>
        <v>6086</v>
      </c>
      <c r="V188" s="115"/>
    </row>
    <row r="189" spans="2:22" ht="21" customHeight="1">
      <c r="B189" s="451" t="str">
        <f t="shared" si="2"/>
        <v>2/26</v>
      </c>
      <c r="C189" s="121" t="str">
        <f>VLOOKUP(mFEV[[#This Row],[CÓDIGO CONTABIL]],Contas_Gerencial[#All],3,FALSE)</f>
        <v>ENCARGOS</v>
      </c>
      <c r="D189" s="445" t="str">
        <f>VLOOKUP(mFEV[[#This Row],[DESCRIÇÃO CONTABIL]],Contas_Gerencial[[#All],[DESCRIÇÃO DA CONTA - NÃO UTILIZAR]:[Código2]],2,FALSE)</f>
        <v>20.04.004</v>
      </c>
      <c r="E189" s="452" t="s">
        <v>2651</v>
      </c>
      <c r="F189" s="452" t="s">
        <v>581</v>
      </c>
      <c r="G189" s="480" t="s">
        <v>1991</v>
      </c>
      <c r="H189" s="452" t="s">
        <v>1788</v>
      </c>
      <c r="I189" s="481">
        <v>187</v>
      </c>
      <c r="J189" s="453" t="s">
        <v>264</v>
      </c>
      <c r="K189" s="453" t="s">
        <v>2113</v>
      </c>
      <c r="L189" s="456" t="s">
        <v>2137</v>
      </c>
      <c r="M189" s="457">
        <v>46052</v>
      </c>
      <c r="N189" s="457">
        <v>46073</v>
      </c>
      <c r="O189" s="457">
        <v>46073</v>
      </c>
      <c r="P189" s="453" t="s">
        <v>214</v>
      </c>
      <c r="Q189" s="458">
        <v>335.07</v>
      </c>
      <c r="R189" s="459">
        <v>0</v>
      </c>
      <c r="S189" s="459">
        <v>0</v>
      </c>
      <c r="T189" s="115">
        <f>SUM(mFEV[[#This Row],[PRINCIPAL]:[JUROS]])</f>
        <v>335.07</v>
      </c>
      <c r="V189" s="115"/>
    </row>
    <row r="190" spans="2:22" ht="21" customHeight="1">
      <c r="B190" s="451" t="str">
        <f t="shared" si="2"/>
        <v>2/26</v>
      </c>
      <c r="C190" s="121" t="str">
        <f>VLOOKUP(mFEV[[#This Row],[CÓDIGO CONTABIL]],Contas_Gerencial[#All],3,FALSE)</f>
        <v>TRIBUTOS</v>
      </c>
      <c r="D190" s="445" t="str">
        <f>VLOOKUP(mFEV[[#This Row],[DESCRIÇÃO CONTABIL]],Contas_Gerencial[[#All],[DESCRIÇÃO DA CONTA - NÃO UTILIZAR]:[Código2]],2,FALSE)</f>
        <v>20.08.004</v>
      </c>
      <c r="E190" s="452" t="s">
        <v>2648</v>
      </c>
      <c r="F190" s="452" t="s">
        <v>581</v>
      </c>
      <c r="G190" s="480" t="s">
        <v>1991</v>
      </c>
      <c r="H190" s="452" t="s">
        <v>1788</v>
      </c>
      <c r="I190" s="481">
        <v>187</v>
      </c>
      <c r="J190" s="453" t="s">
        <v>654</v>
      </c>
      <c r="K190" s="453" t="s">
        <v>2114</v>
      </c>
      <c r="L190" s="456" t="s">
        <v>2137</v>
      </c>
      <c r="M190" s="457">
        <v>46052</v>
      </c>
      <c r="N190" s="457">
        <v>46073</v>
      </c>
      <c r="O190" s="457">
        <v>46073</v>
      </c>
      <c r="P190" s="453" t="s">
        <v>214</v>
      </c>
      <c r="Q190" s="458">
        <v>0</v>
      </c>
      <c r="R190" s="459">
        <v>0</v>
      </c>
      <c r="S190" s="459">
        <v>0</v>
      </c>
      <c r="T190" s="115">
        <f>SUM(mFEV[[#This Row],[PRINCIPAL]:[JUROS]])</f>
        <v>0</v>
      </c>
    </row>
    <row r="191" spans="2:22" ht="21" customHeight="1">
      <c r="B191" s="451" t="str">
        <f t="shared" si="2"/>
        <v>2/26</v>
      </c>
      <c r="C191" s="121" t="str">
        <f>VLOOKUP(mFEV[[#This Row],[CÓDIGO CONTABIL]],Contas_Gerencial[#All],3,FALSE)</f>
        <v>TRIBUTOS</v>
      </c>
      <c r="D191" s="445" t="str">
        <f>VLOOKUP(mFEV[[#This Row],[DESCRIÇÃO CONTABIL]],Contas_Gerencial[[#All],[DESCRIÇÃO DA CONTA - NÃO UTILIZAR]:[Código2]],2,FALSE)</f>
        <v>20.08.001</v>
      </c>
      <c r="E191" s="452" t="s">
        <v>2112</v>
      </c>
      <c r="F191" s="452" t="s">
        <v>581</v>
      </c>
      <c r="G191" s="480" t="s">
        <v>1991</v>
      </c>
      <c r="H191" s="452" t="s">
        <v>1788</v>
      </c>
      <c r="I191" s="481">
        <v>187</v>
      </c>
      <c r="J191" s="453" t="s">
        <v>654</v>
      </c>
      <c r="K191" s="453" t="s">
        <v>1907</v>
      </c>
      <c r="L191" s="456" t="s">
        <v>2137</v>
      </c>
      <c r="M191" s="457">
        <v>46052</v>
      </c>
      <c r="N191" s="457">
        <v>46073</v>
      </c>
      <c r="O191" s="457">
        <v>46072</v>
      </c>
      <c r="P191" s="453" t="s">
        <v>214</v>
      </c>
      <c r="Q191" s="458">
        <v>262.91030181086518</v>
      </c>
      <c r="R191" s="459">
        <v>0</v>
      </c>
      <c r="S191" s="459">
        <v>0</v>
      </c>
      <c r="T191" s="115">
        <f>SUM(mFEV[[#This Row],[PRINCIPAL]:[JUROS]])</f>
        <v>262.91030181086518</v>
      </c>
    </row>
    <row r="192" spans="2:22" ht="21" customHeight="1">
      <c r="B192" s="451" t="str">
        <f t="shared" si="2"/>
        <v>2/26</v>
      </c>
      <c r="C192" s="121" t="str">
        <f>VLOOKUP(mFEV[[#This Row],[CÓDIGO CONTABIL]],Contas_Gerencial[#All],3,FALSE)</f>
        <v>TRIBUTOS</v>
      </c>
      <c r="D192" s="445" t="str">
        <f>VLOOKUP(mFEV[[#This Row],[DESCRIÇÃO CONTABIL]],Contas_Gerencial[[#All],[DESCRIÇÃO DA CONTA - NÃO UTILIZAR]:[Código2]],2,FALSE)</f>
        <v>20.08.002</v>
      </c>
      <c r="E192" s="452" t="s">
        <v>589</v>
      </c>
      <c r="F192" s="452" t="s">
        <v>581</v>
      </c>
      <c r="G192" s="480" t="s">
        <v>1991</v>
      </c>
      <c r="H192" s="452" t="s">
        <v>1788</v>
      </c>
      <c r="I192" s="481">
        <v>187</v>
      </c>
      <c r="J192" s="453" t="s">
        <v>654</v>
      </c>
      <c r="K192" s="453" t="s">
        <v>1907</v>
      </c>
      <c r="L192" s="456" t="s">
        <v>2137</v>
      </c>
      <c r="M192" s="457">
        <v>46052</v>
      </c>
      <c r="N192" s="457">
        <v>46073</v>
      </c>
      <c r="O192" s="457">
        <v>46072</v>
      </c>
      <c r="P192" s="453" t="s">
        <v>214</v>
      </c>
      <c r="Q192" s="458">
        <v>393.84834529914531</v>
      </c>
      <c r="R192" s="459">
        <v>0</v>
      </c>
      <c r="S192" s="459">
        <v>0</v>
      </c>
      <c r="T192" s="115">
        <f>SUM(mFEV[[#This Row],[PRINCIPAL]:[JUROS]])</f>
        <v>393.84834529914531</v>
      </c>
    </row>
    <row r="193" spans="2:22" ht="21" customHeight="1">
      <c r="B193" s="451" t="str">
        <f t="shared" si="2"/>
        <v>2/26</v>
      </c>
      <c r="C193" s="121" t="str">
        <f>VLOOKUP(mFEV[[#This Row],[CÓDIGO CONTABIL]],Contas_Gerencial[#All],3,FALSE)</f>
        <v>FOLHA DE PAGAMENTO</v>
      </c>
      <c r="D193" s="445" t="str">
        <f>VLOOKUP(mFEV[[#This Row],[DESCRIÇÃO CONTABIL]],Contas_Gerencial[[#All],[DESCRIÇÃO DA CONTA - NÃO UTILIZAR]:[Código2]],2,FALSE)</f>
        <v>20.05.021</v>
      </c>
      <c r="E193" s="452" t="s">
        <v>59</v>
      </c>
      <c r="F193" s="453" t="s">
        <v>581</v>
      </c>
      <c r="G193" s="480" t="s">
        <v>1991</v>
      </c>
      <c r="H193" s="452" t="s">
        <v>1791</v>
      </c>
      <c r="I193" s="481">
        <v>187</v>
      </c>
      <c r="J193" s="453" t="s">
        <v>581</v>
      </c>
      <c r="K193" s="452" t="s">
        <v>1790</v>
      </c>
      <c r="L193" s="456" t="s">
        <v>2137</v>
      </c>
      <c r="M193" s="457">
        <v>46059</v>
      </c>
      <c r="N193" s="457">
        <v>46059</v>
      </c>
      <c r="O193" s="457">
        <v>46057</v>
      </c>
      <c r="P193" s="453" t="s">
        <v>214</v>
      </c>
      <c r="Q193" s="458">
        <v>1531.44</v>
      </c>
      <c r="R193" s="459">
        <v>0</v>
      </c>
      <c r="S193" s="459">
        <v>0</v>
      </c>
      <c r="T193" s="115">
        <f>SUM(mFEV[[#This Row],[PRINCIPAL]:[JUROS]])</f>
        <v>1531.44</v>
      </c>
      <c r="V193" s="115"/>
    </row>
    <row r="194" spans="2:22" ht="21" customHeight="1">
      <c r="B194" s="451" t="str">
        <f t="shared" si="2"/>
        <v>2/26</v>
      </c>
      <c r="C194" s="121" t="str">
        <f>VLOOKUP(mFEV[[#This Row],[CÓDIGO CONTABIL]],Contas_Gerencial[#All],3,FALSE)</f>
        <v>ENCARGOS</v>
      </c>
      <c r="D194" s="445" t="str">
        <f>VLOOKUP(mFEV[[#This Row],[DESCRIÇÃO CONTABIL]],Contas_Gerencial[[#All],[DESCRIÇÃO DA CONTA - NÃO UTILIZAR]:[Código2]],2,FALSE)</f>
        <v>20.04.006</v>
      </c>
      <c r="E194" s="452" t="s">
        <v>1180</v>
      </c>
      <c r="F194" s="452" t="s">
        <v>581</v>
      </c>
      <c r="G194" s="480" t="s">
        <v>1991</v>
      </c>
      <c r="H194" s="452" t="s">
        <v>1180</v>
      </c>
      <c r="I194" s="481">
        <v>187</v>
      </c>
      <c r="J194" s="453" t="s">
        <v>384</v>
      </c>
      <c r="K194" s="453" t="s">
        <v>1180</v>
      </c>
      <c r="L194" s="456" t="s">
        <v>2137</v>
      </c>
      <c r="M194" s="457">
        <v>46059</v>
      </c>
      <c r="N194" s="457">
        <v>46073</v>
      </c>
      <c r="O194" s="457">
        <v>46072</v>
      </c>
      <c r="P194" s="453" t="s">
        <v>214</v>
      </c>
      <c r="Q194" s="458">
        <v>128.12</v>
      </c>
      <c r="R194" s="459">
        <v>0</v>
      </c>
      <c r="S194" s="459">
        <v>0</v>
      </c>
      <c r="T194" s="115">
        <f>SUM(mFEV[[#This Row],[PRINCIPAL]:[JUROS]])</f>
        <v>128.12</v>
      </c>
    </row>
    <row r="195" spans="2:22" ht="21" customHeight="1">
      <c r="B195" s="451" t="str">
        <f t="shared" si="2"/>
        <v>2/26</v>
      </c>
      <c r="C195" s="121" t="str">
        <f>VLOOKUP(mFEV[[#This Row],[CÓDIGO CONTABIL]],Contas_Gerencial[#All],3,FALSE)</f>
        <v>ENCARGOS</v>
      </c>
      <c r="D195" s="445" t="str">
        <f>VLOOKUP(mFEV[[#This Row],[DESCRIÇÃO CONTABIL]],Contas_Gerencial[[#All],[DESCRIÇÃO DA CONTA - NÃO UTILIZAR]:[Código2]],2,FALSE)</f>
        <v>20.04.001</v>
      </c>
      <c r="E195" s="464" t="s">
        <v>2659</v>
      </c>
      <c r="F195" s="464" t="s">
        <v>581</v>
      </c>
      <c r="G195" s="464" t="s">
        <v>1991</v>
      </c>
      <c r="H195" s="464" t="s">
        <v>1788</v>
      </c>
      <c r="I195" s="984">
        <v>187</v>
      </c>
      <c r="J195" s="461" t="s">
        <v>757</v>
      </c>
      <c r="K195" s="461" t="s">
        <v>2089</v>
      </c>
      <c r="L195" s="462" t="s">
        <v>2137</v>
      </c>
      <c r="M195" s="463">
        <v>46059</v>
      </c>
      <c r="N195" s="463">
        <v>46073</v>
      </c>
      <c r="O195" s="463"/>
      <c r="P195" s="741" t="s">
        <v>1</v>
      </c>
      <c r="Q195" s="484">
        <v>112.36</v>
      </c>
      <c r="R195" s="465">
        <v>0</v>
      </c>
      <c r="S195" s="465">
        <v>0</v>
      </c>
      <c r="T195" s="115">
        <f>SUM(mFEV[[#This Row],[PRINCIPAL]:[JUROS]])</f>
        <v>112.36</v>
      </c>
    </row>
    <row r="196" spans="2:22" ht="21" customHeight="1">
      <c r="B196" s="451" t="str">
        <f t="shared" si="2"/>
        <v>2/26</v>
      </c>
      <c r="C196" s="121" t="str">
        <f>VLOOKUP(mFEV[[#This Row],[CÓDIGO CONTABIL]],Contas_Gerencial[#All],3,FALSE)</f>
        <v>BENEFICIO</v>
      </c>
      <c r="D196" s="445" t="str">
        <f>VLOOKUP(mFEV[[#This Row],[DESCRIÇÃO CONTABIL]],Contas_Gerencial[[#All],[DESCRIÇÃO DA CONTA - NÃO UTILIZAR]:[Código2]],2,FALSE)</f>
        <v>20.05.006</v>
      </c>
      <c r="E196" s="480" t="s">
        <v>24</v>
      </c>
      <c r="F196" s="452" t="s">
        <v>581</v>
      </c>
      <c r="G196" s="480" t="s">
        <v>1991</v>
      </c>
      <c r="H196" s="452" t="s">
        <v>1791</v>
      </c>
      <c r="I196" s="481">
        <v>200226</v>
      </c>
      <c r="J196" s="453" t="s">
        <v>581</v>
      </c>
      <c r="K196" s="453" t="s">
        <v>2257</v>
      </c>
      <c r="L196" s="451" t="s">
        <v>2258</v>
      </c>
      <c r="M196" s="457">
        <v>46073</v>
      </c>
      <c r="N196" s="457">
        <v>46073</v>
      </c>
      <c r="O196" s="457">
        <v>46073</v>
      </c>
      <c r="P196" s="452" t="s">
        <v>214</v>
      </c>
      <c r="Q196" s="467">
        <v>520</v>
      </c>
      <c r="R196" s="467">
        <v>0</v>
      </c>
      <c r="S196" s="467">
        <v>0</v>
      </c>
      <c r="T196" s="115">
        <f>SUM(mFEV[[#This Row],[PRINCIPAL]:[JUROS]])</f>
        <v>520</v>
      </c>
    </row>
    <row r="197" spans="2:22" ht="21" customHeight="1">
      <c r="B197" s="451" t="str">
        <f t="shared" si="2"/>
        <v>2/26</v>
      </c>
      <c r="C197" s="121" t="str">
        <f>VLOOKUP(mFEV[[#This Row],[CÓDIGO CONTABIL]],Contas_Gerencial[#All],3,FALSE)</f>
        <v>BENEFICIO</v>
      </c>
      <c r="D197" s="445" t="str">
        <f>VLOOKUP(mFEV[[#This Row],[DESCRIÇÃO CONTABIL]],Contas_Gerencial[[#All],[DESCRIÇÃO DA CONTA - NÃO UTILIZAR]:[Código2]],2,FALSE)</f>
        <v>20.05.007</v>
      </c>
      <c r="E197" s="480" t="s">
        <v>25</v>
      </c>
      <c r="F197" s="452" t="s">
        <v>581</v>
      </c>
      <c r="G197" s="480" t="s">
        <v>1991</v>
      </c>
      <c r="H197" s="452" t="s">
        <v>1791</v>
      </c>
      <c r="I197" s="481">
        <v>200226</v>
      </c>
      <c r="J197" s="453" t="s">
        <v>581</v>
      </c>
      <c r="K197" s="453" t="s">
        <v>2257</v>
      </c>
      <c r="L197" s="451" t="s">
        <v>2258</v>
      </c>
      <c r="M197" s="457">
        <v>46073</v>
      </c>
      <c r="N197" s="457">
        <v>46073</v>
      </c>
      <c r="O197" s="457">
        <v>46073</v>
      </c>
      <c r="P197" s="452" t="s">
        <v>214</v>
      </c>
      <c r="Q197" s="467">
        <v>0</v>
      </c>
      <c r="R197" s="467">
        <v>0</v>
      </c>
      <c r="S197" s="467">
        <v>0</v>
      </c>
      <c r="T197" s="115">
        <f>SUM(mFEV[[#This Row],[PRINCIPAL]:[JUROS]])</f>
        <v>0</v>
      </c>
    </row>
    <row r="198" spans="2:22" ht="21" customHeight="1">
      <c r="B198" s="451" t="str">
        <f t="shared" si="2"/>
        <v>2/26</v>
      </c>
      <c r="C198" s="121" t="str">
        <f>VLOOKUP(mFEV[[#This Row],[CÓDIGO CONTABIL]],Contas_Gerencial[#All],3,FALSE)</f>
        <v>RECEITA SUBCONTA</v>
      </c>
      <c r="D198" s="445" t="str">
        <f>VLOOKUP(mFEV[[#This Row],[DESCRIÇÃO CONTABIL]],Contas_Gerencial[[#All],[DESCRIÇÃO DA CONTA - NÃO UTILIZAR]:[Código2]],2,FALSE)</f>
        <v>10.01.001</v>
      </c>
      <c r="E198" s="107" t="s">
        <v>90</v>
      </c>
      <c r="F198" s="452" t="s">
        <v>581</v>
      </c>
      <c r="G198" s="107" t="s">
        <v>1659</v>
      </c>
      <c r="H198" s="107" t="s">
        <v>1788</v>
      </c>
      <c r="I198" s="481">
        <v>194</v>
      </c>
      <c r="J198" s="121" t="s">
        <v>581</v>
      </c>
      <c r="K198" s="121" t="s">
        <v>1792</v>
      </c>
      <c r="L198" s="456" t="s">
        <v>2137</v>
      </c>
      <c r="M198" s="457">
        <v>46052</v>
      </c>
      <c r="N198" s="457">
        <v>46058</v>
      </c>
      <c r="O198" s="457">
        <v>46058</v>
      </c>
      <c r="P198" s="452" t="s">
        <v>214</v>
      </c>
      <c r="Q198" s="482">
        <v>5998</v>
      </c>
      <c r="R198" s="482">
        <v>0</v>
      </c>
      <c r="S198" s="482">
        <v>0</v>
      </c>
      <c r="T198" s="115">
        <f>SUM(mFEV[[#This Row],[PRINCIPAL]:[JUROS]])</f>
        <v>5998</v>
      </c>
      <c r="V198" s="115"/>
    </row>
    <row r="199" spans="2:22" ht="21" customHeight="1">
      <c r="B199" s="451" t="str">
        <f t="shared" si="2"/>
        <v>2/26</v>
      </c>
      <c r="C199" s="121" t="str">
        <f>VLOOKUP(mFEV[[#This Row],[CÓDIGO CONTABIL]],Contas_Gerencial[#All],3,FALSE)</f>
        <v>ENCARGOS</v>
      </c>
      <c r="D199" s="445" t="str">
        <f>VLOOKUP(mFEV[[#This Row],[DESCRIÇÃO CONTABIL]],Contas_Gerencial[[#All],[DESCRIÇÃO DA CONTA - NÃO UTILIZAR]:[Código2]],2,FALSE)</f>
        <v>20.04.004</v>
      </c>
      <c r="E199" s="452" t="s">
        <v>2651</v>
      </c>
      <c r="F199" s="452" t="s">
        <v>581</v>
      </c>
      <c r="G199" s="480" t="s">
        <v>1659</v>
      </c>
      <c r="H199" s="452" t="s">
        <v>1788</v>
      </c>
      <c r="I199" s="481">
        <v>194</v>
      </c>
      <c r="J199" s="453" t="s">
        <v>264</v>
      </c>
      <c r="K199" s="453" t="s">
        <v>2113</v>
      </c>
      <c r="L199" s="456" t="s">
        <v>2137</v>
      </c>
      <c r="M199" s="457">
        <v>46052</v>
      </c>
      <c r="N199" s="457">
        <v>46073</v>
      </c>
      <c r="O199" s="457">
        <v>46073</v>
      </c>
      <c r="P199" s="453" t="s">
        <v>214</v>
      </c>
      <c r="Q199" s="458">
        <v>0</v>
      </c>
      <c r="R199" s="459">
        <v>0</v>
      </c>
      <c r="S199" s="459">
        <v>0</v>
      </c>
      <c r="T199" s="115">
        <f>SUM(mFEV[[#This Row],[PRINCIPAL]:[JUROS]])</f>
        <v>0</v>
      </c>
      <c r="V199" s="115"/>
    </row>
    <row r="200" spans="2:22" ht="21" customHeight="1">
      <c r="B200" s="451" t="str">
        <f t="shared" si="2"/>
        <v>2/26</v>
      </c>
      <c r="C200" s="121" t="str">
        <f>VLOOKUP(mFEV[[#This Row],[CÓDIGO CONTABIL]],Contas_Gerencial[#All],3,FALSE)</f>
        <v>TRIBUTOS</v>
      </c>
      <c r="D200" s="445" t="str">
        <f>VLOOKUP(mFEV[[#This Row],[DESCRIÇÃO CONTABIL]],Contas_Gerencial[[#All],[DESCRIÇÃO DA CONTA - NÃO UTILIZAR]:[Código2]],2,FALSE)</f>
        <v>20.08.004</v>
      </c>
      <c r="E200" s="452" t="s">
        <v>2648</v>
      </c>
      <c r="F200" s="452" t="s">
        <v>581</v>
      </c>
      <c r="G200" s="480" t="s">
        <v>1659</v>
      </c>
      <c r="H200" s="452" t="s">
        <v>1788</v>
      </c>
      <c r="I200" s="481">
        <v>194</v>
      </c>
      <c r="J200" s="453" t="s">
        <v>654</v>
      </c>
      <c r="K200" s="453" t="s">
        <v>2114</v>
      </c>
      <c r="L200" s="456" t="s">
        <v>2137</v>
      </c>
      <c r="M200" s="457">
        <v>46052</v>
      </c>
      <c r="N200" s="457">
        <v>46073</v>
      </c>
      <c r="O200" s="457">
        <v>46073</v>
      </c>
      <c r="P200" s="453" t="s">
        <v>214</v>
      </c>
      <c r="Q200" s="458">
        <v>0</v>
      </c>
      <c r="R200" s="459">
        <v>0</v>
      </c>
      <c r="S200" s="459">
        <v>0</v>
      </c>
      <c r="T200" s="115">
        <f>SUM(mFEV[[#This Row],[PRINCIPAL]:[JUROS]])</f>
        <v>0</v>
      </c>
    </row>
    <row r="201" spans="2:22" ht="21" customHeight="1">
      <c r="B201" s="451" t="str">
        <f t="shared" si="2"/>
        <v>2/26</v>
      </c>
      <c r="C201" s="121" t="str">
        <f>VLOOKUP(mFEV[[#This Row],[CÓDIGO CONTABIL]],Contas_Gerencial[#All],3,FALSE)</f>
        <v>TRIBUTOS</v>
      </c>
      <c r="D201" s="445" t="str">
        <f>VLOOKUP(mFEV[[#This Row],[DESCRIÇÃO CONTABIL]],Contas_Gerencial[[#All],[DESCRIÇÃO DA CONTA - NÃO UTILIZAR]:[Código2]],2,FALSE)</f>
        <v>20.08.001</v>
      </c>
      <c r="E201" s="452" t="s">
        <v>2112</v>
      </c>
      <c r="F201" s="452" t="s">
        <v>581</v>
      </c>
      <c r="G201" s="480" t="s">
        <v>1659</v>
      </c>
      <c r="H201" s="452" t="s">
        <v>1788</v>
      </c>
      <c r="I201" s="481">
        <v>194</v>
      </c>
      <c r="J201" s="453" t="s">
        <v>654</v>
      </c>
      <c r="K201" s="453" t="s">
        <v>1907</v>
      </c>
      <c r="L201" s="456" t="s">
        <v>2137</v>
      </c>
      <c r="M201" s="457">
        <v>46052</v>
      </c>
      <c r="N201" s="457">
        <v>46073</v>
      </c>
      <c r="O201" s="457">
        <v>46072</v>
      </c>
      <c r="P201" s="453" t="s">
        <v>214</v>
      </c>
      <c r="Q201" s="458">
        <v>259.10877263581489</v>
      </c>
      <c r="R201" s="459">
        <v>0</v>
      </c>
      <c r="S201" s="459">
        <v>0</v>
      </c>
      <c r="T201" s="115">
        <f>SUM(mFEV[[#This Row],[PRINCIPAL]:[JUROS]])</f>
        <v>259.10877263581489</v>
      </c>
    </row>
    <row r="202" spans="2:22" ht="21" customHeight="1">
      <c r="B202" s="451" t="str">
        <f t="shared" si="2"/>
        <v>2/26</v>
      </c>
      <c r="C202" s="121" t="str">
        <f>VLOOKUP(mFEV[[#This Row],[CÓDIGO CONTABIL]],Contas_Gerencial[#All],3,FALSE)</f>
        <v>TRIBUTOS</v>
      </c>
      <c r="D202" s="445" t="str">
        <f>VLOOKUP(mFEV[[#This Row],[DESCRIÇÃO CONTABIL]],Contas_Gerencial[[#All],[DESCRIÇÃO DA CONTA - NÃO UTILIZAR]:[Código2]],2,FALSE)</f>
        <v>20.08.002</v>
      </c>
      <c r="E202" s="452" t="s">
        <v>589</v>
      </c>
      <c r="F202" s="452" t="s">
        <v>581</v>
      </c>
      <c r="G202" s="480" t="s">
        <v>1659</v>
      </c>
      <c r="H202" s="452" t="s">
        <v>1788</v>
      </c>
      <c r="I202" s="481">
        <v>194</v>
      </c>
      <c r="J202" s="453" t="s">
        <v>654</v>
      </c>
      <c r="K202" s="453" t="s">
        <v>1907</v>
      </c>
      <c r="L202" s="456" t="s">
        <v>2137</v>
      </c>
      <c r="M202" s="457">
        <v>46052</v>
      </c>
      <c r="N202" s="457">
        <v>46073</v>
      </c>
      <c r="O202" s="457">
        <v>46072</v>
      </c>
      <c r="P202" s="453" t="s">
        <v>214</v>
      </c>
      <c r="Q202" s="458">
        <f>388.15352860734-6.69</f>
        <v>381.46352860733998</v>
      </c>
      <c r="R202" s="459">
        <v>0</v>
      </c>
      <c r="S202" s="459">
        <v>0</v>
      </c>
      <c r="T202" s="115">
        <f>SUM(mFEV[[#This Row],[PRINCIPAL]:[JUROS]])</f>
        <v>381.46352860733998</v>
      </c>
    </row>
    <row r="203" spans="2:22" ht="21" customHeight="1">
      <c r="B203" s="451" t="str">
        <f t="shared" ref="B203:B264" si="3">B202</f>
        <v>2/26</v>
      </c>
      <c r="C203" s="121" t="str">
        <f>VLOOKUP(mFEV[[#This Row],[CÓDIGO CONTABIL]],Contas_Gerencial[#All],3,FALSE)</f>
        <v>FOLHA DE PAGAMENTO</v>
      </c>
      <c r="D203" s="445" t="str">
        <f>VLOOKUP(mFEV[[#This Row],[DESCRIÇÃO CONTABIL]],Contas_Gerencial[[#All],[DESCRIÇÃO DA CONTA - NÃO UTILIZAR]:[Código2]],2,FALSE)</f>
        <v>20.05.021</v>
      </c>
      <c r="E203" s="452" t="s">
        <v>59</v>
      </c>
      <c r="F203" s="453" t="s">
        <v>581</v>
      </c>
      <c r="G203" s="480" t="s">
        <v>1659</v>
      </c>
      <c r="H203" s="452" t="s">
        <v>1791</v>
      </c>
      <c r="I203" s="481">
        <v>194</v>
      </c>
      <c r="J203" s="453" t="s">
        <v>581</v>
      </c>
      <c r="K203" s="452" t="s">
        <v>1790</v>
      </c>
      <c r="L203" s="456" t="s">
        <v>2137</v>
      </c>
      <c r="M203" s="457">
        <v>46055</v>
      </c>
      <c r="N203" s="457">
        <v>46059</v>
      </c>
      <c r="O203" s="457">
        <v>46057</v>
      </c>
      <c r="P203" s="453" t="s">
        <v>214</v>
      </c>
      <c r="Q203" s="458">
        <v>1428.12</v>
      </c>
      <c r="R203" s="459">
        <v>0</v>
      </c>
      <c r="S203" s="459">
        <v>0</v>
      </c>
      <c r="T203" s="115">
        <f>SUM(mFEV[[#This Row],[PRINCIPAL]:[JUROS]])</f>
        <v>1428.12</v>
      </c>
      <c r="V203" s="115"/>
    </row>
    <row r="204" spans="2:22" ht="21" customHeight="1">
      <c r="B204" s="451" t="str">
        <f t="shared" si="3"/>
        <v>2/26</v>
      </c>
      <c r="C204" s="121" t="str">
        <f>VLOOKUP(mFEV[[#This Row],[CÓDIGO CONTABIL]],Contas_Gerencial[#All],3,FALSE)</f>
        <v>ENCARGOS</v>
      </c>
      <c r="D204" s="445" t="str">
        <f>VLOOKUP(mFEV[[#This Row],[DESCRIÇÃO CONTABIL]],Contas_Gerencial[[#All],[DESCRIÇÃO DA CONTA - NÃO UTILIZAR]:[Código2]],2,FALSE)</f>
        <v>20.04.006</v>
      </c>
      <c r="E204" s="452" t="s">
        <v>1180</v>
      </c>
      <c r="F204" s="452" t="s">
        <v>581</v>
      </c>
      <c r="G204" s="480" t="s">
        <v>1659</v>
      </c>
      <c r="H204" s="452" t="s">
        <v>1180</v>
      </c>
      <c r="I204" s="481">
        <v>194</v>
      </c>
      <c r="J204" s="453" t="s">
        <v>384</v>
      </c>
      <c r="K204" s="453" t="s">
        <v>1180</v>
      </c>
      <c r="L204" s="456" t="s">
        <v>2137</v>
      </c>
      <c r="M204" s="457">
        <v>46055</v>
      </c>
      <c r="N204" s="457">
        <v>46073</v>
      </c>
      <c r="O204" s="457">
        <v>46072</v>
      </c>
      <c r="P204" s="453" t="s">
        <v>214</v>
      </c>
      <c r="Q204" s="458">
        <v>119.85</v>
      </c>
      <c r="R204" s="459">
        <v>0</v>
      </c>
      <c r="S204" s="459">
        <v>0</v>
      </c>
      <c r="T204" s="115">
        <f>SUM(mFEV[[#This Row],[PRINCIPAL]:[JUROS]])</f>
        <v>119.85</v>
      </c>
    </row>
    <row r="205" spans="2:22" ht="21" customHeight="1">
      <c r="B205" s="451" t="str">
        <f t="shared" si="3"/>
        <v>2/26</v>
      </c>
      <c r="C205" s="121" t="str">
        <f>VLOOKUP(mFEV[[#This Row],[CÓDIGO CONTABIL]],Contas_Gerencial[#All],3,FALSE)</f>
        <v>ENCARGOS</v>
      </c>
      <c r="D205" s="445" t="str">
        <f>VLOOKUP(mFEV[[#This Row],[DESCRIÇÃO CONTABIL]],Contas_Gerencial[[#All],[DESCRIÇÃO DA CONTA - NÃO UTILIZAR]:[Código2]],2,FALSE)</f>
        <v>20.04.001</v>
      </c>
      <c r="E205" s="464" t="s">
        <v>2659</v>
      </c>
      <c r="F205" s="464" t="s">
        <v>581</v>
      </c>
      <c r="G205" s="464" t="s">
        <v>1659</v>
      </c>
      <c r="H205" s="464" t="s">
        <v>1788</v>
      </c>
      <c r="I205" s="984">
        <v>194</v>
      </c>
      <c r="J205" s="461" t="s">
        <v>757</v>
      </c>
      <c r="K205" s="461" t="s">
        <v>2089</v>
      </c>
      <c r="L205" s="462" t="s">
        <v>2137</v>
      </c>
      <c r="M205" s="463">
        <v>46055</v>
      </c>
      <c r="N205" s="463">
        <v>46073</v>
      </c>
      <c r="O205" s="463"/>
      <c r="P205" s="741" t="s">
        <v>1</v>
      </c>
      <c r="Q205" s="484">
        <v>112.36</v>
      </c>
      <c r="R205" s="465">
        <v>0</v>
      </c>
      <c r="S205" s="465">
        <v>0</v>
      </c>
      <c r="T205" s="115">
        <f>SUM(mFEV[[#This Row],[PRINCIPAL]:[JUROS]])</f>
        <v>112.36</v>
      </c>
    </row>
    <row r="206" spans="2:22" ht="21" customHeight="1">
      <c r="B206" s="451" t="str">
        <f t="shared" si="3"/>
        <v>2/26</v>
      </c>
      <c r="C206" s="121" t="str">
        <f>VLOOKUP(mFEV[[#This Row],[CÓDIGO CONTABIL]],Contas_Gerencial[#All],3,FALSE)</f>
        <v>BENEFICIO</v>
      </c>
      <c r="D206" s="445" t="str">
        <f>VLOOKUP(mFEV[[#This Row],[DESCRIÇÃO CONTABIL]],Contas_Gerencial[[#All],[DESCRIÇÃO DA CONTA - NÃO UTILIZAR]:[Código2]],2,FALSE)</f>
        <v>20.05.006</v>
      </c>
      <c r="E206" s="480" t="s">
        <v>24</v>
      </c>
      <c r="F206" s="452" t="s">
        <v>581</v>
      </c>
      <c r="G206" s="452" t="s">
        <v>1659</v>
      </c>
      <c r="H206" s="452" t="s">
        <v>1791</v>
      </c>
      <c r="I206" s="481">
        <v>200226</v>
      </c>
      <c r="J206" s="453" t="s">
        <v>581</v>
      </c>
      <c r="K206" s="453" t="s">
        <v>2257</v>
      </c>
      <c r="L206" s="451" t="s">
        <v>2258</v>
      </c>
      <c r="M206" s="457">
        <v>46073</v>
      </c>
      <c r="N206" s="457">
        <v>46073</v>
      </c>
      <c r="O206" s="457">
        <v>46073</v>
      </c>
      <c r="P206" s="452" t="s">
        <v>214</v>
      </c>
      <c r="Q206" s="467">
        <v>520</v>
      </c>
      <c r="R206" s="467">
        <v>0</v>
      </c>
      <c r="S206" s="467">
        <v>0</v>
      </c>
      <c r="T206" s="115">
        <f>SUM(mFEV[[#This Row],[PRINCIPAL]:[JUROS]])</f>
        <v>520</v>
      </c>
    </row>
    <row r="207" spans="2:22" ht="21" customHeight="1">
      <c r="B207" s="451" t="str">
        <f t="shared" si="3"/>
        <v>2/26</v>
      </c>
      <c r="C207" s="121" t="str">
        <f>VLOOKUP(mFEV[[#This Row],[CÓDIGO CONTABIL]],Contas_Gerencial[#All],3,FALSE)</f>
        <v>BENEFICIO</v>
      </c>
      <c r="D207" s="445" t="str">
        <f>VLOOKUP(mFEV[[#This Row],[DESCRIÇÃO CONTABIL]],Contas_Gerencial[[#All],[DESCRIÇÃO DA CONTA - NÃO UTILIZAR]:[Código2]],2,FALSE)</f>
        <v>20.05.007</v>
      </c>
      <c r="E207" s="480" t="s">
        <v>25</v>
      </c>
      <c r="F207" s="452" t="s">
        <v>581</v>
      </c>
      <c r="G207" s="452" t="s">
        <v>1659</v>
      </c>
      <c r="H207" s="452" t="s">
        <v>1791</v>
      </c>
      <c r="I207" s="481">
        <v>200226</v>
      </c>
      <c r="J207" s="453" t="s">
        <v>581</v>
      </c>
      <c r="K207" s="453" t="s">
        <v>2257</v>
      </c>
      <c r="L207" s="451" t="s">
        <v>2258</v>
      </c>
      <c r="M207" s="457">
        <v>46073</v>
      </c>
      <c r="N207" s="457">
        <v>46073</v>
      </c>
      <c r="O207" s="457">
        <v>46073</v>
      </c>
      <c r="P207" s="452" t="s">
        <v>214</v>
      </c>
      <c r="Q207" s="467">
        <v>0</v>
      </c>
      <c r="R207" s="467">
        <v>0</v>
      </c>
      <c r="S207" s="467">
        <v>0</v>
      </c>
      <c r="T207" s="115">
        <f>SUM(mFEV[[#This Row],[PRINCIPAL]:[JUROS]])</f>
        <v>0</v>
      </c>
    </row>
    <row r="208" spans="2:22" ht="21" customHeight="1">
      <c r="B208" s="451" t="str">
        <f t="shared" si="3"/>
        <v>2/26</v>
      </c>
      <c r="C208" s="121" t="str">
        <f>VLOOKUP(mFEV[[#This Row],[CÓDIGO CONTABIL]],Contas_Gerencial[#All],3,FALSE)</f>
        <v>FOLHA DE PAGAMENTO</v>
      </c>
      <c r="D208" s="445" t="str">
        <f>VLOOKUP(mFEV[[#This Row],[DESCRIÇÃO CONTABIL]],Contas_Gerencial[[#All],[DESCRIÇÃO DA CONTA - NÃO UTILIZAR]:[Código2]],2,FALSE)</f>
        <v>20.05.018</v>
      </c>
      <c r="E208" s="452" t="s">
        <v>74</v>
      </c>
      <c r="F208" s="453" t="s">
        <v>41</v>
      </c>
      <c r="G208" s="454" t="s">
        <v>595</v>
      </c>
      <c r="H208" s="453" t="s">
        <v>1802</v>
      </c>
      <c r="I208" s="481">
        <v>160226</v>
      </c>
      <c r="J208" s="453" t="s">
        <v>41</v>
      </c>
      <c r="K208" s="453" t="s">
        <v>1882</v>
      </c>
      <c r="L208" s="451" t="s">
        <v>2258</v>
      </c>
      <c r="M208" s="457">
        <v>46063</v>
      </c>
      <c r="N208" s="457">
        <v>46063</v>
      </c>
      <c r="O208" s="457">
        <v>46072</v>
      </c>
      <c r="P208" s="452" t="s">
        <v>214</v>
      </c>
      <c r="Q208" s="458">
        <f>633</f>
        <v>633</v>
      </c>
      <c r="R208" s="459">
        <v>0</v>
      </c>
      <c r="S208" s="459">
        <v>0</v>
      </c>
      <c r="T208" s="115">
        <f>SUM(mFEV[[#This Row],[PRINCIPAL]:[JUROS]])</f>
        <v>633</v>
      </c>
      <c r="V208" s="115"/>
    </row>
    <row r="209" spans="2:22" ht="21" customHeight="1">
      <c r="B209" s="451" t="str">
        <f t="shared" si="3"/>
        <v>2/26</v>
      </c>
      <c r="C209" s="121" t="str">
        <f>VLOOKUP(mFEV[[#This Row],[CÓDIGO CONTABIL]],Contas_Gerencial[#All],3,FALSE)</f>
        <v>FOLHA DE PAGAMENTO</v>
      </c>
      <c r="D209" s="445" t="str">
        <f>VLOOKUP(mFEV[[#This Row],[DESCRIÇÃO CONTABIL]],Contas_Gerencial[[#All],[DESCRIÇÃO DA CONTA - NÃO UTILIZAR]:[Código2]],2,FALSE)</f>
        <v>20.05.018</v>
      </c>
      <c r="E209" s="107" t="s">
        <v>74</v>
      </c>
      <c r="F209" s="107" t="s">
        <v>41</v>
      </c>
      <c r="G209" s="107" t="s">
        <v>595</v>
      </c>
      <c r="H209" s="107" t="s">
        <v>1802</v>
      </c>
      <c r="I209" s="481">
        <v>160226</v>
      </c>
      <c r="J209" s="107" t="s">
        <v>41</v>
      </c>
      <c r="K209" s="107" t="s">
        <v>1818</v>
      </c>
      <c r="L209" s="451" t="s">
        <v>2258</v>
      </c>
      <c r="M209" s="457">
        <v>46063</v>
      </c>
      <c r="N209" s="457">
        <v>46063</v>
      </c>
      <c r="O209" s="457">
        <v>46072</v>
      </c>
      <c r="P209" s="452" t="s">
        <v>214</v>
      </c>
      <c r="Q209" s="467">
        <f>(1472+1500)-(869.84+808.91)</f>
        <v>1293.25</v>
      </c>
      <c r="R209" s="467">
        <v>0</v>
      </c>
      <c r="S209" s="467">
        <v>0</v>
      </c>
      <c r="T209" s="115">
        <f>SUM(mFEV[[#This Row],[PRINCIPAL]:[JUROS]])</f>
        <v>1293.25</v>
      </c>
      <c r="V209" s="115"/>
    </row>
    <row r="210" spans="2:22" ht="21" customHeight="1">
      <c r="B210" s="451" t="str">
        <f t="shared" si="3"/>
        <v>2/26</v>
      </c>
      <c r="C210" s="121" t="str">
        <f>VLOOKUP(mFEV[[#This Row],[CÓDIGO CONTABIL]],Contas_Gerencial[#All],3,FALSE)</f>
        <v>MEDICINA DO TRABALHO</v>
      </c>
      <c r="D210" s="445" t="str">
        <f>VLOOKUP(mFEV[[#This Row],[DESCRIÇÃO CONTABIL]],Contas_Gerencial[[#All],[DESCRIÇÃO DA CONTA - NÃO UTILIZAR]:[Código2]],2,FALSE)</f>
        <v>20.05.024</v>
      </c>
      <c r="E210" s="453" t="s">
        <v>293</v>
      </c>
      <c r="F210" s="453" t="s">
        <v>41</v>
      </c>
      <c r="G210" s="453" t="s">
        <v>87</v>
      </c>
      <c r="H210" s="453" t="s">
        <v>1932</v>
      </c>
      <c r="I210" s="481" t="s">
        <v>2065</v>
      </c>
      <c r="J210" s="453" t="s">
        <v>1144</v>
      </c>
      <c r="K210" s="453" t="s">
        <v>2108</v>
      </c>
      <c r="L210" s="451" t="s">
        <v>2258</v>
      </c>
      <c r="M210" s="457">
        <v>46073</v>
      </c>
      <c r="N210" s="457">
        <v>46073</v>
      </c>
      <c r="O210" s="457">
        <v>46081</v>
      </c>
      <c r="P210" s="452" t="s">
        <v>214</v>
      </c>
      <c r="Q210" s="468">
        <v>0</v>
      </c>
      <c r="R210" s="467">
        <v>0</v>
      </c>
      <c r="S210" s="467">
        <v>0</v>
      </c>
      <c r="T210" s="115">
        <f>SUM(mFEV[[#This Row],[PRINCIPAL]:[JUROS]])</f>
        <v>0</v>
      </c>
      <c r="V210" s="115"/>
    </row>
    <row r="211" spans="2:22" ht="21" customHeight="1">
      <c r="B211" s="451" t="str">
        <f t="shared" si="3"/>
        <v>2/26</v>
      </c>
      <c r="C211" s="121" t="str">
        <f>VLOOKUP(mFEV[[#This Row],[CÓDIGO CONTABIL]],Contas_Gerencial[#All],3,FALSE)</f>
        <v>MEDICINA DO TRABALHO</v>
      </c>
      <c r="D211" s="445" t="str">
        <f>VLOOKUP(mFEV[[#This Row],[DESCRIÇÃO CONTABIL]],Contas_Gerencial[[#All],[DESCRIÇÃO DA CONTA - NÃO UTILIZAR]:[Código2]],2,FALSE)</f>
        <v>20.05.024</v>
      </c>
      <c r="E211" s="453" t="s">
        <v>293</v>
      </c>
      <c r="F211" s="453" t="s">
        <v>581</v>
      </c>
      <c r="G211" s="453" t="s">
        <v>87</v>
      </c>
      <c r="H211" s="453" t="s">
        <v>1932</v>
      </c>
      <c r="I211" s="481" t="s">
        <v>2065</v>
      </c>
      <c r="J211" s="453" t="s">
        <v>1144</v>
      </c>
      <c r="K211" s="453" t="s">
        <v>2108</v>
      </c>
      <c r="L211" s="451" t="s">
        <v>2258</v>
      </c>
      <c r="M211" s="457">
        <v>46073</v>
      </c>
      <c r="N211" s="457">
        <v>46073</v>
      </c>
      <c r="O211" s="457">
        <v>46081</v>
      </c>
      <c r="P211" s="452" t="s">
        <v>214</v>
      </c>
      <c r="Q211" s="468">
        <v>0</v>
      </c>
      <c r="R211" s="467">
        <v>0</v>
      </c>
      <c r="S211" s="467">
        <v>0</v>
      </c>
      <c r="T211" s="115">
        <f>SUM(mFEV[[#This Row],[PRINCIPAL]:[JUROS]])</f>
        <v>0</v>
      </c>
      <c r="V211" s="115"/>
    </row>
    <row r="212" spans="2:22" ht="21" customHeight="1">
      <c r="B212" s="451" t="str">
        <f t="shared" si="3"/>
        <v>2/26</v>
      </c>
      <c r="C212" s="121" t="str">
        <f>VLOOKUP(mFEV[[#This Row],[CÓDIGO CONTABIL]],Contas_Gerencial[#All],3,FALSE)</f>
        <v>MEDICINA DO TRABALHO</v>
      </c>
      <c r="D212" s="445" t="str">
        <f>VLOOKUP(mFEV[[#This Row],[DESCRIÇÃO CONTABIL]],Contas_Gerencial[[#All],[DESCRIÇÃO DA CONTA - NÃO UTILIZAR]:[Código2]],2,FALSE)</f>
        <v>20.05.024</v>
      </c>
      <c r="E212" s="453" t="s">
        <v>293</v>
      </c>
      <c r="F212" s="453" t="s">
        <v>582</v>
      </c>
      <c r="G212" s="453" t="s">
        <v>87</v>
      </c>
      <c r="H212" s="453" t="s">
        <v>1932</v>
      </c>
      <c r="I212" s="481" t="s">
        <v>2065</v>
      </c>
      <c r="J212" s="453" t="s">
        <v>1144</v>
      </c>
      <c r="K212" s="453" t="s">
        <v>2108</v>
      </c>
      <c r="L212" s="451" t="s">
        <v>2258</v>
      </c>
      <c r="M212" s="457">
        <v>46073</v>
      </c>
      <c r="N212" s="457">
        <v>46073</v>
      </c>
      <c r="O212" s="457">
        <v>46081</v>
      </c>
      <c r="P212" s="452" t="s">
        <v>214</v>
      </c>
      <c r="Q212" s="468">
        <v>0</v>
      </c>
      <c r="R212" s="467">
        <v>0</v>
      </c>
      <c r="S212" s="467">
        <v>0</v>
      </c>
      <c r="T212" s="115">
        <f>SUM(mFEV[[#This Row],[PRINCIPAL]:[JUROS]])</f>
        <v>0</v>
      </c>
      <c r="V212" s="115"/>
    </row>
    <row r="213" spans="2:22" ht="21" customHeight="1">
      <c r="B213" s="451" t="str">
        <f t="shared" si="3"/>
        <v>2/26</v>
      </c>
      <c r="C213" s="121" t="str">
        <f>VLOOKUP(mFEV[[#This Row],[CÓDIGO CONTABIL]],Contas_Gerencial[#All],3,FALSE)</f>
        <v>DESPESAS BANCÁRIAS</v>
      </c>
      <c r="D213" s="445" t="str">
        <f>VLOOKUP(mFEV[[#This Row],[DESCRIÇÃO CONTABIL]],Contas_Gerencial[[#All],[DESCRIÇÃO DA CONTA - NÃO UTILIZAR]:[Código2]],2,FALSE)</f>
        <v>20.01.034</v>
      </c>
      <c r="E213" s="452" t="s">
        <v>680</v>
      </c>
      <c r="F213" s="452" t="s">
        <v>41</v>
      </c>
      <c r="G213" s="480" t="s">
        <v>595</v>
      </c>
      <c r="H213" s="452" t="s">
        <v>1983</v>
      </c>
      <c r="I213" s="481" t="s">
        <v>2012</v>
      </c>
      <c r="J213" s="453" t="s">
        <v>1083</v>
      </c>
      <c r="K213" s="453" t="s">
        <v>1980</v>
      </c>
      <c r="L213" s="456" t="s">
        <v>2278</v>
      </c>
      <c r="M213" s="457">
        <v>45139</v>
      </c>
      <c r="N213" s="457">
        <v>46054</v>
      </c>
      <c r="O213" s="457">
        <v>46055</v>
      </c>
      <c r="P213" s="452" t="s">
        <v>214</v>
      </c>
      <c r="Q213" s="467">
        <v>3162.16</v>
      </c>
      <c r="R213" s="467">
        <v>1669.63</v>
      </c>
      <c r="S213" s="467">
        <v>0</v>
      </c>
      <c r="T213" s="115">
        <f>SUM(mFEV[[#This Row],[PRINCIPAL]:[JUROS]])</f>
        <v>4831.79</v>
      </c>
      <c r="V213" s="115"/>
    </row>
    <row r="214" spans="2:22" ht="21" customHeight="1">
      <c r="B214" s="451" t="str">
        <f t="shared" si="3"/>
        <v>2/26</v>
      </c>
      <c r="C214" s="121" t="str">
        <f>VLOOKUP(mFEV[[#This Row],[CÓDIGO CONTABIL]],Contas_Gerencial[#All],3,FALSE)</f>
        <v>DESPESAS BANCÁRIAS</v>
      </c>
      <c r="D214" s="445" t="str">
        <f>VLOOKUP(mFEV[[#This Row],[DESCRIÇÃO CONTABIL]],Contas_Gerencial[[#All],[DESCRIÇÃO DA CONTA - NÃO UTILIZAR]:[Código2]],2,FALSE)</f>
        <v>20.01.009</v>
      </c>
      <c r="E214" s="454" t="s">
        <v>80</v>
      </c>
      <c r="F214" s="452" t="s">
        <v>41</v>
      </c>
      <c r="G214" s="452" t="s">
        <v>595</v>
      </c>
      <c r="H214" s="452" t="s">
        <v>1983</v>
      </c>
      <c r="I214" s="455" t="s">
        <v>2528</v>
      </c>
      <c r="J214" s="453" t="s">
        <v>1083</v>
      </c>
      <c r="K214" s="453" t="s">
        <v>2313</v>
      </c>
      <c r="L214" s="456" t="s">
        <v>1766</v>
      </c>
      <c r="M214" s="457">
        <v>46055</v>
      </c>
      <c r="N214" s="457">
        <v>46055</v>
      </c>
      <c r="O214" s="457">
        <v>46055</v>
      </c>
      <c r="P214" s="452" t="s">
        <v>214</v>
      </c>
      <c r="Q214" s="519">
        <v>22.5</v>
      </c>
      <c r="R214" s="467">
        <v>0</v>
      </c>
      <c r="S214" s="467">
        <v>0</v>
      </c>
      <c r="T214" s="115">
        <f>SUM(mFEV[[#This Row],[PRINCIPAL]:[JUROS]])</f>
        <v>22.5</v>
      </c>
      <c r="V214" s="115" t="s">
        <v>2539</v>
      </c>
    </row>
    <row r="215" spans="2:22" ht="21" customHeight="1">
      <c r="B215" s="451" t="str">
        <f t="shared" si="3"/>
        <v>2/26</v>
      </c>
      <c r="C215" s="121" t="str">
        <f>VLOOKUP(mFEV[[#This Row],[CÓDIGO CONTABIL]],Contas_Gerencial[#All],3,FALSE)</f>
        <v>DESPESAS BANCÁRIAS</v>
      </c>
      <c r="D215" s="445" t="str">
        <f>VLOOKUP(mFEV[[#This Row],[DESCRIÇÃO CONTABIL]],Contas_Gerencial[[#All],[DESCRIÇÃO DA CONTA - NÃO UTILIZAR]:[Código2]],2,FALSE)</f>
        <v>20.01.025</v>
      </c>
      <c r="E215" s="453" t="s">
        <v>627</v>
      </c>
      <c r="F215" s="452" t="s">
        <v>41</v>
      </c>
      <c r="G215" s="452" t="s">
        <v>595</v>
      </c>
      <c r="H215" s="452" t="s">
        <v>1983</v>
      </c>
      <c r="I215" s="455" t="s">
        <v>2529</v>
      </c>
      <c r="J215" s="453" t="s">
        <v>1083</v>
      </c>
      <c r="K215" s="453" t="s">
        <v>2315</v>
      </c>
      <c r="L215" s="456" t="s">
        <v>1766</v>
      </c>
      <c r="M215" s="457">
        <v>46055</v>
      </c>
      <c r="N215" s="457">
        <v>46055</v>
      </c>
      <c r="O215" s="457">
        <v>46055</v>
      </c>
      <c r="P215" s="452" t="s">
        <v>214</v>
      </c>
      <c r="Q215" s="519">
        <v>3.56</v>
      </c>
      <c r="R215" s="467">
        <v>0</v>
      </c>
      <c r="S215" s="467">
        <v>0</v>
      </c>
      <c r="T215" s="115">
        <f>SUM(mFEV[[#This Row],[PRINCIPAL]:[JUROS]])</f>
        <v>3.56</v>
      </c>
      <c r="V215" s="1163" t="s">
        <v>2540</v>
      </c>
    </row>
    <row r="216" spans="2:22" ht="21" customHeight="1">
      <c r="B216" s="451" t="str">
        <f t="shared" si="3"/>
        <v>2/26</v>
      </c>
      <c r="C216" s="121" t="str">
        <f>VLOOKUP(mFEV[[#This Row],[CÓDIGO CONTABIL]],Contas_Gerencial[#All],3,FALSE)</f>
        <v>DESPESAS BANCÁRIAS</v>
      </c>
      <c r="D216" s="445" t="str">
        <f>VLOOKUP(mFEV[[#This Row],[DESCRIÇÃO CONTABIL]],Contas_Gerencial[[#All],[DESCRIÇÃO DA CONTA - NÃO UTILIZAR]:[Código2]],2,FALSE)</f>
        <v>20.01.002</v>
      </c>
      <c r="E216" s="453" t="s">
        <v>2653</v>
      </c>
      <c r="F216" s="452" t="s">
        <v>41</v>
      </c>
      <c r="G216" s="452" t="s">
        <v>595</v>
      </c>
      <c r="H216" s="452" t="s">
        <v>1983</v>
      </c>
      <c r="I216" s="455" t="s">
        <v>2296</v>
      </c>
      <c r="J216" s="453" t="s">
        <v>1083</v>
      </c>
      <c r="K216" s="453" t="s">
        <v>2314</v>
      </c>
      <c r="L216" s="456" t="s">
        <v>1766</v>
      </c>
      <c r="M216" s="457">
        <v>46055</v>
      </c>
      <c r="N216" s="457">
        <v>46055</v>
      </c>
      <c r="O216" s="457">
        <v>46055</v>
      </c>
      <c r="P216" s="452" t="s">
        <v>214</v>
      </c>
      <c r="Q216" s="519">
        <v>3.28</v>
      </c>
      <c r="R216" s="467">
        <v>0</v>
      </c>
      <c r="S216" s="467">
        <v>0</v>
      </c>
      <c r="T216" s="115">
        <f>SUM(mFEV[[#This Row],[PRINCIPAL]:[JUROS]])</f>
        <v>3.28</v>
      </c>
      <c r="V216" s="115" t="s">
        <v>2541</v>
      </c>
    </row>
    <row r="217" spans="2:22" ht="21" customHeight="1">
      <c r="B217" s="451" t="str">
        <f t="shared" si="3"/>
        <v>2/26</v>
      </c>
      <c r="C217" s="121" t="str">
        <f>VLOOKUP(mFEV[[#This Row],[CÓDIGO CONTABIL]],Contas_Gerencial[#All],3,FALSE)</f>
        <v>DESPESAS BANCÁRIAS</v>
      </c>
      <c r="D217" s="445" t="str">
        <f>VLOOKUP(mFEV[[#This Row],[DESCRIÇÃO CONTABIL]],Contas_Gerencial[[#All],[DESCRIÇÃO DA CONTA - NÃO UTILIZAR]:[Código2]],2,FALSE)</f>
        <v>20.01.015</v>
      </c>
      <c r="E217" s="453" t="s">
        <v>82</v>
      </c>
      <c r="F217" s="452" t="s">
        <v>41</v>
      </c>
      <c r="G217" s="452" t="s">
        <v>595</v>
      </c>
      <c r="H217" s="452" t="s">
        <v>1983</v>
      </c>
      <c r="I217" s="455" t="s">
        <v>2530</v>
      </c>
      <c r="J217" s="453" t="s">
        <v>1083</v>
      </c>
      <c r="K217" s="453" t="s">
        <v>2316</v>
      </c>
      <c r="L217" s="456" t="s">
        <v>1766</v>
      </c>
      <c r="M217" s="457">
        <v>46057</v>
      </c>
      <c r="N217" s="457">
        <v>46057</v>
      </c>
      <c r="O217" s="457">
        <v>46057</v>
      </c>
      <c r="P217" s="452" t="s">
        <v>214</v>
      </c>
      <c r="Q217" s="519">
        <v>5</v>
      </c>
      <c r="R217" s="467">
        <v>0</v>
      </c>
      <c r="S217" s="467">
        <v>0</v>
      </c>
      <c r="T217" s="115">
        <f>SUM(mFEV[[#This Row],[PRINCIPAL]:[JUROS]])</f>
        <v>5</v>
      </c>
      <c r="V217" s="115" t="s">
        <v>2539</v>
      </c>
    </row>
    <row r="218" spans="2:22" ht="21" customHeight="1">
      <c r="B218" s="451" t="str">
        <f t="shared" si="3"/>
        <v>2/26</v>
      </c>
      <c r="C218" s="121" t="str">
        <f>VLOOKUP(mFEV[[#This Row],[CÓDIGO CONTABIL]],Contas_Gerencial[#All],3,FALSE)</f>
        <v>DESPESAS BANCÁRIAS</v>
      </c>
      <c r="D218" s="445" t="str">
        <f>VLOOKUP(mFEV[[#This Row],[DESCRIÇÃO CONTABIL]],Contas_Gerencial[[#All],[DESCRIÇÃO DA CONTA - NÃO UTILIZAR]:[Código2]],2,FALSE)</f>
        <v>20.01.015</v>
      </c>
      <c r="E218" s="453" t="s">
        <v>82</v>
      </c>
      <c r="F218" s="452" t="s">
        <v>41</v>
      </c>
      <c r="G218" s="452" t="s">
        <v>595</v>
      </c>
      <c r="H218" s="452" t="s">
        <v>1983</v>
      </c>
      <c r="I218" s="455" t="s">
        <v>2301</v>
      </c>
      <c r="J218" s="453" t="s">
        <v>1083</v>
      </c>
      <c r="K218" s="453" t="s">
        <v>2317</v>
      </c>
      <c r="L218" s="456" t="s">
        <v>1766</v>
      </c>
      <c r="M218" s="457">
        <v>46063</v>
      </c>
      <c r="N218" s="457">
        <v>46063</v>
      </c>
      <c r="O218" s="457">
        <v>46063</v>
      </c>
      <c r="P218" s="452" t="s">
        <v>214</v>
      </c>
      <c r="Q218" s="519">
        <v>108</v>
      </c>
      <c r="R218" s="467">
        <v>0</v>
      </c>
      <c r="S218" s="467">
        <v>0</v>
      </c>
      <c r="T218" s="115">
        <f>SUM(mFEV[[#This Row],[PRINCIPAL]:[JUROS]])</f>
        <v>108</v>
      </c>
      <c r="V218" s="115" t="s">
        <v>2542</v>
      </c>
    </row>
    <row r="219" spans="2:22" ht="21" customHeight="1">
      <c r="B219" s="451" t="str">
        <f t="shared" si="3"/>
        <v>2/26</v>
      </c>
      <c r="C219" s="121" t="str">
        <f>VLOOKUP(mFEV[[#This Row],[CÓDIGO CONTABIL]],Contas_Gerencial[#All],3,FALSE)</f>
        <v>DESPESAS BANCÁRIAS</v>
      </c>
      <c r="D219" s="445" t="str">
        <f>VLOOKUP(mFEV[[#This Row],[DESCRIÇÃO CONTABIL]],Contas_Gerencial[[#All],[DESCRIÇÃO DA CONTA - NÃO UTILIZAR]:[Código2]],2,FALSE)</f>
        <v>20.01.015</v>
      </c>
      <c r="E219" s="453" t="s">
        <v>82</v>
      </c>
      <c r="F219" s="452" t="s">
        <v>41</v>
      </c>
      <c r="G219" s="452" t="s">
        <v>595</v>
      </c>
      <c r="H219" s="452" t="s">
        <v>1983</v>
      </c>
      <c r="I219" s="455" t="s">
        <v>2531</v>
      </c>
      <c r="J219" s="453" t="s">
        <v>1083</v>
      </c>
      <c r="K219" s="453" t="s">
        <v>2317</v>
      </c>
      <c r="L219" s="456" t="s">
        <v>1766</v>
      </c>
      <c r="M219" s="457">
        <v>46063</v>
      </c>
      <c r="N219" s="457">
        <v>46063</v>
      </c>
      <c r="O219" s="457">
        <v>46063</v>
      </c>
      <c r="P219" s="452" t="s">
        <v>214</v>
      </c>
      <c r="Q219" s="519">
        <v>70</v>
      </c>
      <c r="R219" s="467">
        <v>0</v>
      </c>
      <c r="S219" s="467">
        <v>0</v>
      </c>
      <c r="T219" s="115">
        <f>SUM(mFEV[[#This Row],[PRINCIPAL]:[JUROS]])</f>
        <v>70</v>
      </c>
      <c r="V219" s="115" t="s">
        <v>2542</v>
      </c>
    </row>
    <row r="220" spans="2:22" ht="21" customHeight="1">
      <c r="B220" s="451" t="str">
        <f t="shared" si="3"/>
        <v>2/26</v>
      </c>
      <c r="C220" s="121" t="str">
        <f>VLOOKUP(mFEV[[#This Row],[CÓDIGO CONTABIL]],Contas_Gerencial[#All],3,FALSE)</f>
        <v>DESPESAS BANCÁRIAS</v>
      </c>
      <c r="D220" s="445" t="str">
        <f>VLOOKUP(mFEV[[#This Row],[DESCRIÇÃO CONTABIL]],Contas_Gerencial[[#All],[DESCRIÇÃO DA CONTA - NÃO UTILIZAR]:[Código2]],2,FALSE)</f>
        <v>20.01.032</v>
      </c>
      <c r="E220" s="452" t="s">
        <v>84</v>
      </c>
      <c r="F220" s="452" t="s">
        <v>41</v>
      </c>
      <c r="G220" s="452" t="s">
        <v>595</v>
      </c>
      <c r="H220" s="452" t="s">
        <v>1983</v>
      </c>
      <c r="I220" s="455" t="s">
        <v>2532</v>
      </c>
      <c r="J220" s="453" t="s">
        <v>1083</v>
      </c>
      <c r="K220" s="453" t="s">
        <v>2318</v>
      </c>
      <c r="L220" s="456" t="s">
        <v>1766</v>
      </c>
      <c r="M220" s="457">
        <v>46063</v>
      </c>
      <c r="N220" s="457">
        <v>46063</v>
      </c>
      <c r="O220" s="457">
        <v>46063</v>
      </c>
      <c r="P220" s="452" t="s">
        <v>214</v>
      </c>
      <c r="Q220" s="519">
        <v>139.19999999999999</v>
      </c>
      <c r="R220" s="467">
        <v>0</v>
      </c>
      <c r="S220" s="467">
        <v>0</v>
      </c>
      <c r="T220" s="115">
        <f>SUM(mFEV[[#This Row],[PRINCIPAL]:[JUROS]])</f>
        <v>139.19999999999999</v>
      </c>
      <c r="V220" s="115" t="s">
        <v>2542</v>
      </c>
    </row>
    <row r="221" spans="2:22" ht="21" customHeight="1">
      <c r="B221" s="451" t="str">
        <f t="shared" si="3"/>
        <v>2/26</v>
      </c>
      <c r="C221" s="121" t="str">
        <f>VLOOKUP(mFEV[[#This Row],[CÓDIGO CONTABIL]],Contas_Gerencial[#All],3,FALSE)</f>
        <v>DESPESAS BANCÁRIAS</v>
      </c>
      <c r="D221" s="445" t="str">
        <f>VLOOKUP(mFEV[[#This Row],[DESCRIÇÃO CONTABIL]],Contas_Gerencial[[#All],[DESCRIÇÃO DA CONTA - NÃO UTILIZAR]:[Código2]],2,FALSE)</f>
        <v>20.01.025</v>
      </c>
      <c r="E221" s="453" t="s">
        <v>627</v>
      </c>
      <c r="F221" s="452" t="s">
        <v>41</v>
      </c>
      <c r="G221" s="452" t="s">
        <v>595</v>
      </c>
      <c r="H221" s="452" t="s">
        <v>1983</v>
      </c>
      <c r="I221" s="455" t="s">
        <v>2533</v>
      </c>
      <c r="J221" s="453" t="s">
        <v>1083</v>
      </c>
      <c r="K221" s="453" t="s">
        <v>2315</v>
      </c>
      <c r="L221" s="456" t="s">
        <v>1766</v>
      </c>
      <c r="M221" s="457">
        <v>46072</v>
      </c>
      <c r="N221" s="457">
        <v>46072</v>
      </c>
      <c r="O221" s="457">
        <v>46072</v>
      </c>
      <c r="P221" s="452" t="s">
        <v>214</v>
      </c>
      <c r="Q221" s="519">
        <v>26.26</v>
      </c>
      <c r="R221" s="467">
        <v>0</v>
      </c>
      <c r="S221" s="467">
        <v>0</v>
      </c>
      <c r="T221" s="115">
        <f>SUM(mFEV[[#This Row],[PRINCIPAL]:[JUROS]])</f>
        <v>26.26</v>
      </c>
      <c r="V221" s="1163" t="s">
        <v>2543</v>
      </c>
    </row>
    <row r="222" spans="2:22" ht="21" customHeight="1">
      <c r="B222" s="451" t="str">
        <f t="shared" si="3"/>
        <v>2/26</v>
      </c>
      <c r="C222" s="121" t="str">
        <f>VLOOKUP(mFEV[[#This Row],[CÓDIGO CONTABIL]],Contas_Gerencial[#All],3,FALSE)</f>
        <v>DESPESAS BANCÁRIAS</v>
      </c>
      <c r="D222" s="445" t="str">
        <f>VLOOKUP(mFEV[[#This Row],[DESCRIÇÃO CONTABIL]],Contas_Gerencial[[#All],[DESCRIÇÃO DA CONTA - NÃO UTILIZAR]:[Código2]],2,FALSE)</f>
        <v>20.01.025</v>
      </c>
      <c r="E222" s="453" t="s">
        <v>627</v>
      </c>
      <c r="F222" s="452" t="s">
        <v>41</v>
      </c>
      <c r="G222" s="452" t="s">
        <v>595</v>
      </c>
      <c r="H222" s="452" t="s">
        <v>1983</v>
      </c>
      <c r="I222" s="455" t="s">
        <v>2534</v>
      </c>
      <c r="J222" s="453" t="s">
        <v>1083</v>
      </c>
      <c r="K222" s="453" t="s">
        <v>2315</v>
      </c>
      <c r="L222" s="456" t="s">
        <v>1766</v>
      </c>
      <c r="M222" s="457">
        <v>46076</v>
      </c>
      <c r="N222" s="457">
        <v>46076</v>
      </c>
      <c r="O222" s="457">
        <v>46076</v>
      </c>
      <c r="P222" s="452" t="s">
        <v>214</v>
      </c>
      <c r="Q222" s="519">
        <v>4.95</v>
      </c>
      <c r="R222" s="467">
        <v>0</v>
      </c>
      <c r="S222" s="467">
        <v>0</v>
      </c>
      <c r="T222" s="115">
        <f>SUM(mFEV[[#This Row],[PRINCIPAL]:[JUROS]])</f>
        <v>4.95</v>
      </c>
      <c r="V222" s="1163" t="s">
        <v>2544</v>
      </c>
    </row>
    <row r="223" spans="2:22" ht="21" customHeight="1">
      <c r="B223" s="451" t="str">
        <f t="shared" si="3"/>
        <v>2/26</v>
      </c>
      <c r="C223" s="121" t="str">
        <f>VLOOKUP(mFEV[[#This Row],[CÓDIGO CONTABIL]],Contas_Gerencial[#All],3,FALSE)</f>
        <v>DESPESAS BANCÁRIAS</v>
      </c>
      <c r="D223" s="445" t="str">
        <f>VLOOKUP(mFEV[[#This Row],[DESCRIÇÃO CONTABIL]],Contas_Gerencial[[#All],[DESCRIÇÃO DA CONTA - NÃO UTILIZAR]:[Código2]],2,FALSE)</f>
        <v>20.01.007</v>
      </c>
      <c r="E223" s="452" t="s">
        <v>2657</v>
      </c>
      <c r="F223" s="452" t="s">
        <v>41</v>
      </c>
      <c r="G223" s="452" t="s">
        <v>595</v>
      </c>
      <c r="H223" s="452" t="s">
        <v>1983</v>
      </c>
      <c r="I223" s="455" t="s">
        <v>2535</v>
      </c>
      <c r="J223" s="453" t="s">
        <v>1083</v>
      </c>
      <c r="K223" s="453" t="s">
        <v>2319</v>
      </c>
      <c r="L223" s="456" t="s">
        <v>1766</v>
      </c>
      <c r="M223" s="457">
        <v>46078</v>
      </c>
      <c r="N223" s="457">
        <v>46078</v>
      </c>
      <c r="O223" s="457">
        <v>46078</v>
      </c>
      <c r="P223" s="452" t="s">
        <v>214</v>
      </c>
      <c r="Q223" s="519">
        <v>6.5</v>
      </c>
      <c r="R223" s="467">
        <v>0</v>
      </c>
      <c r="S223" s="467">
        <v>0</v>
      </c>
      <c r="T223" s="115">
        <f>SUM(mFEV[[#This Row],[PRINCIPAL]:[JUROS]])</f>
        <v>6.5</v>
      </c>
      <c r="V223" s="115" t="s">
        <v>2542</v>
      </c>
    </row>
    <row r="224" spans="2:22" ht="21" customHeight="1">
      <c r="B224" s="451" t="str">
        <f t="shared" si="3"/>
        <v>2/26</v>
      </c>
      <c r="C224" s="121" t="str">
        <f>VLOOKUP(mFEV[[#This Row],[CÓDIGO CONTABIL]],Contas_Gerencial[#All],3,FALSE)</f>
        <v>DESPESAS BANCÁRIAS</v>
      </c>
      <c r="D224" s="445" t="str">
        <f>VLOOKUP(mFEV[[#This Row],[DESCRIÇÃO CONTABIL]],Contas_Gerencial[[#All],[DESCRIÇÃO DA CONTA - NÃO UTILIZAR]:[Código2]],2,FALSE)</f>
        <v>20.01.007</v>
      </c>
      <c r="E224" s="452" t="s">
        <v>2657</v>
      </c>
      <c r="F224" s="452" t="s">
        <v>41</v>
      </c>
      <c r="G224" s="452" t="s">
        <v>595</v>
      </c>
      <c r="H224" s="452" t="s">
        <v>1983</v>
      </c>
      <c r="I224" s="455" t="s">
        <v>2536</v>
      </c>
      <c r="J224" s="453" t="s">
        <v>1083</v>
      </c>
      <c r="K224" s="453" t="s">
        <v>2319</v>
      </c>
      <c r="L224" s="456" t="s">
        <v>1766</v>
      </c>
      <c r="M224" s="457">
        <v>46078</v>
      </c>
      <c r="N224" s="457">
        <v>46078</v>
      </c>
      <c r="O224" s="457">
        <v>46078</v>
      </c>
      <c r="P224" s="452" t="s">
        <v>214</v>
      </c>
      <c r="Q224" s="519">
        <v>6.5</v>
      </c>
      <c r="R224" s="467">
        <v>0</v>
      </c>
      <c r="S224" s="467">
        <v>0</v>
      </c>
      <c r="T224" s="115">
        <f>SUM(mFEV[[#This Row],[PRINCIPAL]:[JUROS]])</f>
        <v>6.5</v>
      </c>
      <c r="V224" s="115" t="s">
        <v>2542</v>
      </c>
    </row>
    <row r="225" spans="2:22" ht="21" customHeight="1">
      <c r="B225" s="451" t="str">
        <f t="shared" si="3"/>
        <v>2/26</v>
      </c>
      <c r="C225" s="121" t="str">
        <f>VLOOKUP(mFEV[[#This Row],[CÓDIGO CONTABIL]],Contas_Gerencial[#All],3,FALSE)</f>
        <v>DESPESAS BANCÁRIAS</v>
      </c>
      <c r="D225" s="445" t="str">
        <f>VLOOKUP(mFEV[[#This Row],[DESCRIÇÃO CONTABIL]],Contas_Gerencial[[#All],[DESCRIÇÃO DA CONTA - NÃO UTILIZAR]:[Código2]],2,FALSE)</f>
        <v>20.01.025</v>
      </c>
      <c r="E225" s="453" t="s">
        <v>627</v>
      </c>
      <c r="F225" s="452" t="s">
        <v>41</v>
      </c>
      <c r="G225" s="452" t="s">
        <v>595</v>
      </c>
      <c r="H225" s="452" t="s">
        <v>1983</v>
      </c>
      <c r="I225" s="455" t="s">
        <v>2537</v>
      </c>
      <c r="J225" s="453" t="s">
        <v>1083</v>
      </c>
      <c r="K225" s="453" t="s">
        <v>2315</v>
      </c>
      <c r="L225" s="456" t="s">
        <v>1766</v>
      </c>
      <c r="M225" s="457">
        <v>46078</v>
      </c>
      <c r="N225" s="457">
        <v>46078</v>
      </c>
      <c r="O225" s="457">
        <v>46078</v>
      </c>
      <c r="P225" s="452" t="s">
        <v>214</v>
      </c>
      <c r="Q225" s="519">
        <v>10</v>
      </c>
      <c r="R225" s="467">
        <v>0</v>
      </c>
      <c r="S225" s="467">
        <v>0</v>
      </c>
      <c r="T225" s="115">
        <f>SUM(mFEV[[#This Row],[PRINCIPAL]:[JUROS]])</f>
        <v>10</v>
      </c>
      <c r="V225" s="1163" t="s">
        <v>2545</v>
      </c>
    </row>
    <row r="226" spans="2:22" ht="21" customHeight="1">
      <c r="B226" s="451" t="str">
        <f t="shared" si="3"/>
        <v>2/26</v>
      </c>
      <c r="C226" s="121" t="str">
        <f>VLOOKUP(mFEV[[#This Row],[CÓDIGO CONTABIL]],Contas_Gerencial[#All],3,FALSE)</f>
        <v>DESPESAS BANCÁRIAS</v>
      </c>
      <c r="D226" s="445" t="str">
        <f>VLOOKUP(mFEV[[#This Row],[DESCRIÇÃO CONTABIL]],Contas_Gerencial[[#All],[DESCRIÇÃO DA CONTA - NÃO UTILIZAR]:[Código2]],2,FALSE)</f>
        <v>20.01.003</v>
      </c>
      <c r="E226" s="452" t="s">
        <v>79</v>
      </c>
      <c r="F226" s="452" t="s">
        <v>41</v>
      </c>
      <c r="G226" s="452" t="s">
        <v>595</v>
      </c>
      <c r="H226" s="452" t="s">
        <v>1983</v>
      </c>
      <c r="I226" s="455" t="s">
        <v>2294</v>
      </c>
      <c r="J226" s="453" t="s">
        <v>1083</v>
      </c>
      <c r="K226" s="453" t="s">
        <v>2320</v>
      </c>
      <c r="L226" s="456" t="s">
        <v>1766</v>
      </c>
      <c r="M226" s="457">
        <v>46080</v>
      </c>
      <c r="N226" s="457">
        <v>46080</v>
      </c>
      <c r="O226" s="457">
        <v>46080</v>
      </c>
      <c r="P226" s="452" t="s">
        <v>214</v>
      </c>
      <c r="Q226" s="1084">
        <v>561.47</v>
      </c>
      <c r="R226" s="467">
        <v>0</v>
      </c>
      <c r="S226" s="467">
        <v>0</v>
      </c>
      <c r="T226" s="115">
        <f>SUM(mFEV[[#This Row],[PRINCIPAL]:[JUROS]])</f>
        <v>561.47</v>
      </c>
      <c r="V226" s="115" t="s">
        <v>2538</v>
      </c>
    </row>
    <row r="227" spans="2:22" ht="21" customHeight="1">
      <c r="B227" s="451" t="str">
        <f t="shared" si="3"/>
        <v>2/26</v>
      </c>
      <c r="C227" s="121" t="str">
        <f>VLOOKUP(mFEV[[#This Row],[CÓDIGO CONTABIL]],Contas_Gerencial[#All],3,FALSE)</f>
        <v>DESPESAS BANCÁRIAS</v>
      </c>
      <c r="D227" s="445" t="str">
        <f>VLOOKUP(mFEV[[#This Row],[DESCRIÇÃO CONTABIL]],Contas_Gerencial[[#All],[DESCRIÇÃO DA CONTA - NÃO UTILIZAR]:[Código2]],2,FALSE)</f>
        <v>20.01.034</v>
      </c>
      <c r="E227" s="452" t="s">
        <v>680</v>
      </c>
      <c r="F227" s="452" t="s">
        <v>582</v>
      </c>
      <c r="G227" s="452" t="s">
        <v>595</v>
      </c>
      <c r="H227" s="452" t="s">
        <v>1983</v>
      </c>
      <c r="I227" s="455" t="s">
        <v>2004</v>
      </c>
      <c r="J227" s="453" t="s">
        <v>1083</v>
      </c>
      <c r="K227" s="453" t="s">
        <v>2005</v>
      </c>
      <c r="L227" s="456" t="s">
        <v>2279</v>
      </c>
      <c r="M227" s="457">
        <v>45132</v>
      </c>
      <c r="N227" s="457">
        <v>46078</v>
      </c>
      <c r="O227" s="457">
        <v>46078</v>
      </c>
      <c r="P227" s="452" t="s">
        <v>214</v>
      </c>
      <c r="Q227" s="519">
        <v>4054.05</v>
      </c>
      <c r="R227" s="459">
        <v>1205.0199999999995</v>
      </c>
      <c r="S227" s="459">
        <v>0</v>
      </c>
      <c r="T227" s="115">
        <f>SUM(mFEV[[#This Row],[PRINCIPAL]:[JUROS]])</f>
        <v>5259.07</v>
      </c>
    </row>
    <row r="228" spans="2:22" ht="21" customHeight="1">
      <c r="B228" s="451" t="str">
        <f t="shared" si="3"/>
        <v>2/26</v>
      </c>
      <c r="C228" s="121" t="str">
        <f>VLOOKUP(mFEV[[#This Row],[CÓDIGO CONTABIL]],Contas_Gerencial[#All],3,FALSE)</f>
        <v>DESPESAS BANCÁRIAS</v>
      </c>
      <c r="D228" s="445" t="str">
        <f>VLOOKUP(mFEV[[#This Row],[DESCRIÇÃO CONTABIL]],Contas_Gerencial[[#All],[DESCRIÇÃO DA CONTA - NÃO UTILIZAR]:[Código2]],2,FALSE)</f>
        <v>20.01.002</v>
      </c>
      <c r="E228" s="453" t="s">
        <v>2653</v>
      </c>
      <c r="F228" s="452" t="s">
        <v>582</v>
      </c>
      <c r="G228" s="452" t="s">
        <v>595</v>
      </c>
      <c r="H228" s="452" t="s">
        <v>1983</v>
      </c>
      <c r="I228" s="455" t="s">
        <v>2296</v>
      </c>
      <c r="J228" s="453" t="s">
        <v>1083</v>
      </c>
      <c r="K228" s="453" t="s">
        <v>2314</v>
      </c>
      <c r="L228" s="456" t="s">
        <v>1766</v>
      </c>
      <c r="M228" s="457">
        <v>46055</v>
      </c>
      <c r="N228" s="457">
        <v>46055</v>
      </c>
      <c r="O228" s="457">
        <v>46055</v>
      </c>
      <c r="P228" s="452" t="s">
        <v>214</v>
      </c>
      <c r="Q228" s="519">
        <v>0.01</v>
      </c>
      <c r="R228" s="467">
        <v>0</v>
      </c>
      <c r="S228" s="467">
        <v>0</v>
      </c>
      <c r="T228" s="115">
        <f>SUM(mFEV[[#This Row],[PRINCIPAL]:[JUROS]])</f>
        <v>0.01</v>
      </c>
      <c r="V228" s="115"/>
    </row>
    <row r="229" spans="2:22" ht="21" customHeight="1">
      <c r="B229" s="451" t="str">
        <f t="shared" si="3"/>
        <v>2/26</v>
      </c>
      <c r="C229" s="121" t="str">
        <f>VLOOKUP(mFEV[[#This Row],[CÓDIGO CONTABIL]],Contas_Gerencial[#All],3,FALSE)</f>
        <v>DESPESAS BANCÁRIAS</v>
      </c>
      <c r="D229" s="445" t="str">
        <f>VLOOKUP(mFEV[[#This Row],[DESCRIÇÃO CONTABIL]],Contas_Gerencial[[#All],[DESCRIÇÃO DA CONTA - NÃO UTILIZAR]:[Código2]],2,FALSE)</f>
        <v>20.01.017</v>
      </c>
      <c r="E229" s="452" t="s">
        <v>115</v>
      </c>
      <c r="F229" s="452" t="s">
        <v>582</v>
      </c>
      <c r="G229" s="452" t="s">
        <v>595</v>
      </c>
      <c r="H229" s="452" t="s">
        <v>1983</v>
      </c>
      <c r="I229" s="455" t="s">
        <v>2573</v>
      </c>
      <c r="J229" s="453" t="s">
        <v>1083</v>
      </c>
      <c r="K229" s="453" t="s">
        <v>2333</v>
      </c>
      <c r="L229" s="456" t="s">
        <v>1766</v>
      </c>
      <c r="M229" s="457">
        <v>46058</v>
      </c>
      <c r="N229" s="457">
        <v>46058</v>
      </c>
      <c r="O229" s="457">
        <v>46058</v>
      </c>
      <c r="P229" s="452" t="s">
        <v>214</v>
      </c>
      <c r="Q229" s="519">
        <v>10.5</v>
      </c>
      <c r="R229" s="467">
        <v>0</v>
      </c>
      <c r="S229" s="467">
        <v>0</v>
      </c>
      <c r="T229" s="115">
        <f>SUM(mFEV[[#This Row],[PRINCIPAL]:[JUROS]])</f>
        <v>10.5</v>
      </c>
      <c r="V229" s="115"/>
    </row>
    <row r="230" spans="2:22" ht="21" customHeight="1">
      <c r="B230" s="451" t="str">
        <f t="shared" si="3"/>
        <v>2/26</v>
      </c>
      <c r="C230" s="121" t="str">
        <f>VLOOKUP(mFEV[[#This Row],[CÓDIGO CONTABIL]],Contas_Gerencial[#All],3,FALSE)</f>
        <v>DESPESAS BANCÁRIAS</v>
      </c>
      <c r="D230" s="445" t="str">
        <f>VLOOKUP(mFEV[[#This Row],[DESCRIÇÃO CONTABIL]],Contas_Gerencial[[#All],[DESCRIÇÃO DA CONTA - NÃO UTILIZAR]:[Código2]],2,FALSE)</f>
        <v>20.01.017</v>
      </c>
      <c r="E230" s="452" t="s">
        <v>115</v>
      </c>
      <c r="F230" s="452" t="s">
        <v>582</v>
      </c>
      <c r="G230" s="452" t="s">
        <v>595</v>
      </c>
      <c r="H230" s="452" t="s">
        <v>1983</v>
      </c>
      <c r="I230" s="455" t="s">
        <v>2574</v>
      </c>
      <c r="J230" s="453" t="s">
        <v>1083</v>
      </c>
      <c r="K230" s="453" t="s">
        <v>2333</v>
      </c>
      <c r="L230" s="456" t="s">
        <v>1766</v>
      </c>
      <c r="M230" s="457">
        <v>46058</v>
      </c>
      <c r="N230" s="457">
        <v>46058</v>
      </c>
      <c r="O230" s="457">
        <v>46058</v>
      </c>
      <c r="P230" s="452" t="s">
        <v>214</v>
      </c>
      <c r="Q230" s="519">
        <v>3.5</v>
      </c>
      <c r="R230" s="467">
        <v>0</v>
      </c>
      <c r="S230" s="467">
        <v>0</v>
      </c>
      <c r="T230" s="115">
        <f>SUM(mFEV[[#This Row],[PRINCIPAL]:[JUROS]])</f>
        <v>3.5</v>
      </c>
      <c r="V230" s="115"/>
    </row>
    <row r="231" spans="2:22" ht="21" customHeight="1">
      <c r="B231" s="451" t="str">
        <f t="shared" si="3"/>
        <v>2/26</v>
      </c>
      <c r="C231" s="121" t="str">
        <f>VLOOKUP(mFEV[[#This Row],[CÓDIGO CONTABIL]],Contas_Gerencial[#All],3,FALSE)</f>
        <v>DESPESAS BANCÁRIAS</v>
      </c>
      <c r="D231" s="445" t="str">
        <f>VLOOKUP(mFEV[[#This Row],[DESCRIÇÃO CONTABIL]],Contas_Gerencial[[#All],[DESCRIÇÃO DA CONTA - NÃO UTILIZAR]:[Código2]],2,FALSE)</f>
        <v>20.01.017</v>
      </c>
      <c r="E231" s="452" t="s">
        <v>115</v>
      </c>
      <c r="F231" s="452" t="s">
        <v>582</v>
      </c>
      <c r="G231" s="452" t="s">
        <v>595</v>
      </c>
      <c r="H231" s="452" t="s">
        <v>1983</v>
      </c>
      <c r="I231" s="455" t="s">
        <v>2575</v>
      </c>
      <c r="J231" s="453" t="s">
        <v>1083</v>
      </c>
      <c r="K231" s="453" t="s">
        <v>2333</v>
      </c>
      <c r="L231" s="456" t="s">
        <v>1766</v>
      </c>
      <c r="M231" s="457">
        <v>46058</v>
      </c>
      <c r="N231" s="457">
        <v>46058</v>
      </c>
      <c r="O231" s="457">
        <v>46058</v>
      </c>
      <c r="P231" s="452" t="s">
        <v>214</v>
      </c>
      <c r="Q231" s="519">
        <v>3.5</v>
      </c>
      <c r="R231" s="467">
        <v>0</v>
      </c>
      <c r="S231" s="467">
        <v>0</v>
      </c>
      <c r="T231" s="115">
        <f>SUM(mFEV[[#This Row],[PRINCIPAL]:[JUROS]])</f>
        <v>3.5</v>
      </c>
      <c r="V231" s="115"/>
    </row>
    <row r="232" spans="2:22" ht="21" customHeight="1">
      <c r="B232" s="451" t="str">
        <f t="shared" si="3"/>
        <v>2/26</v>
      </c>
      <c r="C232" s="121" t="str">
        <f>VLOOKUP(mFEV[[#This Row],[CÓDIGO CONTABIL]],Contas_Gerencial[#All],3,FALSE)</f>
        <v>DESPESAS BANCÁRIAS</v>
      </c>
      <c r="D232" s="445" t="str">
        <f>VLOOKUP(mFEV[[#This Row],[DESCRIÇÃO CONTABIL]],Contas_Gerencial[[#All],[DESCRIÇÃO DA CONTA - NÃO UTILIZAR]:[Código2]],2,FALSE)</f>
        <v>20.01.017</v>
      </c>
      <c r="E232" s="452" t="s">
        <v>115</v>
      </c>
      <c r="F232" s="452" t="s">
        <v>582</v>
      </c>
      <c r="G232" s="452" t="s">
        <v>595</v>
      </c>
      <c r="H232" s="452" t="s">
        <v>1983</v>
      </c>
      <c r="I232" s="455" t="s">
        <v>2576</v>
      </c>
      <c r="J232" s="453" t="s">
        <v>1083</v>
      </c>
      <c r="K232" s="453" t="s">
        <v>2333</v>
      </c>
      <c r="L232" s="456" t="s">
        <v>1766</v>
      </c>
      <c r="M232" s="457">
        <v>46058</v>
      </c>
      <c r="N232" s="457">
        <v>46058</v>
      </c>
      <c r="O232" s="457">
        <v>46058</v>
      </c>
      <c r="P232" s="452" t="s">
        <v>214</v>
      </c>
      <c r="Q232" s="519">
        <v>3.5</v>
      </c>
      <c r="R232" s="467">
        <v>0</v>
      </c>
      <c r="S232" s="467">
        <v>0</v>
      </c>
      <c r="T232" s="115">
        <f>SUM(mFEV[[#This Row],[PRINCIPAL]:[JUROS]])</f>
        <v>3.5</v>
      </c>
      <c r="V232" s="115"/>
    </row>
    <row r="233" spans="2:22" ht="21" customHeight="1">
      <c r="B233" s="451" t="str">
        <f t="shared" si="3"/>
        <v>2/26</v>
      </c>
      <c r="C233" s="121" t="str">
        <f>VLOOKUP(mFEV[[#This Row],[CÓDIGO CONTABIL]],Contas_Gerencial[#All],3,FALSE)</f>
        <v>DESPESAS BANCÁRIAS</v>
      </c>
      <c r="D233" s="445" t="str">
        <f>VLOOKUP(mFEV[[#This Row],[DESCRIÇÃO CONTABIL]],Contas_Gerencial[[#All],[DESCRIÇÃO DA CONTA - NÃO UTILIZAR]:[Código2]],2,FALSE)</f>
        <v>20.01.017</v>
      </c>
      <c r="E233" s="452" t="s">
        <v>115</v>
      </c>
      <c r="F233" s="452" t="s">
        <v>582</v>
      </c>
      <c r="G233" s="452" t="s">
        <v>595</v>
      </c>
      <c r="H233" s="452" t="s">
        <v>1983</v>
      </c>
      <c r="I233" s="455" t="s">
        <v>2577</v>
      </c>
      <c r="J233" s="453" t="s">
        <v>1083</v>
      </c>
      <c r="K233" s="453" t="s">
        <v>2333</v>
      </c>
      <c r="L233" s="456" t="s">
        <v>1766</v>
      </c>
      <c r="M233" s="457">
        <v>46059</v>
      </c>
      <c r="N233" s="457">
        <v>46059</v>
      </c>
      <c r="O233" s="457">
        <v>46059</v>
      </c>
      <c r="P233" s="452" t="s">
        <v>214</v>
      </c>
      <c r="Q233" s="519">
        <v>3.5</v>
      </c>
      <c r="R233" s="467">
        <v>0</v>
      </c>
      <c r="S233" s="467">
        <v>0</v>
      </c>
      <c r="T233" s="115">
        <f>SUM(mFEV[[#This Row],[PRINCIPAL]:[JUROS]])</f>
        <v>3.5</v>
      </c>
      <c r="V233" s="115"/>
    </row>
    <row r="234" spans="2:22" ht="21" customHeight="1">
      <c r="B234" s="451" t="str">
        <f t="shared" si="3"/>
        <v>2/26</v>
      </c>
      <c r="C234" s="121" t="str">
        <f>VLOOKUP(mFEV[[#This Row],[CÓDIGO CONTABIL]],Contas_Gerencial[#All],3,FALSE)</f>
        <v>DESPESAS BANCÁRIAS</v>
      </c>
      <c r="D234" s="445" t="str">
        <f>VLOOKUP(mFEV[[#This Row],[DESCRIÇÃO CONTABIL]],Contas_Gerencial[[#All],[DESCRIÇÃO DA CONTA - NÃO UTILIZAR]:[Código2]],2,FALSE)</f>
        <v>20.01.017</v>
      </c>
      <c r="E234" s="452" t="s">
        <v>115</v>
      </c>
      <c r="F234" s="452" t="s">
        <v>582</v>
      </c>
      <c r="G234" s="452" t="s">
        <v>595</v>
      </c>
      <c r="H234" s="452" t="s">
        <v>1983</v>
      </c>
      <c r="I234" s="455" t="s">
        <v>2578</v>
      </c>
      <c r="J234" s="453" t="s">
        <v>1083</v>
      </c>
      <c r="K234" s="453" t="s">
        <v>2333</v>
      </c>
      <c r="L234" s="456" t="s">
        <v>1766</v>
      </c>
      <c r="M234" s="457">
        <v>46059</v>
      </c>
      <c r="N234" s="457">
        <v>46059</v>
      </c>
      <c r="O234" s="457">
        <v>46059</v>
      </c>
      <c r="P234" s="452" t="s">
        <v>214</v>
      </c>
      <c r="Q234" s="519">
        <v>3.5</v>
      </c>
      <c r="R234" s="467">
        <v>0</v>
      </c>
      <c r="S234" s="467">
        <v>0</v>
      </c>
      <c r="T234" s="115">
        <f>SUM(mFEV[[#This Row],[PRINCIPAL]:[JUROS]])</f>
        <v>3.5</v>
      </c>
      <c r="V234" s="115"/>
    </row>
    <row r="235" spans="2:22" ht="21" customHeight="1">
      <c r="B235" s="451" t="str">
        <f t="shared" si="3"/>
        <v>2/26</v>
      </c>
      <c r="C235" s="121" t="str">
        <f>VLOOKUP(mFEV[[#This Row],[CÓDIGO CONTABIL]],Contas_Gerencial[#All],3,FALSE)</f>
        <v>DESPESAS BANCÁRIAS</v>
      </c>
      <c r="D235" s="445" t="str">
        <f>VLOOKUP(mFEV[[#This Row],[DESCRIÇÃO CONTABIL]],Contas_Gerencial[[#All],[DESCRIÇÃO DA CONTA - NÃO UTILIZAR]:[Código2]],2,FALSE)</f>
        <v>20.01.032</v>
      </c>
      <c r="E235" s="452" t="s">
        <v>84</v>
      </c>
      <c r="F235" s="452" t="s">
        <v>582</v>
      </c>
      <c r="G235" s="452" t="s">
        <v>595</v>
      </c>
      <c r="H235" s="452" t="s">
        <v>1983</v>
      </c>
      <c r="I235" s="455" t="s">
        <v>2579</v>
      </c>
      <c r="J235" s="453" t="s">
        <v>1083</v>
      </c>
      <c r="K235" s="453" t="s">
        <v>2318</v>
      </c>
      <c r="L235" s="456" t="s">
        <v>1766</v>
      </c>
      <c r="M235" s="457">
        <v>46063</v>
      </c>
      <c r="N235" s="457">
        <v>46063</v>
      </c>
      <c r="O235" s="457">
        <v>46063</v>
      </c>
      <c r="P235" s="452" t="s">
        <v>214</v>
      </c>
      <c r="Q235" s="519">
        <v>81.400000000000006</v>
      </c>
      <c r="R235" s="467">
        <v>0</v>
      </c>
      <c r="S235" s="467">
        <v>0</v>
      </c>
      <c r="T235" s="115">
        <f>SUM(mFEV[[#This Row],[PRINCIPAL]:[JUROS]])</f>
        <v>81.400000000000006</v>
      </c>
      <c r="V235" s="115"/>
    </row>
    <row r="236" spans="2:22" ht="21" customHeight="1">
      <c r="B236" s="451" t="str">
        <f t="shared" si="3"/>
        <v>2/26</v>
      </c>
      <c r="C236" s="121" t="str">
        <f>VLOOKUP(mFEV[[#This Row],[CÓDIGO CONTABIL]],Contas_Gerencial[#All],3,FALSE)</f>
        <v>DESPESAS BANCÁRIAS</v>
      </c>
      <c r="D236" s="445" t="str">
        <f>VLOOKUP(mFEV[[#This Row],[DESCRIÇÃO CONTABIL]],Contas_Gerencial[[#All],[DESCRIÇÃO DA CONTA - NÃO UTILIZAR]:[Código2]],2,FALSE)</f>
        <v>20.01.017</v>
      </c>
      <c r="E236" s="452" t="s">
        <v>115</v>
      </c>
      <c r="F236" s="452" t="s">
        <v>582</v>
      </c>
      <c r="G236" s="452" t="s">
        <v>595</v>
      </c>
      <c r="H236" s="452" t="s">
        <v>1983</v>
      </c>
      <c r="I236" s="455" t="s">
        <v>2580</v>
      </c>
      <c r="J236" s="453" t="s">
        <v>1083</v>
      </c>
      <c r="K236" s="453" t="s">
        <v>2333</v>
      </c>
      <c r="L236" s="456" t="s">
        <v>1766</v>
      </c>
      <c r="M236" s="457">
        <v>46072</v>
      </c>
      <c r="N236" s="457">
        <v>46072</v>
      </c>
      <c r="O236" s="457">
        <v>46072</v>
      </c>
      <c r="P236" s="452" t="s">
        <v>214</v>
      </c>
      <c r="Q236" s="519">
        <v>3.5</v>
      </c>
      <c r="R236" s="467">
        <v>0</v>
      </c>
      <c r="S236" s="467">
        <v>0</v>
      </c>
      <c r="T236" s="115">
        <f>SUM(mFEV[[#This Row],[PRINCIPAL]:[JUROS]])</f>
        <v>3.5</v>
      </c>
      <c r="V236" s="115"/>
    </row>
    <row r="237" spans="2:22" ht="21" customHeight="1">
      <c r="B237" s="451" t="str">
        <f t="shared" si="3"/>
        <v>2/26</v>
      </c>
      <c r="C237" s="121" t="str">
        <f>VLOOKUP(mFEV[[#This Row],[CÓDIGO CONTABIL]],Contas_Gerencial[#All],3,FALSE)</f>
        <v>DESPESAS BANCÁRIAS</v>
      </c>
      <c r="D237" s="445" t="str">
        <f>VLOOKUP(mFEV[[#This Row],[DESCRIÇÃO CONTABIL]],Contas_Gerencial[[#All],[DESCRIÇÃO DA CONTA - NÃO UTILIZAR]:[Código2]],2,FALSE)</f>
        <v>20.01.017</v>
      </c>
      <c r="E237" s="452" t="s">
        <v>115</v>
      </c>
      <c r="F237" s="452" t="s">
        <v>582</v>
      </c>
      <c r="G237" s="452" t="s">
        <v>595</v>
      </c>
      <c r="H237" s="452" t="s">
        <v>1983</v>
      </c>
      <c r="I237" s="455" t="s">
        <v>2581</v>
      </c>
      <c r="J237" s="453" t="s">
        <v>1083</v>
      </c>
      <c r="K237" s="453" t="s">
        <v>2333</v>
      </c>
      <c r="L237" s="456" t="s">
        <v>1766</v>
      </c>
      <c r="M237" s="457">
        <v>46073</v>
      </c>
      <c r="N237" s="457">
        <v>46073</v>
      </c>
      <c r="O237" s="457">
        <v>46073</v>
      </c>
      <c r="P237" s="452" t="s">
        <v>214</v>
      </c>
      <c r="Q237" s="519">
        <v>28</v>
      </c>
      <c r="R237" s="467">
        <v>0</v>
      </c>
      <c r="S237" s="467">
        <v>0</v>
      </c>
      <c r="T237" s="115">
        <f>SUM(mFEV[[#This Row],[PRINCIPAL]:[JUROS]])</f>
        <v>28</v>
      </c>
      <c r="V237" s="115"/>
    </row>
    <row r="238" spans="2:22" ht="21" customHeight="1">
      <c r="B238" s="451" t="str">
        <f t="shared" si="3"/>
        <v>2/26</v>
      </c>
      <c r="C238" s="121" t="str">
        <f>VLOOKUP(mFEV[[#This Row],[CÓDIGO CONTABIL]],Contas_Gerencial[#All],3,FALSE)</f>
        <v>DESPESAS BANCÁRIAS</v>
      </c>
      <c r="D238" s="445" t="str">
        <f>VLOOKUP(mFEV[[#This Row],[DESCRIÇÃO CONTABIL]],Contas_Gerencial[[#All],[DESCRIÇÃO DA CONTA - NÃO UTILIZAR]:[Código2]],2,FALSE)</f>
        <v>20.01.017</v>
      </c>
      <c r="E238" s="452" t="s">
        <v>115</v>
      </c>
      <c r="F238" s="452" t="s">
        <v>582</v>
      </c>
      <c r="G238" s="452" t="s">
        <v>595</v>
      </c>
      <c r="H238" s="452" t="s">
        <v>1983</v>
      </c>
      <c r="I238" s="455" t="s">
        <v>2582</v>
      </c>
      <c r="J238" s="453" t="s">
        <v>1083</v>
      </c>
      <c r="K238" s="453" t="s">
        <v>2333</v>
      </c>
      <c r="L238" s="456" t="s">
        <v>1766</v>
      </c>
      <c r="M238" s="457">
        <v>46073</v>
      </c>
      <c r="N238" s="457">
        <v>46073</v>
      </c>
      <c r="O238" s="457">
        <v>46073</v>
      </c>
      <c r="P238" s="452" t="s">
        <v>214</v>
      </c>
      <c r="Q238" s="519">
        <v>28</v>
      </c>
      <c r="R238" s="467">
        <v>0</v>
      </c>
      <c r="S238" s="467">
        <v>0</v>
      </c>
      <c r="T238" s="115">
        <f>SUM(mFEV[[#This Row],[PRINCIPAL]:[JUROS]])</f>
        <v>28</v>
      </c>
      <c r="V238" s="115"/>
    </row>
    <row r="239" spans="2:22" ht="21" customHeight="1">
      <c r="B239" s="451" t="str">
        <f t="shared" si="3"/>
        <v>2/26</v>
      </c>
      <c r="C239" s="121" t="str">
        <f>VLOOKUP(mFEV[[#This Row],[CÓDIGO CONTABIL]],Contas_Gerencial[#All],3,FALSE)</f>
        <v>DESPESAS BANCÁRIAS</v>
      </c>
      <c r="D239" s="445" t="str">
        <f>VLOOKUP(mFEV[[#This Row],[DESCRIÇÃO CONTABIL]],Contas_Gerencial[[#All],[DESCRIÇÃO DA CONTA - NÃO UTILIZAR]:[Código2]],2,FALSE)</f>
        <v>20.01.017</v>
      </c>
      <c r="E239" s="452" t="s">
        <v>115</v>
      </c>
      <c r="F239" s="452" t="s">
        <v>582</v>
      </c>
      <c r="G239" s="452" t="s">
        <v>595</v>
      </c>
      <c r="H239" s="452" t="s">
        <v>1983</v>
      </c>
      <c r="I239" s="455" t="s">
        <v>2583</v>
      </c>
      <c r="J239" s="453" t="s">
        <v>1083</v>
      </c>
      <c r="K239" s="453" t="s">
        <v>2333</v>
      </c>
      <c r="L239" s="456" t="s">
        <v>1766</v>
      </c>
      <c r="M239" s="457">
        <v>46073</v>
      </c>
      <c r="N239" s="457">
        <v>46073</v>
      </c>
      <c r="O239" s="457">
        <v>46073</v>
      </c>
      <c r="P239" s="452" t="s">
        <v>214</v>
      </c>
      <c r="Q239" s="519">
        <v>28</v>
      </c>
      <c r="R239" s="467">
        <v>0</v>
      </c>
      <c r="S239" s="467">
        <v>0</v>
      </c>
      <c r="T239" s="115">
        <f>SUM(mFEV[[#This Row],[PRINCIPAL]:[JUROS]])</f>
        <v>28</v>
      </c>
      <c r="V239" s="115"/>
    </row>
    <row r="240" spans="2:22" ht="21" customHeight="1">
      <c r="B240" s="451" t="str">
        <f t="shared" si="3"/>
        <v>2/26</v>
      </c>
      <c r="C240" s="121" t="str">
        <f>VLOOKUP(mFEV[[#This Row],[CÓDIGO CONTABIL]],Contas_Gerencial[#All],3,FALSE)</f>
        <v>DESPESAS BANCÁRIAS</v>
      </c>
      <c r="D240" s="445" t="str">
        <f>VLOOKUP(mFEV[[#This Row],[DESCRIÇÃO CONTABIL]],Contas_Gerencial[[#All],[DESCRIÇÃO DA CONTA - NÃO UTILIZAR]:[Código2]],2,FALSE)</f>
        <v>20.01.025</v>
      </c>
      <c r="E240" s="453" t="s">
        <v>627</v>
      </c>
      <c r="F240" s="452" t="s">
        <v>582</v>
      </c>
      <c r="G240" s="452" t="s">
        <v>595</v>
      </c>
      <c r="H240" s="452" t="s">
        <v>1983</v>
      </c>
      <c r="I240" s="455" t="s">
        <v>2584</v>
      </c>
      <c r="J240" s="453" t="s">
        <v>1083</v>
      </c>
      <c r="K240" s="453" t="s">
        <v>2315</v>
      </c>
      <c r="L240" s="456" t="s">
        <v>1766</v>
      </c>
      <c r="M240" s="457">
        <v>46078</v>
      </c>
      <c r="N240" s="457">
        <v>46078</v>
      </c>
      <c r="O240" s="457">
        <v>46078</v>
      </c>
      <c r="P240" s="452" t="s">
        <v>214</v>
      </c>
      <c r="Q240" s="519">
        <v>4.95</v>
      </c>
      <c r="R240" s="467">
        <v>0</v>
      </c>
      <c r="S240" s="467">
        <v>0</v>
      </c>
      <c r="T240" s="115">
        <f>SUM(mFEV[[#This Row],[PRINCIPAL]:[JUROS]])</f>
        <v>4.95</v>
      </c>
      <c r="V240" s="115"/>
    </row>
    <row r="241" spans="2:22" ht="21" customHeight="1">
      <c r="B241" s="451" t="str">
        <f t="shared" si="3"/>
        <v>2/26</v>
      </c>
      <c r="C241" s="121" t="str">
        <f>VLOOKUP(mFEV[[#This Row],[CÓDIGO CONTABIL]],Contas_Gerencial[#All],3,FALSE)</f>
        <v>DESPESAS BANCÁRIAS</v>
      </c>
      <c r="D241" s="445" t="str">
        <f>VLOOKUP(mFEV[[#This Row],[DESCRIÇÃO CONTABIL]],Contas_Gerencial[[#All],[DESCRIÇÃO DA CONTA - NÃO UTILIZAR]:[Código2]],2,FALSE)</f>
        <v>20.01.006</v>
      </c>
      <c r="E241" s="452" t="s">
        <v>2656</v>
      </c>
      <c r="F241" s="452" t="s">
        <v>582</v>
      </c>
      <c r="G241" s="452" t="s">
        <v>595</v>
      </c>
      <c r="H241" s="452" t="s">
        <v>1983</v>
      </c>
      <c r="I241" s="455" t="s">
        <v>2585</v>
      </c>
      <c r="J241" s="453" t="s">
        <v>1083</v>
      </c>
      <c r="K241" s="453" t="s">
        <v>2587</v>
      </c>
      <c r="L241" s="456" t="s">
        <v>1766</v>
      </c>
      <c r="M241" s="457">
        <v>46079</v>
      </c>
      <c r="N241" s="457">
        <v>46079</v>
      </c>
      <c r="O241" s="457">
        <v>46079</v>
      </c>
      <c r="P241" s="452" t="s">
        <v>214</v>
      </c>
      <c r="Q241" s="519">
        <v>61.98</v>
      </c>
      <c r="R241" s="467">
        <v>0</v>
      </c>
      <c r="S241" s="467">
        <v>0</v>
      </c>
      <c r="T241" s="115">
        <f>SUM(mFEV[[#This Row],[PRINCIPAL]:[JUROS]])</f>
        <v>61.98</v>
      </c>
      <c r="V241" s="115"/>
    </row>
    <row r="242" spans="2:22" ht="21" customHeight="1">
      <c r="B242" s="451" t="str">
        <f t="shared" si="3"/>
        <v>2/26</v>
      </c>
      <c r="C242" s="121" t="str">
        <f>VLOOKUP(mFEV[[#This Row],[CÓDIGO CONTABIL]],Contas_Gerencial[#All],3,FALSE)</f>
        <v>DESPESAS BANCÁRIAS</v>
      </c>
      <c r="D242" s="445" t="str">
        <f>VLOOKUP(mFEV[[#This Row],[DESCRIÇÃO CONTABIL]],Contas_Gerencial[[#All],[DESCRIÇÃO DA CONTA - NÃO UTILIZAR]:[Código2]],2,FALSE)</f>
        <v>20.01.017</v>
      </c>
      <c r="E242" s="452" t="s">
        <v>115</v>
      </c>
      <c r="F242" s="452" t="s">
        <v>582</v>
      </c>
      <c r="G242" s="452" t="s">
        <v>595</v>
      </c>
      <c r="H242" s="452" t="s">
        <v>1983</v>
      </c>
      <c r="I242" s="455" t="s">
        <v>2586</v>
      </c>
      <c r="J242" s="453" t="s">
        <v>1083</v>
      </c>
      <c r="K242" s="453" t="s">
        <v>2333</v>
      </c>
      <c r="L242" s="456" t="s">
        <v>1766</v>
      </c>
      <c r="M242" s="457">
        <v>46080</v>
      </c>
      <c r="N242" s="457">
        <v>46080</v>
      </c>
      <c r="O242" s="457">
        <v>46080</v>
      </c>
      <c r="P242" s="452" t="s">
        <v>214</v>
      </c>
      <c r="Q242" s="519">
        <v>3.5</v>
      </c>
      <c r="R242" s="467">
        <v>0</v>
      </c>
      <c r="S242" s="467">
        <v>0</v>
      </c>
      <c r="T242" s="115">
        <f>SUM(mFEV[[#This Row],[PRINCIPAL]:[JUROS]])</f>
        <v>3.5</v>
      </c>
      <c r="V242" s="115"/>
    </row>
    <row r="243" spans="2:22" ht="21" customHeight="1">
      <c r="B243" s="451" t="str">
        <f t="shared" si="3"/>
        <v>2/26</v>
      </c>
      <c r="C243" s="121" t="str">
        <f>VLOOKUP(mFEV[[#This Row],[CÓDIGO CONTABIL]],Contas_Gerencial[#All],3,FALSE)</f>
        <v>DESPESAS BANCÁRIAS</v>
      </c>
      <c r="D243" s="445" t="str">
        <f>VLOOKUP(mFEV[[#This Row],[DESCRIÇÃO CONTABIL]],Contas_Gerencial[[#All],[DESCRIÇÃO DA CONTA - NÃO UTILIZAR]:[Código2]],2,FALSE)</f>
        <v>20.01.003</v>
      </c>
      <c r="E243" s="452" t="s">
        <v>79</v>
      </c>
      <c r="F243" s="452" t="s">
        <v>582</v>
      </c>
      <c r="G243" s="452" t="s">
        <v>595</v>
      </c>
      <c r="H243" s="452" t="s">
        <v>1983</v>
      </c>
      <c r="I243" s="455" t="s">
        <v>2324</v>
      </c>
      <c r="J243" s="453" t="s">
        <v>1083</v>
      </c>
      <c r="K243" s="453" t="s">
        <v>2320</v>
      </c>
      <c r="L243" s="456" t="s">
        <v>1766</v>
      </c>
      <c r="M243" s="457">
        <v>46080</v>
      </c>
      <c r="N243" s="457">
        <v>46080</v>
      </c>
      <c r="O243" s="457">
        <v>46080</v>
      </c>
      <c r="P243" s="452" t="s">
        <v>214</v>
      </c>
      <c r="Q243" s="519">
        <v>34.090000000000003</v>
      </c>
      <c r="R243" s="467">
        <v>0</v>
      </c>
      <c r="S243" s="467">
        <v>0</v>
      </c>
      <c r="T243" s="115">
        <f>SUM(mFEV[[#This Row],[PRINCIPAL]:[JUROS]])</f>
        <v>34.090000000000003</v>
      </c>
      <c r="V243" s="115"/>
    </row>
    <row r="244" spans="2:22" ht="21" customHeight="1">
      <c r="B244" s="451" t="str">
        <f t="shared" si="3"/>
        <v>2/26</v>
      </c>
      <c r="C244" s="121" t="str">
        <f>VLOOKUP(mFEV[[#This Row],[CÓDIGO CONTABIL]],Contas_Gerencial[#All],3,FALSE)</f>
        <v>DESPESAS BANCÁRIAS</v>
      </c>
      <c r="D244" s="445" t="str">
        <f>VLOOKUP(mFEV[[#This Row],[DESCRIÇÃO CONTABIL]],Contas_Gerencial[[#All],[DESCRIÇÃO DA CONTA - NÃO UTILIZAR]:[Código2]],2,FALSE)</f>
        <v>20.01.034</v>
      </c>
      <c r="E244" s="711" t="s">
        <v>680</v>
      </c>
      <c r="F244" s="711" t="s">
        <v>581</v>
      </c>
      <c r="G244" s="718" t="s">
        <v>595</v>
      </c>
      <c r="H244" s="711" t="s">
        <v>1983</v>
      </c>
      <c r="I244" s="728" t="s">
        <v>2066</v>
      </c>
      <c r="J244" s="711" t="s">
        <v>1083</v>
      </c>
      <c r="K244" s="711" t="s">
        <v>2006</v>
      </c>
      <c r="L244" s="736" t="s">
        <v>2280</v>
      </c>
      <c r="M244" s="457">
        <v>45602</v>
      </c>
      <c r="N244" s="457">
        <v>46059</v>
      </c>
      <c r="O244" s="715">
        <v>46059</v>
      </c>
      <c r="P244" s="453" t="s">
        <v>214</v>
      </c>
      <c r="Q244" s="730">
        <v>4054.2</v>
      </c>
      <c r="R244" s="730">
        <v>2532.1000000000004</v>
      </c>
      <c r="S244" s="730">
        <v>0</v>
      </c>
      <c r="T244" s="1164">
        <f>SUM(mFEV[[#This Row],[PRINCIPAL]:[JUROS]])</f>
        <v>6586.3</v>
      </c>
      <c r="V244" s="115"/>
    </row>
    <row r="245" spans="2:22" ht="21" customHeight="1">
      <c r="B245" s="451" t="str">
        <f t="shared" si="3"/>
        <v>2/26</v>
      </c>
      <c r="C245" s="121" t="str">
        <f>VLOOKUP(mFEV[[#This Row],[CÓDIGO CONTABIL]],Contas_Gerencial[#All],3,FALSE)</f>
        <v>DESPESAS BANCÁRIAS</v>
      </c>
      <c r="D245" s="445" t="str">
        <f>VLOOKUP(mFEV[[#This Row],[DESCRIÇÃO CONTABIL]],Contas_Gerencial[[#All],[DESCRIÇÃO DA CONTA - NÃO UTILIZAR]:[Código2]],2,FALSE)</f>
        <v>20.01.002</v>
      </c>
      <c r="E245" s="453" t="s">
        <v>2653</v>
      </c>
      <c r="F245" s="453" t="s">
        <v>581</v>
      </c>
      <c r="G245" s="453" t="s">
        <v>595</v>
      </c>
      <c r="H245" s="453" t="s">
        <v>1983</v>
      </c>
      <c r="I245" s="455" t="s">
        <v>2296</v>
      </c>
      <c r="J245" s="453" t="s">
        <v>1083</v>
      </c>
      <c r="K245" s="453" t="s">
        <v>2314</v>
      </c>
      <c r="L245" s="456" t="s">
        <v>1766</v>
      </c>
      <c r="M245" s="457">
        <v>46055</v>
      </c>
      <c r="N245" s="457">
        <v>46055</v>
      </c>
      <c r="O245" s="457">
        <v>46055</v>
      </c>
      <c r="P245" s="453" t="s">
        <v>214</v>
      </c>
      <c r="Q245" s="519">
        <v>2.0299999999999998</v>
      </c>
      <c r="R245" s="467">
        <v>0</v>
      </c>
      <c r="S245" s="467">
        <v>0</v>
      </c>
      <c r="T245" s="115">
        <f>SUM(mFEV[[#This Row],[PRINCIPAL]:[JUROS]])</f>
        <v>2.0299999999999998</v>
      </c>
      <c r="V245" s="115" t="s">
        <v>2541</v>
      </c>
    </row>
    <row r="246" spans="2:22" ht="21" customHeight="1">
      <c r="B246" s="451" t="str">
        <f t="shared" si="3"/>
        <v>2/26</v>
      </c>
      <c r="C246" s="121" t="str">
        <f>VLOOKUP(mFEV[[#This Row],[CÓDIGO CONTABIL]],Contas_Gerencial[#All],3,FALSE)</f>
        <v>DESPESAS BANCÁRIAS</v>
      </c>
      <c r="D246" s="445" t="str">
        <f>VLOOKUP(mFEV[[#This Row],[DESCRIÇÃO CONTABIL]],Contas_Gerencial[[#All],[DESCRIÇÃO DA CONTA - NÃO UTILIZAR]:[Código2]],2,FALSE)</f>
        <v>20.01.017</v>
      </c>
      <c r="E246" s="454" t="s">
        <v>115</v>
      </c>
      <c r="F246" s="453" t="s">
        <v>581</v>
      </c>
      <c r="G246" s="453" t="s">
        <v>595</v>
      </c>
      <c r="H246" s="453" t="s">
        <v>1983</v>
      </c>
      <c r="I246" s="455" t="s">
        <v>2546</v>
      </c>
      <c r="J246" s="453" t="s">
        <v>1083</v>
      </c>
      <c r="K246" s="453" t="s">
        <v>2333</v>
      </c>
      <c r="L246" s="456" t="s">
        <v>1766</v>
      </c>
      <c r="M246" s="457">
        <v>46057</v>
      </c>
      <c r="N246" s="457">
        <v>46057</v>
      </c>
      <c r="O246" s="457">
        <v>46057</v>
      </c>
      <c r="P246" s="453" t="s">
        <v>214</v>
      </c>
      <c r="Q246" s="519">
        <v>3.5</v>
      </c>
      <c r="R246" s="467">
        <v>0</v>
      </c>
      <c r="S246" s="467">
        <v>0</v>
      </c>
      <c r="T246" s="115">
        <f>SUM(mFEV[[#This Row],[PRINCIPAL]:[JUROS]])</f>
        <v>3.5</v>
      </c>
      <c r="V246" s="115" t="s">
        <v>2567</v>
      </c>
    </row>
    <row r="247" spans="2:22" ht="21" customHeight="1">
      <c r="B247" s="451" t="str">
        <f t="shared" si="3"/>
        <v>2/26</v>
      </c>
      <c r="C247" s="121" t="str">
        <f>VLOOKUP(mFEV[[#This Row],[CÓDIGO CONTABIL]],Contas_Gerencial[#All],3,FALSE)</f>
        <v>DESPESAS BANCÁRIAS</v>
      </c>
      <c r="D247" s="445" t="str">
        <f>VLOOKUP(mFEV[[#This Row],[DESCRIÇÃO CONTABIL]],Contas_Gerencial[[#All],[DESCRIÇÃO DA CONTA - NÃO UTILIZAR]:[Código2]],2,FALSE)</f>
        <v>20.01.017</v>
      </c>
      <c r="E247" s="454" t="s">
        <v>115</v>
      </c>
      <c r="F247" s="453" t="s">
        <v>581</v>
      </c>
      <c r="G247" s="453" t="s">
        <v>595</v>
      </c>
      <c r="H247" s="453" t="s">
        <v>1983</v>
      </c>
      <c r="I247" s="455" t="s">
        <v>2547</v>
      </c>
      <c r="J247" s="453" t="s">
        <v>1083</v>
      </c>
      <c r="K247" s="453" t="s">
        <v>2333</v>
      </c>
      <c r="L247" s="456" t="s">
        <v>1766</v>
      </c>
      <c r="M247" s="457">
        <v>46057</v>
      </c>
      <c r="N247" s="457">
        <v>46057</v>
      </c>
      <c r="O247" s="457">
        <v>46057</v>
      </c>
      <c r="P247" s="453" t="s">
        <v>214</v>
      </c>
      <c r="Q247" s="519">
        <v>3.5</v>
      </c>
      <c r="R247" s="467">
        <v>0</v>
      </c>
      <c r="S247" s="467">
        <v>0</v>
      </c>
      <c r="T247" s="115">
        <f>SUM(mFEV[[#This Row],[PRINCIPAL]:[JUROS]])</f>
        <v>3.5</v>
      </c>
      <c r="V247" s="115" t="s">
        <v>2567</v>
      </c>
    </row>
    <row r="248" spans="2:22" ht="21" customHeight="1">
      <c r="B248" s="451" t="str">
        <f t="shared" si="3"/>
        <v>2/26</v>
      </c>
      <c r="C248" s="121" t="str">
        <f>VLOOKUP(mFEV[[#This Row],[CÓDIGO CONTABIL]],Contas_Gerencial[#All],3,FALSE)</f>
        <v>DESPESAS BANCÁRIAS</v>
      </c>
      <c r="D248" s="445" t="str">
        <f>VLOOKUP(mFEV[[#This Row],[DESCRIÇÃO CONTABIL]],Contas_Gerencial[[#All],[DESCRIÇÃO DA CONTA - NÃO UTILIZAR]:[Código2]],2,FALSE)</f>
        <v>20.01.017</v>
      </c>
      <c r="E248" s="454" t="s">
        <v>115</v>
      </c>
      <c r="F248" s="453" t="s">
        <v>581</v>
      </c>
      <c r="G248" s="453" t="s">
        <v>595</v>
      </c>
      <c r="H248" s="453" t="s">
        <v>1983</v>
      </c>
      <c r="I248" s="455" t="s">
        <v>2548</v>
      </c>
      <c r="J248" s="453" t="s">
        <v>1083</v>
      </c>
      <c r="K248" s="453" t="s">
        <v>2333</v>
      </c>
      <c r="L248" s="456" t="s">
        <v>1766</v>
      </c>
      <c r="M248" s="457">
        <v>46057</v>
      </c>
      <c r="N248" s="457">
        <v>46057</v>
      </c>
      <c r="O248" s="457">
        <v>46057</v>
      </c>
      <c r="P248" s="453" t="s">
        <v>214</v>
      </c>
      <c r="Q248" s="519">
        <v>3.5</v>
      </c>
      <c r="R248" s="467">
        <v>0</v>
      </c>
      <c r="S248" s="467">
        <v>0</v>
      </c>
      <c r="T248" s="115">
        <f>SUM(mFEV[[#This Row],[PRINCIPAL]:[JUROS]])</f>
        <v>3.5</v>
      </c>
      <c r="V248" s="115" t="s">
        <v>2567</v>
      </c>
    </row>
    <row r="249" spans="2:22" ht="21" customHeight="1">
      <c r="B249" s="451" t="str">
        <f t="shared" si="3"/>
        <v>2/26</v>
      </c>
      <c r="C249" s="121" t="str">
        <f>VLOOKUP(mFEV[[#This Row],[CÓDIGO CONTABIL]],Contas_Gerencial[#All],3,FALSE)</f>
        <v>DESPESAS BANCÁRIAS</v>
      </c>
      <c r="D249" s="445" t="str">
        <f>VLOOKUP(mFEV[[#This Row],[DESCRIÇÃO CONTABIL]],Contas_Gerencial[[#All],[DESCRIÇÃO DA CONTA - NÃO UTILIZAR]:[Código2]],2,FALSE)</f>
        <v>20.01.017</v>
      </c>
      <c r="E249" s="454" t="s">
        <v>115</v>
      </c>
      <c r="F249" s="453" t="s">
        <v>581</v>
      </c>
      <c r="G249" s="453" t="s">
        <v>595</v>
      </c>
      <c r="H249" s="453" t="s">
        <v>1983</v>
      </c>
      <c r="I249" s="455" t="s">
        <v>2549</v>
      </c>
      <c r="J249" s="453" t="s">
        <v>1083</v>
      </c>
      <c r="K249" s="453" t="s">
        <v>2333</v>
      </c>
      <c r="L249" s="456" t="s">
        <v>1766</v>
      </c>
      <c r="M249" s="457">
        <v>46057</v>
      </c>
      <c r="N249" s="457">
        <v>46057</v>
      </c>
      <c r="O249" s="457">
        <v>46057</v>
      </c>
      <c r="P249" s="453" t="s">
        <v>214</v>
      </c>
      <c r="Q249" s="519">
        <v>7</v>
      </c>
      <c r="R249" s="467">
        <v>0</v>
      </c>
      <c r="S249" s="467">
        <v>0</v>
      </c>
      <c r="T249" s="115">
        <f>SUM(mFEV[[#This Row],[PRINCIPAL]:[JUROS]])</f>
        <v>7</v>
      </c>
      <c r="V249" s="115" t="s">
        <v>2567</v>
      </c>
    </row>
    <row r="250" spans="2:22" ht="21" customHeight="1">
      <c r="B250" s="451" t="str">
        <f t="shared" si="3"/>
        <v>2/26</v>
      </c>
      <c r="C250" s="121" t="str">
        <f>VLOOKUP(mFEV[[#This Row],[CÓDIGO CONTABIL]],Contas_Gerencial[#All],3,FALSE)</f>
        <v>DESPESAS BANCÁRIAS</v>
      </c>
      <c r="D250" s="445" t="str">
        <f>VLOOKUP(mFEV[[#This Row],[DESCRIÇÃO CONTABIL]],Contas_Gerencial[[#All],[DESCRIÇÃO DA CONTA - NÃO UTILIZAR]:[Código2]],2,FALSE)</f>
        <v>20.01.017</v>
      </c>
      <c r="E250" s="454" t="s">
        <v>115</v>
      </c>
      <c r="F250" s="453" t="s">
        <v>581</v>
      </c>
      <c r="G250" s="453" t="s">
        <v>595</v>
      </c>
      <c r="H250" s="453" t="s">
        <v>1983</v>
      </c>
      <c r="I250" s="455" t="s">
        <v>2550</v>
      </c>
      <c r="J250" s="453" t="s">
        <v>1083</v>
      </c>
      <c r="K250" s="453" t="s">
        <v>2333</v>
      </c>
      <c r="L250" s="456" t="s">
        <v>1766</v>
      </c>
      <c r="M250" s="457">
        <v>46057</v>
      </c>
      <c r="N250" s="457">
        <v>46057</v>
      </c>
      <c r="O250" s="457">
        <v>46057</v>
      </c>
      <c r="P250" s="453" t="s">
        <v>214</v>
      </c>
      <c r="Q250" s="519">
        <v>3.5</v>
      </c>
      <c r="R250" s="467">
        <v>0</v>
      </c>
      <c r="S250" s="467">
        <v>0</v>
      </c>
      <c r="T250" s="115">
        <f>SUM(mFEV[[#This Row],[PRINCIPAL]:[JUROS]])</f>
        <v>3.5</v>
      </c>
      <c r="V250" s="115" t="s">
        <v>2567</v>
      </c>
    </row>
    <row r="251" spans="2:22" ht="21" customHeight="1">
      <c r="B251" s="451" t="str">
        <f t="shared" si="3"/>
        <v>2/26</v>
      </c>
      <c r="C251" s="121" t="str">
        <f>VLOOKUP(mFEV[[#This Row],[CÓDIGO CONTABIL]],Contas_Gerencial[#All],3,FALSE)</f>
        <v>DESPESAS BANCÁRIAS</v>
      </c>
      <c r="D251" s="445" t="str">
        <f>VLOOKUP(mFEV[[#This Row],[DESCRIÇÃO CONTABIL]],Contas_Gerencial[[#All],[DESCRIÇÃO DA CONTA - NÃO UTILIZAR]:[Código2]],2,FALSE)</f>
        <v>20.01.017</v>
      </c>
      <c r="E251" s="454" t="s">
        <v>115</v>
      </c>
      <c r="F251" s="453" t="s">
        <v>581</v>
      </c>
      <c r="G251" s="453" t="s">
        <v>595</v>
      </c>
      <c r="H251" s="453" t="s">
        <v>1983</v>
      </c>
      <c r="I251" s="455" t="s">
        <v>2551</v>
      </c>
      <c r="J251" s="453" t="s">
        <v>1083</v>
      </c>
      <c r="K251" s="453" t="s">
        <v>2333</v>
      </c>
      <c r="L251" s="456" t="s">
        <v>1766</v>
      </c>
      <c r="M251" s="457">
        <v>46057</v>
      </c>
      <c r="N251" s="457">
        <v>46057</v>
      </c>
      <c r="O251" s="457">
        <v>46057</v>
      </c>
      <c r="P251" s="453" t="s">
        <v>214</v>
      </c>
      <c r="Q251" s="519">
        <v>14</v>
      </c>
      <c r="R251" s="467">
        <v>0</v>
      </c>
      <c r="S251" s="467">
        <v>0</v>
      </c>
      <c r="T251" s="115">
        <f>SUM(mFEV[[#This Row],[PRINCIPAL]:[JUROS]])</f>
        <v>14</v>
      </c>
      <c r="V251" s="115" t="s">
        <v>2567</v>
      </c>
    </row>
    <row r="252" spans="2:22" ht="21" customHeight="1">
      <c r="B252" s="451" t="str">
        <f t="shared" si="3"/>
        <v>2/26</v>
      </c>
      <c r="C252" s="121" t="str">
        <f>VLOOKUP(mFEV[[#This Row],[CÓDIGO CONTABIL]],Contas_Gerencial[#All],3,FALSE)</f>
        <v>DESPESAS BANCÁRIAS</v>
      </c>
      <c r="D252" s="445" t="str">
        <f>VLOOKUP(mFEV[[#This Row],[DESCRIÇÃO CONTABIL]],Contas_Gerencial[[#All],[DESCRIÇÃO DA CONTA - NÃO UTILIZAR]:[Código2]],2,FALSE)</f>
        <v>20.01.017</v>
      </c>
      <c r="E252" s="454" t="s">
        <v>115</v>
      </c>
      <c r="F252" s="453" t="s">
        <v>581</v>
      </c>
      <c r="G252" s="453" t="s">
        <v>595</v>
      </c>
      <c r="H252" s="453" t="s">
        <v>1983</v>
      </c>
      <c r="I252" s="455" t="s">
        <v>2552</v>
      </c>
      <c r="J252" s="453" t="s">
        <v>1083</v>
      </c>
      <c r="K252" s="453" t="s">
        <v>2333</v>
      </c>
      <c r="L252" s="456" t="s">
        <v>1766</v>
      </c>
      <c r="M252" s="457">
        <v>46057</v>
      </c>
      <c r="N252" s="457">
        <v>46057</v>
      </c>
      <c r="O252" s="457">
        <v>46057</v>
      </c>
      <c r="P252" s="453" t="s">
        <v>214</v>
      </c>
      <c r="Q252" s="519">
        <v>3.5</v>
      </c>
      <c r="R252" s="467">
        <v>0</v>
      </c>
      <c r="S252" s="467">
        <v>0</v>
      </c>
      <c r="T252" s="115">
        <f>SUM(mFEV[[#This Row],[PRINCIPAL]:[JUROS]])</f>
        <v>3.5</v>
      </c>
      <c r="V252" s="115" t="s">
        <v>2567</v>
      </c>
    </row>
    <row r="253" spans="2:22" ht="21" customHeight="1">
      <c r="B253" s="451" t="str">
        <f t="shared" si="3"/>
        <v>2/26</v>
      </c>
      <c r="C253" s="121" t="str">
        <f>VLOOKUP(mFEV[[#This Row],[CÓDIGO CONTABIL]],Contas_Gerencial[#All],3,FALSE)</f>
        <v>DESPESAS BANCÁRIAS</v>
      </c>
      <c r="D253" s="445" t="str">
        <f>VLOOKUP(mFEV[[#This Row],[DESCRIÇÃO CONTABIL]],Contas_Gerencial[[#All],[DESCRIÇÃO DA CONTA - NÃO UTILIZAR]:[Código2]],2,FALSE)</f>
        <v>20.01.017</v>
      </c>
      <c r="E253" s="454" t="s">
        <v>115</v>
      </c>
      <c r="F253" s="453" t="s">
        <v>581</v>
      </c>
      <c r="G253" s="453" t="s">
        <v>595</v>
      </c>
      <c r="H253" s="453" t="s">
        <v>1983</v>
      </c>
      <c r="I253" s="455" t="s">
        <v>2553</v>
      </c>
      <c r="J253" s="453" t="s">
        <v>1083</v>
      </c>
      <c r="K253" s="453" t="s">
        <v>2333</v>
      </c>
      <c r="L253" s="456" t="s">
        <v>1766</v>
      </c>
      <c r="M253" s="457">
        <v>46058</v>
      </c>
      <c r="N253" s="457">
        <v>46058</v>
      </c>
      <c r="O253" s="457">
        <v>46058</v>
      </c>
      <c r="P253" s="453" t="s">
        <v>214</v>
      </c>
      <c r="Q253" s="519">
        <v>3.5</v>
      </c>
      <c r="R253" s="467">
        <v>0</v>
      </c>
      <c r="S253" s="467">
        <v>0</v>
      </c>
      <c r="T253" s="115">
        <f>SUM(mFEV[[#This Row],[PRINCIPAL]:[JUROS]])</f>
        <v>3.5</v>
      </c>
      <c r="V253" s="115" t="s">
        <v>2568</v>
      </c>
    </row>
    <row r="254" spans="2:22" ht="21" customHeight="1">
      <c r="B254" s="451" t="str">
        <f t="shared" si="3"/>
        <v>2/26</v>
      </c>
      <c r="C254" s="121" t="str">
        <f>VLOOKUP(mFEV[[#This Row],[CÓDIGO CONTABIL]],Contas_Gerencial[#All],3,FALSE)</f>
        <v>DESPESAS BANCÁRIAS</v>
      </c>
      <c r="D254" s="445" t="str">
        <f>VLOOKUP(mFEV[[#This Row],[DESCRIÇÃO CONTABIL]],Contas_Gerencial[[#All],[DESCRIÇÃO DA CONTA - NÃO UTILIZAR]:[Código2]],2,FALSE)</f>
        <v>20.01.017</v>
      </c>
      <c r="E254" s="454" t="s">
        <v>115</v>
      </c>
      <c r="F254" s="453" t="s">
        <v>581</v>
      </c>
      <c r="G254" s="453" t="s">
        <v>595</v>
      </c>
      <c r="H254" s="453" t="s">
        <v>1983</v>
      </c>
      <c r="I254" s="455" t="s">
        <v>2554</v>
      </c>
      <c r="J254" s="453" t="s">
        <v>1083</v>
      </c>
      <c r="K254" s="453" t="s">
        <v>2333</v>
      </c>
      <c r="L254" s="456" t="s">
        <v>1766</v>
      </c>
      <c r="M254" s="457">
        <v>46058</v>
      </c>
      <c r="N254" s="457">
        <v>46058</v>
      </c>
      <c r="O254" s="457">
        <v>46058</v>
      </c>
      <c r="P254" s="453" t="s">
        <v>214</v>
      </c>
      <c r="Q254" s="519">
        <v>3.5</v>
      </c>
      <c r="R254" s="467">
        <v>0</v>
      </c>
      <c r="S254" s="467">
        <v>0</v>
      </c>
      <c r="T254" s="115">
        <f>SUM(mFEV[[#This Row],[PRINCIPAL]:[JUROS]])</f>
        <v>3.5</v>
      </c>
      <c r="V254" s="115" t="s">
        <v>2568</v>
      </c>
    </row>
    <row r="255" spans="2:22" ht="21" customHeight="1">
      <c r="B255" s="451" t="str">
        <f t="shared" si="3"/>
        <v>2/26</v>
      </c>
      <c r="C255" s="121" t="str">
        <f>VLOOKUP(mFEV[[#This Row],[CÓDIGO CONTABIL]],Contas_Gerencial[#All],3,FALSE)</f>
        <v>DESPESAS BANCÁRIAS</v>
      </c>
      <c r="D255" s="445" t="str">
        <f>VLOOKUP(mFEV[[#This Row],[DESCRIÇÃO CONTABIL]],Contas_Gerencial[[#All],[DESCRIÇÃO DA CONTA - NÃO UTILIZAR]:[Código2]],2,FALSE)</f>
        <v>20.01.017</v>
      </c>
      <c r="E255" s="454" t="s">
        <v>115</v>
      </c>
      <c r="F255" s="453" t="s">
        <v>581</v>
      </c>
      <c r="G255" s="453" t="s">
        <v>595</v>
      </c>
      <c r="H255" s="453" t="s">
        <v>1983</v>
      </c>
      <c r="I255" s="455" t="s">
        <v>2555</v>
      </c>
      <c r="J255" s="453" t="s">
        <v>1083</v>
      </c>
      <c r="K255" s="453" t="s">
        <v>2333</v>
      </c>
      <c r="L255" s="456" t="s">
        <v>1766</v>
      </c>
      <c r="M255" s="457">
        <v>46058</v>
      </c>
      <c r="N255" s="457">
        <v>46058</v>
      </c>
      <c r="O255" s="457">
        <v>46058</v>
      </c>
      <c r="P255" s="453" t="s">
        <v>214</v>
      </c>
      <c r="Q255" s="519">
        <v>7</v>
      </c>
      <c r="R255" s="467">
        <v>0</v>
      </c>
      <c r="S255" s="467">
        <v>0</v>
      </c>
      <c r="T255" s="115">
        <f>SUM(mFEV[[#This Row],[PRINCIPAL]:[JUROS]])</f>
        <v>7</v>
      </c>
      <c r="V255" s="115" t="s">
        <v>2568</v>
      </c>
    </row>
    <row r="256" spans="2:22" ht="21" customHeight="1">
      <c r="B256" s="451" t="str">
        <f t="shared" si="3"/>
        <v>2/26</v>
      </c>
      <c r="C256" s="121" t="str">
        <f>VLOOKUP(mFEV[[#This Row],[CÓDIGO CONTABIL]],Contas_Gerencial[#All],3,FALSE)</f>
        <v>DESPESAS BANCÁRIAS</v>
      </c>
      <c r="D256" s="445" t="str">
        <f>VLOOKUP(mFEV[[#This Row],[DESCRIÇÃO CONTABIL]],Contas_Gerencial[[#All],[DESCRIÇÃO DA CONTA - NÃO UTILIZAR]:[Código2]],2,FALSE)</f>
        <v>20.01.017</v>
      </c>
      <c r="E256" s="454" t="s">
        <v>115</v>
      </c>
      <c r="F256" s="453" t="s">
        <v>581</v>
      </c>
      <c r="G256" s="453" t="s">
        <v>595</v>
      </c>
      <c r="H256" s="453" t="s">
        <v>1983</v>
      </c>
      <c r="I256" s="455" t="s">
        <v>2556</v>
      </c>
      <c r="J256" s="453" t="s">
        <v>1083</v>
      </c>
      <c r="K256" s="453" t="s">
        <v>2333</v>
      </c>
      <c r="L256" s="456" t="s">
        <v>1766</v>
      </c>
      <c r="M256" s="457">
        <v>46058</v>
      </c>
      <c r="N256" s="457">
        <v>46058</v>
      </c>
      <c r="O256" s="457">
        <v>46058</v>
      </c>
      <c r="P256" s="453" t="s">
        <v>214</v>
      </c>
      <c r="Q256" s="519">
        <v>10.5</v>
      </c>
      <c r="R256" s="467">
        <v>0</v>
      </c>
      <c r="S256" s="467">
        <v>0</v>
      </c>
      <c r="T256" s="115">
        <f>SUM(mFEV[[#This Row],[PRINCIPAL]:[JUROS]])</f>
        <v>10.5</v>
      </c>
      <c r="V256" s="115" t="s">
        <v>2568</v>
      </c>
    </row>
    <row r="257" spans="2:22" ht="21" customHeight="1">
      <c r="B257" s="451" t="str">
        <f t="shared" si="3"/>
        <v>2/26</v>
      </c>
      <c r="C257" s="121" t="str">
        <f>VLOOKUP(mFEV[[#This Row],[CÓDIGO CONTABIL]],Contas_Gerencial[#All],3,FALSE)</f>
        <v>DESPESAS BANCÁRIAS</v>
      </c>
      <c r="D257" s="445" t="str">
        <f>VLOOKUP(mFEV[[#This Row],[DESCRIÇÃO CONTABIL]],Contas_Gerencial[[#All],[DESCRIÇÃO DA CONTA - NÃO UTILIZAR]:[Código2]],2,FALSE)</f>
        <v>20.01.017</v>
      </c>
      <c r="E257" s="454" t="s">
        <v>115</v>
      </c>
      <c r="F257" s="453" t="s">
        <v>581</v>
      </c>
      <c r="G257" s="453" t="s">
        <v>595</v>
      </c>
      <c r="H257" s="453" t="s">
        <v>1983</v>
      </c>
      <c r="I257" s="455" t="s">
        <v>2557</v>
      </c>
      <c r="J257" s="453" t="s">
        <v>1083</v>
      </c>
      <c r="K257" s="453" t="s">
        <v>2333</v>
      </c>
      <c r="L257" s="456" t="s">
        <v>1766</v>
      </c>
      <c r="M257" s="457">
        <v>46058</v>
      </c>
      <c r="N257" s="457">
        <v>46058</v>
      </c>
      <c r="O257" s="457">
        <v>46058</v>
      </c>
      <c r="P257" s="453" t="s">
        <v>214</v>
      </c>
      <c r="Q257" s="519">
        <v>10.5</v>
      </c>
      <c r="R257" s="467">
        <v>0</v>
      </c>
      <c r="S257" s="467">
        <v>0</v>
      </c>
      <c r="T257" s="115">
        <f>SUM(mFEV[[#This Row],[PRINCIPAL]:[JUROS]])</f>
        <v>10.5</v>
      </c>
      <c r="V257" s="115" t="s">
        <v>2568</v>
      </c>
    </row>
    <row r="258" spans="2:22" ht="21" customHeight="1">
      <c r="B258" s="451" t="str">
        <f t="shared" si="3"/>
        <v>2/26</v>
      </c>
      <c r="C258" s="121" t="str">
        <f>VLOOKUP(mFEV[[#This Row],[CÓDIGO CONTABIL]],Contas_Gerencial[#All],3,FALSE)</f>
        <v>DESPESAS BANCÁRIAS</v>
      </c>
      <c r="D258" s="445" t="str">
        <f>VLOOKUP(mFEV[[#This Row],[DESCRIÇÃO CONTABIL]],Contas_Gerencial[[#All],[DESCRIÇÃO DA CONTA - NÃO UTILIZAR]:[Código2]],2,FALSE)</f>
        <v>20.01.017</v>
      </c>
      <c r="E258" s="454" t="s">
        <v>115</v>
      </c>
      <c r="F258" s="453" t="s">
        <v>581</v>
      </c>
      <c r="G258" s="453" t="s">
        <v>595</v>
      </c>
      <c r="H258" s="453" t="s">
        <v>1983</v>
      </c>
      <c r="I258" s="455" t="s">
        <v>2558</v>
      </c>
      <c r="J258" s="453" t="s">
        <v>1083</v>
      </c>
      <c r="K258" s="453" t="s">
        <v>2333</v>
      </c>
      <c r="L258" s="456" t="s">
        <v>1766</v>
      </c>
      <c r="M258" s="457">
        <v>46058</v>
      </c>
      <c r="N258" s="457">
        <v>46058</v>
      </c>
      <c r="O258" s="457">
        <v>46058</v>
      </c>
      <c r="P258" s="453" t="s">
        <v>214</v>
      </c>
      <c r="Q258" s="519">
        <v>3.5</v>
      </c>
      <c r="R258" s="467">
        <v>0</v>
      </c>
      <c r="S258" s="467">
        <v>0</v>
      </c>
      <c r="T258" s="115">
        <f>SUM(mFEV[[#This Row],[PRINCIPAL]:[JUROS]])</f>
        <v>3.5</v>
      </c>
      <c r="V258" s="115" t="s">
        <v>2568</v>
      </c>
    </row>
    <row r="259" spans="2:22" ht="21" customHeight="1">
      <c r="B259" s="451" t="str">
        <f t="shared" si="3"/>
        <v>2/26</v>
      </c>
      <c r="C259" s="121" t="str">
        <f>VLOOKUP(mFEV[[#This Row],[CÓDIGO CONTABIL]],Contas_Gerencial[#All],3,FALSE)</f>
        <v>DESPESAS BANCÁRIAS</v>
      </c>
      <c r="D259" s="445" t="str">
        <f>VLOOKUP(mFEV[[#This Row],[DESCRIÇÃO CONTABIL]],Contas_Gerencial[[#All],[DESCRIÇÃO DA CONTA - NÃO UTILIZAR]:[Código2]],2,FALSE)</f>
        <v>20.01.017</v>
      </c>
      <c r="E259" s="454" t="s">
        <v>115</v>
      </c>
      <c r="F259" s="453" t="s">
        <v>581</v>
      </c>
      <c r="G259" s="453" t="s">
        <v>595</v>
      </c>
      <c r="H259" s="453" t="s">
        <v>1983</v>
      </c>
      <c r="I259" s="455" t="s">
        <v>2559</v>
      </c>
      <c r="J259" s="453" t="s">
        <v>1083</v>
      </c>
      <c r="K259" s="453" t="s">
        <v>2333</v>
      </c>
      <c r="L259" s="456" t="s">
        <v>1766</v>
      </c>
      <c r="M259" s="457">
        <v>46058</v>
      </c>
      <c r="N259" s="457">
        <v>46058</v>
      </c>
      <c r="O259" s="457">
        <v>46058</v>
      </c>
      <c r="P259" s="453" t="s">
        <v>214</v>
      </c>
      <c r="Q259" s="519">
        <v>3.5</v>
      </c>
      <c r="R259" s="467">
        <v>0</v>
      </c>
      <c r="S259" s="467">
        <v>0</v>
      </c>
      <c r="T259" s="115">
        <f>SUM(mFEV[[#This Row],[PRINCIPAL]:[JUROS]])</f>
        <v>3.5</v>
      </c>
      <c r="V259" s="115" t="s">
        <v>2568</v>
      </c>
    </row>
    <row r="260" spans="2:22" ht="21" customHeight="1">
      <c r="B260" s="451" t="str">
        <f t="shared" si="3"/>
        <v>2/26</v>
      </c>
      <c r="C260" s="121" t="str">
        <f>VLOOKUP(mFEV[[#This Row],[CÓDIGO CONTABIL]],Contas_Gerencial[#All],3,FALSE)</f>
        <v>DESPESAS BANCÁRIAS</v>
      </c>
      <c r="D260" s="445" t="str">
        <f>VLOOKUP(mFEV[[#This Row],[DESCRIÇÃO CONTABIL]],Contas_Gerencial[[#All],[DESCRIÇÃO DA CONTA - NÃO UTILIZAR]:[Código2]],2,FALSE)</f>
        <v>20.01.017</v>
      </c>
      <c r="E260" s="454" t="s">
        <v>115</v>
      </c>
      <c r="F260" s="453" t="s">
        <v>581</v>
      </c>
      <c r="G260" s="453" t="s">
        <v>595</v>
      </c>
      <c r="H260" s="453" t="s">
        <v>1983</v>
      </c>
      <c r="I260" s="455" t="s">
        <v>2560</v>
      </c>
      <c r="J260" s="453" t="s">
        <v>1083</v>
      </c>
      <c r="K260" s="453" t="s">
        <v>2333</v>
      </c>
      <c r="L260" s="456" t="s">
        <v>1766</v>
      </c>
      <c r="M260" s="457">
        <v>46058</v>
      </c>
      <c r="N260" s="457">
        <v>46058</v>
      </c>
      <c r="O260" s="457">
        <v>46058</v>
      </c>
      <c r="P260" s="453" t="s">
        <v>214</v>
      </c>
      <c r="Q260" s="519">
        <v>7</v>
      </c>
      <c r="R260" s="467">
        <v>0</v>
      </c>
      <c r="S260" s="467">
        <v>0</v>
      </c>
      <c r="T260" s="115">
        <f>SUM(mFEV[[#This Row],[PRINCIPAL]:[JUROS]])</f>
        <v>7</v>
      </c>
      <c r="V260" s="115" t="s">
        <v>2568</v>
      </c>
    </row>
    <row r="261" spans="2:22" ht="21" customHeight="1">
      <c r="B261" s="451" t="str">
        <f t="shared" si="3"/>
        <v>2/26</v>
      </c>
      <c r="C261" s="121" t="str">
        <f>VLOOKUP(mFEV[[#This Row],[CÓDIGO CONTABIL]],Contas_Gerencial[#All],3,FALSE)</f>
        <v>DESPESAS BANCÁRIAS</v>
      </c>
      <c r="D261" s="445" t="str">
        <f>VLOOKUP(mFEV[[#This Row],[DESCRIÇÃO CONTABIL]],Contas_Gerencial[[#All],[DESCRIÇÃO DA CONTA - NÃO UTILIZAR]:[Código2]],2,FALSE)</f>
        <v>20.01.032</v>
      </c>
      <c r="E261" s="452" t="s">
        <v>84</v>
      </c>
      <c r="F261" s="453" t="s">
        <v>581</v>
      </c>
      <c r="G261" s="453" t="s">
        <v>595</v>
      </c>
      <c r="H261" s="453" t="s">
        <v>1983</v>
      </c>
      <c r="I261" s="455" t="s">
        <v>2561</v>
      </c>
      <c r="J261" s="453" t="s">
        <v>1083</v>
      </c>
      <c r="K261" s="453" t="s">
        <v>2318</v>
      </c>
      <c r="L261" s="456" t="s">
        <v>1766</v>
      </c>
      <c r="M261" s="457">
        <v>46063</v>
      </c>
      <c r="N261" s="457">
        <v>46063</v>
      </c>
      <c r="O261" s="457">
        <v>46063</v>
      </c>
      <c r="P261" s="453" t="s">
        <v>214</v>
      </c>
      <c r="Q261" s="519">
        <v>81.400000000000006</v>
      </c>
      <c r="R261" s="467">
        <v>0</v>
      </c>
      <c r="S261" s="467">
        <v>0</v>
      </c>
      <c r="T261" s="115">
        <f>SUM(mFEV[[#This Row],[PRINCIPAL]:[JUROS]])</f>
        <v>81.400000000000006</v>
      </c>
      <c r="V261" s="115" t="s">
        <v>2542</v>
      </c>
    </row>
    <row r="262" spans="2:22" ht="21" customHeight="1">
      <c r="B262" s="451" t="str">
        <f t="shared" si="3"/>
        <v>2/26</v>
      </c>
      <c r="C262" s="121" t="str">
        <f>VLOOKUP(mFEV[[#This Row],[CÓDIGO CONTABIL]],Contas_Gerencial[#All],3,FALSE)</f>
        <v>DESPESAS BANCÁRIAS</v>
      </c>
      <c r="D262" s="445" t="str">
        <f>VLOOKUP(mFEV[[#This Row],[DESCRIÇÃO CONTABIL]],Contas_Gerencial[[#All],[DESCRIÇÃO DA CONTA - NÃO UTILIZAR]:[Código2]],2,FALSE)</f>
        <v>20.01.017</v>
      </c>
      <c r="E262" s="454" t="s">
        <v>115</v>
      </c>
      <c r="F262" s="453" t="s">
        <v>581</v>
      </c>
      <c r="G262" s="453" t="s">
        <v>595</v>
      </c>
      <c r="H262" s="453" t="s">
        <v>1983</v>
      </c>
      <c r="I262" s="455" t="s">
        <v>2562</v>
      </c>
      <c r="J262" s="453" t="s">
        <v>1083</v>
      </c>
      <c r="K262" s="453" t="s">
        <v>2333</v>
      </c>
      <c r="L262" s="456" t="s">
        <v>1766</v>
      </c>
      <c r="M262" s="457">
        <v>46073</v>
      </c>
      <c r="N262" s="457">
        <v>46073</v>
      </c>
      <c r="O262" s="457">
        <v>46073</v>
      </c>
      <c r="P262" s="453" t="s">
        <v>214</v>
      </c>
      <c r="Q262" s="519">
        <v>87.5</v>
      </c>
      <c r="R262" s="467">
        <v>0</v>
      </c>
      <c r="S262" s="467">
        <v>0</v>
      </c>
      <c r="T262" s="115">
        <f>SUM(mFEV[[#This Row],[PRINCIPAL]:[JUROS]])</f>
        <v>87.5</v>
      </c>
      <c r="V262" s="115" t="s">
        <v>2569</v>
      </c>
    </row>
    <row r="263" spans="2:22" ht="21" customHeight="1">
      <c r="B263" s="451" t="str">
        <f t="shared" si="3"/>
        <v>2/26</v>
      </c>
      <c r="C263" s="121" t="str">
        <f>VLOOKUP(mFEV[[#This Row],[CÓDIGO CONTABIL]],Contas_Gerencial[#All],3,FALSE)</f>
        <v>DESPESAS BANCÁRIAS</v>
      </c>
      <c r="D263" s="445" t="str">
        <f>VLOOKUP(mFEV[[#This Row],[DESCRIÇÃO CONTABIL]],Contas_Gerencial[[#All],[DESCRIÇÃO DA CONTA - NÃO UTILIZAR]:[Código2]],2,FALSE)</f>
        <v>20.01.017</v>
      </c>
      <c r="E263" s="454" t="s">
        <v>115</v>
      </c>
      <c r="F263" s="453" t="s">
        <v>581</v>
      </c>
      <c r="G263" s="453" t="s">
        <v>595</v>
      </c>
      <c r="H263" s="453" t="s">
        <v>1983</v>
      </c>
      <c r="I263" s="455" t="s">
        <v>2563</v>
      </c>
      <c r="J263" s="453" t="s">
        <v>1083</v>
      </c>
      <c r="K263" s="453" t="s">
        <v>2333</v>
      </c>
      <c r="L263" s="456" t="s">
        <v>1766</v>
      </c>
      <c r="M263" s="457">
        <v>46073</v>
      </c>
      <c r="N263" s="457">
        <v>46073</v>
      </c>
      <c r="O263" s="457">
        <v>46073</v>
      </c>
      <c r="P263" s="453" t="s">
        <v>214</v>
      </c>
      <c r="Q263" s="519">
        <v>49</v>
      </c>
      <c r="R263" s="467">
        <v>0</v>
      </c>
      <c r="S263" s="467">
        <v>0</v>
      </c>
      <c r="T263" s="115">
        <f>SUM(mFEV[[#This Row],[PRINCIPAL]:[JUROS]])</f>
        <v>49</v>
      </c>
      <c r="V263" s="115" t="s">
        <v>2569</v>
      </c>
    </row>
    <row r="264" spans="2:22" ht="21" customHeight="1">
      <c r="B264" s="451" t="str">
        <f t="shared" si="3"/>
        <v>2/26</v>
      </c>
      <c r="C264" s="121" t="str">
        <f>VLOOKUP(mFEV[[#This Row],[CÓDIGO CONTABIL]],Contas_Gerencial[#All],3,FALSE)</f>
        <v>DESPESAS BANCÁRIAS</v>
      </c>
      <c r="D264" s="445" t="str">
        <f>VLOOKUP(mFEV[[#This Row],[DESCRIÇÃO CONTABIL]],Contas_Gerencial[[#All],[DESCRIÇÃO DA CONTA - NÃO UTILIZAR]:[Código2]],2,FALSE)</f>
        <v>20.01.017</v>
      </c>
      <c r="E264" s="454" t="s">
        <v>115</v>
      </c>
      <c r="F264" s="453" t="s">
        <v>581</v>
      </c>
      <c r="G264" s="453" t="s">
        <v>595</v>
      </c>
      <c r="H264" s="453" t="s">
        <v>1983</v>
      </c>
      <c r="I264" s="455" t="s">
        <v>2564</v>
      </c>
      <c r="J264" s="453" t="s">
        <v>1083</v>
      </c>
      <c r="K264" s="453" t="s">
        <v>2333</v>
      </c>
      <c r="L264" s="456" t="s">
        <v>1766</v>
      </c>
      <c r="M264" s="457">
        <v>46076</v>
      </c>
      <c r="N264" s="457">
        <v>46076</v>
      </c>
      <c r="O264" s="457">
        <v>46076</v>
      </c>
      <c r="P264" s="453" t="s">
        <v>214</v>
      </c>
      <c r="Q264" s="519">
        <v>87.5</v>
      </c>
      <c r="R264" s="467">
        <v>0</v>
      </c>
      <c r="S264" s="467">
        <v>0</v>
      </c>
      <c r="T264" s="115">
        <f>SUM(mFEV[[#This Row],[PRINCIPAL]:[JUROS]])</f>
        <v>87.5</v>
      </c>
      <c r="V264" s="115" t="s">
        <v>2570</v>
      </c>
    </row>
    <row r="265" spans="2:22" ht="21" customHeight="1">
      <c r="B265" s="451" t="str">
        <f t="shared" ref="B265:B327" si="4">B264</f>
        <v>2/26</v>
      </c>
      <c r="C265" s="121" t="str">
        <f>VLOOKUP(mFEV[[#This Row],[CÓDIGO CONTABIL]],Contas_Gerencial[#All],3,FALSE)</f>
        <v>DESPESAS BANCÁRIAS</v>
      </c>
      <c r="D265" s="445" t="str">
        <f>VLOOKUP(mFEV[[#This Row],[DESCRIÇÃO CONTABIL]],Contas_Gerencial[[#All],[DESCRIÇÃO DA CONTA - NÃO UTILIZAR]:[Código2]],2,FALSE)</f>
        <v>20.01.017</v>
      </c>
      <c r="E265" s="454" t="s">
        <v>115</v>
      </c>
      <c r="F265" s="453" t="s">
        <v>581</v>
      </c>
      <c r="G265" s="453" t="s">
        <v>595</v>
      </c>
      <c r="H265" s="453" t="s">
        <v>1983</v>
      </c>
      <c r="I265" s="455" t="s">
        <v>2565</v>
      </c>
      <c r="J265" s="453" t="s">
        <v>1083</v>
      </c>
      <c r="K265" s="453" t="s">
        <v>2333</v>
      </c>
      <c r="L265" s="456" t="s">
        <v>1766</v>
      </c>
      <c r="M265" s="457">
        <v>46078</v>
      </c>
      <c r="N265" s="457">
        <v>46078</v>
      </c>
      <c r="O265" s="457">
        <v>46078</v>
      </c>
      <c r="P265" s="453" t="s">
        <v>214</v>
      </c>
      <c r="Q265" s="519">
        <v>3.5</v>
      </c>
      <c r="R265" s="467">
        <v>0</v>
      </c>
      <c r="S265" s="467">
        <v>0</v>
      </c>
      <c r="T265" s="115">
        <f>SUM(mFEV[[#This Row],[PRINCIPAL]:[JUROS]])</f>
        <v>3.5</v>
      </c>
      <c r="V265" s="115" t="s">
        <v>2571</v>
      </c>
    </row>
    <row r="266" spans="2:22" ht="21" customHeight="1">
      <c r="B266" s="451" t="str">
        <f t="shared" si="4"/>
        <v>2/26</v>
      </c>
      <c r="C266" s="121" t="str">
        <f>VLOOKUP(mFEV[[#This Row],[CÓDIGO CONTABIL]],Contas_Gerencial[#All],3,FALSE)</f>
        <v>DESPESAS BANCÁRIAS</v>
      </c>
      <c r="D266" s="445" t="str">
        <f>VLOOKUP(mFEV[[#This Row],[DESCRIÇÃO CONTABIL]],Contas_Gerencial[[#All],[DESCRIÇÃO DA CONTA - NÃO UTILIZAR]:[Código2]],2,FALSE)</f>
        <v>20.01.017</v>
      </c>
      <c r="E266" s="454" t="s">
        <v>115</v>
      </c>
      <c r="F266" s="453" t="s">
        <v>581</v>
      </c>
      <c r="G266" s="453" t="s">
        <v>595</v>
      </c>
      <c r="H266" s="453" t="s">
        <v>1983</v>
      </c>
      <c r="I266" s="455" t="s">
        <v>2566</v>
      </c>
      <c r="J266" s="453" t="s">
        <v>1083</v>
      </c>
      <c r="K266" s="453" t="s">
        <v>2333</v>
      </c>
      <c r="L266" s="456" t="s">
        <v>1766</v>
      </c>
      <c r="M266" s="457">
        <v>46080</v>
      </c>
      <c r="N266" s="457">
        <v>46080</v>
      </c>
      <c r="O266" s="457">
        <v>46080</v>
      </c>
      <c r="P266" s="453" t="s">
        <v>214</v>
      </c>
      <c r="Q266" s="519">
        <v>3.5</v>
      </c>
      <c r="R266" s="467">
        <v>0</v>
      </c>
      <c r="S266" s="467">
        <v>0</v>
      </c>
      <c r="T266" s="115">
        <f>SUM(mFEV[[#This Row],[PRINCIPAL]:[JUROS]])</f>
        <v>3.5</v>
      </c>
      <c r="V266" s="115" t="s">
        <v>2572</v>
      </c>
    </row>
    <row r="267" spans="2:22" ht="21" customHeight="1">
      <c r="B267" s="451" t="str">
        <f t="shared" si="4"/>
        <v>2/26</v>
      </c>
      <c r="C267" s="121" t="str">
        <f>VLOOKUP(mFEV[[#This Row],[CÓDIGO CONTABIL]],Contas_Gerencial[#All],3,FALSE)</f>
        <v>DESPESAS BANCÁRIAS</v>
      </c>
      <c r="D267" s="445" t="str">
        <f>VLOOKUP(mFEV[[#This Row],[DESCRIÇÃO CONTABIL]],Contas_Gerencial[[#All],[DESCRIÇÃO DA CONTA - NÃO UTILIZAR]:[Código2]],2,FALSE)</f>
        <v>20.01.003</v>
      </c>
      <c r="E267" s="452" t="s">
        <v>79</v>
      </c>
      <c r="F267" s="453" t="s">
        <v>581</v>
      </c>
      <c r="G267" s="453" t="s">
        <v>595</v>
      </c>
      <c r="H267" s="453" t="s">
        <v>1983</v>
      </c>
      <c r="I267" s="455" t="s">
        <v>2294</v>
      </c>
      <c r="J267" s="453" t="s">
        <v>1083</v>
      </c>
      <c r="K267" s="453" t="s">
        <v>2320</v>
      </c>
      <c r="L267" s="456" t="s">
        <v>1766</v>
      </c>
      <c r="M267" s="457">
        <v>46080</v>
      </c>
      <c r="N267" s="457">
        <v>46080</v>
      </c>
      <c r="O267" s="457">
        <v>46080</v>
      </c>
      <c r="P267" s="453" t="s">
        <v>214</v>
      </c>
      <c r="Q267" s="519">
        <v>391</v>
      </c>
      <c r="R267" s="467">
        <v>0</v>
      </c>
      <c r="S267" s="467">
        <v>0</v>
      </c>
      <c r="T267" s="115">
        <f>SUM(mFEV[[#This Row],[PRINCIPAL]:[JUROS]])</f>
        <v>391</v>
      </c>
      <c r="V267" s="115" t="s">
        <v>2538</v>
      </c>
    </row>
    <row r="268" spans="2:22" ht="21" customHeight="1">
      <c r="B268" s="451" t="str">
        <f t="shared" si="4"/>
        <v>2/26</v>
      </c>
      <c r="C268" s="121" t="str">
        <f>VLOOKUP(mFEV[[#This Row],[CÓDIGO CONTABIL]],Contas_Gerencial[#All],3,FALSE)</f>
        <v>BENEFICIO</v>
      </c>
      <c r="D268" s="445" t="str">
        <f>VLOOKUP(mFEV[[#This Row],[DESCRIÇÃO CONTABIL]],Contas_Gerencial[[#All],[DESCRIÇÃO DA CONTA - NÃO UTILIZAR]:[Código2]],2,FALSE)</f>
        <v>20.05.003</v>
      </c>
      <c r="E268" s="452" t="s">
        <v>47</v>
      </c>
      <c r="F268" s="452" t="s">
        <v>582</v>
      </c>
      <c r="G268" s="480" t="s">
        <v>653</v>
      </c>
      <c r="H268" s="452" t="s">
        <v>1803</v>
      </c>
      <c r="I268" s="481" t="s">
        <v>2370</v>
      </c>
      <c r="J268" s="453" t="s">
        <v>386</v>
      </c>
      <c r="K268" s="453" t="s">
        <v>1837</v>
      </c>
      <c r="L268" s="451" t="s">
        <v>2258</v>
      </c>
      <c r="M268" s="457">
        <v>46068</v>
      </c>
      <c r="N268" s="457">
        <v>46073</v>
      </c>
      <c r="O268" s="457">
        <v>46072</v>
      </c>
      <c r="P268" s="452" t="s">
        <v>214</v>
      </c>
      <c r="Q268" s="467">
        <f>14.28*3</f>
        <v>42.839999999999996</v>
      </c>
      <c r="R268" s="467">
        <v>0</v>
      </c>
      <c r="S268" s="467">
        <v>0</v>
      </c>
      <c r="T268" s="115">
        <f>SUM(mFEV[[#This Row],[PRINCIPAL]:[JUROS]])</f>
        <v>42.839999999999996</v>
      </c>
      <c r="V268" s="115"/>
    </row>
    <row r="269" spans="2:22" ht="21" customHeight="1">
      <c r="B269" s="451" t="str">
        <f t="shared" si="4"/>
        <v>2/26</v>
      </c>
      <c r="C269" s="121" t="str">
        <f>VLOOKUP(mFEV[[#This Row],[CÓDIGO CONTABIL]],Contas_Gerencial[#All],3,FALSE)</f>
        <v>BENEFICIO</v>
      </c>
      <c r="D269" s="445" t="str">
        <f>VLOOKUP(mFEV[[#This Row],[DESCRIÇÃO CONTABIL]],Contas_Gerencial[[#All],[DESCRIÇÃO DA CONTA - NÃO UTILIZAR]:[Código2]],2,FALSE)</f>
        <v>20.05.003</v>
      </c>
      <c r="E269" s="452" t="s">
        <v>47</v>
      </c>
      <c r="F269" s="452" t="s">
        <v>41</v>
      </c>
      <c r="G269" s="480" t="s">
        <v>1767</v>
      </c>
      <c r="H269" s="452" t="s">
        <v>1803</v>
      </c>
      <c r="I269" s="481" t="s">
        <v>2370</v>
      </c>
      <c r="J269" s="453" t="s">
        <v>386</v>
      </c>
      <c r="K269" s="453" t="s">
        <v>1816</v>
      </c>
      <c r="L269" s="451" t="s">
        <v>2258</v>
      </c>
      <c r="M269" s="457">
        <v>46068</v>
      </c>
      <c r="N269" s="457">
        <v>46073</v>
      </c>
      <c r="O269" s="457">
        <v>46072</v>
      </c>
      <c r="P269" s="452" t="s">
        <v>214</v>
      </c>
      <c r="Q269" s="467">
        <f>14.28*7</f>
        <v>99.96</v>
      </c>
      <c r="R269" s="467">
        <v>0</v>
      </c>
      <c r="S269" s="467">
        <v>0</v>
      </c>
      <c r="T269" s="115">
        <f>SUM(mFEV[[#This Row],[PRINCIPAL]:[JUROS]])</f>
        <v>99.96</v>
      </c>
      <c r="V269" s="115"/>
    </row>
    <row r="270" spans="2:22" ht="21" customHeight="1">
      <c r="B270" s="451" t="str">
        <f t="shared" si="4"/>
        <v>2/26</v>
      </c>
      <c r="C270" s="121" t="str">
        <f>VLOOKUP(mFEV[[#This Row],[CÓDIGO CONTABIL]],Contas_Gerencial[#All],3,FALSE)</f>
        <v>BENEFICIO</v>
      </c>
      <c r="D270" s="445" t="str">
        <f>VLOOKUP(mFEV[[#This Row],[DESCRIÇÃO CONTABIL]],Contas_Gerencial[[#All],[DESCRIÇÃO DA CONTA - NÃO UTILIZAR]:[Código2]],2,FALSE)</f>
        <v>20.05.003</v>
      </c>
      <c r="E270" s="452" t="s">
        <v>47</v>
      </c>
      <c r="F270" s="452" t="s">
        <v>581</v>
      </c>
      <c r="G270" s="480" t="s">
        <v>595</v>
      </c>
      <c r="H270" s="452" t="s">
        <v>1803</v>
      </c>
      <c r="I270" s="481" t="s">
        <v>2370</v>
      </c>
      <c r="J270" s="453" t="s">
        <v>386</v>
      </c>
      <c r="K270" s="453" t="s">
        <v>1817</v>
      </c>
      <c r="L270" s="451" t="s">
        <v>2258</v>
      </c>
      <c r="M270" s="457">
        <v>46068</v>
      </c>
      <c r="N270" s="457">
        <v>46073</v>
      </c>
      <c r="O270" s="457">
        <v>46072</v>
      </c>
      <c r="P270" s="452" t="s">
        <v>214</v>
      </c>
      <c r="Q270" s="467">
        <f>14.28*2</f>
        <v>28.56</v>
      </c>
      <c r="R270" s="467">
        <v>0</v>
      </c>
      <c r="S270" s="467">
        <v>0</v>
      </c>
      <c r="T270" s="115">
        <f>SUM(mFEV[[#This Row],[PRINCIPAL]:[JUROS]])</f>
        <v>28.56</v>
      </c>
    </row>
    <row r="271" spans="2:22" ht="21" customHeight="1">
      <c r="B271" s="451" t="str">
        <f t="shared" si="4"/>
        <v>2/26</v>
      </c>
      <c r="C271" s="121" t="str">
        <f>VLOOKUP(mFEV[[#This Row],[CÓDIGO CONTABIL]],Contas_Gerencial[#All],3,FALSE)</f>
        <v>BENEFICIO</v>
      </c>
      <c r="D271" s="445" t="str">
        <f>VLOOKUP(mFEV[[#This Row],[DESCRIÇÃO CONTABIL]],Contas_Gerencial[[#All],[DESCRIÇÃO DA CONTA - NÃO UTILIZAR]:[Código2]],2,FALSE)</f>
        <v>20.05.003</v>
      </c>
      <c r="E271" s="452" t="s">
        <v>47</v>
      </c>
      <c r="F271" s="452" t="s">
        <v>581</v>
      </c>
      <c r="G271" s="480" t="s">
        <v>49</v>
      </c>
      <c r="H271" s="452" t="s">
        <v>1803</v>
      </c>
      <c r="I271" s="481" t="s">
        <v>2370</v>
      </c>
      <c r="J271" s="453" t="s">
        <v>386</v>
      </c>
      <c r="K271" s="453" t="s">
        <v>2190</v>
      </c>
      <c r="L271" s="451" t="s">
        <v>2258</v>
      </c>
      <c r="M271" s="457">
        <v>46068</v>
      </c>
      <c r="N271" s="457">
        <v>46073</v>
      </c>
      <c r="O271" s="457">
        <v>46072</v>
      </c>
      <c r="P271" s="452" t="s">
        <v>214</v>
      </c>
      <c r="Q271" s="467">
        <f>14.28*4</f>
        <v>57.12</v>
      </c>
      <c r="R271" s="467">
        <v>0</v>
      </c>
      <c r="S271" s="467">
        <v>0</v>
      </c>
      <c r="T271" s="115">
        <f>SUM(mFEV[[#This Row],[PRINCIPAL]:[JUROS]])</f>
        <v>57.12</v>
      </c>
    </row>
    <row r="272" spans="2:22" ht="21" customHeight="1">
      <c r="B272" s="451" t="str">
        <f t="shared" si="4"/>
        <v>2/26</v>
      </c>
      <c r="C272" s="121" t="str">
        <f>VLOOKUP(mFEV[[#This Row],[CÓDIGO CONTABIL]],Contas_Gerencial[#All],3,FALSE)</f>
        <v>BENEFICIO</v>
      </c>
      <c r="D272" s="445" t="str">
        <f>VLOOKUP(mFEV[[#This Row],[DESCRIÇÃO CONTABIL]],Contas_Gerencial[[#All],[DESCRIÇÃO DA CONTA - NÃO UTILIZAR]:[Código2]],2,FALSE)</f>
        <v>20.05.003</v>
      </c>
      <c r="E272" s="452" t="s">
        <v>47</v>
      </c>
      <c r="F272" s="452" t="s">
        <v>581</v>
      </c>
      <c r="G272" s="480" t="s">
        <v>1130</v>
      </c>
      <c r="H272" s="452" t="s">
        <v>1803</v>
      </c>
      <c r="I272" s="481" t="s">
        <v>2370</v>
      </c>
      <c r="J272" s="453" t="s">
        <v>386</v>
      </c>
      <c r="K272" s="453" t="s">
        <v>2191</v>
      </c>
      <c r="L272" s="451" t="s">
        <v>2258</v>
      </c>
      <c r="M272" s="457">
        <v>46068</v>
      </c>
      <c r="N272" s="457">
        <v>46073</v>
      </c>
      <c r="O272" s="457">
        <v>46072</v>
      </c>
      <c r="P272" s="452" t="s">
        <v>214</v>
      </c>
      <c r="Q272" s="467">
        <f>14.28*1</f>
        <v>14.28</v>
      </c>
      <c r="R272" s="467">
        <v>0</v>
      </c>
      <c r="S272" s="467">
        <v>0</v>
      </c>
      <c r="T272" s="115">
        <f>SUM(mFEV[[#This Row],[PRINCIPAL]:[JUROS]])</f>
        <v>14.28</v>
      </c>
    </row>
    <row r="273" spans="2:22" ht="21" customHeight="1">
      <c r="B273" s="451" t="str">
        <f t="shared" si="4"/>
        <v>2/26</v>
      </c>
      <c r="C273" s="121" t="str">
        <f>VLOOKUP(mFEV[[#This Row],[CÓDIGO CONTABIL]],Contas_Gerencial[#All],3,FALSE)</f>
        <v>BENEFICIO</v>
      </c>
      <c r="D273" s="445" t="str">
        <f>VLOOKUP(mFEV[[#This Row],[DESCRIÇÃO CONTABIL]],Contas_Gerencial[[#All],[DESCRIÇÃO DA CONTA - NÃO UTILIZAR]:[Código2]],2,FALSE)</f>
        <v>20.05.004</v>
      </c>
      <c r="E273" s="480" t="s">
        <v>72</v>
      </c>
      <c r="F273" s="452" t="s">
        <v>41</v>
      </c>
      <c r="G273" s="452" t="s">
        <v>595</v>
      </c>
      <c r="H273" s="452" t="s">
        <v>1803</v>
      </c>
      <c r="I273" s="481">
        <v>263924422</v>
      </c>
      <c r="J273" s="453" t="s">
        <v>1146</v>
      </c>
      <c r="K273" s="503" t="s">
        <v>2103</v>
      </c>
      <c r="L273" s="451" t="s">
        <v>2258</v>
      </c>
      <c r="M273" s="457">
        <v>46073</v>
      </c>
      <c r="N273" s="457">
        <v>46080</v>
      </c>
      <c r="O273" s="457">
        <v>46076</v>
      </c>
      <c r="P273" s="452" t="s">
        <v>214</v>
      </c>
      <c r="Q273" s="468">
        <v>23.52</v>
      </c>
      <c r="R273" s="467">
        <v>0</v>
      </c>
      <c r="S273" s="467">
        <v>0</v>
      </c>
      <c r="T273" s="115">
        <f>SUM(mFEV[[#This Row],[PRINCIPAL]:[JUROS]])</f>
        <v>23.52</v>
      </c>
      <c r="V273" s="115"/>
    </row>
    <row r="274" spans="2:22" ht="21" customHeight="1">
      <c r="B274" s="451" t="str">
        <f t="shared" si="4"/>
        <v>2/26</v>
      </c>
      <c r="C274" s="121" t="str">
        <f>VLOOKUP(mFEV[[#This Row],[CÓDIGO CONTABIL]],Contas_Gerencial[#All],3,FALSE)</f>
        <v>BENEFICIO</v>
      </c>
      <c r="D274" s="445" t="str">
        <f>VLOOKUP(mFEV[[#This Row],[DESCRIÇÃO CONTABIL]],Contas_Gerencial[[#All],[DESCRIÇÃO DA CONTA - NÃO UTILIZAR]:[Código2]],2,FALSE)</f>
        <v>20.05.004</v>
      </c>
      <c r="E274" s="480" t="s">
        <v>72</v>
      </c>
      <c r="F274" s="452" t="s">
        <v>581</v>
      </c>
      <c r="G274" s="452" t="s">
        <v>595</v>
      </c>
      <c r="H274" s="452" t="s">
        <v>1803</v>
      </c>
      <c r="I274" s="481">
        <v>263924281</v>
      </c>
      <c r="J274" s="453" t="s">
        <v>1146</v>
      </c>
      <c r="K274" s="503" t="s">
        <v>2105</v>
      </c>
      <c r="L274" s="451" t="s">
        <v>2258</v>
      </c>
      <c r="M274" s="457">
        <v>46073</v>
      </c>
      <c r="N274" s="457">
        <v>46080</v>
      </c>
      <c r="O274" s="457">
        <v>46076</v>
      </c>
      <c r="P274" s="452" t="s">
        <v>214</v>
      </c>
      <c r="Q274" s="468">
        <f>3.36*1</f>
        <v>3.36</v>
      </c>
      <c r="R274" s="467">
        <v>0</v>
      </c>
      <c r="S274" s="467">
        <v>0</v>
      </c>
      <c r="T274" s="115">
        <f>SUM(mFEV[[#This Row],[PRINCIPAL]:[JUROS]])</f>
        <v>3.36</v>
      </c>
    </row>
    <row r="275" spans="2:22" ht="21" customHeight="1">
      <c r="B275" s="451" t="str">
        <f t="shared" si="4"/>
        <v>2/26</v>
      </c>
      <c r="C275" s="121" t="str">
        <f>VLOOKUP(mFEV[[#This Row],[CÓDIGO CONTABIL]],Contas_Gerencial[#All],3,FALSE)</f>
        <v>BENEFICIO</v>
      </c>
      <c r="D275" s="445" t="str">
        <f>VLOOKUP(mFEV[[#This Row],[DESCRIÇÃO CONTABIL]],Contas_Gerencial[[#All],[DESCRIÇÃO DA CONTA - NÃO UTILIZAR]:[Código2]],2,FALSE)</f>
        <v>20.05.004</v>
      </c>
      <c r="E275" s="480" t="s">
        <v>72</v>
      </c>
      <c r="F275" s="452" t="s">
        <v>581</v>
      </c>
      <c r="G275" s="452" t="s">
        <v>1630</v>
      </c>
      <c r="H275" s="452" t="s">
        <v>1803</v>
      </c>
      <c r="I275" s="481">
        <v>263924281</v>
      </c>
      <c r="J275" s="453" t="s">
        <v>1146</v>
      </c>
      <c r="K275" s="503" t="s">
        <v>2105</v>
      </c>
      <c r="L275" s="451" t="s">
        <v>2258</v>
      </c>
      <c r="M275" s="457">
        <v>46073</v>
      </c>
      <c r="N275" s="457">
        <v>46080</v>
      </c>
      <c r="O275" s="457">
        <v>46076</v>
      </c>
      <c r="P275" s="452" t="s">
        <v>214</v>
      </c>
      <c r="Q275" s="468">
        <f>3.36*4</f>
        <v>13.44</v>
      </c>
      <c r="R275" s="467">
        <v>0</v>
      </c>
      <c r="S275" s="467">
        <v>0</v>
      </c>
      <c r="T275" s="115">
        <f>SUM(mFEV[[#This Row],[PRINCIPAL]:[JUROS]])</f>
        <v>13.44</v>
      </c>
    </row>
    <row r="276" spans="2:22" ht="21" customHeight="1">
      <c r="B276" s="451" t="str">
        <f t="shared" si="4"/>
        <v>2/26</v>
      </c>
      <c r="C276" s="121" t="str">
        <f>VLOOKUP(mFEV[[#This Row],[CÓDIGO CONTABIL]],Contas_Gerencial[#All],3,FALSE)</f>
        <v>BENEFICIO</v>
      </c>
      <c r="D276" s="445" t="str">
        <f>VLOOKUP(mFEV[[#This Row],[DESCRIÇÃO CONTABIL]],Contas_Gerencial[[#All],[DESCRIÇÃO DA CONTA - NÃO UTILIZAR]:[Código2]],2,FALSE)</f>
        <v>20.05.004</v>
      </c>
      <c r="E276" s="480" t="s">
        <v>72</v>
      </c>
      <c r="F276" s="452" t="s">
        <v>581</v>
      </c>
      <c r="G276" s="452" t="s">
        <v>1137</v>
      </c>
      <c r="H276" s="452" t="s">
        <v>1803</v>
      </c>
      <c r="I276" s="481">
        <v>263924281</v>
      </c>
      <c r="J276" s="453" t="s">
        <v>1146</v>
      </c>
      <c r="K276" s="503" t="s">
        <v>2105</v>
      </c>
      <c r="L276" s="451" t="s">
        <v>2258</v>
      </c>
      <c r="M276" s="457">
        <v>46073</v>
      </c>
      <c r="N276" s="457">
        <v>46080</v>
      </c>
      <c r="O276" s="457">
        <v>46076</v>
      </c>
      <c r="P276" s="452" t="s">
        <v>214</v>
      </c>
      <c r="Q276" s="468">
        <f>3.36*6</f>
        <v>20.16</v>
      </c>
      <c r="R276" s="467">
        <v>0</v>
      </c>
      <c r="S276" s="467">
        <v>0</v>
      </c>
      <c r="T276" s="115">
        <f>SUM(mFEV[[#This Row],[PRINCIPAL]:[JUROS]])</f>
        <v>20.16</v>
      </c>
    </row>
    <row r="277" spans="2:22" ht="21" customHeight="1">
      <c r="B277" s="451" t="str">
        <f t="shared" si="4"/>
        <v>2/26</v>
      </c>
      <c r="C277" s="121" t="str">
        <f>VLOOKUP(mFEV[[#This Row],[CÓDIGO CONTABIL]],Contas_Gerencial[#All],3,FALSE)</f>
        <v>BENEFICIO</v>
      </c>
      <c r="D277" s="445" t="str">
        <f>VLOOKUP(mFEV[[#This Row],[DESCRIÇÃO CONTABIL]],Contas_Gerencial[[#All],[DESCRIÇÃO DA CONTA - NÃO UTILIZAR]:[Código2]],2,FALSE)</f>
        <v>20.05.004</v>
      </c>
      <c r="E277" s="480" t="s">
        <v>72</v>
      </c>
      <c r="F277" s="452" t="s">
        <v>581</v>
      </c>
      <c r="G277" s="452" t="s">
        <v>1768</v>
      </c>
      <c r="H277" s="452" t="s">
        <v>1803</v>
      </c>
      <c r="I277" s="481">
        <v>263924281</v>
      </c>
      <c r="J277" s="453" t="s">
        <v>1146</v>
      </c>
      <c r="K277" s="503" t="s">
        <v>2105</v>
      </c>
      <c r="L277" s="451" t="s">
        <v>2258</v>
      </c>
      <c r="M277" s="457">
        <v>46073</v>
      </c>
      <c r="N277" s="457">
        <v>46080</v>
      </c>
      <c r="O277" s="457">
        <v>46076</v>
      </c>
      <c r="P277" s="452" t="s">
        <v>214</v>
      </c>
      <c r="Q277" s="468">
        <f>3.36*2</f>
        <v>6.72</v>
      </c>
      <c r="R277" s="467">
        <v>0</v>
      </c>
      <c r="S277" s="467">
        <v>0</v>
      </c>
      <c r="T277" s="115">
        <f>SUM(mFEV[[#This Row],[PRINCIPAL]:[JUROS]])</f>
        <v>6.72</v>
      </c>
    </row>
    <row r="278" spans="2:22" ht="21" customHeight="1">
      <c r="B278" s="451" t="str">
        <f t="shared" si="4"/>
        <v>2/26</v>
      </c>
      <c r="C278" s="121" t="str">
        <f>VLOOKUP(mFEV[[#This Row],[CÓDIGO CONTABIL]],Contas_Gerencial[#All],3,FALSE)</f>
        <v>SERVIÇOS DE TERCEIROS</v>
      </c>
      <c r="D278" s="445" t="str">
        <f>VLOOKUP(mFEV[[#This Row],[DESCRIÇÃO CONTABIL]],Contas_Gerencial[[#All],[DESCRIÇÃO DA CONTA - NÃO UTILIZAR]:[Código2]],2,FALSE)</f>
        <v>20.07.028</v>
      </c>
      <c r="E278" s="107" t="s">
        <v>881</v>
      </c>
      <c r="F278" s="452" t="s">
        <v>41</v>
      </c>
      <c r="G278" s="107" t="s">
        <v>595</v>
      </c>
      <c r="H278" s="452" t="s">
        <v>1803</v>
      </c>
      <c r="I278" s="481">
        <v>1017274</v>
      </c>
      <c r="J278" s="453" t="s">
        <v>1038</v>
      </c>
      <c r="K278" s="453" t="s">
        <v>1804</v>
      </c>
      <c r="L278" s="451" t="s">
        <v>2258</v>
      </c>
      <c r="M278" s="457">
        <v>46064</v>
      </c>
      <c r="N278" s="457">
        <v>46064</v>
      </c>
      <c r="O278" s="457">
        <v>46064</v>
      </c>
      <c r="P278" s="452" t="s">
        <v>214</v>
      </c>
      <c r="Q278" s="467">
        <v>39</v>
      </c>
      <c r="R278" s="467">
        <v>0</v>
      </c>
      <c r="S278" s="467">
        <v>0</v>
      </c>
      <c r="T278" s="115">
        <f>SUM(mFEV[[#This Row],[PRINCIPAL]:[JUROS]])</f>
        <v>39</v>
      </c>
      <c r="V278" s="115"/>
    </row>
    <row r="279" spans="2:22" ht="21" customHeight="1">
      <c r="B279" s="451" t="str">
        <f t="shared" si="4"/>
        <v>2/26</v>
      </c>
      <c r="C279" s="121" t="str">
        <f>VLOOKUP(mFEV[[#This Row],[CÓDIGO CONTABIL]],Contas_Gerencial[#All],3,FALSE)</f>
        <v>SERVIÇOS DE TERCEIROS</v>
      </c>
      <c r="D279" s="445" t="str">
        <f>VLOOKUP(mFEV[[#This Row],[DESCRIÇÃO CONTABIL]],Contas_Gerencial[[#All],[DESCRIÇÃO DA CONTA - NÃO UTILIZAR]:[Código2]],2,FALSE)</f>
        <v>20.07.028</v>
      </c>
      <c r="E279" s="121" t="s">
        <v>881</v>
      </c>
      <c r="F279" s="453" t="s">
        <v>41</v>
      </c>
      <c r="G279" s="121" t="s">
        <v>595</v>
      </c>
      <c r="H279" s="453" t="s">
        <v>1802</v>
      </c>
      <c r="I279" s="481" t="s">
        <v>2513</v>
      </c>
      <c r="J279" s="453" t="s">
        <v>1106</v>
      </c>
      <c r="K279" s="453" t="s">
        <v>2044</v>
      </c>
      <c r="L279" s="451" t="s">
        <v>2258</v>
      </c>
      <c r="M279" s="457">
        <v>46073</v>
      </c>
      <c r="N279" s="457">
        <v>46073</v>
      </c>
      <c r="O279" s="457">
        <v>46080</v>
      </c>
      <c r="P279" s="452" t="s">
        <v>214</v>
      </c>
      <c r="Q279" s="467">
        <v>1365</v>
      </c>
      <c r="R279" s="467">
        <v>0</v>
      </c>
      <c r="S279" s="467">
        <v>0</v>
      </c>
      <c r="T279" s="115">
        <f>SUM(mFEV[[#This Row],[PRINCIPAL]:[JUROS]])</f>
        <v>1365</v>
      </c>
      <c r="V279" s="115"/>
    </row>
    <row r="280" spans="2:22" ht="21" customHeight="1">
      <c r="B280" s="451" t="str">
        <f t="shared" si="4"/>
        <v>2/26</v>
      </c>
      <c r="C280" s="121" t="str">
        <f>VLOOKUP(mFEV[[#This Row],[CÓDIGO CONTABIL]],Contas_Gerencial[#All],3,FALSE)</f>
        <v>SERVIÇOS DE TERCEIROS</v>
      </c>
      <c r="D280" s="445" t="str">
        <f>VLOOKUP(mFEV[[#This Row],[DESCRIÇÃO CONTABIL]],Contas_Gerencial[[#All],[DESCRIÇÃO DA CONTA - NÃO UTILIZAR]:[Código2]],2,FALSE)</f>
        <v>20.07.002</v>
      </c>
      <c r="E280" s="107" t="s">
        <v>294</v>
      </c>
      <c r="F280" s="452" t="s">
        <v>41</v>
      </c>
      <c r="G280" s="107" t="s">
        <v>595</v>
      </c>
      <c r="H280" s="452" t="s">
        <v>1802</v>
      </c>
      <c r="I280" s="481" t="s">
        <v>2065</v>
      </c>
      <c r="J280" s="453" t="s">
        <v>1125</v>
      </c>
      <c r="K280" s="453" t="s">
        <v>1859</v>
      </c>
      <c r="L280" s="451" t="s">
        <v>2258</v>
      </c>
      <c r="M280" s="457">
        <v>46073</v>
      </c>
      <c r="N280" s="457">
        <v>46073</v>
      </c>
      <c r="O280" s="457">
        <v>46078</v>
      </c>
      <c r="P280" s="452" t="s">
        <v>214</v>
      </c>
      <c r="Q280" s="467">
        <f>1320*1</f>
        <v>1320</v>
      </c>
      <c r="R280" s="467">
        <v>0</v>
      </c>
      <c r="S280" s="467">
        <v>0</v>
      </c>
      <c r="T280" s="115">
        <f>SUM(mFEV[[#This Row],[PRINCIPAL]:[JUROS]])</f>
        <v>1320</v>
      </c>
      <c r="V280" s="115"/>
    </row>
    <row r="281" spans="2:22" ht="21" customHeight="1">
      <c r="B281" s="451" t="str">
        <f t="shared" si="4"/>
        <v>2/26</v>
      </c>
      <c r="C281" s="121" t="str">
        <f>VLOOKUP(mFEV[[#This Row],[CÓDIGO CONTABIL]],Contas_Gerencial[#All],3,FALSE)</f>
        <v>SERVIÇOS DE TERCEIROS</v>
      </c>
      <c r="D281" s="445" t="str">
        <f>VLOOKUP(mFEV[[#This Row],[DESCRIÇÃO CONTABIL]],Contas_Gerencial[[#All],[DESCRIÇÃO DA CONTA - NÃO UTILIZAR]:[Código2]],2,FALSE)</f>
        <v>20.07.002</v>
      </c>
      <c r="E281" s="107" t="s">
        <v>294</v>
      </c>
      <c r="F281" s="452" t="s">
        <v>582</v>
      </c>
      <c r="G281" s="107" t="s">
        <v>595</v>
      </c>
      <c r="H281" s="452" t="s">
        <v>1802</v>
      </c>
      <c r="I281" s="481" t="s">
        <v>2065</v>
      </c>
      <c r="J281" s="453" t="s">
        <v>1125</v>
      </c>
      <c r="K281" s="453" t="s">
        <v>1859</v>
      </c>
      <c r="L281" s="451" t="s">
        <v>2258</v>
      </c>
      <c r="M281" s="457">
        <v>46073</v>
      </c>
      <c r="N281" s="457">
        <v>46073</v>
      </c>
      <c r="O281" s="457">
        <v>46078</v>
      </c>
      <c r="P281" s="452" t="s">
        <v>214</v>
      </c>
      <c r="Q281" s="467">
        <f>500*1</f>
        <v>500</v>
      </c>
      <c r="R281" s="467">
        <v>0</v>
      </c>
      <c r="S281" s="467">
        <v>0</v>
      </c>
      <c r="T281" s="115">
        <f>SUM(mFEV[[#This Row],[PRINCIPAL]:[JUROS]])</f>
        <v>500</v>
      </c>
      <c r="V281" s="115"/>
    </row>
    <row r="282" spans="2:22" ht="21" customHeight="1">
      <c r="B282" s="451" t="str">
        <f t="shared" si="4"/>
        <v>2/26</v>
      </c>
      <c r="C282" s="121" t="str">
        <f>VLOOKUP(mFEV[[#This Row],[CÓDIGO CONTABIL]],Contas_Gerencial[#All],3,FALSE)</f>
        <v>SERVIÇOS DE TERCEIROS</v>
      </c>
      <c r="D282" s="445" t="str">
        <f>VLOOKUP(mFEV[[#This Row],[DESCRIÇÃO CONTABIL]],Contas_Gerencial[[#All],[DESCRIÇÃO DA CONTA - NÃO UTILIZAR]:[Código2]],2,FALSE)</f>
        <v>20.07.002</v>
      </c>
      <c r="E282" s="107" t="s">
        <v>294</v>
      </c>
      <c r="F282" s="452" t="s">
        <v>581</v>
      </c>
      <c r="G282" s="107" t="s">
        <v>595</v>
      </c>
      <c r="H282" s="452" t="s">
        <v>1802</v>
      </c>
      <c r="I282" s="481" t="s">
        <v>2065</v>
      </c>
      <c r="J282" s="453" t="s">
        <v>1125</v>
      </c>
      <c r="K282" s="453" t="s">
        <v>1859</v>
      </c>
      <c r="L282" s="451" t="s">
        <v>2258</v>
      </c>
      <c r="M282" s="457">
        <v>46073</v>
      </c>
      <c r="N282" s="457">
        <v>46073</v>
      </c>
      <c r="O282" s="457">
        <v>46078</v>
      </c>
      <c r="P282" s="452" t="s">
        <v>214</v>
      </c>
      <c r="Q282" s="467">
        <f>730*1</f>
        <v>730</v>
      </c>
      <c r="R282" s="467">
        <v>0</v>
      </c>
      <c r="S282" s="467">
        <v>0</v>
      </c>
      <c r="T282" s="115">
        <f>SUM(mFEV[[#This Row],[PRINCIPAL]:[JUROS]])</f>
        <v>730</v>
      </c>
      <c r="V282" s="115"/>
    </row>
    <row r="283" spans="2:22" ht="21" customHeight="1">
      <c r="B283" s="451" t="str">
        <f t="shared" si="4"/>
        <v>2/26</v>
      </c>
      <c r="C283" s="121" t="str">
        <f>VLOOKUP(mFEV[[#This Row],[CÓDIGO CONTABIL]],Contas_Gerencial[#All],3,FALSE)</f>
        <v>SERVIÇOS DE TERCEIROS</v>
      </c>
      <c r="D283" s="445" t="str">
        <f>VLOOKUP(mFEV[[#This Row],[DESCRIÇÃO CONTABIL]],Contas_Gerencial[[#All],[DESCRIÇÃO DA CONTA - NÃO UTILIZAR]:[Código2]],2,FALSE)</f>
        <v>20.07.018</v>
      </c>
      <c r="E283" s="107" t="s">
        <v>265</v>
      </c>
      <c r="F283" s="452" t="s">
        <v>41</v>
      </c>
      <c r="G283" s="107" t="s">
        <v>1767</v>
      </c>
      <c r="H283" s="452" t="s">
        <v>1803</v>
      </c>
      <c r="I283" s="481">
        <v>153921670</v>
      </c>
      <c r="J283" s="453" t="s">
        <v>260</v>
      </c>
      <c r="K283" s="453" t="s">
        <v>1815</v>
      </c>
      <c r="L283" s="451" t="s">
        <v>2258</v>
      </c>
      <c r="M283" s="457">
        <v>46076</v>
      </c>
      <c r="N283" s="457">
        <v>46076</v>
      </c>
      <c r="O283" s="457">
        <v>46076</v>
      </c>
      <c r="P283" s="452" t="s">
        <v>214</v>
      </c>
      <c r="Q283" s="467">
        <v>580</v>
      </c>
      <c r="R283" s="467">
        <v>0</v>
      </c>
      <c r="S283" s="467">
        <v>0</v>
      </c>
      <c r="T283" s="115">
        <f>SUM(mFEV[[#This Row],[PRINCIPAL]:[JUROS]])</f>
        <v>580</v>
      </c>
      <c r="V283" s="115"/>
    </row>
    <row r="284" spans="2:22" ht="21" customHeight="1">
      <c r="B284" s="451" t="str">
        <f t="shared" si="4"/>
        <v>2/26</v>
      </c>
      <c r="C284" s="121" t="str">
        <f>VLOOKUP(mFEV[[#This Row],[CÓDIGO CONTABIL]],Contas_Gerencial[#All],3,FALSE)</f>
        <v>DESPESAS GERAIS</v>
      </c>
      <c r="D284" s="445" t="str">
        <f>VLOOKUP(mFEV[[#This Row],[DESCRIÇÃO CONTABIL]],Contas_Gerencial[[#All],[DESCRIÇÃO DA CONTA - NÃO UTILIZAR]:[Código2]],2,FALSE)</f>
        <v>20.03.006</v>
      </c>
      <c r="E284" s="121" t="s">
        <v>6</v>
      </c>
      <c r="F284" s="453" t="s">
        <v>41</v>
      </c>
      <c r="G284" s="454" t="s">
        <v>1081</v>
      </c>
      <c r="H284" s="453" t="s">
        <v>1788</v>
      </c>
      <c r="I284" s="481">
        <v>2382</v>
      </c>
      <c r="J284" s="453" t="s">
        <v>1105</v>
      </c>
      <c r="K284" s="453" t="s">
        <v>6</v>
      </c>
      <c r="L284" s="451" t="s">
        <v>2258</v>
      </c>
      <c r="M284" s="457">
        <v>46050</v>
      </c>
      <c r="N284" s="457">
        <v>46073</v>
      </c>
      <c r="O284" s="457">
        <v>46072</v>
      </c>
      <c r="P284" s="452" t="s">
        <v>214</v>
      </c>
      <c r="Q284" s="458">
        <v>367.82</v>
      </c>
      <c r="R284" s="467">
        <v>0</v>
      </c>
      <c r="S284" s="467">
        <v>0</v>
      </c>
      <c r="T284" s="115">
        <f>SUM(mFEV[[#This Row],[PRINCIPAL]:[JUROS]])</f>
        <v>367.82</v>
      </c>
    </row>
    <row r="285" spans="2:22" ht="21" customHeight="1">
      <c r="B285" s="451" t="str">
        <f t="shared" si="4"/>
        <v>2/26</v>
      </c>
      <c r="C285" s="121" t="str">
        <f>VLOOKUP(mFEV[[#This Row],[CÓDIGO CONTABIL]],Contas_Gerencial[#All],3,FALSE)</f>
        <v>DESPESAS GERAIS</v>
      </c>
      <c r="D285" s="445" t="str">
        <f>VLOOKUP(mFEV[[#This Row],[DESCRIÇÃO CONTABIL]],Contas_Gerencial[[#All],[DESCRIÇÃO DA CONTA - NÃO UTILIZAR]:[Código2]],2,FALSE)</f>
        <v>20.03.006</v>
      </c>
      <c r="E285" s="121" t="s">
        <v>6</v>
      </c>
      <c r="F285" s="453" t="s">
        <v>41</v>
      </c>
      <c r="G285" s="454" t="s">
        <v>982</v>
      </c>
      <c r="H285" s="453" t="s">
        <v>1788</v>
      </c>
      <c r="I285" s="481">
        <v>2381</v>
      </c>
      <c r="J285" s="453" t="s">
        <v>1105</v>
      </c>
      <c r="K285" s="453" t="s">
        <v>6</v>
      </c>
      <c r="L285" s="451" t="s">
        <v>2258</v>
      </c>
      <c r="M285" s="457">
        <v>46050</v>
      </c>
      <c r="N285" s="457">
        <v>46073</v>
      </c>
      <c r="O285" s="457">
        <v>46072</v>
      </c>
      <c r="P285" s="452" t="s">
        <v>214</v>
      </c>
      <c r="Q285" s="458">
        <v>392.01</v>
      </c>
      <c r="R285" s="467">
        <v>0</v>
      </c>
      <c r="S285" s="467">
        <v>0</v>
      </c>
      <c r="T285" s="115">
        <f>SUM(mFEV[[#This Row],[PRINCIPAL]:[JUROS]])</f>
        <v>392.01</v>
      </c>
    </row>
    <row r="286" spans="2:22" ht="21" customHeight="1">
      <c r="B286" s="451" t="str">
        <f t="shared" si="4"/>
        <v>2/26</v>
      </c>
      <c r="C286" s="121" t="str">
        <f>VLOOKUP(mFEV[[#This Row],[CÓDIGO CONTABIL]],Contas_Gerencial[#All],3,FALSE)</f>
        <v>DESPESAS GERAIS</v>
      </c>
      <c r="D286" s="445" t="str">
        <f>VLOOKUP(mFEV[[#This Row],[DESCRIÇÃO CONTABIL]],Contas_Gerencial[[#All],[DESCRIÇÃO DA CONTA - NÃO UTILIZAR]:[Código2]],2,FALSE)</f>
        <v>20.03.006</v>
      </c>
      <c r="E286" s="121" t="s">
        <v>6</v>
      </c>
      <c r="F286" s="453" t="s">
        <v>41</v>
      </c>
      <c r="G286" s="454" t="s">
        <v>49</v>
      </c>
      <c r="H286" s="453" t="s">
        <v>1788</v>
      </c>
      <c r="I286" s="481">
        <v>2380</v>
      </c>
      <c r="J286" s="453" t="s">
        <v>1105</v>
      </c>
      <c r="K286" s="453" t="s">
        <v>6</v>
      </c>
      <c r="L286" s="451" t="s">
        <v>2258</v>
      </c>
      <c r="M286" s="457">
        <v>46050</v>
      </c>
      <c r="N286" s="457">
        <v>46073</v>
      </c>
      <c r="O286" s="457">
        <v>46072</v>
      </c>
      <c r="P286" s="452" t="s">
        <v>214</v>
      </c>
      <c r="Q286" s="458">
        <v>555.04</v>
      </c>
      <c r="R286" s="467">
        <v>0</v>
      </c>
      <c r="S286" s="467">
        <v>0</v>
      </c>
      <c r="T286" s="115">
        <f>SUM(mFEV[[#This Row],[PRINCIPAL]:[JUROS]])</f>
        <v>555.04</v>
      </c>
    </row>
    <row r="287" spans="2:22" ht="21" customHeight="1">
      <c r="B287" s="451" t="str">
        <f t="shared" si="4"/>
        <v>2/26</v>
      </c>
      <c r="C287" s="121" t="str">
        <f>VLOOKUP(mFEV[[#This Row],[CÓDIGO CONTABIL]],Contas_Gerencial[#All],3,FALSE)</f>
        <v>DESPESAS GERAIS</v>
      </c>
      <c r="D287" s="445" t="str">
        <f>VLOOKUP(mFEV[[#This Row],[DESCRIÇÃO CONTABIL]],Contas_Gerencial[[#All],[DESCRIÇÃO DA CONTA - NÃO UTILIZAR]:[Código2]],2,FALSE)</f>
        <v>20.03.006</v>
      </c>
      <c r="E287" s="121" t="s">
        <v>6</v>
      </c>
      <c r="F287" s="453" t="s">
        <v>41</v>
      </c>
      <c r="G287" s="454" t="s">
        <v>1767</v>
      </c>
      <c r="H287" s="453" t="s">
        <v>1788</v>
      </c>
      <c r="I287" s="481">
        <v>2374</v>
      </c>
      <c r="J287" s="453" t="s">
        <v>1105</v>
      </c>
      <c r="K287" s="453" t="s">
        <v>6</v>
      </c>
      <c r="L287" s="451" t="s">
        <v>2258</v>
      </c>
      <c r="M287" s="457">
        <v>46050</v>
      </c>
      <c r="N287" s="457">
        <v>46073</v>
      </c>
      <c r="O287" s="457">
        <v>46072</v>
      </c>
      <c r="P287" s="452" t="s">
        <v>214</v>
      </c>
      <c r="Q287" s="458">
        <v>995.44</v>
      </c>
      <c r="R287" s="467">
        <v>0</v>
      </c>
      <c r="S287" s="467">
        <v>0</v>
      </c>
      <c r="T287" s="115">
        <f>SUM(mFEV[[#This Row],[PRINCIPAL]:[JUROS]])</f>
        <v>995.44</v>
      </c>
    </row>
    <row r="288" spans="2:22" ht="21" customHeight="1">
      <c r="B288" s="451" t="str">
        <f t="shared" si="4"/>
        <v>2/26</v>
      </c>
      <c r="C288" s="121" t="str">
        <f>VLOOKUP(mFEV[[#This Row],[CÓDIGO CONTABIL]],Contas_Gerencial[#All],3,FALSE)</f>
        <v>DESPESAS GERAIS</v>
      </c>
      <c r="D288" s="445" t="str">
        <f>VLOOKUP(mFEV[[#This Row],[DESCRIÇÃO CONTABIL]],Contas_Gerencial[[#All],[DESCRIÇÃO DA CONTA - NÃO UTILIZAR]:[Código2]],2,FALSE)</f>
        <v>20.03.006</v>
      </c>
      <c r="E288" s="121" t="s">
        <v>6</v>
      </c>
      <c r="F288" s="453" t="s">
        <v>582</v>
      </c>
      <c r="G288" s="454" t="s">
        <v>653</v>
      </c>
      <c r="H288" s="453" t="s">
        <v>1788</v>
      </c>
      <c r="I288" s="481">
        <v>0</v>
      </c>
      <c r="J288" s="453" t="s">
        <v>1105</v>
      </c>
      <c r="K288" s="453" t="s">
        <v>2028</v>
      </c>
      <c r="L288" s="451" t="s">
        <v>2258</v>
      </c>
      <c r="M288" s="457">
        <v>46073</v>
      </c>
      <c r="N288" s="457">
        <v>46073</v>
      </c>
      <c r="O288" s="457">
        <v>46072</v>
      </c>
      <c r="P288" s="452" t="s">
        <v>214</v>
      </c>
      <c r="Q288" s="458">
        <v>0</v>
      </c>
      <c r="R288" s="467">
        <v>0</v>
      </c>
      <c r="S288" s="467">
        <v>0</v>
      </c>
      <c r="T288" s="115">
        <f>SUM(mFEV[[#This Row],[PRINCIPAL]:[JUROS]])</f>
        <v>0</v>
      </c>
    </row>
    <row r="289" spans="2:20" ht="21" customHeight="1">
      <c r="B289" s="451" t="str">
        <f t="shared" si="4"/>
        <v>2/26</v>
      </c>
      <c r="C289" s="121" t="str">
        <f>VLOOKUP(mFEV[[#This Row],[CÓDIGO CONTABIL]],Contas_Gerencial[#All],3,FALSE)</f>
        <v>DESPESAS GERAIS</v>
      </c>
      <c r="D289" s="445" t="str">
        <f>VLOOKUP(mFEV[[#This Row],[DESCRIÇÃO CONTABIL]],Contas_Gerencial[[#All],[DESCRIÇÃO DA CONTA - NÃO UTILIZAR]:[Código2]],2,FALSE)</f>
        <v>20.03.006</v>
      </c>
      <c r="E289" s="121" t="s">
        <v>6</v>
      </c>
      <c r="F289" s="453" t="s">
        <v>582</v>
      </c>
      <c r="G289" s="454" t="s">
        <v>583</v>
      </c>
      <c r="H289" s="453" t="s">
        <v>1788</v>
      </c>
      <c r="I289" s="481">
        <v>2383</v>
      </c>
      <c r="J289" s="453" t="s">
        <v>1105</v>
      </c>
      <c r="K289" s="453" t="s">
        <v>6</v>
      </c>
      <c r="L289" s="451" t="s">
        <v>2258</v>
      </c>
      <c r="M289" s="457">
        <v>46050</v>
      </c>
      <c r="N289" s="457">
        <v>46073</v>
      </c>
      <c r="O289" s="457">
        <v>46072</v>
      </c>
      <c r="P289" s="452" t="s">
        <v>214</v>
      </c>
      <c r="Q289" s="458">
        <v>781.38</v>
      </c>
      <c r="R289" s="467">
        <v>0</v>
      </c>
      <c r="S289" s="467">
        <v>0</v>
      </c>
      <c r="T289" s="115">
        <f>SUM(mFEV[[#This Row],[PRINCIPAL]:[JUROS]])</f>
        <v>781.38</v>
      </c>
    </row>
    <row r="290" spans="2:20" ht="21" customHeight="1">
      <c r="B290" s="451" t="str">
        <f t="shared" si="4"/>
        <v>2/26</v>
      </c>
      <c r="C290" s="121" t="str">
        <f>VLOOKUP(mFEV[[#This Row],[CÓDIGO CONTABIL]],Contas_Gerencial[#All],3,FALSE)</f>
        <v>DESPESAS GERAIS</v>
      </c>
      <c r="D290" s="445" t="str">
        <f>VLOOKUP(mFEV[[#This Row],[DESCRIÇÃO CONTABIL]],Contas_Gerencial[[#All],[DESCRIÇÃO DA CONTA - NÃO UTILIZAR]:[Código2]],2,FALSE)</f>
        <v>20.03.006</v>
      </c>
      <c r="E290" s="121" t="s">
        <v>6</v>
      </c>
      <c r="F290" s="453" t="s">
        <v>582</v>
      </c>
      <c r="G290" s="454" t="s">
        <v>638</v>
      </c>
      <c r="H290" s="453" t="s">
        <v>1788</v>
      </c>
      <c r="I290" s="481">
        <v>2386</v>
      </c>
      <c r="J290" s="453" t="s">
        <v>1105</v>
      </c>
      <c r="K290" s="453" t="s">
        <v>6</v>
      </c>
      <c r="L290" s="451" t="s">
        <v>2258</v>
      </c>
      <c r="M290" s="457">
        <v>46051</v>
      </c>
      <c r="N290" s="457">
        <v>46073</v>
      </c>
      <c r="O290" s="457">
        <v>46072</v>
      </c>
      <c r="P290" s="452" t="s">
        <v>214</v>
      </c>
      <c r="Q290" s="458">
        <v>294.54000000000002</v>
      </c>
      <c r="R290" s="467">
        <v>0</v>
      </c>
      <c r="S290" s="467">
        <v>0</v>
      </c>
      <c r="T290" s="115">
        <f>SUM(mFEV[[#This Row],[PRINCIPAL]:[JUROS]])</f>
        <v>294.54000000000002</v>
      </c>
    </row>
    <row r="291" spans="2:20" ht="21" customHeight="1">
      <c r="B291" s="451" t="str">
        <f t="shared" si="4"/>
        <v>2/26</v>
      </c>
      <c r="C291" s="121" t="str">
        <f>VLOOKUP(mFEV[[#This Row],[CÓDIGO CONTABIL]],Contas_Gerencial[#All],3,FALSE)</f>
        <v>DESPESAS GERAIS</v>
      </c>
      <c r="D291" s="445" t="str">
        <f>VLOOKUP(mFEV[[#This Row],[DESCRIÇÃO CONTABIL]],Contas_Gerencial[[#All],[DESCRIÇÃO DA CONTA - NÃO UTILIZAR]:[Código2]],2,FALSE)</f>
        <v>20.03.006</v>
      </c>
      <c r="E291" s="121" t="s">
        <v>6</v>
      </c>
      <c r="F291" s="453" t="s">
        <v>582</v>
      </c>
      <c r="G291" s="454" t="s">
        <v>1082</v>
      </c>
      <c r="H291" s="453" t="s">
        <v>1788</v>
      </c>
      <c r="I291" s="481">
        <v>2384</v>
      </c>
      <c r="J291" s="453" t="s">
        <v>1105</v>
      </c>
      <c r="K291" s="453" t="s">
        <v>6</v>
      </c>
      <c r="L291" s="451" t="s">
        <v>2258</v>
      </c>
      <c r="M291" s="457">
        <v>46050</v>
      </c>
      <c r="N291" s="457">
        <v>46073</v>
      </c>
      <c r="O291" s="457">
        <v>46072</v>
      </c>
      <c r="P291" s="452" t="s">
        <v>214</v>
      </c>
      <c r="Q291" s="458">
        <v>135.71</v>
      </c>
      <c r="R291" s="467">
        <v>0</v>
      </c>
      <c r="S291" s="467">
        <v>0</v>
      </c>
      <c r="T291" s="115">
        <f>SUM(mFEV[[#This Row],[PRINCIPAL]:[JUROS]])</f>
        <v>135.71</v>
      </c>
    </row>
    <row r="292" spans="2:20" ht="21" customHeight="1">
      <c r="B292" s="451" t="str">
        <f t="shared" si="4"/>
        <v>2/26</v>
      </c>
      <c r="C292" s="121" t="str">
        <f>VLOOKUP(mFEV[[#This Row],[CÓDIGO CONTABIL]],Contas_Gerencial[#All],3,FALSE)</f>
        <v>DESPESAS GERAIS</v>
      </c>
      <c r="D292" s="445" t="str">
        <f>VLOOKUP(mFEV[[#This Row],[DESCRIÇÃO CONTABIL]],Contas_Gerencial[[#All],[DESCRIÇÃO DA CONTA - NÃO UTILIZAR]:[Código2]],2,FALSE)</f>
        <v>20.03.006</v>
      </c>
      <c r="E292" s="121" t="s">
        <v>6</v>
      </c>
      <c r="F292" s="453" t="s">
        <v>582</v>
      </c>
      <c r="G292" s="454" t="s">
        <v>1082</v>
      </c>
      <c r="H292" s="453" t="s">
        <v>1788</v>
      </c>
      <c r="I292" s="481">
        <v>2419</v>
      </c>
      <c r="J292" s="453" t="s">
        <v>1105</v>
      </c>
      <c r="K292" s="453" t="s">
        <v>2283</v>
      </c>
      <c r="L292" s="451" t="s">
        <v>2258</v>
      </c>
      <c r="M292" s="457">
        <v>46059</v>
      </c>
      <c r="N292" s="457">
        <v>46073</v>
      </c>
      <c r="O292" s="457">
        <v>46072</v>
      </c>
      <c r="P292" s="452" t="s">
        <v>214</v>
      </c>
      <c r="Q292" s="458">
        <v>213.05</v>
      </c>
      <c r="R292" s="467">
        <v>0</v>
      </c>
      <c r="S292" s="467">
        <v>0</v>
      </c>
      <c r="T292" s="115">
        <f>SUM(mFEV[[#This Row],[PRINCIPAL]:[JUROS]])</f>
        <v>213.05</v>
      </c>
    </row>
    <row r="293" spans="2:20" ht="21" customHeight="1">
      <c r="B293" s="451" t="str">
        <f t="shared" si="4"/>
        <v>2/26</v>
      </c>
      <c r="C293" s="121" t="str">
        <f>VLOOKUP(mFEV[[#This Row],[CÓDIGO CONTABIL]],Contas_Gerencial[#All],3,FALSE)</f>
        <v>DESPESAS GERAIS</v>
      </c>
      <c r="D293" s="445" t="str">
        <f>VLOOKUP(mFEV[[#This Row],[DESCRIÇÃO CONTABIL]],Contas_Gerencial[[#All],[DESCRIÇÃO DA CONTA - NÃO UTILIZAR]:[Código2]],2,FALSE)</f>
        <v>20.03.006</v>
      </c>
      <c r="E293" s="121" t="s">
        <v>6</v>
      </c>
      <c r="F293" s="453" t="s">
        <v>581</v>
      </c>
      <c r="G293" s="454" t="s">
        <v>1003</v>
      </c>
      <c r="H293" s="453" t="s">
        <v>1788</v>
      </c>
      <c r="I293" s="481">
        <v>2387</v>
      </c>
      <c r="J293" s="453" t="s">
        <v>1105</v>
      </c>
      <c r="K293" s="453" t="s">
        <v>6</v>
      </c>
      <c r="L293" s="451" t="s">
        <v>2258</v>
      </c>
      <c r="M293" s="457">
        <v>46051</v>
      </c>
      <c r="N293" s="457">
        <v>46073</v>
      </c>
      <c r="O293" s="457">
        <v>46072</v>
      </c>
      <c r="P293" s="452" t="s">
        <v>214</v>
      </c>
      <c r="Q293" s="458">
        <v>804.81</v>
      </c>
      <c r="R293" s="467">
        <v>0</v>
      </c>
      <c r="S293" s="467">
        <v>0</v>
      </c>
      <c r="T293" s="115">
        <f>SUM(mFEV[[#This Row],[PRINCIPAL]:[JUROS]])</f>
        <v>804.81</v>
      </c>
    </row>
    <row r="294" spans="2:20" ht="21" customHeight="1">
      <c r="B294" s="451" t="str">
        <f t="shared" si="4"/>
        <v>2/26</v>
      </c>
      <c r="C294" s="121" t="str">
        <f>VLOOKUP(mFEV[[#This Row],[CÓDIGO CONTABIL]],Contas_Gerencial[#All],3,FALSE)</f>
        <v>DESPESAS GERAIS</v>
      </c>
      <c r="D294" s="445" t="str">
        <f>VLOOKUP(mFEV[[#This Row],[DESCRIÇÃO CONTABIL]],Contas_Gerencial[[#All],[DESCRIÇÃO DA CONTA - NÃO UTILIZAR]:[Código2]],2,FALSE)</f>
        <v>20.03.006</v>
      </c>
      <c r="E294" s="121" t="s">
        <v>6</v>
      </c>
      <c r="F294" s="453" t="s">
        <v>581</v>
      </c>
      <c r="G294" s="454" t="s">
        <v>1634</v>
      </c>
      <c r="H294" s="453" t="s">
        <v>1788</v>
      </c>
      <c r="I294" s="481">
        <v>2385</v>
      </c>
      <c r="J294" s="453" t="s">
        <v>1105</v>
      </c>
      <c r="K294" s="453" t="s">
        <v>6</v>
      </c>
      <c r="L294" s="451" t="s">
        <v>2258</v>
      </c>
      <c r="M294" s="457">
        <v>46051</v>
      </c>
      <c r="N294" s="457">
        <v>46073</v>
      </c>
      <c r="O294" s="457">
        <v>46072</v>
      </c>
      <c r="P294" s="452" t="s">
        <v>214</v>
      </c>
      <c r="Q294" s="458">
        <v>230.45</v>
      </c>
      <c r="R294" s="467">
        <v>0</v>
      </c>
      <c r="S294" s="467">
        <v>0</v>
      </c>
      <c r="T294" s="115">
        <f>SUM(mFEV[[#This Row],[PRINCIPAL]:[JUROS]])</f>
        <v>230.45</v>
      </c>
    </row>
    <row r="295" spans="2:20" ht="21" customHeight="1">
      <c r="B295" s="451" t="str">
        <f t="shared" si="4"/>
        <v>2/26</v>
      </c>
      <c r="C295" s="121" t="str">
        <f>VLOOKUP(mFEV[[#This Row],[CÓDIGO CONTABIL]],Contas_Gerencial[#All],3,FALSE)</f>
        <v>DESPESAS GERAIS</v>
      </c>
      <c r="D295" s="445" t="str">
        <f>VLOOKUP(mFEV[[#This Row],[DESCRIÇÃO CONTABIL]],Contas_Gerencial[[#All],[DESCRIÇÃO DA CONTA - NÃO UTILIZAR]:[Código2]],2,FALSE)</f>
        <v>20.03.006</v>
      </c>
      <c r="E295" s="121" t="s">
        <v>6</v>
      </c>
      <c r="F295" s="453" t="s">
        <v>581</v>
      </c>
      <c r="G295" s="454" t="s">
        <v>1137</v>
      </c>
      <c r="H295" s="453" t="s">
        <v>1788</v>
      </c>
      <c r="I295" s="481">
        <v>2390</v>
      </c>
      <c r="J295" s="453" t="s">
        <v>1105</v>
      </c>
      <c r="K295" s="453" t="s">
        <v>6</v>
      </c>
      <c r="L295" s="451" t="s">
        <v>2258</v>
      </c>
      <c r="M295" s="457">
        <v>46051</v>
      </c>
      <c r="N295" s="457">
        <v>46073</v>
      </c>
      <c r="O295" s="457">
        <v>46072</v>
      </c>
      <c r="P295" s="452" t="s">
        <v>214</v>
      </c>
      <c r="Q295" s="458">
        <v>539.17999999999995</v>
      </c>
      <c r="R295" s="467">
        <v>0</v>
      </c>
      <c r="S295" s="467">
        <v>0</v>
      </c>
      <c r="T295" s="115">
        <f>SUM(mFEV[[#This Row],[PRINCIPAL]:[JUROS]])</f>
        <v>539.17999999999995</v>
      </c>
    </row>
    <row r="296" spans="2:20" ht="21" customHeight="1">
      <c r="B296" s="451" t="str">
        <f t="shared" si="4"/>
        <v>2/26</v>
      </c>
      <c r="C296" s="121" t="str">
        <f>VLOOKUP(mFEV[[#This Row],[CÓDIGO CONTABIL]],Contas_Gerencial[#All],3,FALSE)</f>
        <v>DESPESAS GERAIS</v>
      </c>
      <c r="D296" s="445" t="str">
        <f>VLOOKUP(mFEV[[#This Row],[DESCRIÇÃO CONTABIL]],Contas_Gerencial[[#All],[DESCRIÇÃO DA CONTA - NÃO UTILIZAR]:[Código2]],2,FALSE)</f>
        <v>20.03.006</v>
      </c>
      <c r="E296" s="121" t="s">
        <v>6</v>
      </c>
      <c r="F296" s="453" t="s">
        <v>581</v>
      </c>
      <c r="G296" s="107" t="s">
        <v>1768</v>
      </c>
      <c r="H296" s="453" t="s">
        <v>1788</v>
      </c>
      <c r="I296" s="481">
        <v>0</v>
      </c>
      <c r="J296" s="453" t="s">
        <v>1105</v>
      </c>
      <c r="K296" s="453" t="s">
        <v>2028</v>
      </c>
      <c r="L296" s="451" t="s">
        <v>2258</v>
      </c>
      <c r="M296" s="457">
        <v>46051</v>
      </c>
      <c r="N296" s="457">
        <v>46073</v>
      </c>
      <c r="O296" s="457">
        <v>46072</v>
      </c>
      <c r="P296" s="452" t="s">
        <v>214</v>
      </c>
      <c r="Q296" s="458">
        <v>0</v>
      </c>
      <c r="R296" s="467">
        <v>0</v>
      </c>
      <c r="S296" s="467">
        <v>0</v>
      </c>
      <c r="T296" s="115">
        <f>SUM(mFEV[[#This Row],[PRINCIPAL]:[JUROS]])</f>
        <v>0</v>
      </c>
    </row>
    <row r="297" spans="2:20" ht="21" customHeight="1">
      <c r="B297" s="451" t="str">
        <f t="shared" si="4"/>
        <v>2/26</v>
      </c>
      <c r="C297" s="121" t="str">
        <f>VLOOKUP(mFEV[[#This Row],[CÓDIGO CONTABIL]],Contas_Gerencial[#All],3,FALSE)</f>
        <v>DESPESAS GERAIS</v>
      </c>
      <c r="D297" s="445" t="str">
        <f>VLOOKUP(mFEV[[#This Row],[DESCRIÇÃO CONTABIL]],Contas_Gerencial[[#All],[DESCRIÇÃO DA CONTA - NÃO UTILIZAR]:[Código2]],2,FALSE)</f>
        <v>20.03.006</v>
      </c>
      <c r="E297" s="121" t="s">
        <v>6</v>
      </c>
      <c r="F297" s="453" t="s">
        <v>581</v>
      </c>
      <c r="G297" s="107" t="s">
        <v>1991</v>
      </c>
      <c r="H297" s="453" t="s">
        <v>1788</v>
      </c>
      <c r="I297" s="481">
        <v>0</v>
      </c>
      <c r="J297" s="453" t="s">
        <v>1105</v>
      </c>
      <c r="K297" s="453" t="s">
        <v>2028</v>
      </c>
      <c r="L297" s="451" t="s">
        <v>2258</v>
      </c>
      <c r="M297" s="457">
        <v>46051</v>
      </c>
      <c r="N297" s="457">
        <v>46073</v>
      </c>
      <c r="O297" s="457">
        <v>46072</v>
      </c>
      <c r="P297" s="452" t="s">
        <v>214</v>
      </c>
      <c r="Q297" s="458">
        <v>0</v>
      </c>
      <c r="R297" s="467">
        <v>0</v>
      </c>
      <c r="S297" s="467">
        <v>0</v>
      </c>
      <c r="T297" s="115">
        <f>SUM(mFEV[[#This Row],[PRINCIPAL]:[JUROS]])</f>
        <v>0</v>
      </c>
    </row>
    <row r="298" spans="2:20" ht="21" customHeight="1">
      <c r="B298" s="451" t="str">
        <f t="shared" si="4"/>
        <v>2/26</v>
      </c>
      <c r="C298" s="121" t="str">
        <f>VLOOKUP(mFEV[[#This Row],[CÓDIGO CONTABIL]],Contas_Gerencial[#All],3,FALSE)</f>
        <v>DESPESAS GERAIS</v>
      </c>
      <c r="D298" s="445" t="str">
        <f>VLOOKUP(mFEV[[#This Row],[DESCRIÇÃO CONTABIL]],Contas_Gerencial[[#All],[DESCRIÇÃO DA CONTA - NÃO UTILIZAR]:[Código2]],2,FALSE)</f>
        <v>20.03.006</v>
      </c>
      <c r="E298" s="121" t="s">
        <v>6</v>
      </c>
      <c r="F298" s="453" t="s">
        <v>581</v>
      </c>
      <c r="G298" s="107" t="s">
        <v>1659</v>
      </c>
      <c r="H298" s="453" t="s">
        <v>1788</v>
      </c>
      <c r="I298" s="481">
        <v>0</v>
      </c>
      <c r="J298" s="453" t="s">
        <v>1105</v>
      </c>
      <c r="K298" s="453" t="s">
        <v>2028</v>
      </c>
      <c r="L298" s="451" t="s">
        <v>2258</v>
      </c>
      <c r="M298" s="457">
        <v>46051</v>
      </c>
      <c r="N298" s="457">
        <v>46073</v>
      </c>
      <c r="O298" s="457">
        <v>46072</v>
      </c>
      <c r="P298" s="452" t="s">
        <v>214</v>
      </c>
      <c r="Q298" s="458">
        <v>0</v>
      </c>
      <c r="R298" s="467">
        <v>0</v>
      </c>
      <c r="S298" s="467">
        <v>0</v>
      </c>
      <c r="T298" s="115">
        <f>SUM(mFEV[[#This Row],[PRINCIPAL]:[JUROS]])</f>
        <v>0</v>
      </c>
    </row>
    <row r="299" spans="2:20" ht="21" customHeight="1">
      <c r="B299" s="451" t="str">
        <f t="shared" si="4"/>
        <v>2/26</v>
      </c>
      <c r="C299" s="121" t="str">
        <f>VLOOKUP(mFEV[[#This Row],[CÓDIGO CONTABIL]],Contas_Gerencial[#All],3,FALSE)</f>
        <v>TRIBUTOS</v>
      </c>
      <c r="D299" s="445" t="str">
        <f>VLOOKUP(mFEV[[#This Row],[DESCRIÇÃO CONTABIL]],Contas_Gerencial[[#All],[DESCRIÇÃO DA CONTA - NÃO UTILIZAR]:[Código2]],2,FALSE)</f>
        <v>20.08.016</v>
      </c>
      <c r="E299" s="578" t="s">
        <v>1175</v>
      </c>
      <c r="F299" s="466" t="s">
        <v>581</v>
      </c>
      <c r="G299" s="453" t="s">
        <v>595</v>
      </c>
      <c r="H299" s="19" t="s">
        <v>1765</v>
      </c>
      <c r="I299" s="51" t="s">
        <v>1810</v>
      </c>
      <c r="J299" s="453" t="s">
        <v>497</v>
      </c>
      <c r="K299" s="453" t="s">
        <v>2084</v>
      </c>
      <c r="L299" s="456" t="s">
        <v>2130</v>
      </c>
      <c r="M299" s="457">
        <v>45691</v>
      </c>
      <c r="N299" s="457">
        <v>46078</v>
      </c>
      <c r="O299" s="457">
        <v>46072</v>
      </c>
      <c r="P299" s="452" t="s">
        <v>214</v>
      </c>
      <c r="Q299" s="467">
        <v>139.87</v>
      </c>
      <c r="R299" s="467">
        <v>0</v>
      </c>
      <c r="S299" s="467">
        <v>0</v>
      </c>
      <c r="T299" s="115">
        <f>SUM(mFEV[[#This Row],[PRINCIPAL]:[JUROS]])</f>
        <v>139.87</v>
      </c>
    </row>
    <row r="300" spans="2:20" ht="21" customHeight="1">
      <c r="B300" s="451" t="str">
        <f t="shared" si="4"/>
        <v>2/26</v>
      </c>
      <c r="C300" s="121" t="str">
        <f>VLOOKUP(mFEV[[#This Row],[CÓDIGO CONTABIL]],Contas_Gerencial[#All],3,FALSE)</f>
        <v>TRIBUTOS</v>
      </c>
      <c r="D300" s="445" t="str">
        <f>VLOOKUP(mFEV[[#This Row],[DESCRIÇÃO CONTABIL]],Contas_Gerencial[[#All],[DESCRIÇÃO DA CONTA - NÃO UTILIZAR]:[Código2]],2,FALSE)</f>
        <v>20.08.015</v>
      </c>
      <c r="E300" s="121" t="s">
        <v>1159</v>
      </c>
      <c r="F300" s="453" t="s">
        <v>581</v>
      </c>
      <c r="G300" s="107" t="s">
        <v>595</v>
      </c>
      <c r="H300" s="453" t="s">
        <v>2523</v>
      </c>
      <c r="I300" s="481" t="s">
        <v>2210</v>
      </c>
      <c r="J300" s="453" t="s">
        <v>2209</v>
      </c>
      <c r="K300" s="453" t="s">
        <v>2211</v>
      </c>
      <c r="L300" s="456" t="s">
        <v>2514</v>
      </c>
      <c r="M300" s="457">
        <v>46044</v>
      </c>
      <c r="N300" s="457">
        <v>46080</v>
      </c>
      <c r="O300" s="457">
        <v>46080</v>
      </c>
      <c r="P300" s="452" t="s">
        <v>214</v>
      </c>
      <c r="Q300" s="458">
        <v>1142.5899999999999</v>
      </c>
      <c r="R300" s="467">
        <v>53.33</v>
      </c>
      <c r="S300" s="467">
        <v>88.6</v>
      </c>
      <c r="T300" s="115">
        <f>SUM(mFEV[[#This Row],[PRINCIPAL]:[JUROS]])</f>
        <v>1284.5199999999998</v>
      </c>
    </row>
    <row r="301" spans="2:20" ht="21" customHeight="1">
      <c r="B301" s="451" t="str">
        <f t="shared" si="4"/>
        <v>2/26</v>
      </c>
      <c r="C301" s="121" t="str">
        <f>VLOOKUP(mFEV[[#This Row],[CÓDIGO CONTABIL]],Contas_Gerencial[#All],3,FALSE)</f>
        <v>TRIBUTOS</v>
      </c>
      <c r="D301" s="445" t="str">
        <f>VLOOKUP(mFEV[[#This Row],[DESCRIÇÃO CONTABIL]],Contas_Gerencial[[#All],[DESCRIÇÃO DA CONTA - NÃO UTILIZAR]:[Código2]],2,FALSE)</f>
        <v>20.08.015</v>
      </c>
      <c r="E301" s="121" t="s">
        <v>1159</v>
      </c>
      <c r="F301" s="453" t="s">
        <v>581</v>
      </c>
      <c r="G301" s="107" t="s">
        <v>595</v>
      </c>
      <c r="H301" s="453" t="s">
        <v>2523</v>
      </c>
      <c r="I301" s="481" t="s">
        <v>2214</v>
      </c>
      <c r="J301" s="453" t="s">
        <v>2209</v>
      </c>
      <c r="K301" s="453" t="s">
        <v>2215</v>
      </c>
      <c r="L301" s="456" t="s">
        <v>2515</v>
      </c>
      <c r="M301" s="457">
        <v>46044</v>
      </c>
      <c r="N301" s="457">
        <v>46080</v>
      </c>
      <c r="O301" s="457">
        <v>46080</v>
      </c>
      <c r="P301" s="452" t="s">
        <v>214</v>
      </c>
      <c r="Q301" s="458">
        <v>171.68</v>
      </c>
      <c r="R301" s="467">
        <v>34.31</v>
      </c>
      <c r="S301" s="467">
        <v>113.45</v>
      </c>
      <c r="T301" s="115">
        <f>SUM(mFEV[[#This Row],[PRINCIPAL]:[JUROS]])</f>
        <v>319.44</v>
      </c>
    </row>
    <row r="302" spans="2:20" ht="21" customHeight="1">
      <c r="B302" s="451" t="str">
        <f t="shared" si="4"/>
        <v>2/26</v>
      </c>
      <c r="C302" s="121" t="str">
        <f>VLOOKUP(mFEV[[#This Row],[CÓDIGO CONTABIL]],Contas_Gerencial[#All],3,FALSE)</f>
        <v>TRIBUTOS</v>
      </c>
      <c r="D302" s="445" t="str">
        <f>VLOOKUP(mFEV[[#This Row],[DESCRIÇÃO CONTABIL]],Contas_Gerencial[[#All],[DESCRIÇÃO DA CONTA - NÃO UTILIZAR]:[Código2]],2,FALSE)</f>
        <v>20.08.015</v>
      </c>
      <c r="E302" s="121" t="s">
        <v>1159</v>
      </c>
      <c r="F302" s="453" t="s">
        <v>581</v>
      </c>
      <c r="G302" s="107" t="s">
        <v>595</v>
      </c>
      <c r="H302" s="453" t="s">
        <v>2522</v>
      </c>
      <c r="I302" s="481" t="s">
        <v>2217</v>
      </c>
      <c r="J302" s="453" t="s">
        <v>2209</v>
      </c>
      <c r="K302" s="453" t="s">
        <v>2233</v>
      </c>
      <c r="L302" s="456" t="s">
        <v>2516</v>
      </c>
      <c r="M302" s="457">
        <v>46044</v>
      </c>
      <c r="N302" s="457">
        <v>46080</v>
      </c>
      <c r="O302" s="457">
        <v>46080</v>
      </c>
      <c r="P302" s="452" t="s">
        <v>214</v>
      </c>
      <c r="Q302" s="458">
        <v>339.46</v>
      </c>
      <c r="R302" s="467">
        <v>67.89</v>
      </c>
      <c r="S302" s="467">
        <v>103.26</v>
      </c>
      <c r="T302" s="115">
        <f>SUM(mFEV[[#This Row],[PRINCIPAL]:[JUROS]])</f>
        <v>510.60999999999996</v>
      </c>
    </row>
    <row r="303" spans="2:20" ht="21" customHeight="1">
      <c r="B303" s="451" t="str">
        <f t="shared" si="4"/>
        <v>2/26</v>
      </c>
      <c r="C303" s="121" t="str">
        <f>VLOOKUP(mFEV[[#This Row],[CÓDIGO CONTABIL]],Contas_Gerencial[#All],3,FALSE)</f>
        <v>TRIBUTOS</v>
      </c>
      <c r="D303" s="445" t="str">
        <f>VLOOKUP(mFEV[[#This Row],[DESCRIÇÃO CONTABIL]],Contas_Gerencial[[#All],[DESCRIÇÃO DA CONTA - NÃO UTILIZAR]:[Código2]],2,FALSE)</f>
        <v>20.08.015</v>
      </c>
      <c r="E303" s="121" t="s">
        <v>1159</v>
      </c>
      <c r="F303" s="453" t="s">
        <v>581</v>
      </c>
      <c r="G303" s="107" t="s">
        <v>595</v>
      </c>
      <c r="H303" s="453" t="s">
        <v>2517</v>
      </c>
      <c r="I303" s="453" t="s">
        <v>2206</v>
      </c>
      <c r="J303" s="453" t="s">
        <v>757</v>
      </c>
      <c r="K303" s="1013" t="s">
        <v>2519</v>
      </c>
      <c r="L303" s="456" t="s">
        <v>2518</v>
      </c>
      <c r="M303" s="457">
        <v>46045</v>
      </c>
      <c r="N303" s="457">
        <v>46080</v>
      </c>
      <c r="O303" s="457">
        <v>46080</v>
      </c>
      <c r="P303" s="452" t="s">
        <v>214</v>
      </c>
      <c r="Q303" s="458">
        <v>2272.39</v>
      </c>
      <c r="R303" s="467">
        <v>454.46</v>
      </c>
      <c r="S303" s="467">
        <v>654.89</v>
      </c>
      <c r="T303" s="115">
        <f>SUM(mFEV[[#This Row],[PRINCIPAL]:[JUROS]])</f>
        <v>3381.74</v>
      </c>
    </row>
    <row r="304" spans="2:20" ht="21" customHeight="1">
      <c r="B304" s="451" t="str">
        <f t="shared" si="4"/>
        <v>2/26</v>
      </c>
      <c r="C304" s="121" t="str">
        <f>VLOOKUP(mFEV[[#This Row],[CÓDIGO CONTABIL]],Contas_Gerencial[#All],3,FALSE)</f>
        <v>TRIBUTOS</v>
      </c>
      <c r="D304" s="445" t="str">
        <f>VLOOKUP(mFEV[[#This Row],[DESCRIÇÃO CONTABIL]],Contas_Gerencial[[#All],[DESCRIÇÃO DA CONTA - NÃO UTILIZAR]:[Código2]],2,FALSE)</f>
        <v>20.08.015</v>
      </c>
      <c r="E304" s="121" t="s">
        <v>1159</v>
      </c>
      <c r="F304" s="453" t="s">
        <v>582</v>
      </c>
      <c r="G304" s="107" t="s">
        <v>595</v>
      </c>
      <c r="H304" s="453" t="s">
        <v>2517</v>
      </c>
      <c r="I304" s="481" t="s">
        <v>2228</v>
      </c>
      <c r="J304" s="453" t="s">
        <v>757</v>
      </c>
      <c r="K304" s="1013" t="s">
        <v>2525</v>
      </c>
      <c r="L304" s="456" t="s">
        <v>2518</v>
      </c>
      <c r="M304" s="457">
        <v>46052</v>
      </c>
      <c r="N304" s="457">
        <v>46080</v>
      </c>
      <c r="O304" s="457">
        <v>46080</v>
      </c>
      <c r="P304" s="452" t="s">
        <v>214</v>
      </c>
      <c r="Q304" s="458">
        <v>1010.56</v>
      </c>
      <c r="R304" s="467">
        <v>202.11</v>
      </c>
      <c r="S304" s="467">
        <v>271.83999999999997</v>
      </c>
      <c r="T304" s="115">
        <f>SUM(mFEV[[#This Row],[PRINCIPAL]:[JUROS]])</f>
        <v>1484.51</v>
      </c>
    </row>
    <row r="305" spans="2:22" ht="21" customHeight="1">
      <c r="B305" s="451" t="str">
        <f t="shared" si="4"/>
        <v>2/26</v>
      </c>
      <c r="C305" s="121" t="str">
        <f>VLOOKUP(mFEV[[#This Row],[CÓDIGO CONTABIL]],Contas_Gerencial[#All],3,FALSE)</f>
        <v>TRIBUTOS</v>
      </c>
      <c r="D305" s="445" t="str">
        <f>VLOOKUP(mFEV[[#This Row],[DESCRIÇÃO CONTABIL]],Contas_Gerencial[[#All],[DESCRIÇÃO DA CONTA - NÃO UTILIZAR]:[Código2]],2,FALSE)</f>
        <v>20.08.015</v>
      </c>
      <c r="E305" s="121" t="s">
        <v>1159</v>
      </c>
      <c r="F305" s="453" t="s">
        <v>582</v>
      </c>
      <c r="G305" s="107" t="s">
        <v>595</v>
      </c>
      <c r="H305" s="453" t="s">
        <v>2522</v>
      </c>
      <c r="I305" s="481" t="s">
        <v>2524</v>
      </c>
      <c r="J305" s="453" t="s">
        <v>2209</v>
      </c>
      <c r="K305" s="453" t="s">
        <v>2218</v>
      </c>
      <c r="L305" s="456" t="s">
        <v>2515</v>
      </c>
      <c r="M305" s="457">
        <v>46052</v>
      </c>
      <c r="N305" s="457">
        <v>46080</v>
      </c>
      <c r="O305" s="457">
        <v>46080</v>
      </c>
      <c r="P305" s="452" t="s">
        <v>214</v>
      </c>
      <c r="Q305" s="458">
        <v>64.94</v>
      </c>
      <c r="R305" s="467">
        <v>12.98</v>
      </c>
      <c r="S305" s="467">
        <v>25.62</v>
      </c>
      <c r="T305" s="115">
        <f>SUM(mFEV[[#This Row],[PRINCIPAL]:[JUROS]])</f>
        <v>103.54</v>
      </c>
    </row>
    <row r="306" spans="2:22" ht="21" customHeight="1">
      <c r="B306" s="451" t="str">
        <f t="shared" si="4"/>
        <v>2/26</v>
      </c>
      <c r="C306" s="121" t="str">
        <f>VLOOKUP(mFEV[[#This Row],[CÓDIGO CONTABIL]],Contas_Gerencial[#All],3,FALSE)</f>
        <v>SERVIÇOS DE TERCEIROS</v>
      </c>
      <c r="D306" s="445" t="str">
        <f>VLOOKUP(mFEV[[#This Row],[DESCRIÇÃO CONTABIL]],Contas_Gerencial[[#All],[DESCRIÇÃO DA CONTA - NÃO UTILIZAR]:[Código2]],2,FALSE)</f>
        <v>20.07.029</v>
      </c>
      <c r="E306" s="452" t="s">
        <v>426</v>
      </c>
      <c r="F306" s="453" t="s">
        <v>581</v>
      </c>
      <c r="G306" s="454" t="s">
        <v>653</v>
      </c>
      <c r="H306" s="453" t="s">
        <v>1802</v>
      </c>
      <c r="I306" s="455">
        <v>70226</v>
      </c>
      <c r="J306" s="453" t="s">
        <v>581</v>
      </c>
      <c r="K306" s="453" t="s">
        <v>2265</v>
      </c>
      <c r="L306" s="453" t="s">
        <v>1766</v>
      </c>
      <c r="M306" s="457">
        <v>46060</v>
      </c>
      <c r="N306" s="457">
        <v>46060</v>
      </c>
      <c r="O306" s="457">
        <v>46060</v>
      </c>
      <c r="P306" s="453" t="s">
        <v>214</v>
      </c>
      <c r="Q306" s="458">
        <v>50</v>
      </c>
      <c r="R306" s="459">
        <v>0</v>
      </c>
      <c r="S306" s="459">
        <v>0</v>
      </c>
      <c r="T306" s="115">
        <f>SUM(mFEV[[#This Row],[PRINCIPAL]:[JUROS]])</f>
        <v>50</v>
      </c>
    </row>
    <row r="307" spans="2:22" ht="21" customHeight="1">
      <c r="B307" s="451" t="str">
        <f t="shared" si="4"/>
        <v>2/26</v>
      </c>
      <c r="C307" s="121" t="str">
        <f>VLOOKUP(mFEV[[#This Row],[CÓDIGO CONTABIL]],Contas_Gerencial[#All],3,FALSE)</f>
        <v>FOLHA DE PAGAMENTO</v>
      </c>
      <c r="D307" s="445" t="str">
        <f>VLOOKUP(mFEV[[#This Row],[DESCRIÇÃO CONTABIL]],Contas_Gerencial[[#All],[DESCRIÇÃO DA CONTA - NÃO UTILIZAR]:[Código2]],2,FALSE)</f>
        <v>20.05.011</v>
      </c>
      <c r="E307" s="452" t="s">
        <v>78</v>
      </c>
      <c r="F307" s="453" t="s">
        <v>582</v>
      </c>
      <c r="G307" s="454" t="s">
        <v>583</v>
      </c>
      <c r="H307" s="453" t="s">
        <v>1802</v>
      </c>
      <c r="I307" s="455">
        <v>90226</v>
      </c>
      <c r="J307" s="453" t="s">
        <v>582</v>
      </c>
      <c r="K307" s="453" t="s">
        <v>2255</v>
      </c>
      <c r="L307" s="453" t="s">
        <v>1766</v>
      </c>
      <c r="M307" s="457">
        <v>46062</v>
      </c>
      <c r="N307" s="457">
        <v>46062</v>
      </c>
      <c r="O307" s="457">
        <v>46062</v>
      </c>
      <c r="P307" s="453" t="s">
        <v>214</v>
      </c>
      <c r="Q307" s="458">
        <v>200</v>
      </c>
      <c r="R307" s="467">
        <v>0</v>
      </c>
      <c r="S307" s="467">
        <v>0</v>
      </c>
      <c r="T307" s="115">
        <f>SUM(mFEV[[#This Row],[PRINCIPAL]:[JUROS]])</f>
        <v>200</v>
      </c>
    </row>
    <row r="308" spans="2:22" ht="21" customHeight="1">
      <c r="B308" s="451" t="str">
        <f t="shared" si="4"/>
        <v>2/26</v>
      </c>
      <c r="C308" s="121" t="str">
        <f>VLOOKUP(mFEV[[#This Row],[CÓDIGO CONTABIL]],Contas_Gerencial[#All],3,FALSE)</f>
        <v>SERVIÇOS DE TERCEIROS</v>
      </c>
      <c r="D308" s="445" t="str">
        <f>VLOOKUP(mFEV[[#This Row],[DESCRIÇÃO CONTABIL]],Contas_Gerencial[[#All],[DESCRIÇÃO DA CONTA - NÃO UTILIZAR]:[Código2]],2,FALSE)</f>
        <v>20.07.028</v>
      </c>
      <c r="E308" s="121" t="s">
        <v>881</v>
      </c>
      <c r="F308" s="453" t="s">
        <v>41</v>
      </c>
      <c r="G308" s="121" t="s">
        <v>595</v>
      </c>
      <c r="H308" s="453" t="s">
        <v>1802</v>
      </c>
      <c r="I308" s="481" t="s">
        <v>2256</v>
      </c>
      <c r="J308" s="453" t="s">
        <v>1106</v>
      </c>
      <c r="K308" s="453" t="s">
        <v>2044</v>
      </c>
      <c r="L308" s="1080" t="s">
        <v>2137</v>
      </c>
      <c r="M308" s="457">
        <v>46062</v>
      </c>
      <c r="N308" s="457">
        <v>46063</v>
      </c>
      <c r="O308" s="457">
        <v>46062</v>
      </c>
      <c r="P308" s="452" t="s">
        <v>214</v>
      </c>
      <c r="Q308" s="467">
        <v>1365</v>
      </c>
      <c r="R308" s="467">
        <v>0</v>
      </c>
      <c r="S308" s="467">
        <v>0</v>
      </c>
      <c r="T308" s="115">
        <f>SUM(mFEV[[#This Row],[PRINCIPAL]:[JUROS]])</f>
        <v>1365</v>
      </c>
    </row>
    <row r="309" spans="2:22" ht="21" customHeight="1">
      <c r="B309" s="451" t="str">
        <f t="shared" si="4"/>
        <v>2/26</v>
      </c>
      <c r="C309" s="121" t="str">
        <f>VLOOKUP(mFEV[[#This Row],[CÓDIGO CONTABIL]],Contas_Gerencial[#All],3,FALSE)</f>
        <v>FOLHA DE PAGAMENTO</v>
      </c>
      <c r="D309" s="445" t="str">
        <f>VLOOKUP(mFEV[[#This Row],[DESCRIÇÃO CONTABIL]],Contas_Gerencial[[#All],[DESCRIÇÃO DA CONTA - NÃO UTILIZAR]:[Código2]],2,FALSE)</f>
        <v>20.05.013</v>
      </c>
      <c r="E309" s="121" t="s">
        <v>401</v>
      </c>
      <c r="F309" s="453" t="s">
        <v>581</v>
      </c>
      <c r="G309" s="107" t="s">
        <v>1137</v>
      </c>
      <c r="H309" s="453" t="s">
        <v>1802</v>
      </c>
      <c r="I309" s="455">
        <v>240226</v>
      </c>
      <c r="J309" s="453" t="s">
        <v>581</v>
      </c>
      <c r="K309" s="453" t="s">
        <v>2497</v>
      </c>
      <c r="L309" s="453" t="s">
        <v>1766</v>
      </c>
      <c r="M309" s="457">
        <v>46062</v>
      </c>
      <c r="N309" s="457">
        <v>46077</v>
      </c>
      <c r="O309" s="457">
        <v>46077</v>
      </c>
      <c r="P309" s="453" t="s">
        <v>214</v>
      </c>
      <c r="Q309" s="458">
        <f>100*5</f>
        <v>500</v>
      </c>
      <c r="R309" s="467">
        <v>0</v>
      </c>
      <c r="S309" s="467">
        <v>0</v>
      </c>
      <c r="T309" s="115">
        <f>SUM(mFEV[[#This Row],[PRINCIPAL]:[JUROS]])</f>
        <v>500</v>
      </c>
      <c r="V309" s="115"/>
    </row>
    <row r="310" spans="2:22" ht="21" customHeight="1">
      <c r="B310" s="451" t="str">
        <f t="shared" si="4"/>
        <v>2/26</v>
      </c>
      <c r="C310" s="121" t="str">
        <f>VLOOKUP(mFEV[[#This Row],[CÓDIGO CONTABIL]],Contas_Gerencial[#All],3,FALSE)</f>
        <v>DESPESAS FIXAS</v>
      </c>
      <c r="D310" s="445" t="str">
        <f>VLOOKUP(mFEV[[#This Row],[DESCRIÇÃO CONTABIL]],Contas_Gerencial[[#All],[DESCRIÇÃO DA CONTA - NÃO UTILIZAR]:[Código2]],2,FALSE)</f>
        <v>20.02.008</v>
      </c>
      <c r="E310" s="452" t="s">
        <v>343</v>
      </c>
      <c r="F310" s="453" t="s">
        <v>581</v>
      </c>
      <c r="G310" s="454" t="s">
        <v>1130</v>
      </c>
      <c r="H310" s="453" t="s">
        <v>2168</v>
      </c>
      <c r="I310" s="455">
        <v>101216</v>
      </c>
      <c r="J310" s="503" t="s">
        <v>1957</v>
      </c>
      <c r="K310" s="453" t="s">
        <v>2261</v>
      </c>
      <c r="L310" s="453" t="s">
        <v>1766</v>
      </c>
      <c r="M310" s="457">
        <v>46062</v>
      </c>
      <c r="N310" s="457">
        <v>46062</v>
      </c>
      <c r="O310" s="457">
        <v>46062</v>
      </c>
      <c r="P310" s="453" t="s">
        <v>214</v>
      </c>
      <c r="Q310" s="458">
        <v>305.33</v>
      </c>
      <c r="R310" s="459">
        <v>0</v>
      </c>
      <c r="S310" s="459">
        <v>0</v>
      </c>
      <c r="T310" s="115">
        <f>SUM(mFEV[[#This Row],[PRINCIPAL]:[JUROS]])</f>
        <v>305.33</v>
      </c>
    </row>
    <row r="311" spans="2:22" ht="21" customHeight="1">
      <c r="B311" s="451" t="str">
        <f t="shared" si="4"/>
        <v>2/26</v>
      </c>
      <c r="C311" s="121" t="str">
        <f>VLOOKUP(mFEV[[#This Row],[CÓDIGO CONTABIL]],Contas_Gerencial[#All],3,FALSE)</f>
        <v>UNIFORME</v>
      </c>
      <c r="D311" s="445" t="str">
        <f>VLOOKUP(mFEV[[#This Row],[DESCRIÇÃO CONTABIL]],Contas_Gerencial[[#All],[DESCRIÇÃO DA CONTA - NÃO UTILIZAR]:[Código2]],2,FALSE)</f>
        <v>20.05.028</v>
      </c>
      <c r="E311" s="452" t="s">
        <v>10</v>
      </c>
      <c r="F311" s="453" t="s">
        <v>581</v>
      </c>
      <c r="G311" s="454" t="s">
        <v>1630</v>
      </c>
      <c r="H311" s="453" t="s">
        <v>2262</v>
      </c>
      <c r="I311" s="455">
        <v>100226</v>
      </c>
      <c r="J311" s="453" t="s">
        <v>581</v>
      </c>
      <c r="K311" s="453" t="s">
        <v>2263</v>
      </c>
      <c r="L311" s="453" t="s">
        <v>1766</v>
      </c>
      <c r="M311" s="457">
        <v>46063</v>
      </c>
      <c r="N311" s="457">
        <v>46063</v>
      </c>
      <c r="O311" s="457">
        <v>46063</v>
      </c>
      <c r="P311" s="453" t="s">
        <v>214</v>
      </c>
      <c r="Q311" s="458">
        <v>90</v>
      </c>
      <c r="R311" s="459">
        <v>0</v>
      </c>
      <c r="S311" s="459">
        <v>0</v>
      </c>
      <c r="T311" s="115">
        <f>SUM(mFEV[[#This Row],[PRINCIPAL]:[JUROS]])</f>
        <v>90</v>
      </c>
    </row>
    <row r="312" spans="2:22" ht="21" customHeight="1">
      <c r="B312" s="451" t="str">
        <f t="shared" si="4"/>
        <v>2/26</v>
      </c>
      <c r="C312" s="121" t="str">
        <f>VLOOKUP(mFEV[[#This Row],[CÓDIGO CONTABIL]],Contas_Gerencial[#All],3,FALSE)</f>
        <v>UNIFORME</v>
      </c>
      <c r="D312" s="445" t="str">
        <f>VLOOKUP(mFEV[[#This Row],[DESCRIÇÃO CONTABIL]],Contas_Gerencial[[#All],[DESCRIÇÃO DA CONTA - NÃO UTILIZAR]:[Código2]],2,FALSE)</f>
        <v>20.05.028</v>
      </c>
      <c r="E312" s="452" t="s">
        <v>10</v>
      </c>
      <c r="F312" s="453" t="s">
        <v>581</v>
      </c>
      <c r="G312" s="454" t="s">
        <v>1630</v>
      </c>
      <c r="H312" s="453" t="s">
        <v>2262</v>
      </c>
      <c r="I312" s="455">
        <v>100226</v>
      </c>
      <c r="J312" s="453" t="s">
        <v>581</v>
      </c>
      <c r="K312" s="453" t="s">
        <v>2264</v>
      </c>
      <c r="L312" s="453" t="s">
        <v>1766</v>
      </c>
      <c r="M312" s="457">
        <v>46063</v>
      </c>
      <c r="N312" s="457">
        <v>46063</v>
      </c>
      <c r="O312" s="457">
        <v>46063</v>
      </c>
      <c r="P312" s="453" t="s">
        <v>214</v>
      </c>
      <c r="Q312" s="458">
        <v>90</v>
      </c>
      <c r="R312" s="459">
        <v>0</v>
      </c>
      <c r="S312" s="459">
        <v>0</v>
      </c>
      <c r="T312" s="115">
        <f>SUM(mFEV[[#This Row],[PRINCIPAL]:[JUROS]])</f>
        <v>90</v>
      </c>
    </row>
    <row r="313" spans="2:22" ht="21" customHeight="1">
      <c r="B313" s="451" t="str">
        <f t="shared" si="4"/>
        <v>2/26</v>
      </c>
      <c r="C313" s="121" t="str">
        <f>VLOOKUP(mFEV[[#This Row],[CÓDIGO CONTABIL]],Contas_Gerencial[#All],3,FALSE)</f>
        <v>SERVIÇOS DE TERCEIROS</v>
      </c>
      <c r="D313" s="445" t="str">
        <f>VLOOKUP(mFEV[[#This Row],[DESCRIÇÃO CONTABIL]],Contas_Gerencial[[#All],[DESCRIÇÃO DA CONTA - NÃO UTILIZAR]:[Código2]],2,FALSE)</f>
        <v>20.07.017</v>
      </c>
      <c r="E313" s="452" t="s">
        <v>57</v>
      </c>
      <c r="F313" s="453" t="s">
        <v>581</v>
      </c>
      <c r="G313" s="454" t="s">
        <v>1130</v>
      </c>
      <c r="H313" s="453" t="s">
        <v>1932</v>
      </c>
      <c r="I313" s="455">
        <v>62</v>
      </c>
      <c r="J313" s="453" t="s">
        <v>2269</v>
      </c>
      <c r="K313" s="503" t="s">
        <v>2274</v>
      </c>
      <c r="L313" s="453" t="s">
        <v>1766</v>
      </c>
      <c r="M313" s="457">
        <v>46064</v>
      </c>
      <c r="N313" s="457">
        <v>46064</v>
      </c>
      <c r="O313" s="457">
        <v>46064</v>
      </c>
      <c r="P313" s="453" t="s">
        <v>214</v>
      </c>
      <c r="Q313" s="458">
        <v>320</v>
      </c>
      <c r="R313" s="459">
        <v>0</v>
      </c>
      <c r="S313" s="459">
        <v>0</v>
      </c>
      <c r="T313" s="115">
        <f>SUM(mFEV[[#This Row],[PRINCIPAL]:[JUROS]])</f>
        <v>320</v>
      </c>
    </row>
    <row r="314" spans="2:22" ht="21" customHeight="1">
      <c r="B314" s="451" t="str">
        <f t="shared" si="4"/>
        <v>2/26</v>
      </c>
      <c r="C314" s="121" t="str">
        <f>VLOOKUP(mFEV[[#This Row],[CÓDIGO CONTABIL]],Contas_Gerencial[#All],3,FALSE)</f>
        <v>FOLHA DE PAGAMENTO</v>
      </c>
      <c r="D314" s="445" t="str">
        <f>VLOOKUP(mFEV[[#This Row],[DESCRIÇÃO CONTABIL]],Contas_Gerencial[[#All],[DESCRIÇÃO DA CONTA - NÃO UTILIZAR]:[Código2]],2,FALSE)</f>
        <v>20.05.013</v>
      </c>
      <c r="E314" s="452" t="s">
        <v>401</v>
      </c>
      <c r="F314" s="453" t="s">
        <v>581</v>
      </c>
      <c r="G314" s="454" t="s">
        <v>1767</v>
      </c>
      <c r="H314" s="453" t="s">
        <v>1802</v>
      </c>
      <c r="I314" s="455">
        <v>110226</v>
      </c>
      <c r="J314" s="453" t="s">
        <v>581</v>
      </c>
      <c r="K314" s="453" t="s">
        <v>2275</v>
      </c>
      <c r="L314" s="453" t="s">
        <v>1766</v>
      </c>
      <c r="M314" s="457">
        <v>45688</v>
      </c>
      <c r="N314" s="457">
        <v>46064</v>
      </c>
      <c r="O314" s="457">
        <v>46064</v>
      </c>
      <c r="P314" s="453" t="s">
        <v>214</v>
      </c>
      <c r="Q314" s="458">
        <v>300</v>
      </c>
      <c r="R314" s="459">
        <v>0</v>
      </c>
      <c r="S314" s="459">
        <v>0</v>
      </c>
      <c r="T314" s="115">
        <f>SUM(mFEV[[#This Row],[PRINCIPAL]:[JUROS]])</f>
        <v>300</v>
      </c>
    </row>
    <row r="315" spans="2:22" ht="21" customHeight="1">
      <c r="B315" s="451" t="str">
        <f t="shared" si="4"/>
        <v>2/26</v>
      </c>
      <c r="C315" s="121" t="str">
        <f>VLOOKUP(mFEV[[#This Row],[CÓDIGO CONTABIL]],Contas_Gerencial[#All],3,FALSE)</f>
        <v>FOLHA DE PAGAMENTO</v>
      </c>
      <c r="D315" s="445" t="str">
        <f>VLOOKUP(mFEV[[#This Row],[DESCRIÇÃO CONTABIL]],Contas_Gerencial[[#All],[DESCRIÇÃO DA CONTA - NÃO UTILIZAR]:[Código2]],2,FALSE)</f>
        <v>20.05.023</v>
      </c>
      <c r="E315" s="452" t="s">
        <v>291</v>
      </c>
      <c r="F315" s="453" t="s">
        <v>581</v>
      </c>
      <c r="G315" s="454" t="s">
        <v>1767</v>
      </c>
      <c r="H315" s="453" t="s">
        <v>1802</v>
      </c>
      <c r="I315" s="455">
        <v>110226</v>
      </c>
      <c r="J315" s="453" t="s">
        <v>581</v>
      </c>
      <c r="K315" s="1013" t="s">
        <v>2277</v>
      </c>
      <c r="L315" s="456" t="s">
        <v>1766</v>
      </c>
      <c r="M315" s="457">
        <v>46064</v>
      </c>
      <c r="N315" s="457">
        <v>46064</v>
      </c>
      <c r="O315" s="457">
        <v>46064</v>
      </c>
      <c r="P315" s="453" t="s">
        <v>214</v>
      </c>
      <c r="Q315" s="458">
        <v>100</v>
      </c>
      <c r="R315" s="459">
        <v>0</v>
      </c>
      <c r="S315" s="459">
        <v>0</v>
      </c>
      <c r="T315" s="115">
        <f>SUM(mFEV[[#This Row],[PRINCIPAL]:[JUROS]])</f>
        <v>100</v>
      </c>
    </row>
    <row r="316" spans="2:22" ht="21" customHeight="1">
      <c r="B316" s="451" t="str">
        <f t="shared" si="4"/>
        <v>2/26</v>
      </c>
      <c r="C316" s="121" t="str">
        <f>VLOOKUP(mFEV[[#This Row],[CÓDIGO CONTABIL]],Contas_Gerencial[#All],3,FALSE)</f>
        <v>BENEFICIO</v>
      </c>
      <c r="D316" s="445" t="str">
        <f>VLOOKUP(mFEV[[#This Row],[DESCRIÇÃO CONTABIL]],Contas_Gerencial[[#All],[DESCRIÇÃO DA CONTA - NÃO UTILIZAR]:[Código2]],2,FALSE)</f>
        <v>20.05.006</v>
      </c>
      <c r="E316" s="452" t="s">
        <v>24</v>
      </c>
      <c r="F316" s="453" t="s">
        <v>581</v>
      </c>
      <c r="G316" s="454" t="s">
        <v>1767</v>
      </c>
      <c r="H316" s="453" t="s">
        <v>1802</v>
      </c>
      <c r="I316" s="455">
        <v>110226</v>
      </c>
      <c r="J316" s="453" t="s">
        <v>581</v>
      </c>
      <c r="K316" s="1013" t="s">
        <v>2276</v>
      </c>
      <c r="L316" s="456" t="s">
        <v>1766</v>
      </c>
      <c r="M316" s="457">
        <v>46064</v>
      </c>
      <c r="N316" s="457">
        <v>46064</v>
      </c>
      <c r="O316" s="457">
        <v>46064</v>
      </c>
      <c r="P316" s="453" t="s">
        <v>214</v>
      </c>
      <c r="Q316" s="458">
        <v>221.5</v>
      </c>
      <c r="R316" s="459">
        <v>0</v>
      </c>
      <c r="S316" s="459">
        <v>0</v>
      </c>
      <c r="T316" s="115">
        <f>SUM(mFEV[[#This Row],[PRINCIPAL]:[JUROS]])</f>
        <v>221.5</v>
      </c>
    </row>
    <row r="317" spans="2:22" ht="21" customHeight="1">
      <c r="B317" s="451" t="str">
        <f t="shared" si="4"/>
        <v>2/26</v>
      </c>
      <c r="C317" s="121" t="str">
        <f>VLOOKUP(mFEV[[#This Row],[CÓDIGO CONTABIL]],Contas_Gerencial[#All],3,FALSE)</f>
        <v>BENEFICIO</v>
      </c>
      <c r="D317" s="445" t="str">
        <f>VLOOKUP(mFEV[[#This Row],[DESCRIÇÃO CONTABIL]],Contas_Gerencial[[#All],[DESCRIÇÃO DA CONTA - NÃO UTILIZAR]:[Código2]],2,FALSE)</f>
        <v>20.05.007</v>
      </c>
      <c r="E317" s="452" t="s">
        <v>25</v>
      </c>
      <c r="F317" s="453" t="s">
        <v>581</v>
      </c>
      <c r="G317" s="454" t="s">
        <v>1767</v>
      </c>
      <c r="H317" s="453" t="s">
        <v>1802</v>
      </c>
      <c r="I317" s="455">
        <v>110226</v>
      </c>
      <c r="J317" s="453" t="s">
        <v>581</v>
      </c>
      <c r="K317" s="1013" t="s">
        <v>2276</v>
      </c>
      <c r="L317" s="456" t="s">
        <v>1766</v>
      </c>
      <c r="M317" s="457">
        <v>46064</v>
      </c>
      <c r="N317" s="457">
        <v>46064</v>
      </c>
      <c r="O317" s="457">
        <v>46064</v>
      </c>
      <c r="P317" s="453" t="s">
        <v>214</v>
      </c>
      <c r="Q317" s="458">
        <v>55</v>
      </c>
      <c r="R317" s="459">
        <v>0</v>
      </c>
      <c r="S317" s="459">
        <v>0</v>
      </c>
      <c r="T317" s="115">
        <f>SUM(mFEV[[#This Row],[PRINCIPAL]:[JUROS]])</f>
        <v>55</v>
      </c>
    </row>
    <row r="318" spans="2:22" ht="21" customHeight="1">
      <c r="B318" s="451" t="str">
        <f t="shared" si="4"/>
        <v>2/26</v>
      </c>
      <c r="C318" s="121" t="str">
        <f>VLOOKUP(mFEV[[#This Row],[CÓDIGO CONTABIL]],Contas_Gerencial[#All],3,FALSE)</f>
        <v>FOLHA DE PAGAMENTO</v>
      </c>
      <c r="D318" s="445" t="str">
        <f>VLOOKUP(mFEV[[#This Row],[DESCRIÇÃO CONTABIL]],Contas_Gerencial[[#All],[DESCRIÇÃO DA CONTA - NÃO UTILIZAR]:[Código2]],2,FALSE)</f>
        <v>20.05.013</v>
      </c>
      <c r="E318" s="452" t="s">
        <v>401</v>
      </c>
      <c r="F318" s="453" t="s">
        <v>581</v>
      </c>
      <c r="G318" s="454" t="s">
        <v>1003</v>
      </c>
      <c r="H318" s="453" t="s">
        <v>1802</v>
      </c>
      <c r="I318" s="455">
        <v>120226</v>
      </c>
      <c r="J318" s="453" t="s">
        <v>581</v>
      </c>
      <c r="K318" s="453" t="s">
        <v>2501</v>
      </c>
      <c r="L318" s="456" t="s">
        <v>1766</v>
      </c>
      <c r="M318" s="457">
        <v>46065</v>
      </c>
      <c r="N318" s="457">
        <v>46065</v>
      </c>
      <c r="O318" s="457">
        <v>46065</v>
      </c>
      <c r="P318" s="453" t="s">
        <v>214</v>
      </c>
      <c r="Q318" s="458">
        <v>130</v>
      </c>
      <c r="R318" s="459">
        <v>0</v>
      </c>
      <c r="S318" s="459">
        <v>0</v>
      </c>
      <c r="T318" s="115">
        <f>SUM(mFEV[[#This Row],[PRINCIPAL]:[JUROS]])</f>
        <v>130</v>
      </c>
    </row>
    <row r="319" spans="2:22" ht="21" customHeight="1">
      <c r="B319" s="451" t="str">
        <f t="shared" si="4"/>
        <v>2/26</v>
      </c>
      <c r="C319" s="121" t="str">
        <f>VLOOKUP(mFEV[[#This Row],[CÓDIGO CONTABIL]],Contas_Gerencial[#All],3,FALSE)</f>
        <v>DESPESAS FIXAS</v>
      </c>
      <c r="D319" s="445" t="str">
        <f>VLOOKUP(mFEV[[#This Row],[DESCRIÇÃO CONTABIL]],Contas_Gerencial[[#All],[DESCRIÇÃO DA CONTA - NÃO UTILIZAR]:[Código2]],2,FALSE)</f>
        <v>20.02.008</v>
      </c>
      <c r="E319" s="452" t="s">
        <v>343</v>
      </c>
      <c r="F319" s="453" t="s">
        <v>41</v>
      </c>
      <c r="G319" s="454" t="s">
        <v>1130</v>
      </c>
      <c r="H319" s="453" t="s">
        <v>2168</v>
      </c>
      <c r="I319" s="455">
        <v>130226</v>
      </c>
      <c r="J319" s="503" t="s">
        <v>1957</v>
      </c>
      <c r="K319" s="453" t="s">
        <v>2261</v>
      </c>
      <c r="L319" s="453" t="s">
        <v>1766</v>
      </c>
      <c r="M319" s="457">
        <v>46066</v>
      </c>
      <c r="N319" s="457">
        <v>46066</v>
      </c>
      <c r="O319" s="457">
        <v>46066</v>
      </c>
      <c r="P319" s="453" t="s">
        <v>214</v>
      </c>
      <c r="Q319" s="458">
        <v>303.27</v>
      </c>
      <c r="R319" s="459">
        <v>0</v>
      </c>
      <c r="S319" s="459">
        <v>0</v>
      </c>
      <c r="T319" s="115">
        <f>SUM(mFEV[[#This Row],[PRINCIPAL]:[JUROS]])</f>
        <v>303.27</v>
      </c>
    </row>
    <row r="320" spans="2:22" ht="21" customHeight="1">
      <c r="B320" s="451" t="str">
        <f t="shared" si="4"/>
        <v>2/26</v>
      </c>
      <c r="C320" s="121" t="str">
        <f>VLOOKUP(mFEV[[#This Row],[CÓDIGO CONTABIL]],Contas_Gerencial[#All],3,FALSE)</f>
        <v>DESPESAS GERAIS</v>
      </c>
      <c r="D320" s="445" t="str">
        <f>VLOOKUP(mFEV[[#This Row],[DESCRIÇÃO CONTABIL]],Contas_Gerencial[[#All],[DESCRIÇÃO DA CONTA - NÃO UTILIZAR]:[Código2]],2,FALSE)</f>
        <v>20.03.001</v>
      </c>
      <c r="E320" s="452" t="s">
        <v>50</v>
      </c>
      <c r="F320" s="453" t="s">
        <v>41</v>
      </c>
      <c r="G320" s="454" t="s">
        <v>595</v>
      </c>
      <c r="H320" s="453" t="s">
        <v>1802</v>
      </c>
      <c r="I320" s="455">
        <v>160226</v>
      </c>
      <c r="J320" s="453" t="s">
        <v>2285</v>
      </c>
      <c r="K320" s="453" t="s">
        <v>2286</v>
      </c>
      <c r="L320" s="453" t="s">
        <v>1766</v>
      </c>
      <c r="M320" s="457">
        <v>46069</v>
      </c>
      <c r="N320" s="457">
        <v>46069</v>
      </c>
      <c r="O320" s="457">
        <v>46069</v>
      </c>
      <c r="P320" s="453" t="s">
        <v>214</v>
      </c>
      <c r="Q320" s="458">
        <v>540.96</v>
      </c>
      <c r="R320" s="459">
        <v>0</v>
      </c>
      <c r="S320" s="459">
        <v>0</v>
      </c>
      <c r="T320" s="115">
        <f>SUM(mFEV[[#This Row],[PRINCIPAL]:[JUROS]])</f>
        <v>540.96</v>
      </c>
    </row>
    <row r="321" spans="2:22" ht="21" customHeight="1">
      <c r="B321" s="451" t="str">
        <f t="shared" si="4"/>
        <v>2/26</v>
      </c>
      <c r="C321" s="121" t="str">
        <f>VLOOKUP(mFEV[[#This Row],[CÓDIGO CONTABIL]],Contas_Gerencial[#All],3,FALSE)</f>
        <v>BENEFICIO</v>
      </c>
      <c r="D321" s="445" t="str">
        <f>VLOOKUP(mFEV[[#This Row],[DESCRIÇÃO CONTABIL]],Contas_Gerencial[[#All],[DESCRIÇÃO DA CONTA - NÃO UTILIZAR]:[Código2]],2,FALSE)</f>
        <v>20.05.006</v>
      </c>
      <c r="E321" s="452" t="s">
        <v>24</v>
      </c>
      <c r="F321" s="453" t="s">
        <v>582</v>
      </c>
      <c r="G321" s="454" t="s">
        <v>583</v>
      </c>
      <c r="H321" s="453" t="s">
        <v>1791</v>
      </c>
      <c r="I321" s="455">
        <v>190226</v>
      </c>
      <c r="J321" s="453" t="s">
        <v>582</v>
      </c>
      <c r="K321" s="1013" t="s">
        <v>2363</v>
      </c>
      <c r="L321" s="456" t="s">
        <v>1766</v>
      </c>
      <c r="M321" s="457">
        <v>46072</v>
      </c>
      <c r="N321" s="457">
        <v>46072</v>
      </c>
      <c r="O321" s="457">
        <v>46072</v>
      </c>
      <c r="P321" s="453" t="s">
        <v>214</v>
      </c>
      <c r="Q321" s="458">
        <v>88.6</v>
      </c>
      <c r="R321" s="459">
        <v>0</v>
      </c>
      <c r="S321" s="459">
        <v>0</v>
      </c>
      <c r="T321" s="115">
        <f>SUM(mFEV[[#This Row],[PRINCIPAL]:[JUROS]])</f>
        <v>88.6</v>
      </c>
    </row>
    <row r="322" spans="2:22" ht="21" customHeight="1">
      <c r="B322" s="451" t="str">
        <f t="shared" si="4"/>
        <v>2/26</v>
      </c>
      <c r="C322" s="121" t="str">
        <f>VLOOKUP(mFEV[[#This Row],[CÓDIGO CONTABIL]],Contas_Gerencial[#All],3,FALSE)</f>
        <v>BENEFICIO</v>
      </c>
      <c r="D322" s="445" t="str">
        <f>VLOOKUP(mFEV[[#This Row],[DESCRIÇÃO CONTABIL]],Contas_Gerencial[[#All],[DESCRIÇÃO DA CONTA - NÃO UTILIZAR]:[Código2]],2,FALSE)</f>
        <v>20.05.007</v>
      </c>
      <c r="E322" s="452" t="s">
        <v>25</v>
      </c>
      <c r="F322" s="453" t="s">
        <v>582</v>
      </c>
      <c r="G322" s="454" t="s">
        <v>583</v>
      </c>
      <c r="H322" s="453" t="s">
        <v>1791</v>
      </c>
      <c r="I322" s="455">
        <v>190226</v>
      </c>
      <c r="J322" s="453" t="s">
        <v>582</v>
      </c>
      <c r="K322" s="1013" t="s">
        <v>2363</v>
      </c>
      <c r="L322" s="456" t="s">
        <v>1766</v>
      </c>
      <c r="M322" s="457">
        <v>46072</v>
      </c>
      <c r="N322" s="457">
        <v>46072</v>
      </c>
      <c r="O322" s="457">
        <v>46072</v>
      </c>
      <c r="P322" s="453" t="s">
        <v>214</v>
      </c>
      <c r="Q322" s="458">
        <v>33</v>
      </c>
      <c r="R322" s="459">
        <v>0</v>
      </c>
      <c r="S322" s="459">
        <v>0</v>
      </c>
      <c r="T322" s="115">
        <f>SUM(mFEV[[#This Row],[PRINCIPAL]:[JUROS]])</f>
        <v>33</v>
      </c>
    </row>
    <row r="323" spans="2:22" ht="21" customHeight="1">
      <c r="B323" s="451" t="str">
        <f t="shared" si="4"/>
        <v>2/26</v>
      </c>
      <c r="C323" s="121" t="str">
        <f>VLOOKUP(mFEV[[#This Row],[CÓDIGO CONTABIL]],Contas_Gerencial[#All],3,FALSE)</f>
        <v>FOLHA DE PAGAMENTO</v>
      </c>
      <c r="D323" s="445" t="str">
        <f>VLOOKUP(mFEV[[#This Row],[DESCRIÇÃO CONTABIL]],Contas_Gerencial[[#All],[DESCRIÇÃO DA CONTA - NÃO UTILIZAR]:[Código2]],2,FALSE)</f>
        <v>20.05.013</v>
      </c>
      <c r="E323" s="121" t="s">
        <v>401</v>
      </c>
      <c r="F323" s="453" t="s">
        <v>581</v>
      </c>
      <c r="G323" s="107" t="s">
        <v>1003</v>
      </c>
      <c r="H323" s="453" t="s">
        <v>1802</v>
      </c>
      <c r="I323" s="455">
        <v>250226</v>
      </c>
      <c r="J323" s="453" t="s">
        <v>581</v>
      </c>
      <c r="K323" s="453" t="s">
        <v>2502</v>
      </c>
      <c r="L323" s="453" t="s">
        <v>1766</v>
      </c>
      <c r="M323" s="457">
        <v>46078</v>
      </c>
      <c r="N323" s="457">
        <v>46078</v>
      </c>
      <c r="O323" s="457">
        <v>46078</v>
      </c>
      <c r="P323" s="453" t="s">
        <v>214</v>
      </c>
      <c r="Q323" s="458">
        <v>100</v>
      </c>
      <c r="R323" s="467">
        <v>0</v>
      </c>
      <c r="S323" s="467">
        <v>0</v>
      </c>
      <c r="T323" s="115">
        <f>SUM(mFEV[[#This Row],[PRINCIPAL]:[JUROS]])</f>
        <v>100</v>
      </c>
      <c r="V323" s="115"/>
    </row>
    <row r="324" spans="2:22" ht="21" customHeight="1">
      <c r="B324" s="451" t="str">
        <f t="shared" si="4"/>
        <v>2/26</v>
      </c>
      <c r="C324" s="121" t="str">
        <f>VLOOKUP(mFEV[[#This Row],[CÓDIGO CONTABIL]],Contas_Gerencial[#All],3,FALSE)</f>
        <v>FOLHA DE PAGAMENTO</v>
      </c>
      <c r="D324" s="445" t="str">
        <f>VLOOKUP(mFEV[[#This Row],[DESCRIÇÃO CONTABIL]],Contas_Gerencial[[#All],[DESCRIÇÃO DA CONTA - NÃO UTILIZAR]:[Código2]],2,FALSE)</f>
        <v>20.05.013</v>
      </c>
      <c r="E324" s="121" t="s">
        <v>401</v>
      </c>
      <c r="F324" s="453" t="s">
        <v>581</v>
      </c>
      <c r="G324" s="107" t="s">
        <v>1003</v>
      </c>
      <c r="H324" s="453" t="s">
        <v>2503</v>
      </c>
      <c r="I324" s="455">
        <v>180226</v>
      </c>
      <c r="J324" s="453" t="s">
        <v>581</v>
      </c>
      <c r="K324" s="453" t="s">
        <v>2372</v>
      </c>
      <c r="L324" s="453" t="s">
        <v>1766</v>
      </c>
      <c r="M324" s="457">
        <v>46071</v>
      </c>
      <c r="N324" s="457">
        <v>46071</v>
      </c>
      <c r="O324" s="457">
        <v>46071</v>
      </c>
      <c r="P324" s="453" t="s">
        <v>214</v>
      </c>
      <c r="Q324" s="458">
        <v>0</v>
      </c>
      <c r="R324" s="467">
        <v>0</v>
      </c>
      <c r="S324" s="467">
        <v>0</v>
      </c>
      <c r="T324" s="115">
        <f>SUM(mFEV[[#This Row],[PRINCIPAL]:[JUROS]])</f>
        <v>0</v>
      </c>
    </row>
    <row r="325" spans="2:22" ht="21" customHeight="1">
      <c r="B325" s="451" t="str">
        <f t="shared" si="4"/>
        <v>2/26</v>
      </c>
      <c r="C325" s="121" t="str">
        <f>VLOOKUP(mFEV[[#This Row],[CÓDIGO CONTABIL]],Contas_Gerencial[#All],3,FALSE)</f>
        <v>FOLHA DE PAGAMENTO</v>
      </c>
      <c r="D325" s="445" t="str">
        <f>VLOOKUP(mFEV[[#This Row],[DESCRIÇÃO CONTABIL]],Contas_Gerencial[[#All],[DESCRIÇÃO DA CONTA - NÃO UTILIZAR]:[Código2]],2,FALSE)</f>
        <v>20.05.013</v>
      </c>
      <c r="E325" s="121" t="s">
        <v>401</v>
      </c>
      <c r="F325" s="453" t="s">
        <v>581</v>
      </c>
      <c r="G325" s="107" t="s">
        <v>1003</v>
      </c>
      <c r="H325" s="453" t="s">
        <v>1802</v>
      </c>
      <c r="I325" s="455">
        <v>240226</v>
      </c>
      <c r="J325" s="453" t="s">
        <v>581</v>
      </c>
      <c r="K325" s="453" t="s">
        <v>2498</v>
      </c>
      <c r="L325" s="453" t="s">
        <v>1766</v>
      </c>
      <c r="M325" s="457">
        <v>46072</v>
      </c>
      <c r="N325" s="457">
        <v>46078</v>
      </c>
      <c r="O325" s="457">
        <v>46078</v>
      </c>
      <c r="P325" s="453" t="s">
        <v>214</v>
      </c>
      <c r="Q325" s="458">
        <f>100*2</f>
        <v>200</v>
      </c>
      <c r="R325" s="467">
        <v>0</v>
      </c>
      <c r="S325" s="467">
        <v>0</v>
      </c>
      <c r="T325" s="115">
        <f>SUM(mFEV[[#This Row],[PRINCIPAL]:[JUROS]])</f>
        <v>200</v>
      </c>
      <c r="V325" s="115"/>
    </row>
    <row r="326" spans="2:22" ht="21" customHeight="1">
      <c r="B326" s="451" t="str">
        <f t="shared" si="4"/>
        <v>2/26</v>
      </c>
      <c r="C326" s="121" t="str">
        <f>VLOOKUP(mFEV[[#This Row],[CÓDIGO CONTABIL]],Contas_Gerencial[#All],3,FALSE)</f>
        <v>FOLHA DE PAGAMENTO</v>
      </c>
      <c r="D326" s="445" t="str">
        <f>VLOOKUP(mFEV[[#This Row],[DESCRIÇÃO CONTABIL]],Contas_Gerencial[[#All],[DESCRIÇÃO DA CONTA - NÃO UTILIZAR]:[Código2]],2,FALSE)</f>
        <v>20.05.013</v>
      </c>
      <c r="E326" s="121" t="s">
        <v>401</v>
      </c>
      <c r="F326" s="453" t="s">
        <v>581</v>
      </c>
      <c r="G326" s="107" t="s">
        <v>1834</v>
      </c>
      <c r="H326" s="453" t="s">
        <v>2500</v>
      </c>
      <c r="I326" s="455">
        <v>250226</v>
      </c>
      <c r="J326" s="453" t="s">
        <v>581</v>
      </c>
      <c r="K326" s="453" t="s">
        <v>2499</v>
      </c>
      <c r="L326" s="453" t="s">
        <v>1766</v>
      </c>
      <c r="M326" s="457">
        <v>46078</v>
      </c>
      <c r="N326" s="457">
        <v>46078</v>
      </c>
      <c r="O326" s="457">
        <v>46078</v>
      </c>
      <c r="P326" s="453" t="s">
        <v>214</v>
      </c>
      <c r="Q326" s="458">
        <v>0</v>
      </c>
      <c r="R326" s="467">
        <v>0</v>
      </c>
      <c r="S326" s="467">
        <v>0</v>
      </c>
      <c r="T326" s="115">
        <f>SUM(mFEV[[#This Row],[PRINCIPAL]:[JUROS]])</f>
        <v>0</v>
      </c>
      <c r="V326" s="115"/>
    </row>
    <row r="327" spans="2:22" ht="21" customHeight="1">
      <c r="B327" s="451" t="str">
        <f t="shared" si="4"/>
        <v>2/26</v>
      </c>
      <c r="C327" s="121" t="str">
        <f>VLOOKUP(mFEV[[#This Row],[CÓDIGO CONTABIL]],Contas_Gerencial[#All],3,FALSE)</f>
        <v>FOLHA DE PAGAMENTO</v>
      </c>
      <c r="D327" s="445" t="str">
        <f>VLOOKUP(mFEV[[#This Row],[DESCRIÇÃO CONTABIL]],Contas_Gerencial[[#All],[DESCRIÇÃO DA CONTA - NÃO UTILIZAR]:[Código2]],2,FALSE)</f>
        <v>20.05.013</v>
      </c>
      <c r="E327" s="121" t="s">
        <v>401</v>
      </c>
      <c r="F327" s="453" t="s">
        <v>581</v>
      </c>
      <c r="G327" s="107" t="s">
        <v>1003</v>
      </c>
      <c r="H327" s="453" t="s">
        <v>2503</v>
      </c>
      <c r="I327" s="455">
        <v>200226</v>
      </c>
      <c r="J327" s="453" t="s">
        <v>581</v>
      </c>
      <c r="K327" s="453" t="s">
        <v>2371</v>
      </c>
      <c r="L327" s="453" t="s">
        <v>1766</v>
      </c>
      <c r="M327" s="457">
        <v>46073</v>
      </c>
      <c r="N327" s="457">
        <v>46073</v>
      </c>
      <c r="O327" s="457">
        <v>46073</v>
      </c>
      <c r="P327" s="453" t="s">
        <v>214</v>
      </c>
      <c r="Q327" s="458">
        <v>0</v>
      </c>
      <c r="R327" s="467">
        <v>0</v>
      </c>
      <c r="S327" s="467">
        <v>0</v>
      </c>
      <c r="T327" s="115">
        <f>SUM(mFEV[[#This Row],[PRINCIPAL]:[JUROS]])</f>
        <v>0</v>
      </c>
      <c r="V327" s="115"/>
    </row>
    <row r="328" spans="2:22" ht="21" customHeight="1">
      <c r="B328" s="451" t="str">
        <f t="shared" ref="B328:B361" si="5">B327</f>
        <v>2/26</v>
      </c>
      <c r="C328" s="121" t="str">
        <f>VLOOKUP(mFEV[[#This Row],[CÓDIGO CONTABIL]],Contas_Gerencial[#All],3,FALSE)</f>
        <v>FOLHA DE PAGAMENTO</v>
      </c>
      <c r="D328" s="445" t="str">
        <f>VLOOKUP(mFEV[[#This Row],[DESCRIÇÃO CONTABIL]],Contas_Gerencial[[#All],[DESCRIÇÃO DA CONTA - NÃO UTILIZAR]:[Código2]],2,FALSE)</f>
        <v>20.05.016</v>
      </c>
      <c r="E328" s="452" t="s">
        <v>65</v>
      </c>
      <c r="F328" s="453" t="s">
        <v>581</v>
      </c>
      <c r="G328" s="454" t="s">
        <v>982</v>
      </c>
      <c r="H328" s="453" t="s">
        <v>1791</v>
      </c>
      <c r="I328" s="455">
        <v>270226</v>
      </c>
      <c r="J328" s="453" t="s">
        <v>581</v>
      </c>
      <c r="K328" s="453" t="s">
        <v>2373</v>
      </c>
      <c r="L328" s="453" t="s">
        <v>1766</v>
      </c>
      <c r="M328" s="457">
        <v>46080</v>
      </c>
      <c r="N328" s="457">
        <v>46080</v>
      </c>
      <c r="O328" s="457">
        <v>46080</v>
      </c>
      <c r="P328" s="453" t="s">
        <v>214</v>
      </c>
      <c r="Q328" s="458">
        <v>2253.98</v>
      </c>
      <c r="R328" s="459">
        <v>0</v>
      </c>
      <c r="S328" s="459">
        <v>0</v>
      </c>
      <c r="T328" s="115">
        <f>SUM(mFEV[[#This Row],[PRINCIPAL]:[JUROS]])</f>
        <v>2253.98</v>
      </c>
      <c r="V328" s="115"/>
    </row>
    <row r="329" spans="2:22" ht="21" customHeight="1">
      <c r="B329" s="451" t="str">
        <f t="shared" si="5"/>
        <v>2/26</v>
      </c>
      <c r="C329" s="121" t="str">
        <f>VLOOKUP(mFEV[[#This Row],[CÓDIGO CONTABIL]],Contas_Gerencial[#All],3,FALSE)</f>
        <v>FOLHA DE PAGAMENTO</v>
      </c>
      <c r="D329" s="445" t="str">
        <f>VLOOKUP(mFEV[[#This Row],[DESCRIÇÃO CONTABIL]],Contas_Gerencial[[#All],[DESCRIÇÃO DA CONTA - NÃO UTILIZAR]:[Código2]],2,FALSE)</f>
        <v>20.05.016</v>
      </c>
      <c r="E329" s="452" t="s">
        <v>65</v>
      </c>
      <c r="F329" s="453" t="s">
        <v>582</v>
      </c>
      <c r="G329" s="454" t="s">
        <v>49</v>
      </c>
      <c r="H329" s="453" t="s">
        <v>1791</v>
      </c>
      <c r="I329" s="455">
        <v>270226</v>
      </c>
      <c r="J329" s="453" t="s">
        <v>581</v>
      </c>
      <c r="K329" s="453" t="s">
        <v>2374</v>
      </c>
      <c r="L329" s="453" t="s">
        <v>1766</v>
      </c>
      <c r="M329" s="457">
        <v>46080</v>
      </c>
      <c r="N329" s="457">
        <v>46080</v>
      </c>
      <c r="O329" s="457">
        <v>46080</v>
      </c>
      <c r="P329" s="453" t="s">
        <v>214</v>
      </c>
      <c r="Q329" s="458">
        <v>2436.37</v>
      </c>
      <c r="R329" s="459">
        <v>0</v>
      </c>
      <c r="S329" s="459">
        <v>0</v>
      </c>
      <c r="T329" s="115">
        <f>SUM(mFEV[[#This Row],[PRINCIPAL]:[JUROS]])</f>
        <v>2436.37</v>
      </c>
      <c r="V329" s="115"/>
    </row>
    <row r="330" spans="2:22" ht="21" customHeight="1">
      <c r="B330" s="451" t="str">
        <f t="shared" si="5"/>
        <v>2/26</v>
      </c>
      <c r="C330" s="121" t="str">
        <f>VLOOKUP(mFEV[[#This Row],[CÓDIGO CONTABIL]],Contas_Gerencial[#All],3,FALSE)</f>
        <v>DESPESAS FIXAS</v>
      </c>
      <c r="D330" s="445" t="str">
        <f>VLOOKUP(mFEV[[#This Row],[DESCRIÇÃO CONTABIL]],Contas_Gerencial[[#All],[DESCRIÇÃO DA CONTA - NÃO UTILIZAR]:[Código2]],2,FALSE)</f>
        <v>20.02.008</v>
      </c>
      <c r="E330" s="452" t="s">
        <v>343</v>
      </c>
      <c r="F330" s="453" t="s">
        <v>41</v>
      </c>
      <c r="G330" s="454" t="s">
        <v>1130</v>
      </c>
      <c r="H330" s="453" t="s">
        <v>2168</v>
      </c>
      <c r="I330" s="455">
        <v>1001072</v>
      </c>
      <c r="J330" s="453" t="s">
        <v>2380</v>
      </c>
      <c r="K330" s="453" t="s">
        <v>2382</v>
      </c>
      <c r="L330" s="453" t="s">
        <v>1766</v>
      </c>
      <c r="M330" s="457">
        <v>46074</v>
      </c>
      <c r="N330" s="457">
        <v>46074</v>
      </c>
      <c r="O330" s="457">
        <v>46074</v>
      </c>
      <c r="P330" s="453" t="s">
        <v>214</v>
      </c>
      <c r="Q330" s="458">
        <v>30.73</v>
      </c>
      <c r="R330" s="459">
        <v>0</v>
      </c>
      <c r="S330" s="459">
        <v>0</v>
      </c>
      <c r="T330" s="115">
        <f>SUM(mFEV[[#This Row],[PRINCIPAL]:[JUROS]])</f>
        <v>30.73</v>
      </c>
    </row>
    <row r="331" spans="2:22" ht="21" customHeight="1">
      <c r="B331" s="451" t="str">
        <f t="shared" si="5"/>
        <v>2/26</v>
      </c>
      <c r="C331" s="121" t="str">
        <f>VLOOKUP(mFEV[[#This Row],[CÓDIGO CONTABIL]],Contas_Gerencial[#All],3,FALSE)</f>
        <v>BENEFICIO</v>
      </c>
      <c r="D331" s="445" t="str">
        <f>VLOOKUP(mFEV[[#This Row],[DESCRIÇÃO CONTABIL]],Contas_Gerencial[[#All],[DESCRIÇÃO DA CONTA - NÃO UTILIZAR]:[Código2]],2,FALSE)</f>
        <v>20.05.006</v>
      </c>
      <c r="E331" s="452" t="s">
        <v>24</v>
      </c>
      <c r="F331" s="453" t="s">
        <v>581</v>
      </c>
      <c r="G331" s="454" t="s">
        <v>982</v>
      </c>
      <c r="H331" s="453" t="s">
        <v>1791</v>
      </c>
      <c r="I331" s="455">
        <v>200226</v>
      </c>
      <c r="J331" s="453" t="s">
        <v>581</v>
      </c>
      <c r="K331" s="503" t="s">
        <v>2376</v>
      </c>
      <c r="L331" s="503" t="s">
        <v>2379</v>
      </c>
      <c r="M331" s="457">
        <v>46073</v>
      </c>
      <c r="N331" s="457">
        <v>46073</v>
      </c>
      <c r="O331" s="457">
        <v>46073</v>
      </c>
      <c r="P331" s="453" t="s">
        <v>214</v>
      </c>
      <c r="Q331" s="458">
        <v>33.279999999999994</v>
      </c>
      <c r="R331" s="459">
        <v>54.079999999999977</v>
      </c>
      <c r="S331" s="459">
        <v>0</v>
      </c>
      <c r="T331" s="115">
        <f>SUM(mFEV[[#This Row],[PRINCIPAL]:[JUROS]])</f>
        <v>87.359999999999971</v>
      </c>
    </row>
    <row r="332" spans="2:22" ht="21" customHeight="1">
      <c r="B332" s="451" t="str">
        <f t="shared" si="5"/>
        <v>2/26</v>
      </c>
      <c r="C332" s="121" t="str">
        <f>VLOOKUP(mFEV[[#This Row],[CÓDIGO CONTABIL]],Contas_Gerencial[#All],3,FALSE)</f>
        <v>BENEFICIO</v>
      </c>
      <c r="D332" s="445" t="str">
        <f>VLOOKUP(mFEV[[#This Row],[DESCRIÇÃO CONTABIL]],Contas_Gerencial[[#All],[DESCRIÇÃO DA CONTA - NÃO UTILIZAR]:[Código2]],2,FALSE)</f>
        <v>20.05.006</v>
      </c>
      <c r="E332" s="452" t="s">
        <v>24</v>
      </c>
      <c r="F332" s="453" t="s">
        <v>582</v>
      </c>
      <c r="G332" s="454" t="s">
        <v>1081</v>
      </c>
      <c r="H332" s="453" t="s">
        <v>1791</v>
      </c>
      <c r="I332" s="455">
        <v>200226</v>
      </c>
      <c r="J332" s="453" t="s">
        <v>582</v>
      </c>
      <c r="K332" s="503" t="s">
        <v>2376</v>
      </c>
      <c r="L332" s="503" t="s">
        <v>2379</v>
      </c>
      <c r="M332" s="457">
        <v>46073</v>
      </c>
      <c r="N332" s="457">
        <v>46073</v>
      </c>
      <c r="O332" s="457">
        <v>46073</v>
      </c>
      <c r="P332" s="453" t="s">
        <v>214</v>
      </c>
      <c r="Q332" s="458">
        <v>31.199999999999996</v>
      </c>
      <c r="R332" s="459">
        <v>51.999999999999986</v>
      </c>
      <c r="S332" s="459">
        <v>0</v>
      </c>
      <c r="T332" s="115">
        <f>SUM(mFEV[[#This Row],[PRINCIPAL]:[JUROS]])</f>
        <v>83.199999999999989</v>
      </c>
    </row>
    <row r="333" spans="2:22" ht="21" customHeight="1">
      <c r="B333" s="451" t="str">
        <f t="shared" si="5"/>
        <v>2/26</v>
      </c>
      <c r="C333" s="121" t="str">
        <f>VLOOKUP(mFEV[[#This Row],[CÓDIGO CONTABIL]],Contas_Gerencial[#All],3,FALSE)</f>
        <v>BENEFICIO</v>
      </c>
      <c r="D333" s="445" t="str">
        <f>VLOOKUP(mFEV[[#This Row],[DESCRIÇÃO CONTABIL]],Contas_Gerencial[[#All],[DESCRIÇÃO DA CONTA - NÃO UTILIZAR]:[Código2]],2,FALSE)</f>
        <v>20.05.006</v>
      </c>
      <c r="E333" s="452" t="s">
        <v>24</v>
      </c>
      <c r="F333" s="453" t="s">
        <v>581</v>
      </c>
      <c r="G333" s="454" t="s">
        <v>1767</v>
      </c>
      <c r="H333" s="453" t="s">
        <v>1819</v>
      </c>
      <c r="I333" s="455">
        <v>200226</v>
      </c>
      <c r="J333" s="453" t="s">
        <v>581</v>
      </c>
      <c r="K333" s="503" t="s">
        <v>2376</v>
      </c>
      <c r="L333" s="503" t="s">
        <v>2379</v>
      </c>
      <c r="M333" s="457">
        <v>46073</v>
      </c>
      <c r="N333" s="457">
        <v>46073</v>
      </c>
      <c r="O333" s="457">
        <v>46073</v>
      </c>
      <c r="P333" s="453" t="s">
        <v>214</v>
      </c>
      <c r="Q333" s="458">
        <v>147.68000000000004</v>
      </c>
      <c r="R333" s="459">
        <v>249.59999999999994</v>
      </c>
      <c r="S333" s="459">
        <v>0</v>
      </c>
      <c r="T333" s="115">
        <f>SUM(mFEV[[#This Row],[PRINCIPAL]:[JUROS]])</f>
        <v>397.28</v>
      </c>
    </row>
    <row r="334" spans="2:22" ht="21" customHeight="1">
      <c r="B334" s="451" t="str">
        <f t="shared" si="5"/>
        <v>2/26</v>
      </c>
      <c r="C334" s="121" t="str">
        <f>VLOOKUP(mFEV[[#This Row],[CÓDIGO CONTABIL]],Contas_Gerencial[#All],3,FALSE)</f>
        <v>BENEFICIO</v>
      </c>
      <c r="D334" s="445" t="str">
        <f>VLOOKUP(mFEV[[#This Row],[DESCRIÇÃO CONTABIL]],Contas_Gerencial[[#All],[DESCRIÇÃO DA CONTA - NÃO UTILIZAR]:[Código2]],2,FALSE)</f>
        <v>20.05.006</v>
      </c>
      <c r="E334" s="452" t="s">
        <v>24</v>
      </c>
      <c r="F334" s="453" t="s">
        <v>581</v>
      </c>
      <c r="G334" s="454" t="s">
        <v>49</v>
      </c>
      <c r="H334" s="453" t="s">
        <v>1791</v>
      </c>
      <c r="I334" s="455">
        <v>200226</v>
      </c>
      <c r="J334" s="453" t="s">
        <v>581</v>
      </c>
      <c r="K334" s="503" t="s">
        <v>2376</v>
      </c>
      <c r="L334" s="503" t="s">
        <v>2379</v>
      </c>
      <c r="M334" s="457">
        <v>46073</v>
      </c>
      <c r="N334" s="457">
        <v>46073</v>
      </c>
      <c r="O334" s="457">
        <v>46073</v>
      </c>
      <c r="P334" s="453" t="s">
        <v>214</v>
      </c>
      <c r="Q334" s="458">
        <v>126.88</v>
      </c>
      <c r="R334" s="459">
        <v>205.92</v>
      </c>
      <c r="S334" s="459">
        <v>0</v>
      </c>
      <c r="T334" s="115">
        <f>SUM(mFEV[[#This Row],[PRINCIPAL]:[JUROS]])</f>
        <v>332.79999999999995</v>
      </c>
    </row>
    <row r="335" spans="2:22" ht="21" customHeight="1">
      <c r="B335" s="451" t="str">
        <f t="shared" si="5"/>
        <v>2/26</v>
      </c>
      <c r="C335" s="121" t="str">
        <f>VLOOKUP(mFEV[[#This Row],[CÓDIGO CONTABIL]],Contas_Gerencial[#All],3,FALSE)</f>
        <v>BENEFICIO</v>
      </c>
      <c r="D335" s="445" t="str">
        <f>VLOOKUP(mFEV[[#This Row],[DESCRIÇÃO CONTABIL]],Contas_Gerencial[[#All],[DESCRIÇÃO DA CONTA - NÃO UTILIZAR]:[Código2]],2,FALSE)</f>
        <v>20.05.006</v>
      </c>
      <c r="E335" s="452" t="s">
        <v>24</v>
      </c>
      <c r="F335" s="453" t="s">
        <v>582</v>
      </c>
      <c r="G335" s="454" t="s">
        <v>49</v>
      </c>
      <c r="H335" s="453" t="s">
        <v>1791</v>
      </c>
      <c r="I335" s="455">
        <v>200226</v>
      </c>
      <c r="J335" s="453" t="s">
        <v>582</v>
      </c>
      <c r="K335" s="503" t="s">
        <v>2377</v>
      </c>
      <c r="L335" s="503" t="s">
        <v>2379</v>
      </c>
      <c r="M335" s="457">
        <v>46073</v>
      </c>
      <c r="N335" s="457">
        <v>46073</v>
      </c>
      <c r="O335" s="457">
        <v>46073</v>
      </c>
      <c r="P335" s="453" t="s">
        <v>214</v>
      </c>
      <c r="Q335" s="458">
        <v>20.8</v>
      </c>
      <c r="R335" s="459">
        <v>31.2</v>
      </c>
      <c r="S335" s="459">
        <v>0</v>
      </c>
      <c r="T335" s="115">
        <f>SUM(mFEV[[#This Row],[PRINCIPAL]:[JUROS]])</f>
        <v>52</v>
      </c>
    </row>
    <row r="336" spans="2:22" ht="21" customHeight="1">
      <c r="B336" s="451" t="str">
        <f t="shared" si="5"/>
        <v>2/26</v>
      </c>
      <c r="C336" s="121" t="str">
        <f>VLOOKUP(mFEV[[#This Row],[CÓDIGO CONTABIL]],Contas_Gerencial[#All],3,FALSE)</f>
        <v>BENEFICIO</v>
      </c>
      <c r="D336" s="445" t="str">
        <f>VLOOKUP(mFEV[[#This Row],[DESCRIÇÃO CONTABIL]],Contas_Gerencial[[#All],[DESCRIÇÃO DA CONTA - NÃO UTILIZAR]:[Código2]],2,FALSE)</f>
        <v>20.05.006</v>
      </c>
      <c r="E336" s="452" t="s">
        <v>24</v>
      </c>
      <c r="F336" s="453" t="s">
        <v>582</v>
      </c>
      <c r="G336" s="454" t="s">
        <v>653</v>
      </c>
      <c r="H336" s="453" t="s">
        <v>1791</v>
      </c>
      <c r="I336" s="455">
        <v>200226</v>
      </c>
      <c r="J336" s="453" t="s">
        <v>582</v>
      </c>
      <c r="K336" s="503" t="s">
        <v>2376</v>
      </c>
      <c r="L336" s="503" t="s">
        <v>2379</v>
      </c>
      <c r="M336" s="457">
        <v>46073</v>
      </c>
      <c r="N336" s="457">
        <v>46073</v>
      </c>
      <c r="O336" s="457">
        <v>46073</v>
      </c>
      <c r="P336" s="453" t="s">
        <v>214</v>
      </c>
      <c r="Q336" s="458">
        <v>62.4</v>
      </c>
      <c r="R336" s="459">
        <v>93.6</v>
      </c>
      <c r="S336" s="459">
        <v>0</v>
      </c>
      <c r="T336" s="115">
        <f>SUM(mFEV[[#This Row],[PRINCIPAL]:[JUROS]])</f>
        <v>156</v>
      </c>
    </row>
    <row r="337" spans="2:20" ht="21" customHeight="1">
      <c r="B337" s="451" t="str">
        <f t="shared" si="5"/>
        <v>2/26</v>
      </c>
      <c r="C337" s="121" t="str">
        <f>VLOOKUP(mFEV[[#This Row],[CÓDIGO CONTABIL]],Contas_Gerencial[#All],3,FALSE)</f>
        <v>BENEFICIO</v>
      </c>
      <c r="D337" s="445" t="str">
        <f>VLOOKUP(mFEV[[#This Row],[DESCRIÇÃO CONTABIL]],Contas_Gerencial[[#All],[DESCRIÇÃO DA CONTA - NÃO UTILIZAR]:[Código2]],2,FALSE)</f>
        <v>20.05.006</v>
      </c>
      <c r="E337" s="452" t="s">
        <v>24</v>
      </c>
      <c r="F337" s="453" t="s">
        <v>582</v>
      </c>
      <c r="G337" s="454" t="s">
        <v>583</v>
      </c>
      <c r="H337" s="453" t="s">
        <v>1791</v>
      </c>
      <c r="I337" s="455">
        <v>200226</v>
      </c>
      <c r="J337" s="453" t="s">
        <v>582</v>
      </c>
      <c r="K337" s="503" t="s">
        <v>2376</v>
      </c>
      <c r="L337" s="503" t="s">
        <v>2379</v>
      </c>
      <c r="M337" s="457">
        <v>46073</v>
      </c>
      <c r="N337" s="457">
        <v>46073</v>
      </c>
      <c r="O337" s="457">
        <v>46073</v>
      </c>
      <c r="P337" s="453" t="s">
        <v>214</v>
      </c>
      <c r="Q337" s="458">
        <v>66.559999999999988</v>
      </c>
      <c r="R337" s="459">
        <v>54.079999999999977</v>
      </c>
      <c r="S337" s="459">
        <v>0</v>
      </c>
      <c r="T337" s="115">
        <f>SUM(mFEV[[#This Row],[PRINCIPAL]:[JUROS]])</f>
        <v>120.63999999999996</v>
      </c>
    </row>
    <row r="338" spans="2:20" ht="21" customHeight="1">
      <c r="B338" s="451" t="str">
        <f t="shared" si="5"/>
        <v>2/26</v>
      </c>
      <c r="C338" s="121" t="str">
        <f>VLOOKUP(mFEV[[#This Row],[CÓDIGO CONTABIL]],Contas_Gerencial[#All],3,FALSE)</f>
        <v>BENEFICIO</v>
      </c>
      <c r="D338" s="445" t="str">
        <f>VLOOKUP(mFEV[[#This Row],[DESCRIÇÃO CONTABIL]],Contas_Gerencial[[#All],[DESCRIÇÃO DA CONTA - NÃO UTILIZAR]:[Código2]],2,FALSE)</f>
        <v>20.05.006</v>
      </c>
      <c r="E338" s="452" t="s">
        <v>24</v>
      </c>
      <c r="F338" s="453" t="s">
        <v>582</v>
      </c>
      <c r="G338" s="454" t="s">
        <v>638</v>
      </c>
      <c r="H338" s="453" t="s">
        <v>1791</v>
      </c>
      <c r="I338" s="455">
        <v>200226</v>
      </c>
      <c r="J338" s="453" t="s">
        <v>582</v>
      </c>
      <c r="K338" s="503" t="s">
        <v>2376</v>
      </c>
      <c r="L338" s="503" t="s">
        <v>2379</v>
      </c>
      <c r="M338" s="457">
        <v>46073</v>
      </c>
      <c r="N338" s="457">
        <v>46073</v>
      </c>
      <c r="O338" s="457">
        <v>46073</v>
      </c>
      <c r="P338" s="453" t="s">
        <v>214</v>
      </c>
      <c r="Q338" s="458">
        <v>33.279999999999994</v>
      </c>
      <c r="R338" s="459">
        <v>54.079999999999977</v>
      </c>
      <c r="S338" s="459">
        <v>0</v>
      </c>
      <c r="T338" s="115">
        <f>SUM(mFEV[[#This Row],[PRINCIPAL]:[JUROS]])</f>
        <v>87.359999999999971</v>
      </c>
    </row>
    <row r="339" spans="2:20" ht="21" customHeight="1">
      <c r="B339" s="451" t="str">
        <f t="shared" si="5"/>
        <v>2/26</v>
      </c>
      <c r="C339" s="121" t="str">
        <f>VLOOKUP(mFEV[[#This Row],[CÓDIGO CONTABIL]],Contas_Gerencial[#All],3,FALSE)</f>
        <v>BENEFICIO</v>
      </c>
      <c r="D339" s="445" t="str">
        <f>VLOOKUP(mFEV[[#This Row],[DESCRIÇÃO CONTABIL]],Contas_Gerencial[[#All],[DESCRIÇÃO DA CONTA - NÃO UTILIZAR]:[Código2]],2,FALSE)</f>
        <v>20.05.006</v>
      </c>
      <c r="E339" s="452" t="s">
        <v>24</v>
      </c>
      <c r="F339" s="453" t="s">
        <v>582</v>
      </c>
      <c r="G339" s="454" t="s">
        <v>1082</v>
      </c>
      <c r="H339" s="453" t="s">
        <v>1791</v>
      </c>
      <c r="I339" s="455">
        <v>200226</v>
      </c>
      <c r="J339" s="453" t="s">
        <v>581</v>
      </c>
      <c r="K339" s="503" t="s">
        <v>2376</v>
      </c>
      <c r="L339" s="503" t="s">
        <v>2379</v>
      </c>
      <c r="M339" s="457">
        <v>46073</v>
      </c>
      <c r="N339" s="457">
        <v>46073</v>
      </c>
      <c r="O339" s="457">
        <v>46073</v>
      </c>
      <c r="P339" s="453" t="s">
        <v>214</v>
      </c>
      <c r="Q339" s="458">
        <v>33.279999999999994</v>
      </c>
      <c r="R339" s="459">
        <v>54.079999999999977</v>
      </c>
      <c r="S339" s="459">
        <v>0</v>
      </c>
      <c r="T339" s="115">
        <f>SUM(mFEV[[#This Row],[PRINCIPAL]:[JUROS]])</f>
        <v>87.359999999999971</v>
      </c>
    </row>
    <row r="340" spans="2:20" ht="21" customHeight="1">
      <c r="B340" s="451" t="str">
        <f t="shared" si="5"/>
        <v>2/26</v>
      </c>
      <c r="C340" s="121" t="str">
        <f>VLOOKUP(mFEV[[#This Row],[CÓDIGO CONTABIL]],Contas_Gerencial[#All],3,FALSE)</f>
        <v>BENEFICIO</v>
      </c>
      <c r="D340" s="445" t="str">
        <f>VLOOKUP(mFEV[[#This Row],[DESCRIÇÃO CONTABIL]],Contas_Gerencial[[#All],[DESCRIÇÃO DA CONTA - NÃO UTILIZAR]:[Código2]],2,FALSE)</f>
        <v>20.05.006</v>
      </c>
      <c r="E340" s="452" t="s">
        <v>24</v>
      </c>
      <c r="F340" s="453" t="s">
        <v>581</v>
      </c>
      <c r="G340" s="454" t="s">
        <v>595</v>
      </c>
      <c r="H340" s="453" t="s">
        <v>1791</v>
      </c>
      <c r="I340" s="455">
        <v>200226</v>
      </c>
      <c r="J340" s="453" t="s">
        <v>581</v>
      </c>
      <c r="K340" s="503" t="s">
        <v>2376</v>
      </c>
      <c r="L340" s="503" t="s">
        <v>2379</v>
      </c>
      <c r="M340" s="457">
        <v>46073</v>
      </c>
      <c r="N340" s="457">
        <v>46073</v>
      </c>
      <c r="O340" s="457">
        <v>46073</v>
      </c>
      <c r="P340" s="453" t="s">
        <v>214</v>
      </c>
      <c r="Q340" s="458">
        <v>66.559999999999988</v>
      </c>
      <c r="R340" s="459">
        <v>108.15999999999995</v>
      </c>
      <c r="S340" s="459">
        <v>0</v>
      </c>
      <c r="T340" s="115">
        <f>SUM(mFEV[[#This Row],[PRINCIPAL]:[JUROS]])</f>
        <v>174.71999999999994</v>
      </c>
    </row>
    <row r="341" spans="2:20" ht="21" customHeight="1">
      <c r="B341" s="451" t="str">
        <f t="shared" si="5"/>
        <v>2/26</v>
      </c>
      <c r="C341" s="121" t="str">
        <f>VLOOKUP(mFEV[[#This Row],[CÓDIGO CONTABIL]],Contas_Gerencial[#All],3,FALSE)</f>
        <v>BENEFICIO</v>
      </c>
      <c r="D341" s="445" t="str">
        <f>VLOOKUP(mFEV[[#This Row],[DESCRIÇÃO CONTABIL]],Contas_Gerencial[[#All],[DESCRIÇÃO DA CONTA - NÃO UTILIZAR]:[Código2]],2,FALSE)</f>
        <v>20.05.006</v>
      </c>
      <c r="E341" s="452" t="s">
        <v>24</v>
      </c>
      <c r="F341" s="453" t="s">
        <v>581</v>
      </c>
      <c r="G341" s="454" t="s">
        <v>1130</v>
      </c>
      <c r="H341" s="453" t="s">
        <v>1791</v>
      </c>
      <c r="I341" s="455">
        <v>200226</v>
      </c>
      <c r="J341" s="453" t="s">
        <v>581</v>
      </c>
      <c r="K341" s="503" t="s">
        <v>2376</v>
      </c>
      <c r="L341" s="503" t="s">
        <v>2379</v>
      </c>
      <c r="M341" s="457">
        <v>46073</v>
      </c>
      <c r="N341" s="457">
        <v>46073</v>
      </c>
      <c r="O341" s="457">
        <v>46073</v>
      </c>
      <c r="P341" s="453" t="s">
        <v>214</v>
      </c>
      <c r="Q341" s="458">
        <v>64.47999999999999</v>
      </c>
      <c r="R341" s="459">
        <v>155.99999999999994</v>
      </c>
      <c r="S341" s="459">
        <v>0</v>
      </c>
      <c r="T341" s="115">
        <f>SUM(mFEV[[#This Row],[PRINCIPAL]:[JUROS]])</f>
        <v>220.47999999999993</v>
      </c>
    </row>
    <row r="342" spans="2:20" ht="21" customHeight="1">
      <c r="B342" s="451" t="str">
        <f t="shared" si="5"/>
        <v>2/26</v>
      </c>
      <c r="C342" s="121" t="str">
        <f>VLOOKUP(mFEV[[#This Row],[CÓDIGO CONTABIL]],Contas_Gerencial[#All],3,FALSE)</f>
        <v>BENEFICIO</v>
      </c>
      <c r="D342" s="445" t="str">
        <f>VLOOKUP(mFEV[[#This Row],[DESCRIÇÃO CONTABIL]],Contas_Gerencial[[#All],[DESCRIÇÃO DA CONTA - NÃO UTILIZAR]:[Código2]],2,FALSE)</f>
        <v>20.05.006</v>
      </c>
      <c r="E342" s="452" t="s">
        <v>24</v>
      </c>
      <c r="F342" s="453" t="s">
        <v>581</v>
      </c>
      <c r="G342" s="454" t="s">
        <v>653</v>
      </c>
      <c r="H342" s="453" t="s">
        <v>1791</v>
      </c>
      <c r="I342" s="455">
        <v>200226</v>
      </c>
      <c r="J342" s="453" t="s">
        <v>581</v>
      </c>
      <c r="K342" s="503" t="s">
        <v>2378</v>
      </c>
      <c r="L342" s="503" t="s">
        <v>2379</v>
      </c>
      <c r="M342" s="457">
        <v>46073</v>
      </c>
      <c r="N342" s="457">
        <v>46073</v>
      </c>
      <c r="O342" s="457">
        <v>46073</v>
      </c>
      <c r="P342" s="453" t="s">
        <v>214</v>
      </c>
      <c r="Q342" s="458">
        <v>29.12</v>
      </c>
      <c r="R342" s="459">
        <v>47.84</v>
      </c>
      <c r="S342" s="459">
        <v>0</v>
      </c>
      <c r="T342" s="115">
        <f>SUM(mFEV[[#This Row],[PRINCIPAL]:[JUROS]])</f>
        <v>76.960000000000008</v>
      </c>
    </row>
    <row r="343" spans="2:20" ht="21" customHeight="1">
      <c r="B343" s="451" t="str">
        <f t="shared" si="5"/>
        <v>2/26</v>
      </c>
      <c r="C343" s="121" t="str">
        <f>VLOOKUP(mFEV[[#This Row],[CÓDIGO CONTABIL]],Contas_Gerencial[#All],3,FALSE)</f>
        <v>BENEFICIO</v>
      </c>
      <c r="D343" s="445" t="str">
        <f>VLOOKUP(mFEV[[#This Row],[DESCRIÇÃO CONTABIL]],Contas_Gerencial[[#All],[DESCRIÇÃO DA CONTA - NÃO UTILIZAR]:[Código2]],2,FALSE)</f>
        <v>20.05.006</v>
      </c>
      <c r="E343" s="452" t="s">
        <v>24</v>
      </c>
      <c r="F343" s="453" t="s">
        <v>581</v>
      </c>
      <c r="G343" s="454" t="s">
        <v>1834</v>
      </c>
      <c r="H343" s="453" t="s">
        <v>1791</v>
      </c>
      <c r="I343" s="455">
        <v>200226</v>
      </c>
      <c r="J343" s="453" t="s">
        <v>581</v>
      </c>
      <c r="K343" s="503" t="s">
        <v>2376</v>
      </c>
      <c r="L343" s="503" t="s">
        <v>2379</v>
      </c>
      <c r="M343" s="457">
        <v>46073</v>
      </c>
      <c r="N343" s="457">
        <v>46073</v>
      </c>
      <c r="O343" s="457">
        <v>46073</v>
      </c>
      <c r="P343" s="453" t="s">
        <v>214</v>
      </c>
      <c r="Q343" s="458">
        <v>33.279999999999994</v>
      </c>
      <c r="R343" s="459">
        <v>54.079999999999977</v>
      </c>
      <c r="S343" s="459">
        <v>0</v>
      </c>
      <c r="T343" s="115">
        <f>SUM(mFEV[[#This Row],[PRINCIPAL]:[JUROS]])</f>
        <v>87.359999999999971</v>
      </c>
    </row>
    <row r="344" spans="2:20" ht="21" customHeight="1">
      <c r="B344" s="451" t="str">
        <f t="shared" si="5"/>
        <v>2/26</v>
      </c>
      <c r="C344" s="121" t="str">
        <f>VLOOKUP(mFEV[[#This Row],[CÓDIGO CONTABIL]],Contas_Gerencial[#All],3,FALSE)</f>
        <v>BENEFICIO</v>
      </c>
      <c r="D344" s="445" t="str">
        <f>VLOOKUP(mFEV[[#This Row],[DESCRIÇÃO CONTABIL]],Contas_Gerencial[[#All],[DESCRIÇÃO DA CONTA - NÃO UTILIZAR]:[Código2]],2,FALSE)</f>
        <v>20.05.006</v>
      </c>
      <c r="E344" s="452" t="s">
        <v>24</v>
      </c>
      <c r="F344" s="453" t="s">
        <v>581</v>
      </c>
      <c r="G344" s="454" t="s">
        <v>1137</v>
      </c>
      <c r="H344" s="453" t="s">
        <v>1791</v>
      </c>
      <c r="I344" s="455">
        <v>200226</v>
      </c>
      <c r="J344" s="453" t="s">
        <v>581</v>
      </c>
      <c r="K344" s="503" t="s">
        <v>2376</v>
      </c>
      <c r="L344" s="503" t="s">
        <v>2379</v>
      </c>
      <c r="M344" s="457">
        <v>46073</v>
      </c>
      <c r="N344" s="457">
        <v>46073</v>
      </c>
      <c r="O344" s="457">
        <v>46073</v>
      </c>
      <c r="P344" s="453" t="s">
        <v>214</v>
      </c>
      <c r="Q344" s="458">
        <v>63</v>
      </c>
      <c r="R344" s="459">
        <v>75</v>
      </c>
      <c r="S344" s="459">
        <v>0</v>
      </c>
      <c r="T344" s="115">
        <f>SUM(mFEV[[#This Row],[PRINCIPAL]:[JUROS]])</f>
        <v>138</v>
      </c>
    </row>
    <row r="345" spans="2:20" ht="21" customHeight="1">
      <c r="B345" s="451" t="str">
        <f t="shared" si="5"/>
        <v>2/26</v>
      </c>
      <c r="C345" s="121" t="str">
        <f>VLOOKUP(mFEV[[#This Row],[CÓDIGO CONTABIL]],Contas_Gerencial[#All],3,FALSE)</f>
        <v>BENEFICIO</v>
      </c>
      <c r="D345" s="445" t="str">
        <f>VLOOKUP(mFEV[[#This Row],[DESCRIÇÃO CONTABIL]],Contas_Gerencial[[#All],[DESCRIÇÃO DA CONTA - NÃO UTILIZAR]:[Código2]],2,FALSE)</f>
        <v>20.05.006</v>
      </c>
      <c r="E345" s="452" t="s">
        <v>24</v>
      </c>
      <c r="F345" s="453" t="s">
        <v>581</v>
      </c>
      <c r="G345" s="454" t="s">
        <v>1630</v>
      </c>
      <c r="H345" s="453" t="s">
        <v>1791</v>
      </c>
      <c r="I345" s="455">
        <v>200226</v>
      </c>
      <c r="J345" s="453" t="s">
        <v>581</v>
      </c>
      <c r="K345" s="503" t="s">
        <v>2376</v>
      </c>
      <c r="L345" s="503" t="s">
        <v>2379</v>
      </c>
      <c r="M345" s="457">
        <v>46073</v>
      </c>
      <c r="N345" s="457">
        <v>46073</v>
      </c>
      <c r="O345" s="457">
        <v>46073</v>
      </c>
      <c r="P345" s="453" t="s">
        <v>214</v>
      </c>
      <c r="Q345" s="458">
        <v>26</v>
      </c>
      <c r="R345" s="459">
        <v>42</v>
      </c>
      <c r="S345" s="459">
        <v>0</v>
      </c>
      <c r="T345" s="115">
        <f>SUM(mFEV[[#This Row],[PRINCIPAL]:[JUROS]])</f>
        <v>68</v>
      </c>
    </row>
    <row r="346" spans="2:20" ht="21" customHeight="1">
      <c r="B346" s="451" t="str">
        <f t="shared" si="5"/>
        <v>2/26</v>
      </c>
      <c r="C346" s="121" t="str">
        <f>VLOOKUP(mFEV[[#This Row],[CÓDIGO CONTABIL]],Contas_Gerencial[#All],3,FALSE)</f>
        <v>BENEFICIO</v>
      </c>
      <c r="D346" s="445" t="str">
        <f>VLOOKUP(mFEV[[#This Row],[DESCRIÇÃO CONTABIL]],Contas_Gerencial[[#All],[DESCRIÇÃO DA CONTA - NÃO UTILIZAR]:[Código2]],2,FALSE)</f>
        <v>20.05.006</v>
      </c>
      <c r="E346" s="452" t="s">
        <v>24</v>
      </c>
      <c r="F346" s="453" t="s">
        <v>581</v>
      </c>
      <c r="G346" s="454" t="s">
        <v>1634</v>
      </c>
      <c r="H346" s="453" t="s">
        <v>1791</v>
      </c>
      <c r="I346" s="455">
        <v>200226</v>
      </c>
      <c r="J346" s="453" t="s">
        <v>581</v>
      </c>
      <c r="K346" s="503" t="s">
        <v>2376</v>
      </c>
      <c r="L346" s="503" t="s">
        <v>2379</v>
      </c>
      <c r="M346" s="457">
        <v>46073</v>
      </c>
      <c r="N346" s="457">
        <v>46073</v>
      </c>
      <c r="O346" s="457">
        <v>46073</v>
      </c>
      <c r="P346" s="453" t="s">
        <v>214</v>
      </c>
      <c r="Q346" s="458">
        <v>33.279999999999994</v>
      </c>
      <c r="R346" s="459">
        <v>54.079999999999977</v>
      </c>
      <c r="S346" s="459">
        <v>0</v>
      </c>
      <c r="T346" s="115">
        <f>SUM(mFEV[[#This Row],[PRINCIPAL]:[JUROS]])</f>
        <v>87.359999999999971</v>
      </c>
    </row>
    <row r="347" spans="2:20" ht="21" customHeight="1">
      <c r="B347" s="451" t="str">
        <f t="shared" si="5"/>
        <v>2/26</v>
      </c>
      <c r="C347" s="121" t="str">
        <f>VLOOKUP(mFEV[[#This Row],[CÓDIGO CONTABIL]],Contas_Gerencial[#All],3,FALSE)</f>
        <v>BENEFICIO</v>
      </c>
      <c r="D347" s="445" t="str">
        <f>VLOOKUP(mFEV[[#This Row],[DESCRIÇÃO CONTABIL]],Contas_Gerencial[[#All],[DESCRIÇÃO DA CONTA - NÃO UTILIZAR]:[Código2]],2,FALSE)</f>
        <v>20.05.006</v>
      </c>
      <c r="E347" s="452" t="s">
        <v>24</v>
      </c>
      <c r="F347" s="453" t="s">
        <v>581</v>
      </c>
      <c r="G347" s="454" t="s">
        <v>1768</v>
      </c>
      <c r="H347" s="453" t="s">
        <v>1791</v>
      </c>
      <c r="I347" s="455">
        <v>200226</v>
      </c>
      <c r="J347" s="453" t="s">
        <v>581</v>
      </c>
      <c r="K347" s="503" t="s">
        <v>2376</v>
      </c>
      <c r="L347" s="503" t="s">
        <v>2379</v>
      </c>
      <c r="M347" s="457">
        <v>46073</v>
      </c>
      <c r="N347" s="457">
        <v>46073</v>
      </c>
      <c r="O347" s="457">
        <v>46073</v>
      </c>
      <c r="P347" s="453" t="s">
        <v>214</v>
      </c>
      <c r="Q347" s="458">
        <v>20</v>
      </c>
      <c r="R347" s="459">
        <v>31</v>
      </c>
      <c r="S347" s="459">
        <v>0</v>
      </c>
      <c r="T347" s="115">
        <f>SUM(mFEV[[#This Row],[PRINCIPAL]:[JUROS]])</f>
        <v>51</v>
      </c>
    </row>
    <row r="348" spans="2:20" ht="21" customHeight="1">
      <c r="B348" s="451" t="str">
        <f t="shared" si="5"/>
        <v>2/26</v>
      </c>
      <c r="C348" s="121" t="str">
        <f>VLOOKUP(mFEV[[#This Row],[CÓDIGO CONTABIL]],Contas_Gerencial[#All],3,FALSE)</f>
        <v>BENEFICIO</v>
      </c>
      <c r="D348" s="445" t="str">
        <f>VLOOKUP(mFEV[[#This Row],[DESCRIÇÃO CONTABIL]],Contas_Gerencial[[#All],[DESCRIÇÃO DA CONTA - NÃO UTILIZAR]:[Código2]],2,FALSE)</f>
        <v>20.05.006</v>
      </c>
      <c r="E348" s="452" t="s">
        <v>24</v>
      </c>
      <c r="F348" s="453" t="s">
        <v>581</v>
      </c>
      <c r="G348" s="454" t="s">
        <v>1003</v>
      </c>
      <c r="H348" s="453" t="s">
        <v>1791</v>
      </c>
      <c r="I348" s="455">
        <v>200226</v>
      </c>
      <c r="J348" s="453" t="s">
        <v>581</v>
      </c>
      <c r="K348" s="503" t="s">
        <v>2376</v>
      </c>
      <c r="L348" s="503" t="s">
        <v>2379</v>
      </c>
      <c r="M348" s="457">
        <v>46073</v>
      </c>
      <c r="N348" s="457">
        <v>46073</v>
      </c>
      <c r="O348" s="457">
        <v>46073</v>
      </c>
      <c r="P348" s="453" t="s">
        <v>214</v>
      </c>
      <c r="Q348" s="458">
        <v>72.800000000000011</v>
      </c>
      <c r="R348" s="459">
        <v>116.47999999999996</v>
      </c>
      <c r="S348" s="459">
        <v>0</v>
      </c>
      <c r="T348" s="115">
        <f>SUM(mFEV[[#This Row],[PRINCIPAL]:[JUROS]])</f>
        <v>189.27999999999997</v>
      </c>
    </row>
    <row r="349" spans="2:20" ht="21" customHeight="1">
      <c r="B349" s="451" t="str">
        <f t="shared" si="5"/>
        <v>2/26</v>
      </c>
      <c r="C349" s="121" t="str">
        <f>VLOOKUP(mFEV[[#This Row],[CÓDIGO CONTABIL]],Contas_Gerencial[#All],3,FALSE)</f>
        <v>BENEFICIO</v>
      </c>
      <c r="D349" s="445" t="str">
        <f>VLOOKUP(mFEV[[#This Row],[DESCRIÇÃO CONTABIL]],Contas_Gerencial[[#All],[DESCRIÇÃO DA CONTA - NÃO UTILIZAR]:[Código2]],2,FALSE)</f>
        <v>20.05.006</v>
      </c>
      <c r="E349" s="452" t="s">
        <v>24</v>
      </c>
      <c r="F349" s="453" t="s">
        <v>581</v>
      </c>
      <c r="G349" s="454" t="s">
        <v>1991</v>
      </c>
      <c r="H349" s="453" t="s">
        <v>1791</v>
      </c>
      <c r="I349" s="455">
        <v>200226</v>
      </c>
      <c r="J349" s="453" t="s">
        <v>581</v>
      </c>
      <c r="K349" s="503" t="s">
        <v>2376</v>
      </c>
      <c r="L349" s="503" t="s">
        <v>2379</v>
      </c>
      <c r="M349" s="457">
        <v>46073</v>
      </c>
      <c r="N349" s="457">
        <v>46073</v>
      </c>
      <c r="O349" s="457">
        <v>46073</v>
      </c>
      <c r="P349" s="453" t="s">
        <v>214</v>
      </c>
      <c r="Q349" s="458">
        <v>13</v>
      </c>
      <c r="R349" s="459">
        <v>22</v>
      </c>
      <c r="S349" s="459">
        <v>0</v>
      </c>
      <c r="T349" s="115">
        <f>SUM(mFEV[[#This Row],[PRINCIPAL]:[JUROS]])</f>
        <v>35</v>
      </c>
    </row>
    <row r="350" spans="2:20" ht="21" customHeight="1">
      <c r="B350" s="451" t="str">
        <f t="shared" si="5"/>
        <v>2/26</v>
      </c>
      <c r="C350" s="121" t="str">
        <f>VLOOKUP(mFEV[[#This Row],[CÓDIGO CONTABIL]],Contas_Gerencial[#All],3,FALSE)</f>
        <v>BENEFICIO</v>
      </c>
      <c r="D350" s="445" t="str">
        <f>VLOOKUP(mFEV[[#This Row],[DESCRIÇÃO CONTABIL]],Contas_Gerencial[[#All],[DESCRIÇÃO DA CONTA - NÃO UTILIZAR]:[Código2]],2,FALSE)</f>
        <v>20.05.006</v>
      </c>
      <c r="E350" s="452" t="s">
        <v>24</v>
      </c>
      <c r="F350" s="453" t="s">
        <v>581</v>
      </c>
      <c r="G350" s="454" t="s">
        <v>1659</v>
      </c>
      <c r="H350" s="453" t="s">
        <v>1791</v>
      </c>
      <c r="I350" s="455">
        <v>200226</v>
      </c>
      <c r="J350" s="453" t="s">
        <v>581</v>
      </c>
      <c r="K350" s="503" t="s">
        <v>2376</v>
      </c>
      <c r="L350" s="503" t="s">
        <v>2379</v>
      </c>
      <c r="M350" s="457">
        <v>46073</v>
      </c>
      <c r="N350" s="457">
        <v>46073</v>
      </c>
      <c r="O350" s="457">
        <v>46073</v>
      </c>
      <c r="P350" s="453" t="s">
        <v>214</v>
      </c>
      <c r="Q350" s="458">
        <v>13</v>
      </c>
      <c r="R350" s="459">
        <v>21</v>
      </c>
      <c r="S350" s="459">
        <v>0</v>
      </c>
      <c r="T350" s="115">
        <f>SUM(mFEV[[#This Row],[PRINCIPAL]:[JUROS]])</f>
        <v>34</v>
      </c>
    </row>
    <row r="351" spans="2:20" ht="21" customHeight="1">
      <c r="B351" s="451" t="str">
        <f t="shared" si="5"/>
        <v>2/26</v>
      </c>
      <c r="C351" s="121" t="str">
        <f>VLOOKUP(mFEV[[#This Row],[CÓDIGO CONTABIL]],Contas_Gerencial[#All],3,FALSE)</f>
        <v>BENEFICIO</v>
      </c>
      <c r="D351" s="445" t="str">
        <f>VLOOKUP(mFEV[[#This Row],[DESCRIÇÃO CONTABIL]],Contas_Gerencial[[#All],[DESCRIÇÃO DA CONTA - NÃO UTILIZAR]:[Código2]],2,FALSE)</f>
        <v>20.05.007</v>
      </c>
      <c r="E351" s="452" t="s">
        <v>25</v>
      </c>
      <c r="F351" s="453" t="s">
        <v>581</v>
      </c>
      <c r="G351" s="454" t="s">
        <v>1767</v>
      </c>
      <c r="H351" s="453" t="s">
        <v>1802</v>
      </c>
      <c r="I351" s="455">
        <v>230226</v>
      </c>
      <c r="J351" s="453" t="s">
        <v>581</v>
      </c>
      <c r="K351" s="1013" t="s">
        <v>2383</v>
      </c>
      <c r="L351" s="456" t="s">
        <v>1766</v>
      </c>
      <c r="M351" s="457">
        <v>46064</v>
      </c>
      <c r="N351" s="457">
        <v>46076</v>
      </c>
      <c r="O351" s="457">
        <v>46076</v>
      </c>
      <c r="P351" s="453" t="s">
        <v>214</v>
      </c>
      <c r="Q351" s="458">
        <v>221.5</v>
      </c>
      <c r="R351" s="459">
        <v>0</v>
      </c>
      <c r="S351" s="459">
        <v>0</v>
      </c>
      <c r="T351" s="115">
        <f>SUM(mFEV[[#This Row],[PRINCIPAL]:[JUROS]])</f>
        <v>221.5</v>
      </c>
    </row>
    <row r="352" spans="2:20" ht="21" customHeight="1">
      <c r="B352" s="451" t="str">
        <f t="shared" si="5"/>
        <v>2/26</v>
      </c>
      <c r="C352" s="121" t="str">
        <f>VLOOKUP(mFEV[[#This Row],[CÓDIGO CONTABIL]],Contas_Gerencial[#All],3,FALSE)</f>
        <v>BENEFICIO</v>
      </c>
      <c r="D352" s="445" t="str">
        <f>VLOOKUP(mFEV[[#This Row],[DESCRIÇÃO CONTABIL]],Contas_Gerencial[[#All],[DESCRIÇÃO DA CONTA - NÃO UTILIZAR]:[Código2]],2,FALSE)</f>
        <v>20.05.006</v>
      </c>
      <c r="E352" s="452" t="s">
        <v>24</v>
      </c>
      <c r="F352" s="453" t="s">
        <v>581</v>
      </c>
      <c r="G352" s="454" t="s">
        <v>1767</v>
      </c>
      <c r="H352" s="453" t="s">
        <v>1802</v>
      </c>
      <c r="I352" s="455">
        <v>230226</v>
      </c>
      <c r="J352" s="453" t="s">
        <v>581</v>
      </c>
      <c r="K352" s="1013" t="s">
        <v>2383</v>
      </c>
      <c r="L352" s="456" t="s">
        <v>1766</v>
      </c>
      <c r="M352" s="457">
        <v>46064</v>
      </c>
      <c r="N352" s="457">
        <v>46076</v>
      </c>
      <c r="O352" s="457">
        <v>46076</v>
      </c>
      <c r="P352" s="453" t="s">
        <v>214</v>
      </c>
      <c r="Q352" s="458">
        <v>55</v>
      </c>
      <c r="R352" s="459">
        <v>0</v>
      </c>
      <c r="S352" s="459">
        <v>0</v>
      </c>
      <c r="T352" s="115">
        <f>SUM(mFEV[[#This Row],[PRINCIPAL]:[JUROS]])</f>
        <v>55</v>
      </c>
    </row>
    <row r="353" spans="2:28" ht="21" customHeight="1">
      <c r="B353" s="451" t="str">
        <f t="shared" si="5"/>
        <v>2/26</v>
      </c>
      <c r="C353" s="121" t="str">
        <f>VLOOKUP(mFEV[[#This Row],[CÓDIGO CONTABIL]],Contas_Gerencial[#All],3,FALSE)</f>
        <v>DESPESAS GERAIS</v>
      </c>
      <c r="D353" s="445" t="str">
        <f>VLOOKUP(mFEV[[#This Row],[DESCRIÇÃO CONTABIL]],Contas_Gerencial[[#All],[DESCRIÇÃO DA CONTA - NÃO UTILIZAR]:[Código2]],2,FALSE)</f>
        <v>20.03.009</v>
      </c>
      <c r="E353" s="452" t="s">
        <v>45</v>
      </c>
      <c r="F353" s="453" t="s">
        <v>41</v>
      </c>
      <c r="G353" s="454" t="s">
        <v>1767</v>
      </c>
      <c r="H353" s="453" t="s">
        <v>2168</v>
      </c>
      <c r="I353" s="481" t="s">
        <v>2384</v>
      </c>
      <c r="J353" s="453" t="s">
        <v>809</v>
      </c>
      <c r="K353" s="453" t="s">
        <v>2385</v>
      </c>
      <c r="L353" s="456" t="s">
        <v>1766</v>
      </c>
      <c r="M353" s="457">
        <v>46066</v>
      </c>
      <c r="N353" s="457">
        <v>46076</v>
      </c>
      <c r="O353" s="457">
        <v>46076</v>
      </c>
      <c r="P353" s="453" t="s">
        <v>214</v>
      </c>
      <c r="Q353" s="458">
        <v>195.89</v>
      </c>
      <c r="R353" s="459">
        <v>0</v>
      </c>
      <c r="S353" s="459">
        <v>0</v>
      </c>
      <c r="T353" s="115">
        <f>SUM(mFEV[[#This Row],[PRINCIPAL]:[JUROS]])</f>
        <v>195.89</v>
      </c>
    </row>
    <row r="354" spans="2:28" ht="21" customHeight="1">
      <c r="B354" s="451" t="str">
        <f t="shared" si="5"/>
        <v>2/26</v>
      </c>
      <c r="C354" s="121" t="str">
        <f>VLOOKUP(mFEV[[#This Row],[CÓDIGO CONTABIL]],Contas_Gerencial[#All],3,FALSE)</f>
        <v>FOLHA DE PAGAMENTO</v>
      </c>
      <c r="D354" s="445" t="str">
        <f>VLOOKUP(mFEV[[#This Row],[DESCRIÇÃO CONTABIL]],Contas_Gerencial[[#All],[DESCRIÇÃO DA CONTA - NÃO UTILIZAR]:[Código2]],2,FALSE)</f>
        <v>20.05.013</v>
      </c>
      <c r="E354" s="452" t="s">
        <v>401</v>
      </c>
      <c r="F354" s="453" t="s">
        <v>581</v>
      </c>
      <c r="G354" s="454" t="s">
        <v>1003</v>
      </c>
      <c r="H354" s="453" t="s">
        <v>1802</v>
      </c>
      <c r="I354" s="455">
        <v>250226</v>
      </c>
      <c r="J354" s="453" t="s">
        <v>581</v>
      </c>
      <c r="K354" s="1013" t="s">
        <v>2493</v>
      </c>
      <c r="L354" s="456" t="s">
        <v>1766</v>
      </c>
      <c r="M354" s="457">
        <v>46076</v>
      </c>
      <c r="N354" s="457">
        <v>46076</v>
      </c>
      <c r="O354" s="457">
        <v>46078</v>
      </c>
      <c r="P354" s="453" t="s">
        <v>214</v>
      </c>
      <c r="Q354" s="458">
        <v>279.42</v>
      </c>
      <c r="R354" s="459">
        <v>0</v>
      </c>
      <c r="S354" s="459">
        <v>0</v>
      </c>
      <c r="T354" s="115">
        <f>SUM(mFEV[[#This Row],[PRINCIPAL]:[JUROS]])</f>
        <v>279.42</v>
      </c>
      <c r="V354" s="115"/>
    </row>
    <row r="355" spans="2:28" ht="21" customHeight="1">
      <c r="B355" s="451" t="str">
        <f t="shared" si="5"/>
        <v>2/26</v>
      </c>
      <c r="C355" s="121" t="str">
        <f>VLOOKUP(mFEV[[#This Row],[CÓDIGO CONTABIL]],Contas_Gerencial[#All],3,FALSE)</f>
        <v>DESPESAS FIXAS</v>
      </c>
      <c r="D355" s="445" t="str">
        <f>VLOOKUP(mFEV[[#This Row],[DESCRIÇÃO CONTABIL]],Contas_Gerencial[[#All],[DESCRIÇÃO DA CONTA - NÃO UTILIZAR]:[Código2]],2,FALSE)</f>
        <v>20.02.008</v>
      </c>
      <c r="E355" s="452" t="s">
        <v>343</v>
      </c>
      <c r="F355" s="453" t="s">
        <v>41</v>
      </c>
      <c r="G355" s="454" t="s">
        <v>1130</v>
      </c>
      <c r="H355" s="453" t="s">
        <v>2168</v>
      </c>
      <c r="I355" s="455">
        <v>691127</v>
      </c>
      <c r="J355" s="503" t="s">
        <v>2387</v>
      </c>
      <c r="K355" s="453" t="s">
        <v>2386</v>
      </c>
      <c r="L355" s="453" t="s">
        <v>1766</v>
      </c>
      <c r="M355" s="457">
        <v>46076</v>
      </c>
      <c r="N355" s="457">
        <v>46076</v>
      </c>
      <c r="O355" s="457">
        <v>46076</v>
      </c>
      <c r="P355" s="453" t="s">
        <v>214</v>
      </c>
      <c r="Q355" s="458">
        <v>313.83999999999997</v>
      </c>
      <c r="R355" s="459">
        <v>0</v>
      </c>
      <c r="S355" s="459">
        <v>0</v>
      </c>
      <c r="T355" s="115">
        <f>SUM(mFEV[[#This Row],[PRINCIPAL]:[JUROS]])</f>
        <v>313.83999999999997</v>
      </c>
    </row>
    <row r="356" spans="2:28" ht="21" customHeight="1">
      <c r="B356" s="451" t="str">
        <f t="shared" si="5"/>
        <v>2/26</v>
      </c>
      <c r="C356" s="121" t="str">
        <f>VLOOKUP(mFEV[[#This Row],[CÓDIGO CONTABIL]],Contas_Gerencial[#All],3,FALSE)</f>
        <v>SERVIÇOS DE TERCEIROS</v>
      </c>
      <c r="D356" s="445" t="str">
        <f>VLOOKUP(mFEV[[#This Row],[DESCRIÇÃO CONTABIL]],Contas_Gerencial[[#All],[DESCRIÇÃO DA CONTA - NÃO UTILIZAR]:[Código2]],2,FALSE)</f>
        <v>20.07.006</v>
      </c>
      <c r="E356" s="452" t="s">
        <v>63</v>
      </c>
      <c r="F356" s="453" t="s">
        <v>582</v>
      </c>
      <c r="G356" s="454" t="s">
        <v>653</v>
      </c>
      <c r="H356" s="453" t="s">
        <v>1932</v>
      </c>
      <c r="I356" s="455">
        <v>561</v>
      </c>
      <c r="J356" s="453" t="s">
        <v>412</v>
      </c>
      <c r="K356" s="453" t="s">
        <v>2492</v>
      </c>
      <c r="L356" s="453" t="s">
        <v>1766</v>
      </c>
      <c r="M356" s="457">
        <v>46063</v>
      </c>
      <c r="N356" s="457">
        <v>46073</v>
      </c>
      <c r="O356" s="457">
        <v>46076</v>
      </c>
      <c r="P356" s="453" t="s">
        <v>214</v>
      </c>
      <c r="Q356" s="458">
        <v>330</v>
      </c>
      <c r="R356" s="459">
        <v>0</v>
      </c>
      <c r="S356" s="459">
        <v>0</v>
      </c>
      <c r="T356" s="115">
        <f>SUM(mFEV[[#This Row],[PRINCIPAL]:[JUROS]])</f>
        <v>330</v>
      </c>
    </row>
    <row r="357" spans="2:28" ht="21" customHeight="1">
      <c r="B357" s="451" t="str">
        <f t="shared" si="5"/>
        <v>2/26</v>
      </c>
      <c r="C357" s="121" t="str">
        <f>VLOOKUP(mFEV[[#This Row],[CÓDIGO CONTABIL]],Contas_Gerencial[#All],3,FALSE)</f>
        <v>FOLHA DE PAGAMENTO</v>
      </c>
      <c r="D357" s="445" t="str">
        <f>VLOOKUP(mFEV[[#This Row],[DESCRIÇÃO CONTABIL]],Contas_Gerencial[[#All],[DESCRIÇÃO DA CONTA - NÃO UTILIZAR]:[Código2]],2,FALSE)</f>
        <v>20.05.020</v>
      </c>
      <c r="E357" s="452" t="s">
        <v>29</v>
      </c>
      <c r="F357" s="453" t="s">
        <v>41</v>
      </c>
      <c r="G357" s="454" t="s">
        <v>595</v>
      </c>
      <c r="H357" s="453" t="s">
        <v>1802</v>
      </c>
      <c r="I357" s="455">
        <v>230226</v>
      </c>
      <c r="J357" s="453" t="s">
        <v>41</v>
      </c>
      <c r="K357" s="453" t="s">
        <v>2494</v>
      </c>
      <c r="L357" s="453" t="s">
        <v>1766</v>
      </c>
      <c r="M357" s="457">
        <v>46063</v>
      </c>
      <c r="N357" s="457">
        <v>46073</v>
      </c>
      <c r="O357" s="457">
        <v>46076</v>
      </c>
      <c r="P357" s="453" t="s">
        <v>214</v>
      </c>
      <c r="Q357" s="458">
        <v>500</v>
      </c>
      <c r="R357" s="459">
        <v>0</v>
      </c>
      <c r="S357" s="459">
        <v>0</v>
      </c>
      <c r="T357" s="115">
        <f>SUM(mFEV[[#This Row],[PRINCIPAL]:[JUROS]])</f>
        <v>500</v>
      </c>
    </row>
    <row r="358" spans="2:28" ht="21" customHeight="1">
      <c r="B358" s="451" t="str">
        <f t="shared" si="5"/>
        <v>2/26</v>
      </c>
      <c r="C358" s="121" t="str">
        <f>VLOOKUP(mFEV[[#This Row],[CÓDIGO CONTABIL]],Contas_Gerencial[#All],3,FALSE)</f>
        <v>INVESTIMENTOS</v>
      </c>
      <c r="D358" s="445" t="str">
        <f>VLOOKUP(mFEV[[#This Row],[DESCRIÇÃO CONTABIL]],Contas_Gerencial[[#All],[DESCRIÇÃO DA CONTA - NÃO UTILIZAR]:[Código2]],2,FALSE)</f>
        <v>20.06.001</v>
      </c>
      <c r="E358" s="452" t="s">
        <v>39</v>
      </c>
      <c r="F358" s="453" t="s">
        <v>41</v>
      </c>
      <c r="G358" s="454" t="s">
        <v>595</v>
      </c>
      <c r="H358" s="453" t="s">
        <v>2504</v>
      </c>
      <c r="I358" s="455">
        <v>260226</v>
      </c>
      <c r="J358" s="453" t="s">
        <v>2505</v>
      </c>
      <c r="K358" s="453" t="s">
        <v>2508</v>
      </c>
      <c r="L358" s="453" t="s">
        <v>1766</v>
      </c>
      <c r="M358" s="457">
        <v>46079</v>
      </c>
      <c r="N358" s="457">
        <v>46079</v>
      </c>
      <c r="O358" s="457">
        <v>46079</v>
      </c>
      <c r="P358" s="453" t="s">
        <v>214</v>
      </c>
      <c r="Q358" s="458">
        <v>1150</v>
      </c>
      <c r="R358" s="459">
        <v>0</v>
      </c>
      <c r="S358" s="459">
        <v>0</v>
      </c>
      <c r="T358" s="115">
        <f>SUM(mFEV[[#This Row],[PRINCIPAL]:[JUROS]])</f>
        <v>1150</v>
      </c>
    </row>
    <row r="359" spans="2:28" ht="21" customHeight="1">
      <c r="B359" s="451" t="str">
        <f t="shared" si="5"/>
        <v>2/26</v>
      </c>
      <c r="C359" s="121" t="str">
        <f>VLOOKUP(mFEV[[#This Row],[CÓDIGO CONTABIL]],Contas_Gerencial[#All],3,FALSE)</f>
        <v>FOLHA DE PAGAMENTO</v>
      </c>
      <c r="D359" s="445" t="str">
        <f>VLOOKUP(mFEV[[#This Row],[DESCRIÇÃO CONTABIL]],Contas_Gerencial[[#All],[DESCRIÇÃO DA CONTA - NÃO UTILIZAR]:[Código2]],2,FALSE)</f>
        <v>20.05.013</v>
      </c>
      <c r="E359" s="452" t="s">
        <v>401</v>
      </c>
      <c r="F359" s="453" t="s">
        <v>581</v>
      </c>
      <c r="G359" s="107" t="s">
        <v>1137</v>
      </c>
      <c r="H359" s="453" t="s">
        <v>1802</v>
      </c>
      <c r="I359" s="455">
        <v>270226</v>
      </c>
      <c r="J359" s="453" t="s">
        <v>581</v>
      </c>
      <c r="K359" s="453" t="s">
        <v>2510</v>
      </c>
      <c r="L359" s="453" t="s">
        <v>1766</v>
      </c>
      <c r="M359" s="457">
        <v>46078</v>
      </c>
      <c r="N359" s="457">
        <v>46080</v>
      </c>
      <c r="O359" s="457">
        <v>46080</v>
      </c>
      <c r="P359" s="453" t="s">
        <v>214</v>
      </c>
      <c r="Q359" s="458">
        <f>90*4</f>
        <v>360</v>
      </c>
      <c r="R359" s="459">
        <v>0</v>
      </c>
      <c r="S359" s="459">
        <v>0</v>
      </c>
      <c r="T359" s="115">
        <f>SUM(mFEV[[#This Row],[PRINCIPAL]:[JUROS]])</f>
        <v>360</v>
      </c>
      <c r="V359" s="115"/>
    </row>
    <row r="360" spans="2:28" ht="21" customHeight="1">
      <c r="B360" s="451" t="str">
        <f t="shared" si="5"/>
        <v>2/26</v>
      </c>
      <c r="C360" s="121" t="str">
        <f>VLOOKUP(mFEV[[#This Row],[CÓDIGO CONTABIL]],Contas_Gerencial[#All],3,FALSE)</f>
        <v>FOLHA DE PAGAMENTO</v>
      </c>
      <c r="D360" s="445" t="str">
        <f>VLOOKUP(mFEV[[#This Row],[DESCRIÇÃO CONTABIL]],Contas_Gerencial[[#All],[DESCRIÇÃO DA CONTA - NÃO UTILIZAR]:[Código2]],2,FALSE)</f>
        <v>20.05.013</v>
      </c>
      <c r="E360" s="452" t="s">
        <v>401</v>
      </c>
      <c r="F360" s="453" t="s">
        <v>581</v>
      </c>
      <c r="G360" s="454" t="s">
        <v>1003</v>
      </c>
      <c r="H360" s="453" t="s">
        <v>1802</v>
      </c>
      <c r="I360" s="455">
        <v>270226</v>
      </c>
      <c r="J360" s="453" t="s">
        <v>581</v>
      </c>
      <c r="K360" s="453" t="s">
        <v>2509</v>
      </c>
      <c r="L360" s="453" t="s">
        <v>1766</v>
      </c>
      <c r="M360" s="457">
        <v>46078</v>
      </c>
      <c r="N360" s="457">
        <v>46080</v>
      </c>
      <c r="O360" s="457">
        <v>46080</v>
      </c>
      <c r="P360" s="453" t="s">
        <v>214</v>
      </c>
      <c r="Q360" s="458">
        <f>110*2</f>
        <v>220</v>
      </c>
      <c r="R360" s="459">
        <v>0</v>
      </c>
      <c r="S360" s="459">
        <v>0</v>
      </c>
      <c r="T360" s="115">
        <f>SUM(mFEV[[#This Row],[PRINCIPAL]:[JUROS]])</f>
        <v>220</v>
      </c>
      <c r="V360" s="115"/>
    </row>
    <row r="361" spans="2:28" ht="21" customHeight="1">
      <c r="B361" s="451" t="str">
        <f t="shared" si="5"/>
        <v>2/26</v>
      </c>
      <c r="C361" s="121" t="str">
        <f>VLOOKUP(mFEV[[#This Row],[CÓDIGO CONTABIL]],Contas_Gerencial[#All],3,FALSE)</f>
        <v>FOLHA DE PAGAMENTO</v>
      </c>
      <c r="D361" s="445" t="str">
        <f>VLOOKUP(mFEV[[#This Row],[DESCRIÇÃO CONTABIL]],Contas_Gerencial[[#All],[DESCRIÇÃO DA CONTA - NÃO UTILIZAR]:[Código2]],2,FALSE)</f>
        <v>20.05.013</v>
      </c>
      <c r="E361" s="121" t="s">
        <v>401</v>
      </c>
      <c r="F361" s="453" t="s">
        <v>581</v>
      </c>
      <c r="G361" s="107" t="s">
        <v>1137</v>
      </c>
      <c r="H361" s="453" t="s">
        <v>1802</v>
      </c>
      <c r="I361" s="455">
        <v>270226</v>
      </c>
      <c r="J361" s="453" t="s">
        <v>581</v>
      </c>
      <c r="K361" s="453" t="s">
        <v>2511</v>
      </c>
      <c r="L361" s="453" t="s">
        <v>1766</v>
      </c>
      <c r="M361" s="457">
        <v>46080</v>
      </c>
      <c r="N361" s="457">
        <v>46080</v>
      </c>
      <c r="O361" s="457">
        <v>46080</v>
      </c>
      <c r="P361" s="453" t="s">
        <v>214</v>
      </c>
      <c r="Q361" s="458">
        <f>100*1</f>
        <v>100</v>
      </c>
      <c r="R361" s="467">
        <v>0</v>
      </c>
      <c r="S361" s="467">
        <v>0</v>
      </c>
      <c r="T361" s="115">
        <f>SUM(mFEV[[#This Row],[PRINCIPAL]:[JUROS]])</f>
        <v>100</v>
      </c>
      <c r="V361" s="115"/>
    </row>
    <row r="362" spans="2:28" s="489" customFormat="1" ht="21" customHeight="1">
      <c r="B362" s="489" t="s">
        <v>197</v>
      </c>
      <c r="D362" s="744"/>
      <c r="H362" s="1160"/>
      <c r="M362" s="745"/>
      <c r="N362" s="745"/>
      <c r="O362" s="745"/>
      <c r="P362" s="500"/>
      <c r="Q362" s="623">
        <f>SUBTOTAL(109,mFEV[PRINCIPAL])</f>
        <v>463508.1003920153</v>
      </c>
      <c r="R362" s="623">
        <f>SUBTOTAL(109,mFEV[MULTA])</f>
        <v>7808.11</v>
      </c>
      <c r="S362" s="623">
        <f>SUBTOTAL(109,mFEV[JUROS])</f>
        <v>1257.6599999999999</v>
      </c>
      <c r="T362" s="1161">
        <f>SUBTOTAL(109,mFEV[TOTAL])</f>
        <v>472573.87039201509</v>
      </c>
      <c r="V362" s="743">
        <f>mFEV[[#Totals],[TOTAL]]-T168</f>
        <v>462828.87039201509</v>
      </c>
    </row>
    <row r="363" spans="2:28" s="489" customFormat="1" ht="21" customHeight="1">
      <c r="D363" s="744"/>
      <c r="H363" s="1160"/>
      <c r="M363" s="745"/>
      <c r="N363" s="745"/>
      <c r="O363" s="745"/>
      <c r="P363" s="500"/>
      <c r="Q363" s="623"/>
      <c r="R363" s="623"/>
      <c r="S363" s="623"/>
      <c r="T363" s="1161"/>
      <c r="V363" s="743"/>
    </row>
    <row r="364" spans="2:28" ht="21" customHeight="1"/>
    <row r="365" spans="2:28" ht="21" customHeight="1">
      <c r="B365" s="172"/>
      <c r="C365" s="172"/>
      <c r="D365" s="172"/>
      <c r="E365" s="172"/>
      <c r="F365" s="172"/>
      <c r="G365" s="172"/>
      <c r="H365" s="172"/>
      <c r="I365" s="172"/>
      <c r="J365" s="147"/>
      <c r="K365" s="1147"/>
      <c r="L365" s="172"/>
      <c r="M365" s="564"/>
      <c r="N365" s="564"/>
      <c r="O365" s="1125"/>
      <c r="P365" s="1126"/>
      <c r="Q365" s="257"/>
      <c r="R365" s="1343"/>
      <c r="S365" s="1344"/>
      <c r="T365" s="1336"/>
      <c r="U365" s="1340"/>
      <c r="V365" s="1345"/>
      <c r="W365" s="1340"/>
      <c r="X365" s="1340"/>
      <c r="Y365" s="1340"/>
      <c r="Z365" s="1340"/>
      <c r="AA365" s="1340"/>
      <c r="AB365" s="1340"/>
    </row>
    <row r="366" spans="2:28" s="147" customFormat="1" ht="25.05" customHeight="1">
      <c r="B366" s="1129"/>
      <c r="C366" s="172"/>
      <c r="D366" s="172"/>
      <c r="E366" s="1135" t="s">
        <v>0</v>
      </c>
      <c r="F366" s="1135" t="s">
        <v>41</v>
      </c>
      <c r="G366" s="1134" t="s">
        <v>582</v>
      </c>
      <c r="H366" s="1134" t="s">
        <v>581</v>
      </c>
      <c r="I366" s="1134" t="s">
        <v>284</v>
      </c>
      <c r="K366" s="1147"/>
      <c r="L366" s="172"/>
      <c r="M366" s="1289"/>
      <c r="N366" s="1130"/>
      <c r="O366" s="1130"/>
      <c r="P366" s="157"/>
      <c r="Q366" s="1349"/>
      <c r="R366" s="1331" t="s">
        <v>2673</v>
      </c>
      <c r="S366" s="1140" t="s">
        <v>2365</v>
      </c>
      <c r="T366" s="1141">
        <v>35740</v>
      </c>
      <c r="U366" s="1337"/>
      <c r="V366" s="1331" t="s">
        <v>2674</v>
      </c>
      <c r="W366" s="1140" t="s">
        <v>2365</v>
      </c>
      <c r="X366" s="1141">
        <v>11996</v>
      </c>
      <c r="Y366" s="1337"/>
      <c r="Z366" s="1331" t="s">
        <v>2677</v>
      </c>
      <c r="AA366" s="1140" t="s">
        <v>2365</v>
      </c>
      <c r="AB366" s="1141">
        <v>5998</v>
      </c>
    </row>
    <row r="367" spans="2:28" s="147" customFormat="1" ht="25.05" customHeight="1">
      <c r="B367" s="1129"/>
      <c r="C367" s="172"/>
      <c r="D367" s="172"/>
      <c r="E367" s="1235" t="s">
        <v>90</v>
      </c>
      <c r="F367" s="1238">
        <v>92319</v>
      </c>
      <c r="G367" s="1238">
        <v>50761</v>
      </c>
      <c r="H367" s="1239">
        <v>104200</v>
      </c>
      <c r="I367" s="1240">
        <f>SUM(F367:H367)</f>
        <v>247280</v>
      </c>
      <c r="J367" s="1292" t="s">
        <v>1693</v>
      </c>
      <c r="K367" s="1147"/>
      <c r="L367" s="172"/>
      <c r="M367" s="1289"/>
      <c r="N367" s="1130"/>
      <c r="O367" s="1130"/>
      <c r="P367" s="157"/>
      <c r="Q367" s="1349"/>
      <c r="R367" s="1395" t="s">
        <v>2366</v>
      </c>
      <c r="S367" s="1396"/>
      <c r="T367" s="1142">
        <v>18197.071378197783</v>
      </c>
      <c r="U367" s="1337"/>
      <c r="V367" s="1395" t="s">
        <v>2366</v>
      </c>
      <c r="W367" s="1396"/>
      <c r="X367" s="1142">
        <v>7347.7770572146765</v>
      </c>
      <c r="Y367" s="1337"/>
      <c r="Z367" s="1395" t="s">
        <v>2366</v>
      </c>
      <c r="AA367" s="1396"/>
      <c r="AB367" s="1142">
        <v>2854.9023012431553</v>
      </c>
    </row>
    <row r="368" spans="2:28" s="147" customFormat="1" ht="25.05" customHeight="1">
      <c r="B368" s="1129"/>
      <c r="C368" s="172"/>
      <c r="D368" s="172"/>
      <c r="E368" s="1236" t="s">
        <v>2016</v>
      </c>
      <c r="F368" s="1244">
        <v>58077.579999999987</v>
      </c>
      <c r="G368" s="1244">
        <v>45064.65</v>
      </c>
      <c r="H368" s="1245">
        <v>122151.64039201519</v>
      </c>
      <c r="I368" s="1246">
        <f t="shared" ref="I368:I369" si="6">SUM(F368:H368)</f>
        <v>225293.87039201517</v>
      </c>
      <c r="J368" s="1292">
        <f>I368/I367</f>
        <v>0.91108812031711084</v>
      </c>
      <c r="K368" s="1147"/>
      <c r="L368" s="172"/>
      <c r="M368" s="1289"/>
      <c r="N368" s="1130"/>
      <c r="O368" s="1130"/>
      <c r="P368" s="232"/>
      <c r="R368" s="1397" t="s">
        <v>2678</v>
      </c>
      <c r="S368" s="1398"/>
      <c r="T368" s="1144">
        <f>8%*T366</f>
        <v>2859.2000000000003</v>
      </c>
      <c r="U368" s="1337"/>
      <c r="V368" s="1397" t="s">
        <v>2678</v>
      </c>
      <c r="W368" s="1398"/>
      <c r="X368" s="1144">
        <f>8%*X366</f>
        <v>959.68000000000006</v>
      </c>
      <c r="Y368" s="1337"/>
      <c r="Z368" s="1397" t="s">
        <v>2678</v>
      </c>
      <c r="AA368" s="1398"/>
      <c r="AB368" s="1144">
        <f>8%*AB366</f>
        <v>479.84000000000003</v>
      </c>
    </row>
    <row r="369" spans="2:28" s="147" customFormat="1" ht="25.05" customHeight="1">
      <c r="B369" s="1129"/>
      <c r="C369" s="172"/>
      <c r="D369" s="172"/>
      <c r="E369" s="1241" t="s">
        <v>295</v>
      </c>
      <c r="F369" s="1242">
        <f>0%*F367</f>
        <v>0</v>
      </c>
      <c r="G369" s="1242">
        <f t="shared" ref="G369:H369" si="7">0%*G367</f>
        <v>0</v>
      </c>
      <c r="H369" s="1242">
        <f t="shared" si="7"/>
        <v>0</v>
      </c>
      <c r="I369" s="1243">
        <f t="shared" si="6"/>
        <v>0</v>
      </c>
      <c r="J369" s="1292">
        <f>I369/I367</f>
        <v>0</v>
      </c>
      <c r="K369" s="1147"/>
      <c r="L369" s="172"/>
      <c r="M369" s="1289"/>
      <c r="N369" s="1130"/>
      <c r="O369" s="1130"/>
      <c r="P369" s="1131"/>
      <c r="Q369" s="1132"/>
      <c r="R369" s="1397" t="s">
        <v>2679</v>
      </c>
      <c r="S369" s="1398"/>
      <c r="T369" s="1144">
        <f>4%*T366</f>
        <v>1429.6000000000001</v>
      </c>
      <c r="U369" s="1348"/>
      <c r="V369" s="1397" t="s">
        <v>2679</v>
      </c>
      <c r="W369" s="1398"/>
      <c r="X369" s="1144">
        <f>4%*X366</f>
        <v>479.84000000000003</v>
      </c>
      <c r="Y369" s="1348"/>
      <c r="Z369" s="1397" t="s">
        <v>2679</v>
      </c>
      <c r="AA369" s="1398"/>
      <c r="AB369" s="1144">
        <f>4%*AB366</f>
        <v>239.92000000000002</v>
      </c>
    </row>
    <row r="370" spans="2:28" s="147" customFormat="1" ht="25.05" customHeight="1">
      <c r="B370" s="1129"/>
      <c r="C370" s="172"/>
      <c r="D370" s="172"/>
      <c r="E370" s="1237" t="s">
        <v>2017</v>
      </c>
      <c r="F370" s="1248">
        <f>F367-F368-F369</f>
        <v>34241.420000000013</v>
      </c>
      <c r="G370" s="1248">
        <f t="shared" ref="G370:H370" si="8">G367-G368-G369</f>
        <v>5696.3499999999985</v>
      </c>
      <c r="H370" s="1269">
        <f t="shared" si="8"/>
        <v>-17951.640392015193</v>
      </c>
      <c r="I370" s="1247">
        <f>SUM(F370:H370)</f>
        <v>21986.129607984818</v>
      </c>
      <c r="J370" s="1292">
        <f>I370/I367</f>
        <v>8.8911879682889106E-2</v>
      </c>
      <c r="K370" s="1147"/>
      <c r="L370" s="172"/>
      <c r="M370" s="1289"/>
      <c r="N370" s="1130"/>
      <c r="O370" s="1130"/>
      <c r="P370" s="1131"/>
      <c r="Q370" s="1132"/>
      <c r="R370" s="1399" t="s">
        <v>2367</v>
      </c>
      <c r="S370" s="1397"/>
      <c r="T370" s="1145">
        <f>19%*T366</f>
        <v>6790.6</v>
      </c>
      <c r="U370" s="1337"/>
      <c r="V370" s="1399" t="s">
        <v>2367</v>
      </c>
      <c r="W370" s="1397"/>
      <c r="X370" s="1145">
        <f>19%*X366</f>
        <v>2279.2400000000002</v>
      </c>
      <c r="Y370" s="1337"/>
      <c r="Z370" s="1399" t="s">
        <v>2367</v>
      </c>
      <c r="AA370" s="1397"/>
      <c r="AB370" s="1145">
        <f>19%*AB366</f>
        <v>1139.6200000000001</v>
      </c>
    </row>
    <row r="371" spans="2:28" s="147" customFormat="1" ht="25.05" customHeight="1" thickBot="1">
      <c r="B371" s="172"/>
      <c r="C371" s="172"/>
      <c r="D371" s="172"/>
      <c r="E371" s="765"/>
      <c r="F371" s="521"/>
      <c r="G371" s="172"/>
      <c r="H371" s="172"/>
      <c r="I371" s="1129"/>
      <c r="J371" s="147" t="s">
        <v>2633</v>
      </c>
      <c r="L371" s="172"/>
      <c r="M371" s="1288"/>
      <c r="N371" s="564"/>
      <c r="O371" s="1125"/>
      <c r="P371" s="1127"/>
      <c r="Q371" s="1133"/>
      <c r="R371" s="1393" t="s">
        <v>2368</v>
      </c>
      <c r="S371" s="1394"/>
      <c r="T371" s="1143">
        <f>T366-T367-T368-T369-T370</f>
        <v>6463.5286218022156</v>
      </c>
      <c r="U371" s="1337"/>
      <c r="V371" s="1393" t="s">
        <v>2368</v>
      </c>
      <c r="W371" s="1394"/>
      <c r="X371" s="1143">
        <f>X366-X367-X368-X369-X370</f>
        <v>929.46294278532287</v>
      </c>
      <c r="Y371" s="1337"/>
      <c r="Z371" s="1393" t="s">
        <v>2368</v>
      </c>
      <c r="AA371" s="1394"/>
      <c r="AB371" s="1143">
        <f>AB366-AB367-AB368-AB369-AB370</f>
        <v>1283.7176987568444</v>
      </c>
    </row>
    <row r="372" spans="2:28" s="147" customFormat="1" ht="25.05" customHeight="1" thickBot="1">
      <c r="B372" s="172"/>
      <c r="C372" s="172"/>
      <c r="D372" s="172"/>
      <c r="E372" s="1249" t="s">
        <v>2019</v>
      </c>
      <c r="F372" s="1250">
        <f>F367+F368+F369</f>
        <v>150396.57999999999</v>
      </c>
      <c r="G372" s="1250">
        <f>G367+G368+G369</f>
        <v>95825.65</v>
      </c>
      <c r="H372" s="1250">
        <f t="shared" ref="H372" si="9">H367+H368+H369</f>
        <v>226351.64039201519</v>
      </c>
      <c r="I372" s="1251">
        <f>SUM(F372:H372)</f>
        <v>472573.8703920152</v>
      </c>
      <c r="J372" s="354">
        <f>I372-mFEV[[#Totals],[TOTAL]]</f>
        <v>0</v>
      </c>
      <c r="L372" s="172"/>
      <c r="M372" s="1288"/>
      <c r="N372" s="564"/>
      <c r="O372" s="1125"/>
      <c r="P372" s="1127"/>
      <c r="R372" s="1393" t="s">
        <v>2369</v>
      </c>
      <c r="S372" s="1394"/>
      <c r="T372" s="1335">
        <f>T371/T366</f>
        <v>0.18084859042535578</v>
      </c>
      <c r="U372" s="1337"/>
      <c r="V372" s="1393" t="s">
        <v>2369</v>
      </c>
      <c r="W372" s="1394"/>
      <c r="X372" s="1335">
        <f>X371/X366</f>
        <v>7.7481072256195632E-2</v>
      </c>
      <c r="Y372" s="1337"/>
      <c r="Z372" s="1393" t="s">
        <v>2369</v>
      </c>
      <c r="AA372" s="1394"/>
      <c r="AB372" s="1335">
        <f>AB371/AB366</f>
        <v>0.21402429122321512</v>
      </c>
    </row>
    <row r="373" spans="2:28" s="147" customFormat="1" ht="9.6" customHeight="1"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288"/>
      <c r="N373" s="564"/>
      <c r="O373" s="1125"/>
      <c r="P373" s="1127"/>
      <c r="Q373" s="172"/>
      <c r="R373" s="1338"/>
      <c r="S373" s="1338"/>
      <c r="T373" s="1338"/>
      <c r="U373" s="1336"/>
      <c r="V373" s="1337"/>
      <c r="W373" s="1337"/>
      <c r="X373" s="1337"/>
      <c r="Y373" s="1336"/>
      <c r="Z373" s="1337"/>
      <c r="AA373" s="1337"/>
      <c r="AB373" s="1337"/>
    </row>
    <row r="374" spans="2:28" s="172" customFormat="1" ht="25.05" customHeight="1">
      <c r="E374" s="1325" t="s">
        <v>2665</v>
      </c>
      <c r="F374" s="1135" t="s">
        <v>41</v>
      </c>
      <c r="G374" s="1134" t="s">
        <v>582</v>
      </c>
      <c r="H374" s="1134" t="s">
        <v>581</v>
      </c>
      <c r="I374" s="1134" t="s">
        <v>284</v>
      </c>
      <c r="M374" s="1288"/>
      <c r="N374" s="564"/>
      <c r="O374" s="1125"/>
      <c r="P374" s="1127"/>
      <c r="R374" s="1331" t="s">
        <v>2676</v>
      </c>
      <c r="S374" s="1140" t="s">
        <v>2365</v>
      </c>
      <c r="T374" s="1141">
        <v>6086</v>
      </c>
      <c r="U374" s="1338"/>
      <c r="V374" s="1331" t="s">
        <v>2675</v>
      </c>
      <c r="W374" s="1140" t="s">
        <v>2365</v>
      </c>
      <c r="X374" s="1141">
        <v>9745</v>
      </c>
      <c r="Y374" s="1338"/>
      <c r="Z374" s="1331" t="s">
        <v>2680</v>
      </c>
      <c r="AA374" s="1140" t="s">
        <v>2365</v>
      </c>
      <c r="AB374" s="1141">
        <v>1562</v>
      </c>
    </row>
    <row r="375" spans="2:28" s="147" customFormat="1" ht="25.05" customHeight="1">
      <c r="B375" s="172"/>
      <c r="C375" s="172"/>
      <c r="D375" s="172"/>
      <c r="E375" s="1326" t="s">
        <v>2651</v>
      </c>
      <c r="F375" s="1137">
        <v>6676.8099999999995</v>
      </c>
      <c r="G375" s="1137">
        <v>3126.38</v>
      </c>
      <c r="H375" s="1137">
        <v>5990.61</v>
      </c>
      <c r="I375" s="1138">
        <f>SUM(F375:H375)</f>
        <v>15793.8</v>
      </c>
      <c r="L375" s="172"/>
      <c r="M375" s="1288"/>
      <c r="N375" s="564"/>
      <c r="O375" s="1125"/>
      <c r="P375" s="1127"/>
      <c r="R375" s="1395" t="s">
        <v>2366</v>
      </c>
      <c r="S375" s="1396"/>
      <c r="T375" s="1142">
        <v>3318.748647110011</v>
      </c>
      <c r="U375" s="1337"/>
      <c r="V375" s="1395" t="s">
        <v>2366</v>
      </c>
      <c r="W375" s="1396"/>
      <c r="X375" s="1142">
        <v>6020.3362347913517</v>
      </c>
      <c r="Y375" s="1337"/>
      <c r="Z375" s="1395" t="s">
        <v>2366</v>
      </c>
      <c r="AA375" s="1396"/>
      <c r="AB375" s="1142">
        <v>256.04000000000002</v>
      </c>
    </row>
    <row r="376" spans="2:28" s="147" customFormat="1" ht="25.05" customHeight="1">
      <c r="B376" s="172"/>
      <c r="C376" s="172"/>
      <c r="D376" s="172"/>
      <c r="E376" s="1326" t="s">
        <v>2659</v>
      </c>
      <c r="F376" s="1137">
        <v>0</v>
      </c>
      <c r="G376" s="1137">
        <v>1094.98</v>
      </c>
      <c r="H376" s="1137">
        <v>3901.9</v>
      </c>
      <c r="I376" s="1138">
        <f t="shared" ref="I376:I377" si="10">SUM(F376:H376)</f>
        <v>4996.88</v>
      </c>
      <c r="L376" s="172"/>
      <c r="M376" s="1288"/>
      <c r="N376" s="564"/>
      <c r="O376" s="1125"/>
      <c r="P376" s="1127"/>
      <c r="R376" s="1397" t="s">
        <v>2678</v>
      </c>
      <c r="S376" s="1398"/>
      <c r="T376" s="1144">
        <f>8%*T374</f>
        <v>486.88</v>
      </c>
      <c r="U376" s="1337"/>
      <c r="V376" s="1397" t="s">
        <v>2678</v>
      </c>
      <c r="W376" s="1398"/>
      <c r="X376" s="1144">
        <f>8%*X374</f>
        <v>779.6</v>
      </c>
      <c r="Y376" s="1337"/>
      <c r="Z376" s="1397" t="s">
        <v>2678</v>
      </c>
      <c r="AA376" s="1398"/>
      <c r="AB376" s="1144">
        <f>8%*AB374</f>
        <v>124.96000000000001</v>
      </c>
    </row>
    <row r="377" spans="2:28" s="147" customFormat="1" ht="25.05" customHeight="1">
      <c r="B377" s="172"/>
      <c r="C377" s="172"/>
      <c r="D377" s="172"/>
      <c r="E377" s="1326" t="s">
        <v>2660</v>
      </c>
      <c r="F377" s="1137">
        <v>0</v>
      </c>
      <c r="G377" s="1137">
        <v>0</v>
      </c>
      <c r="H377" s="1137">
        <v>0</v>
      </c>
      <c r="I377" s="1138">
        <f t="shared" si="10"/>
        <v>0</v>
      </c>
      <c r="L377" s="172"/>
      <c r="M377" s="1288"/>
      <c r="N377" s="564"/>
      <c r="O377" s="1125"/>
      <c r="P377" s="1127"/>
      <c r="R377" s="1397" t="s">
        <v>2679</v>
      </c>
      <c r="S377" s="1398"/>
      <c r="T377" s="1144">
        <f>4%*T374</f>
        <v>243.44</v>
      </c>
      <c r="U377" s="1337"/>
      <c r="V377" s="1397" t="s">
        <v>2679</v>
      </c>
      <c r="W377" s="1398"/>
      <c r="X377" s="1144">
        <f>4%*X374</f>
        <v>389.8</v>
      </c>
      <c r="Y377" s="1337"/>
      <c r="Z377" s="1397" t="s">
        <v>2679</v>
      </c>
      <c r="AA377" s="1398"/>
      <c r="AB377" s="1144">
        <f>4%*AB374</f>
        <v>62.480000000000004</v>
      </c>
    </row>
    <row r="378" spans="2:28" s="147" customFormat="1" ht="25.05" customHeight="1">
      <c r="B378" s="172"/>
      <c r="C378" s="172"/>
      <c r="D378" s="172"/>
      <c r="E378" s="1290" t="s">
        <v>2095</v>
      </c>
      <c r="F378" s="1139">
        <f>F375-(F376+F377)</f>
        <v>6676.8099999999995</v>
      </c>
      <c r="G378" s="1136">
        <f t="shared" ref="G378:I378" si="11">G375-(G376+G377)</f>
        <v>2031.4</v>
      </c>
      <c r="H378" s="1136">
        <f t="shared" si="11"/>
        <v>2088.7099999999996</v>
      </c>
      <c r="I378" s="1136">
        <f t="shared" si="11"/>
        <v>10796.919999999998</v>
      </c>
      <c r="J378" s="1292">
        <f>I378/I367</f>
        <v>4.3662730507926233E-2</v>
      </c>
      <c r="L378" s="172"/>
      <c r="M378" s="1288"/>
      <c r="N378" s="564"/>
      <c r="O378" s="1125"/>
      <c r="P378" s="1126"/>
      <c r="R378" s="1399" t="s">
        <v>2367</v>
      </c>
      <c r="S378" s="1397"/>
      <c r="T378" s="1145">
        <f>19%*T374</f>
        <v>1156.3399999999999</v>
      </c>
      <c r="U378" s="1337"/>
      <c r="V378" s="1399" t="s">
        <v>2367</v>
      </c>
      <c r="W378" s="1397"/>
      <c r="X378" s="1145">
        <f>19%*X374</f>
        <v>1851.55</v>
      </c>
      <c r="Y378" s="1337"/>
      <c r="Z378" s="1399" t="s">
        <v>2367</v>
      </c>
      <c r="AA378" s="1397"/>
      <c r="AB378" s="1145">
        <f>19%*AB374</f>
        <v>296.78000000000003</v>
      </c>
    </row>
    <row r="379" spans="2:28" s="2" customFormat="1" ht="25.05" customHeight="1">
      <c r="B379" s="1"/>
      <c r="C379" s="1"/>
      <c r="D379" s="1"/>
      <c r="E379" s="1"/>
      <c r="F379" s="1"/>
      <c r="G379" s="12"/>
      <c r="H379" s="1"/>
      <c r="I379" s="1"/>
      <c r="L379" s="1"/>
      <c r="M379" s="13"/>
      <c r="N379" s="13"/>
      <c r="O379" s="44"/>
      <c r="P379" s="14"/>
      <c r="R379" s="1393" t="s">
        <v>2368</v>
      </c>
      <c r="S379" s="1394"/>
      <c r="T379" s="1143">
        <f>T374-T375-T376-T377-T378</f>
        <v>880.59135288998891</v>
      </c>
      <c r="U379" s="1339"/>
      <c r="V379" s="1393" t="s">
        <v>2368</v>
      </c>
      <c r="W379" s="1394"/>
      <c r="X379" s="1143">
        <f>X374-X375-X376-X377-X378</f>
        <v>703.71376520864828</v>
      </c>
      <c r="Y379" s="1339"/>
      <c r="Z379" s="1393" t="s">
        <v>2368</v>
      </c>
      <c r="AA379" s="1394"/>
      <c r="AB379" s="1143">
        <f>AB374-AB375-AB376-AB377-AB378</f>
        <v>821.74</v>
      </c>
    </row>
    <row r="380" spans="2:28" s="2" customFormat="1" ht="25.05" customHeight="1">
      <c r="B380" s="1"/>
      <c r="C380" s="1"/>
      <c r="D380" s="1"/>
      <c r="E380" s="1"/>
      <c r="F380" s="1"/>
      <c r="G380" s="12"/>
      <c r="H380" s="1"/>
      <c r="I380" s="1"/>
      <c r="L380" s="1"/>
      <c r="M380" s="13"/>
      <c r="N380" s="13"/>
      <c r="O380" s="44"/>
      <c r="P380" s="14"/>
      <c r="R380" s="1393" t="s">
        <v>2369</v>
      </c>
      <c r="S380" s="1394"/>
      <c r="T380" s="1335">
        <f>T379/T374</f>
        <v>0.14469131661025122</v>
      </c>
      <c r="U380" s="1339"/>
      <c r="V380" s="1393" t="s">
        <v>2369</v>
      </c>
      <c r="W380" s="1394"/>
      <c r="X380" s="1335">
        <f>X379/X374</f>
        <v>7.2212802997295877E-2</v>
      </c>
      <c r="Y380" s="1339"/>
      <c r="Z380" s="1393" t="s">
        <v>2369</v>
      </c>
      <c r="AA380" s="1394"/>
      <c r="AB380" s="1335">
        <f>AB379/AB374</f>
        <v>0.52608194622279125</v>
      </c>
    </row>
    <row r="381" spans="2:28" s="147" customFormat="1" ht="9.6" customHeight="1"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288"/>
      <c r="N381" s="564"/>
      <c r="O381" s="1125"/>
      <c r="P381" s="1127"/>
      <c r="Q381" s="172"/>
      <c r="R381" s="1338"/>
      <c r="S381" s="1338"/>
      <c r="T381" s="1338"/>
      <c r="U381" s="1336"/>
      <c r="V381" s="1337"/>
      <c r="W381" s="1337"/>
      <c r="X381" s="1337"/>
      <c r="Y381" s="1336"/>
      <c r="Z381" s="1337"/>
      <c r="AA381" s="1337"/>
      <c r="AB381" s="1337"/>
    </row>
    <row r="382" spans="2:28" s="2" customFormat="1" ht="25.05" customHeight="1">
      <c r="B382" s="1"/>
      <c r="C382" s="1"/>
      <c r="D382" s="1"/>
      <c r="E382" s="1"/>
      <c r="F382" s="1"/>
      <c r="G382" s="12"/>
      <c r="H382" s="1"/>
      <c r="I382" s="1"/>
      <c r="L382" s="1"/>
      <c r="M382" s="13"/>
      <c r="N382" s="13"/>
      <c r="O382" s="44"/>
      <c r="P382" s="14"/>
      <c r="R382" s="1331" t="s">
        <v>1767</v>
      </c>
      <c r="S382" s="1140" t="s">
        <v>2365</v>
      </c>
      <c r="T382" s="1141">
        <v>41450</v>
      </c>
      <c r="U382" s="1338"/>
      <c r="V382" s="1331" t="s">
        <v>49</v>
      </c>
      <c r="W382" s="1140" t="s">
        <v>2365</v>
      </c>
      <c r="X382" s="1141">
        <v>36427</v>
      </c>
      <c r="Y382" s="1338"/>
      <c r="Z382" s="1331" t="s">
        <v>1003</v>
      </c>
      <c r="AA382" s="1140" t="s">
        <v>2365</v>
      </c>
      <c r="AB382" s="1141">
        <v>19698</v>
      </c>
    </row>
    <row r="383" spans="2:28" s="2" customFormat="1" ht="25.05" customHeight="1">
      <c r="B383" s="1"/>
      <c r="C383" s="1"/>
      <c r="D383" s="1"/>
      <c r="E383" s="1"/>
      <c r="F383" s="1"/>
      <c r="G383" s="12"/>
      <c r="H383" s="1"/>
      <c r="I383" s="1"/>
      <c r="L383" s="1"/>
      <c r="M383" s="13"/>
      <c r="N383" s="13"/>
      <c r="O383" s="44"/>
      <c r="P383" s="14"/>
      <c r="R383" s="1395" t="s">
        <v>2366</v>
      </c>
      <c r="S383" s="1396"/>
      <c r="T383" s="1142">
        <v>29303.61</v>
      </c>
      <c r="U383" s="1337"/>
      <c r="V383" s="1395" t="s">
        <v>2366</v>
      </c>
      <c r="W383" s="1396"/>
      <c r="X383" s="1142">
        <v>27656.83</v>
      </c>
      <c r="Y383" s="1337"/>
      <c r="Z383" s="1395" t="s">
        <v>2366</v>
      </c>
      <c r="AA383" s="1396"/>
      <c r="AB383" s="1142">
        <v>13775.50294539969</v>
      </c>
    </row>
    <row r="384" spans="2:28" s="2" customFormat="1" ht="25.05" customHeight="1">
      <c r="B384" s="1"/>
      <c r="C384" s="1"/>
      <c r="D384" s="1"/>
      <c r="E384" s="1"/>
      <c r="F384" s="1"/>
      <c r="G384" s="12"/>
      <c r="H384" s="1"/>
      <c r="I384" s="1"/>
      <c r="L384" s="1"/>
      <c r="M384" s="13"/>
      <c r="N384" s="13"/>
      <c r="O384" s="44"/>
      <c r="P384" s="14"/>
      <c r="R384" s="1397" t="s">
        <v>2678</v>
      </c>
      <c r="S384" s="1398"/>
      <c r="T384" s="1144">
        <f>8%*T382</f>
        <v>3316</v>
      </c>
      <c r="U384" s="1337"/>
      <c r="V384" s="1397" t="s">
        <v>2678</v>
      </c>
      <c r="W384" s="1398"/>
      <c r="X384" s="1144">
        <f>8%*X382</f>
        <v>2914.16</v>
      </c>
      <c r="Y384" s="1337"/>
      <c r="Z384" s="1397" t="s">
        <v>2678</v>
      </c>
      <c r="AA384" s="1398"/>
      <c r="AB384" s="1144">
        <f>8%*AB382</f>
        <v>1575.8400000000001</v>
      </c>
    </row>
    <row r="385" spans="2:28" s="2" customFormat="1" ht="25.05" customHeight="1">
      <c r="B385" s="1"/>
      <c r="C385" s="1"/>
      <c r="D385" s="1"/>
      <c r="E385" s="1"/>
      <c r="F385" s="1"/>
      <c r="G385" s="12"/>
      <c r="H385" s="1"/>
      <c r="I385" s="1"/>
      <c r="L385" s="1"/>
      <c r="M385" s="13"/>
      <c r="N385" s="13"/>
      <c r="O385" s="44"/>
      <c r="P385" s="14"/>
      <c r="R385" s="1397" t="s">
        <v>2679</v>
      </c>
      <c r="S385" s="1398"/>
      <c r="T385" s="1144">
        <f>4%*T382</f>
        <v>1658</v>
      </c>
      <c r="U385" s="1337"/>
      <c r="V385" s="1397" t="s">
        <v>2679</v>
      </c>
      <c r="W385" s="1398"/>
      <c r="X385" s="1144">
        <f>4%*X382</f>
        <v>1457.08</v>
      </c>
      <c r="Y385" s="1337"/>
      <c r="Z385" s="1397" t="s">
        <v>2679</v>
      </c>
      <c r="AA385" s="1398"/>
      <c r="AB385" s="1144">
        <f>4%*AB382</f>
        <v>787.92000000000007</v>
      </c>
    </row>
    <row r="386" spans="2:28" s="2" customFormat="1" ht="25.05" customHeight="1">
      <c r="B386" s="1"/>
      <c r="C386" s="1"/>
      <c r="D386" s="1"/>
      <c r="E386" s="1"/>
      <c r="F386" s="1"/>
      <c r="G386" s="12"/>
      <c r="H386" s="1"/>
      <c r="I386" s="1"/>
      <c r="L386" s="1"/>
      <c r="M386" s="13"/>
      <c r="N386" s="13"/>
      <c r="O386" s="44"/>
      <c r="P386" s="14"/>
      <c r="R386" s="1399" t="s">
        <v>2367</v>
      </c>
      <c r="S386" s="1397"/>
      <c r="T386" s="1145">
        <f>19%*T382</f>
        <v>7875.5</v>
      </c>
      <c r="U386" s="1337"/>
      <c r="V386" s="1399" t="s">
        <v>2367</v>
      </c>
      <c r="W386" s="1397"/>
      <c r="X386" s="1145">
        <f>19%*X382</f>
        <v>6921.13</v>
      </c>
      <c r="Y386" s="1337"/>
      <c r="Z386" s="1399" t="s">
        <v>2367</v>
      </c>
      <c r="AA386" s="1397"/>
      <c r="AB386" s="1145">
        <f>19%*AB382</f>
        <v>3742.62</v>
      </c>
    </row>
    <row r="387" spans="2:28" s="2" customFormat="1" ht="25.05" customHeight="1">
      <c r="B387" s="1"/>
      <c r="C387" s="1"/>
      <c r="D387" s="1"/>
      <c r="E387" s="1"/>
      <c r="F387" s="1"/>
      <c r="G387" s="12"/>
      <c r="H387" s="1"/>
      <c r="I387" s="1"/>
      <c r="L387" s="1"/>
      <c r="M387" s="13"/>
      <c r="N387" s="13"/>
      <c r="O387" s="44"/>
      <c r="P387" s="14"/>
      <c r="R387" s="1393" t="s">
        <v>2368</v>
      </c>
      <c r="S387" s="1394"/>
      <c r="T387" s="1143">
        <f>T382-T383-T384-T385-T386</f>
        <v>-703.11000000000058</v>
      </c>
      <c r="U387" s="1339"/>
      <c r="V387" s="1393" t="s">
        <v>2368</v>
      </c>
      <c r="W387" s="1394"/>
      <c r="X387" s="1143">
        <f>X382-X383-X384-X385-X386</f>
        <v>-2522.2000000000016</v>
      </c>
      <c r="Y387" s="1339"/>
      <c r="Z387" s="1393" t="s">
        <v>2368</v>
      </c>
      <c r="AA387" s="1394"/>
      <c r="AB387" s="1143">
        <f>AB382-AB383-AB384-AB385-AB386</f>
        <v>-183.88294539969047</v>
      </c>
    </row>
    <row r="388" spans="2:28" s="2" customFormat="1" ht="25.05" customHeight="1">
      <c r="B388" s="1"/>
      <c r="C388" s="1"/>
      <c r="D388" s="1"/>
      <c r="E388" s="1"/>
      <c r="F388" s="1"/>
      <c r="G388" s="12"/>
      <c r="H388" s="1"/>
      <c r="I388" s="1"/>
      <c r="L388" s="1"/>
      <c r="M388" s="13"/>
      <c r="N388" s="13"/>
      <c r="O388" s="44"/>
      <c r="P388" s="14"/>
      <c r="R388" s="1393" t="s">
        <v>2369</v>
      </c>
      <c r="S388" s="1394"/>
      <c r="T388" s="1291">
        <f>T387/T382</f>
        <v>-1.6962846803377576E-2</v>
      </c>
      <c r="U388" s="1339"/>
      <c r="V388" s="1393" t="s">
        <v>2369</v>
      </c>
      <c r="W388" s="1394"/>
      <c r="X388" s="1291">
        <f>X387/X382</f>
        <v>-6.9239849562138023E-2</v>
      </c>
      <c r="Y388" s="1339"/>
      <c r="Z388" s="1393" t="s">
        <v>2369</v>
      </c>
      <c r="AA388" s="1394"/>
      <c r="AB388" s="1291">
        <f>AB387/AB382</f>
        <v>-9.3351073915976471E-3</v>
      </c>
    </row>
    <row r="389" spans="2:28" s="2" customFormat="1" ht="25.05" customHeight="1">
      <c r="B389" s="1"/>
      <c r="C389" s="1"/>
      <c r="D389" s="1"/>
      <c r="E389" s="1"/>
      <c r="F389" s="1"/>
      <c r="G389" s="12"/>
      <c r="H389" s="1"/>
      <c r="I389" s="1"/>
      <c r="L389" s="1"/>
      <c r="M389" s="13"/>
      <c r="N389" s="13"/>
      <c r="O389" s="44"/>
      <c r="P389" s="14"/>
      <c r="R389" s="1341"/>
      <c r="S389" s="1342"/>
      <c r="T389" s="1339"/>
      <c r="U389" s="1339"/>
      <c r="V389" s="1339"/>
      <c r="W389" s="1339"/>
      <c r="X389" s="1339"/>
      <c r="Y389" s="1339"/>
      <c r="Z389" s="1339"/>
      <c r="AA389" s="1339"/>
      <c r="AB389" s="1339"/>
    </row>
    <row r="390" spans="2:28" s="2" customFormat="1" ht="25.05" customHeight="1">
      <c r="B390" s="1"/>
      <c r="C390" s="1"/>
      <c r="D390" s="1"/>
      <c r="E390" s="1"/>
      <c r="F390" s="1"/>
      <c r="G390" s="12"/>
      <c r="H390" s="1"/>
      <c r="I390" s="1"/>
      <c r="L390" s="1"/>
      <c r="M390" s="13"/>
      <c r="N390" s="13"/>
      <c r="O390" s="44"/>
      <c r="P390" s="14"/>
      <c r="R390" s="1146" t="s">
        <v>653</v>
      </c>
      <c r="S390" s="1140" t="s">
        <v>2365</v>
      </c>
      <c r="T390" s="1141">
        <v>24230</v>
      </c>
      <c r="U390" s="1338"/>
      <c r="V390" s="1331" t="s">
        <v>583</v>
      </c>
      <c r="W390" s="1140" t="s">
        <v>2365</v>
      </c>
      <c r="X390" s="1141">
        <v>13744</v>
      </c>
      <c r="Y390" s="1338"/>
      <c r="Z390" s="107"/>
      <c r="AA390" s="107"/>
      <c r="AB390" s="107"/>
    </row>
    <row r="391" spans="2:28" s="2" customFormat="1" ht="25.05" customHeight="1">
      <c r="B391" s="1"/>
      <c r="C391" s="1"/>
      <c r="D391" s="1"/>
      <c r="E391" s="1"/>
      <c r="F391" s="1"/>
      <c r="G391" s="12"/>
      <c r="H391" s="1"/>
      <c r="I391" s="1"/>
      <c r="L391" s="1"/>
      <c r="M391" s="13"/>
      <c r="N391" s="13"/>
      <c r="O391" s="44"/>
      <c r="P391" s="14"/>
      <c r="R391" s="1395" t="s">
        <v>2366</v>
      </c>
      <c r="S391" s="1396"/>
      <c r="T391" s="1142">
        <v>15486.806309568354</v>
      </c>
      <c r="U391" s="1337"/>
      <c r="V391" s="1395" t="s">
        <v>2366</v>
      </c>
      <c r="W391" s="1396"/>
      <c r="X391" s="1142">
        <v>7745.6021089025016</v>
      </c>
      <c r="Y391" s="1337"/>
      <c r="Z391" s="107"/>
      <c r="AA391" s="107"/>
      <c r="AB391" s="107"/>
    </row>
    <row r="392" spans="2:28" s="2" customFormat="1" ht="25.05" customHeight="1">
      <c r="B392" s="1"/>
      <c r="C392" s="1"/>
      <c r="D392" s="1"/>
      <c r="E392" s="1"/>
      <c r="F392" s="1"/>
      <c r="G392" s="12"/>
      <c r="H392" s="1"/>
      <c r="I392" s="1"/>
      <c r="L392" s="1"/>
      <c r="M392" s="13"/>
      <c r="N392" s="13"/>
      <c r="O392" s="44"/>
      <c r="P392" s="14"/>
      <c r="R392" s="1397" t="s">
        <v>2678</v>
      </c>
      <c r="S392" s="1398"/>
      <c r="T392" s="1144">
        <f>8%*T390</f>
        <v>1938.4</v>
      </c>
      <c r="U392" s="1337"/>
      <c r="V392" s="1397" t="s">
        <v>2678</v>
      </c>
      <c r="W392" s="1398"/>
      <c r="X392" s="1144">
        <f>8%*X390</f>
        <v>1099.52</v>
      </c>
      <c r="Y392" s="1337"/>
      <c r="Z392" s="107"/>
      <c r="AA392" s="107"/>
      <c r="AB392" s="107"/>
    </row>
    <row r="393" spans="2:28" s="2" customFormat="1" ht="25.05" customHeight="1">
      <c r="B393" s="1"/>
      <c r="C393" s="1"/>
      <c r="D393" s="1"/>
      <c r="E393" s="1"/>
      <c r="F393" s="1"/>
      <c r="G393" s="12"/>
      <c r="H393" s="1"/>
      <c r="I393" s="1"/>
      <c r="L393" s="1"/>
      <c r="M393" s="13"/>
      <c r="N393" s="13"/>
      <c r="O393" s="44"/>
      <c r="P393" s="14"/>
      <c r="R393" s="1397" t="s">
        <v>2679</v>
      </c>
      <c r="S393" s="1398"/>
      <c r="T393" s="1144">
        <f>4%*T390</f>
        <v>969.2</v>
      </c>
      <c r="U393" s="1337"/>
      <c r="V393" s="1397" t="s">
        <v>2679</v>
      </c>
      <c r="W393" s="1398"/>
      <c r="X393" s="1144">
        <f>4%*X390</f>
        <v>549.76</v>
      </c>
      <c r="Y393" s="1337"/>
      <c r="Z393" s="107"/>
      <c r="AA393" s="107"/>
      <c r="AB393" s="107"/>
    </row>
    <row r="394" spans="2:28" s="2" customFormat="1" ht="25.05" customHeight="1">
      <c r="B394" s="1"/>
      <c r="C394" s="1"/>
      <c r="D394" s="1"/>
      <c r="E394" s="1"/>
      <c r="F394" s="1"/>
      <c r="G394" s="12"/>
      <c r="H394" s="1"/>
      <c r="I394" s="1"/>
      <c r="L394" s="1"/>
      <c r="M394" s="13"/>
      <c r="N394" s="13"/>
      <c r="O394" s="44"/>
      <c r="P394" s="14"/>
      <c r="R394" s="1399" t="s">
        <v>2367</v>
      </c>
      <c r="S394" s="1397"/>
      <c r="T394" s="1145">
        <f>19%*T390</f>
        <v>4603.7</v>
      </c>
      <c r="U394" s="1337"/>
      <c r="V394" s="1399" t="s">
        <v>2367</v>
      </c>
      <c r="W394" s="1397"/>
      <c r="X394" s="1145">
        <f>19%*X390</f>
        <v>2611.36</v>
      </c>
      <c r="Y394" s="1337"/>
      <c r="Z394" s="445"/>
      <c r="AA394" s="445"/>
      <c r="AB394" s="445"/>
    </row>
    <row r="395" spans="2:28" ht="25.05" customHeight="1">
      <c r="R395" s="1393" t="s">
        <v>2368</v>
      </c>
      <c r="S395" s="1394"/>
      <c r="T395" s="1143">
        <f>T390-T391-T392-T393-T394</f>
        <v>1231.893690431647</v>
      </c>
      <c r="U395" s="1339"/>
      <c r="V395" s="1393" t="s">
        <v>2368</v>
      </c>
      <c r="W395" s="1394"/>
      <c r="X395" s="1143">
        <f>X390-X391-X392-X393-X394</f>
        <v>1737.7578910974976</v>
      </c>
      <c r="Y395" s="1339"/>
      <c r="Z395" s="445"/>
      <c r="AA395" s="445"/>
      <c r="AB395" s="445"/>
    </row>
    <row r="396" spans="2:28" ht="25.05" customHeight="1">
      <c r="R396" s="1393" t="s">
        <v>2369</v>
      </c>
      <c r="S396" s="1394"/>
      <c r="T396" s="1335">
        <f>T395/T390</f>
        <v>5.0841671086737393E-2</v>
      </c>
      <c r="U396" s="1339"/>
      <c r="V396" s="1393" t="s">
        <v>2369</v>
      </c>
      <c r="W396" s="1394"/>
      <c r="X396" s="1335">
        <f>X395/X390</f>
        <v>0.12643756483538254</v>
      </c>
      <c r="Y396" s="1339"/>
      <c r="Z396" s="445"/>
      <c r="AA396" s="445"/>
      <c r="AB396" s="445"/>
    </row>
    <row r="397" spans="2:28" ht="25.05" customHeight="1">
      <c r="R397" s="1346"/>
      <c r="S397" s="1347"/>
      <c r="T397" s="1345"/>
      <c r="U397" s="1340"/>
      <c r="V397" s="1345"/>
      <c r="W397" s="1340"/>
      <c r="X397" s="1340"/>
      <c r="Y397" s="1340"/>
      <c r="Z397" s="1340"/>
      <c r="AA397" s="1340"/>
      <c r="AB397" s="1340"/>
    </row>
    <row r="398" spans="2:28" ht="25.05" customHeight="1">
      <c r="R398" s="1331" t="s">
        <v>982</v>
      </c>
      <c r="S398" s="1140" t="s">
        <v>2365</v>
      </c>
      <c r="T398" s="1141">
        <v>7054</v>
      </c>
      <c r="U398" s="1338"/>
      <c r="V398" s="1331" t="s">
        <v>1634</v>
      </c>
      <c r="W398" s="1140" t="s">
        <v>2365</v>
      </c>
      <c r="X398" s="1141">
        <v>6676</v>
      </c>
      <c r="Y398" s="1338"/>
      <c r="Z398" s="1331" t="s">
        <v>1081</v>
      </c>
      <c r="AA398" s="1140" t="s">
        <v>2365</v>
      </c>
      <c r="AB398" s="1141">
        <v>7388</v>
      </c>
    </row>
    <row r="399" spans="2:28" ht="25.05" customHeight="1">
      <c r="R399" s="1395" t="s">
        <v>2366</v>
      </c>
      <c r="S399" s="1396"/>
      <c r="T399" s="1142">
        <v>6207.84</v>
      </c>
      <c r="U399" s="1337"/>
      <c r="V399" s="1395" t="s">
        <v>2366</v>
      </c>
      <c r="W399" s="1396"/>
      <c r="X399" s="1142">
        <v>4627.9295026646578</v>
      </c>
      <c r="Y399" s="1337"/>
      <c r="Z399" s="1395" t="s">
        <v>2366</v>
      </c>
      <c r="AA399" s="1396"/>
      <c r="AB399" s="1142">
        <v>4877.8700000000026</v>
      </c>
    </row>
    <row r="400" spans="2:28" ht="25.05" customHeight="1">
      <c r="R400" s="1397" t="s">
        <v>2678</v>
      </c>
      <c r="S400" s="1398"/>
      <c r="T400" s="1144">
        <f>8%*T398</f>
        <v>564.32000000000005</v>
      </c>
      <c r="U400" s="1337"/>
      <c r="V400" s="1397" t="s">
        <v>2678</v>
      </c>
      <c r="W400" s="1398"/>
      <c r="X400" s="1144">
        <f>8%*X398</f>
        <v>534.08000000000004</v>
      </c>
      <c r="Y400" s="1337"/>
      <c r="Z400" s="1397" t="s">
        <v>2678</v>
      </c>
      <c r="AA400" s="1398"/>
      <c r="AB400" s="1144">
        <f>8%*AB398</f>
        <v>591.04</v>
      </c>
    </row>
    <row r="401" spans="18:28" ht="25.05" customHeight="1">
      <c r="R401" s="1397" t="s">
        <v>2679</v>
      </c>
      <c r="S401" s="1398"/>
      <c r="T401" s="1144">
        <f>4%*T398</f>
        <v>282.16000000000003</v>
      </c>
      <c r="U401" s="1337"/>
      <c r="V401" s="1397" t="s">
        <v>2679</v>
      </c>
      <c r="W401" s="1398"/>
      <c r="X401" s="1144">
        <f>4%*X398</f>
        <v>267.04000000000002</v>
      </c>
      <c r="Y401" s="1337"/>
      <c r="Z401" s="1397" t="s">
        <v>2679</v>
      </c>
      <c r="AA401" s="1398"/>
      <c r="AB401" s="1144">
        <f>4%*AB398</f>
        <v>295.52</v>
      </c>
    </row>
    <row r="402" spans="18:28" ht="25.05" customHeight="1">
      <c r="R402" s="1399" t="s">
        <v>2367</v>
      </c>
      <c r="S402" s="1397"/>
      <c r="T402" s="1145">
        <f>19%*T398</f>
        <v>1340.26</v>
      </c>
      <c r="U402" s="1337"/>
      <c r="V402" s="1399" t="s">
        <v>2367</v>
      </c>
      <c r="W402" s="1397"/>
      <c r="X402" s="1145">
        <f>19%*X398</f>
        <v>1268.44</v>
      </c>
      <c r="Y402" s="1337"/>
      <c r="Z402" s="1399" t="s">
        <v>2367</v>
      </c>
      <c r="AA402" s="1397"/>
      <c r="AB402" s="1145">
        <f>19%*AB398</f>
        <v>1403.72</v>
      </c>
    </row>
    <row r="403" spans="18:28" ht="25.05" customHeight="1">
      <c r="R403" s="1393" t="s">
        <v>2368</v>
      </c>
      <c r="S403" s="1394"/>
      <c r="T403" s="1143">
        <f>T398-T399-T400-T401-T402</f>
        <v>-1340.5800000000002</v>
      </c>
      <c r="U403" s="1339"/>
      <c r="V403" s="1393" t="s">
        <v>2368</v>
      </c>
      <c r="W403" s="1394"/>
      <c r="X403" s="1143">
        <f>X398-X399-X400-X401-X402</f>
        <v>-21.489502664657721</v>
      </c>
      <c r="Y403" s="1339"/>
      <c r="Z403" s="1393" t="s">
        <v>2368</v>
      </c>
      <c r="AA403" s="1394"/>
      <c r="AB403" s="1143">
        <f>AB398-AB399-AB400-AB401-AB402</f>
        <v>219.84999999999741</v>
      </c>
    </row>
    <row r="404" spans="18:28" ht="25.05" customHeight="1">
      <c r="R404" s="1393" t="s">
        <v>2369</v>
      </c>
      <c r="S404" s="1394"/>
      <c r="T404" s="1291">
        <f>T403/T398</f>
        <v>-0.19004536433229374</v>
      </c>
      <c r="U404" s="1339"/>
      <c r="V404" s="1393" t="s">
        <v>2369</v>
      </c>
      <c r="W404" s="1394"/>
      <c r="X404" s="1291">
        <f>X403/X398</f>
        <v>-3.21891891322015E-3</v>
      </c>
      <c r="Y404" s="1339"/>
      <c r="Z404" s="1393" t="s">
        <v>2369</v>
      </c>
      <c r="AA404" s="1394"/>
      <c r="AB404" s="1335">
        <f>AB403/AB398</f>
        <v>2.9757715213859962E-2</v>
      </c>
    </row>
    <row r="405" spans="18:28" ht="25.05" customHeight="1">
      <c r="R405" s="1346"/>
      <c r="S405" s="1347"/>
      <c r="T405" s="1345"/>
      <c r="U405" s="1340"/>
      <c r="V405" s="1345"/>
      <c r="W405" s="1340"/>
      <c r="X405" s="1340"/>
      <c r="Y405" s="1340"/>
      <c r="Z405" s="1340"/>
      <c r="AA405" s="1340"/>
      <c r="AB405" s="1340"/>
    </row>
    <row r="406" spans="18:28" ht="25.05" customHeight="1">
      <c r="R406" s="1331" t="s">
        <v>1834</v>
      </c>
      <c r="S406" s="1140" t="s">
        <v>2365</v>
      </c>
      <c r="T406" s="1141">
        <v>6699</v>
      </c>
      <c r="U406" s="1338"/>
      <c r="V406" s="1331" t="s">
        <v>638</v>
      </c>
      <c r="W406" s="1140" t="s">
        <v>2365</v>
      </c>
      <c r="X406" s="1141">
        <v>6301</v>
      </c>
      <c r="Y406" s="1338"/>
      <c r="Z406" s="1331" t="s">
        <v>1082</v>
      </c>
      <c r="AA406" s="1140" t="s">
        <v>2365</v>
      </c>
      <c r="AB406" s="1141">
        <v>6486</v>
      </c>
    </row>
    <row r="407" spans="18:28" ht="25.05" customHeight="1">
      <c r="R407" s="1395" t="s">
        <v>2366</v>
      </c>
      <c r="S407" s="1396"/>
      <c r="T407" s="1142">
        <v>4235.8593291143552</v>
      </c>
      <c r="U407" s="1337"/>
      <c r="V407" s="1395" t="s">
        <v>2366</v>
      </c>
      <c r="W407" s="1396"/>
      <c r="X407" s="1142">
        <v>4710.4623019641076</v>
      </c>
      <c r="Y407" s="1337"/>
      <c r="Z407" s="1395" t="s">
        <v>2366</v>
      </c>
      <c r="AA407" s="1396"/>
      <c r="AB407" s="1142">
        <v>4902.6792795650181</v>
      </c>
    </row>
    <row r="408" spans="18:28" ht="25.05" customHeight="1">
      <c r="R408" s="1397" t="s">
        <v>2678</v>
      </c>
      <c r="S408" s="1398"/>
      <c r="T408" s="1144">
        <f>8%*T406</f>
        <v>535.91999999999996</v>
      </c>
      <c r="U408" s="1337"/>
      <c r="V408" s="1397" t="s">
        <v>2678</v>
      </c>
      <c r="W408" s="1398"/>
      <c r="X408" s="1144">
        <f>8%*X406</f>
        <v>504.08</v>
      </c>
      <c r="Y408" s="1337"/>
      <c r="Z408" s="1397" t="s">
        <v>2678</v>
      </c>
      <c r="AA408" s="1398"/>
      <c r="AB408" s="1144">
        <f>8%*AB406</f>
        <v>518.88</v>
      </c>
    </row>
    <row r="409" spans="18:28" ht="25.05" customHeight="1">
      <c r="R409" s="1397" t="s">
        <v>2679</v>
      </c>
      <c r="S409" s="1398"/>
      <c r="T409" s="1144">
        <f>4%*T406</f>
        <v>267.95999999999998</v>
      </c>
      <c r="U409" s="1337"/>
      <c r="V409" s="1397" t="s">
        <v>2679</v>
      </c>
      <c r="W409" s="1398"/>
      <c r="X409" s="1144">
        <f>4%*X406</f>
        <v>252.04</v>
      </c>
      <c r="Y409" s="1337"/>
      <c r="Z409" s="1397" t="s">
        <v>2679</v>
      </c>
      <c r="AA409" s="1398"/>
      <c r="AB409" s="1144">
        <f>4%*AB406</f>
        <v>259.44</v>
      </c>
    </row>
    <row r="410" spans="18:28" ht="25.05" customHeight="1">
      <c r="R410" s="1399" t="s">
        <v>2367</v>
      </c>
      <c r="S410" s="1397"/>
      <c r="T410" s="1145">
        <f>19%*T406</f>
        <v>1272.81</v>
      </c>
      <c r="U410" s="1337"/>
      <c r="V410" s="1399" t="s">
        <v>2367</v>
      </c>
      <c r="W410" s="1397"/>
      <c r="X410" s="1145">
        <f>19%*X406</f>
        <v>1197.19</v>
      </c>
      <c r="Y410" s="1337"/>
      <c r="Z410" s="1399" t="s">
        <v>2367</v>
      </c>
      <c r="AA410" s="1397"/>
      <c r="AB410" s="1145">
        <f>19%*AB406</f>
        <v>1232.3399999999999</v>
      </c>
    </row>
    <row r="411" spans="18:28" ht="25.05" customHeight="1">
      <c r="R411" s="1393" t="s">
        <v>2368</v>
      </c>
      <c r="S411" s="1394"/>
      <c r="T411" s="1143">
        <f>T406-T407-T408-T409-T410</f>
        <v>386.45067088564474</v>
      </c>
      <c r="U411" s="1339"/>
      <c r="V411" s="1393" t="s">
        <v>2368</v>
      </c>
      <c r="W411" s="1394"/>
      <c r="X411" s="1143">
        <f>X406-X407-X408-X409-X410</f>
        <v>-362.77230196410756</v>
      </c>
      <c r="Y411" s="1339"/>
      <c r="Z411" s="1393" t="s">
        <v>2368</v>
      </c>
      <c r="AA411" s="1394"/>
      <c r="AB411" s="1143">
        <f>AB406-AB407-AB408-AB409-AB410</f>
        <v>-427.33927956501816</v>
      </c>
    </row>
    <row r="412" spans="18:28" ht="25.05" customHeight="1">
      <c r="R412" s="1393" t="s">
        <v>2369</v>
      </c>
      <c r="S412" s="1394"/>
      <c r="T412" s="1335">
        <f>T411/T406</f>
        <v>5.7687814731399424E-2</v>
      </c>
      <c r="U412" s="1339"/>
      <c r="V412" s="1393" t="s">
        <v>2369</v>
      </c>
      <c r="W412" s="1394"/>
      <c r="X412" s="1291">
        <f>X411/X406</f>
        <v>-5.7573766380591584E-2</v>
      </c>
      <c r="Y412" s="1339"/>
      <c r="Z412" s="1393" t="s">
        <v>2369</v>
      </c>
      <c r="AA412" s="1394"/>
      <c r="AB412" s="1291">
        <f>AB411/AB406</f>
        <v>-6.5886413747304681E-2</v>
      </c>
    </row>
    <row r="413" spans="18:28" ht="25.05" customHeight="1">
      <c r="R413" s="1346"/>
      <c r="S413" s="1347"/>
      <c r="T413" s="1345"/>
      <c r="U413" s="1340"/>
      <c r="V413" s="1345"/>
      <c r="W413" s="1340"/>
      <c r="X413" s="1340"/>
      <c r="Y413" s="1340"/>
      <c r="Z413" s="1340"/>
      <c r="AA413" s="1340"/>
      <c r="AB413" s="1340"/>
    </row>
    <row r="414" spans="18:28" ht="25.05" customHeight="1">
      <c r="R414" s="1331" t="s">
        <v>1834</v>
      </c>
      <c r="S414" s="1140" t="s">
        <v>2365</v>
      </c>
      <c r="T414" s="1141">
        <v>6699</v>
      </c>
      <c r="U414" s="1338"/>
      <c r="V414" s="1331" t="s">
        <v>638</v>
      </c>
      <c r="W414" s="1140" t="s">
        <v>2365</v>
      </c>
      <c r="X414" s="1141">
        <v>6301</v>
      </c>
      <c r="Y414" s="1338"/>
      <c r="Z414" s="1146" t="s">
        <v>1082</v>
      </c>
      <c r="AA414" s="1140" t="s">
        <v>2365</v>
      </c>
      <c r="AB414" s="1141">
        <v>6486</v>
      </c>
    </row>
    <row r="415" spans="18:28" ht="25.05" customHeight="1">
      <c r="R415" s="1395" t="s">
        <v>2366</v>
      </c>
      <c r="S415" s="1396"/>
      <c r="T415" s="1142">
        <v>4235.8593291143534</v>
      </c>
      <c r="U415" s="1337"/>
      <c r="V415" s="1395" t="s">
        <v>2366</v>
      </c>
      <c r="W415" s="1396"/>
      <c r="X415" s="1142">
        <v>4710.4623019641058</v>
      </c>
      <c r="Y415" s="1337"/>
      <c r="Z415" s="1395" t="s">
        <v>2366</v>
      </c>
      <c r="AA415" s="1396"/>
      <c r="AB415" s="1142">
        <v>4779.979279565021</v>
      </c>
    </row>
    <row r="416" spans="18:28" ht="25.05" customHeight="1">
      <c r="R416" s="1397" t="s">
        <v>2678</v>
      </c>
      <c r="S416" s="1398"/>
      <c r="T416" s="1144">
        <f>8%*T414</f>
        <v>535.91999999999996</v>
      </c>
      <c r="U416" s="1337"/>
      <c r="V416" s="1397" t="s">
        <v>2678</v>
      </c>
      <c r="W416" s="1398"/>
      <c r="X416" s="1144">
        <f>8%*X414</f>
        <v>504.08</v>
      </c>
      <c r="Y416" s="1337"/>
      <c r="Z416" s="1397" t="s">
        <v>2678</v>
      </c>
      <c r="AA416" s="1398"/>
      <c r="AB416" s="1144">
        <f>8%*AB414</f>
        <v>518.88</v>
      </c>
    </row>
    <row r="417" spans="18:28" ht="25.05" customHeight="1">
      <c r="R417" s="1397" t="s">
        <v>2679</v>
      </c>
      <c r="S417" s="1398"/>
      <c r="T417" s="1144">
        <f>4%*T414</f>
        <v>267.95999999999998</v>
      </c>
      <c r="U417" s="1337"/>
      <c r="V417" s="1397" t="s">
        <v>2679</v>
      </c>
      <c r="W417" s="1398"/>
      <c r="X417" s="1144">
        <f>4%*X414</f>
        <v>252.04</v>
      </c>
      <c r="Y417" s="1337"/>
      <c r="Z417" s="1397" t="s">
        <v>2679</v>
      </c>
      <c r="AA417" s="1398"/>
      <c r="AB417" s="1144">
        <f>4%*AB414</f>
        <v>259.44</v>
      </c>
    </row>
    <row r="418" spans="18:28" ht="25.05" customHeight="1">
      <c r="R418" s="1399" t="s">
        <v>2367</v>
      </c>
      <c r="S418" s="1397"/>
      <c r="T418" s="1145">
        <f>19%*T414</f>
        <v>1272.81</v>
      </c>
      <c r="U418" s="1337"/>
      <c r="V418" s="1399" t="s">
        <v>2367</v>
      </c>
      <c r="W418" s="1397"/>
      <c r="X418" s="1145">
        <f>19%*X414</f>
        <v>1197.19</v>
      </c>
      <c r="Y418" s="1337"/>
      <c r="Z418" s="1399" t="s">
        <v>2367</v>
      </c>
      <c r="AA418" s="1397"/>
      <c r="AB418" s="1145">
        <f>19%*AB414</f>
        <v>1232.3399999999999</v>
      </c>
    </row>
    <row r="419" spans="18:28" ht="25.05" customHeight="1">
      <c r="R419" s="1393" t="s">
        <v>2368</v>
      </c>
      <c r="S419" s="1394"/>
      <c r="T419" s="1143">
        <f>T414-T415-T416-T417-T418</f>
        <v>386.45067088564656</v>
      </c>
      <c r="U419" s="1339"/>
      <c r="V419" s="1393" t="s">
        <v>2368</v>
      </c>
      <c r="W419" s="1394"/>
      <c r="X419" s="1143">
        <f>X414-X415-X416-X417-X418</f>
        <v>-362.77230196410574</v>
      </c>
      <c r="Y419" s="1339"/>
      <c r="Z419" s="1393" t="s">
        <v>2368</v>
      </c>
      <c r="AA419" s="1394"/>
      <c r="AB419" s="1143">
        <f>AB414-AB415-AB416-AB417-AB418</f>
        <v>-304.63927956502107</v>
      </c>
    </row>
    <row r="420" spans="18:28" ht="25.05" customHeight="1">
      <c r="R420" s="1393" t="s">
        <v>2369</v>
      </c>
      <c r="S420" s="1394"/>
      <c r="T420" s="1291">
        <f>T419/T414</f>
        <v>5.7687814731399695E-2</v>
      </c>
      <c r="U420" s="1339"/>
      <c r="V420" s="1393" t="s">
        <v>2369</v>
      </c>
      <c r="W420" s="1394"/>
      <c r="X420" s="1291">
        <f>X419/X414</f>
        <v>-5.7573766380591293E-2</v>
      </c>
      <c r="Y420" s="1339"/>
      <c r="Z420" s="1393" t="s">
        <v>2369</v>
      </c>
      <c r="AA420" s="1394"/>
      <c r="AB420" s="1291">
        <f>AB419/AB414</f>
        <v>-4.6968744922143243E-2</v>
      </c>
    </row>
    <row r="421" spans="18:28" ht="25.05" customHeight="1">
      <c r="R421" s="1346"/>
      <c r="S421" s="1347"/>
      <c r="T421" s="1345"/>
      <c r="U421" s="1340"/>
      <c r="V421" s="1345"/>
      <c r="W421" s="1340"/>
      <c r="X421" s="1340"/>
      <c r="Y421" s="1340"/>
      <c r="Z421" s="1340"/>
      <c r="AA421" s="1340"/>
      <c r="AB421" s="1340"/>
    </row>
    <row r="422" spans="18:28" ht="25.05" customHeight="1">
      <c r="R422" s="1333" t="s">
        <v>595</v>
      </c>
      <c r="S422" s="1140" t="s">
        <v>2365</v>
      </c>
      <c r="T422" s="1141">
        <f>T423</f>
        <v>51136.23</v>
      </c>
      <c r="U422" s="1338"/>
      <c r="V422" s="1333" t="s">
        <v>1130</v>
      </c>
      <c r="W422" s="1140" t="s">
        <v>2365</v>
      </c>
      <c r="X422" s="1141">
        <f>X423</f>
        <v>11604.470000000001</v>
      </c>
      <c r="Y422" s="1338"/>
    </row>
    <row r="423" spans="18:28" ht="25.05" customHeight="1">
      <c r="R423" s="1395" t="s">
        <v>2366</v>
      </c>
      <c r="S423" s="1396"/>
      <c r="T423" s="1142">
        <v>51136.23</v>
      </c>
      <c r="U423" s="1337"/>
      <c r="V423" s="1395" t="s">
        <v>2366</v>
      </c>
      <c r="W423" s="1396"/>
      <c r="X423" s="1142">
        <v>11604.470000000001</v>
      </c>
      <c r="Y423" s="1337"/>
    </row>
    <row r="424" spans="18:28" ht="25.05" customHeight="1">
      <c r="R424" s="1397" t="s">
        <v>2678</v>
      </c>
      <c r="S424" s="1398"/>
      <c r="T424" s="1144">
        <f>8%*T422</f>
        <v>4090.8984000000005</v>
      </c>
      <c r="U424" s="1337"/>
      <c r="V424" s="1397" t="s">
        <v>2678</v>
      </c>
      <c r="W424" s="1398"/>
      <c r="X424" s="1144">
        <f>8%*X422</f>
        <v>928.35760000000016</v>
      </c>
      <c r="Y424" s="1337"/>
    </row>
    <row r="425" spans="18:28" ht="25.05" customHeight="1">
      <c r="R425" s="1397" t="s">
        <v>2679</v>
      </c>
      <c r="S425" s="1398"/>
      <c r="T425" s="1144">
        <f>4%*T422</f>
        <v>2045.4492000000002</v>
      </c>
      <c r="U425" s="1337"/>
      <c r="V425" s="1397" t="s">
        <v>2679</v>
      </c>
      <c r="W425" s="1398"/>
      <c r="X425" s="1144">
        <f>4%*X422</f>
        <v>464.17880000000008</v>
      </c>
      <c r="Y425" s="1337"/>
    </row>
    <row r="426" spans="18:28" ht="25.05" customHeight="1">
      <c r="R426" s="1399" t="s">
        <v>2367</v>
      </c>
      <c r="S426" s="1397"/>
      <c r="T426" s="1145">
        <f>19%*T422</f>
        <v>9715.8837000000003</v>
      </c>
      <c r="U426" s="1337"/>
      <c r="V426" s="1399" t="s">
        <v>2367</v>
      </c>
      <c r="W426" s="1397"/>
      <c r="X426" s="1145">
        <f>19%*X422</f>
        <v>2204.8493000000003</v>
      </c>
      <c r="Y426" s="1337"/>
    </row>
    <row r="427" spans="18:28" ht="25.05" customHeight="1">
      <c r="R427" s="1393" t="s">
        <v>2368</v>
      </c>
      <c r="S427" s="1394"/>
      <c r="T427" s="1143">
        <f>T422-T423-T424-T425-T426</f>
        <v>-15852.231300000001</v>
      </c>
      <c r="U427" s="1339"/>
      <c r="V427" s="1393" t="s">
        <v>2368</v>
      </c>
      <c r="W427" s="1394"/>
      <c r="X427" s="1143">
        <f>X422-X423-X424-X425-X426</f>
        <v>-3597.3857000000007</v>
      </c>
      <c r="Y427" s="1339"/>
    </row>
    <row r="428" spans="18:28" ht="25.05" customHeight="1">
      <c r="R428" s="1393" t="s">
        <v>2369</v>
      </c>
      <c r="S428" s="1394"/>
      <c r="T428" s="1291">
        <f>T427/T422</f>
        <v>-0.31</v>
      </c>
      <c r="U428" s="1339"/>
      <c r="V428" s="1393" t="s">
        <v>2369</v>
      </c>
      <c r="W428" s="1394"/>
      <c r="X428" s="1291">
        <f>X427/X422</f>
        <v>-0.31000000000000005</v>
      </c>
      <c r="Y428" s="1339"/>
    </row>
    <row r="429" spans="18:28" ht="25.05" customHeight="1">
      <c r="R429" s="1346"/>
      <c r="S429" s="1347"/>
      <c r="T429" s="1345"/>
      <c r="U429" s="1340"/>
      <c r="V429" s="1345"/>
      <c r="W429" s="1340"/>
      <c r="X429" s="1340"/>
      <c r="Y429" s="1340"/>
      <c r="Z429" s="1340"/>
      <c r="AA429" s="1340"/>
      <c r="AB429" s="1340"/>
    </row>
    <row r="430" spans="18:28" ht="25.05" customHeight="1"/>
    <row r="431" spans="18:28" ht="25.05" customHeight="1"/>
    <row r="432" spans="18:28" ht="25.05" customHeight="1"/>
    <row r="433" ht="25.05" customHeight="1"/>
    <row r="434" ht="25.05" customHeight="1"/>
    <row r="435" ht="25.05" customHeight="1"/>
    <row r="436" ht="25.05" customHeight="1"/>
    <row r="437" ht="25.05" customHeight="1"/>
    <row r="438" ht="25.05" customHeight="1"/>
    <row r="439" ht="25.05" customHeight="1"/>
    <row r="440" ht="25.05" customHeight="1"/>
    <row r="441" ht="25.05" customHeight="1"/>
    <row r="442" ht="25.05" customHeight="1"/>
    <row r="443" ht="25.05" customHeight="1"/>
    <row r="444" ht="25.05" customHeight="1"/>
    <row r="445" ht="25.05" customHeight="1"/>
    <row r="446" ht="25.05" customHeight="1"/>
    <row r="447" ht="25.05" customHeight="1"/>
    <row r="448" ht="25.05" customHeight="1"/>
    <row r="449" ht="25.05" customHeight="1"/>
  </sheetData>
  <mergeCells count="132">
    <mergeCell ref="R380:S380"/>
    <mergeCell ref="V367:W367"/>
    <mergeCell ref="V368:W368"/>
    <mergeCell ref="V369:W369"/>
    <mergeCell ref="V370:W370"/>
    <mergeCell ref="V371:W371"/>
    <mergeCell ref="V372:W372"/>
    <mergeCell ref="V375:W375"/>
    <mergeCell ref="V376:W376"/>
    <mergeCell ref="V377:W377"/>
    <mergeCell ref="V378:W378"/>
    <mergeCell ref="V379:W379"/>
    <mergeCell ref="V380:W380"/>
    <mergeCell ref="R375:S375"/>
    <mergeCell ref="R376:S376"/>
    <mergeCell ref="R377:S377"/>
    <mergeCell ref="R378:S378"/>
    <mergeCell ref="R379:S379"/>
    <mergeCell ref="R372:S372"/>
    <mergeCell ref="R369:S369"/>
    <mergeCell ref="R368:S368"/>
    <mergeCell ref="R370:S370"/>
    <mergeCell ref="R367:S367"/>
    <mergeCell ref="R371:S371"/>
    <mergeCell ref="R386:S386"/>
    <mergeCell ref="V386:W386"/>
    <mergeCell ref="R387:S387"/>
    <mergeCell ref="V387:W387"/>
    <mergeCell ref="R388:S388"/>
    <mergeCell ref="V388:W388"/>
    <mergeCell ref="R383:S383"/>
    <mergeCell ref="V383:W383"/>
    <mergeCell ref="R384:S384"/>
    <mergeCell ref="V384:W384"/>
    <mergeCell ref="R385:S385"/>
    <mergeCell ref="V385:W385"/>
    <mergeCell ref="R394:S394"/>
    <mergeCell ref="V394:W394"/>
    <mergeCell ref="R395:S395"/>
    <mergeCell ref="V395:W395"/>
    <mergeCell ref="R396:S396"/>
    <mergeCell ref="V396:W396"/>
    <mergeCell ref="R391:S391"/>
    <mergeCell ref="V391:W391"/>
    <mergeCell ref="R392:S392"/>
    <mergeCell ref="V392:W392"/>
    <mergeCell ref="R393:S393"/>
    <mergeCell ref="V393:W393"/>
    <mergeCell ref="R402:S402"/>
    <mergeCell ref="V402:W402"/>
    <mergeCell ref="R403:S403"/>
    <mergeCell ref="V403:W403"/>
    <mergeCell ref="R404:S404"/>
    <mergeCell ref="V404:W404"/>
    <mergeCell ref="R399:S399"/>
    <mergeCell ref="V399:W399"/>
    <mergeCell ref="R400:S400"/>
    <mergeCell ref="V400:W400"/>
    <mergeCell ref="R401:S401"/>
    <mergeCell ref="V401:W401"/>
    <mergeCell ref="R410:S410"/>
    <mergeCell ref="V410:W410"/>
    <mergeCell ref="R411:S411"/>
    <mergeCell ref="V411:W411"/>
    <mergeCell ref="R412:S412"/>
    <mergeCell ref="V412:W412"/>
    <mergeCell ref="R407:S407"/>
    <mergeCell ref="V407:W407"/>
    <mergeCell ref="R408:S408"/>
    <mergeCell ref="V408:W408"/>
    <mergeCell ref="R409:S409"/>
    <mergeCell ref="V409:W409"/>
    <mergeCell ref="R426:S426"/>
    <mergeCell ref="V426:W426"/>
    <mergeCell ref="R427:S427"/>
    <mergeCell ref="V427:W427"/>
    <mergeCell ref="R428:S428"/>
    <mergeCell ref="V428:W428"/>
    <mergeCell ref="R423:S423"/>
    <mergeCell ref="V423:W423"/>
    <mergeCell ref="R424:S424"/>
    <mergeCell ref="V424:W424"/>
    <mergeCell ref="R425:S425"/>
    <mergeCell ref="V425:W425"/>
    <mergeCell ref="Z418:AA418"/>
    <mergeCell ref="Z419:AA419"/>
    <mergeCell ref="Z420:AA420"/>
    <mergeCell ref="Z415:AA415"/>
    <mergeCell ref="Z416:AA416"/>
    <mergeCell ref="Z417:AA417"/>
    <mergeCell ref="R418:S418"/>
    <mergeCell ref="V418:W418"/>
    <mergeCell ref="R419:S419"/>
    <mergeCell ref="V419:W419"/>
    <mergeCell ref="R420:S420"/>
    <mergeCell ref="V420:W420"/>
    <mergeCell ref="R415:S415"/>
    <mergeCell ref="V415:W415"/>
    <mergeCell ref="R416:S416"/>
    <mergeCell ref="V416:W416"/>
    <mergeCell ref="R417:S417"/>
    <mergeCell ref="V417:W417"/>
    <mergeCell ref="Z372:AA372"/>
    <mergeCell ref="Z375:AA375"/>
    <mergeCell ref="Z376:AA376"/>
    <mergeCell ref="Z377:AA377"/>
    <mergeCell ref="Z378:AA378"/>
    <mergeCell ref="Z367:AA367"/>
    <mergeCell ref="Z368:AA368"/>
    <mergeCell ref="Z369:AA369"/>
    <mergeCell ref="Z370:AA370"/>
    <mergeCell ref="Z371:AA371"/>
    <mergeCell ref="Z386:AA386"/>
    <mergeCell ref="Z387:AA387"/>
    <mergeCell ref="Z388:AA388"/>
    <mergeCell ref="Z399:AA399"/>
    <mergeCell ref="Z400:AA400"/>
    <mergeCell ref="Z379:AA379"/>
    <mergeCell ref="Z380:AA380"/>
    <mergeCell ref="Z383:AA383"/>
    <mergeCell ref="Z384:AA384"/>
    <mergeCell ref="Z385:AA385"/>
    <mergeCell ref="Z408:AA408"/>
    <mergeCell ref="Z409:AA409"/>
    <mergeCell ref="Z410:AA410"/>
    <mergeCell ref="Z411:AA411"/>
    <mergeCell ref="Z412:AA412"/>
    <mergeCell ref="Z401:AA401"/>
    <mergeCell ref="Z402:AA402"/>
    <mergeCell ref="Z403:AA403"/>
    <mergeCell ref="Z404:AA404"/>
    <mergeCell ref="Z407:AA407"/>
  </mergeCells>
  <conditionalFormatting sqref="P7:P14">
    <cfRule type="containsText" dxfId="127" priority="61" operator="containsText" text="A RECEBER">
      <formula>NOT(ISERROR(SEARCH("A RECEBER",P7)))</formula>
    </cfRule>
    <cfRule type="containsText" dxfId="126" priority="60" operator="containsText" text="A PAGAR">
      <formula>NOT(ISERROR(SEARCH("A PAGAR",P7)))</formula>
    </cfRule>
  </conditionalFormatting>
  <conditionalFormatting sqref="P13:P14">
    <cfRule type="containsText" dxfId="125" priority="58" operator="containsText" text="A PAGAR">
      <formula>NOT(ISERROR(SEARCH("A PAGAR",P13)))</formula>
    </cfRule>
    <cfRule type="containsText" dxfId="124" priority="59" operator="containsText" text="A RECEBER">
      <formula>NOT(ISERROR(SEARCH("A RECEBER",P13)))</formula>
    </cfRule>
  </conditionalFormatting>
  <conditionalFormatting sqref="P14:P20 P228:P243">
    <cfRule type="containsText" dxfId="123" priority="68" operator="containsText" text="A PAGAR">
      <formula>NOT(ISERROR(SEARCH("A PAGAR",P14)))</formula>
    </cfRule>
  </conditionalFormatting>
  <conditionalFormatting sqref="P14:P209">
    <cfRule type="containsText" dxfId="122" priority="67" operator="containsText" text="A RECEBER">
      <formula>NOT(ISERROR(SEARCH("A RECEBER",P14)))</formula>
    </cfRule>
  </conditionalFormatting>
  <conditionalFormatting sqref="P16 P14">
    <cfRule type="containsText" dxfId="121" priority="66" operator="containsText" text="A PAGAR">
      <formula>NOT(ISERROR(SEARCH("A PAGAR",P14)))</formula>
    </cfRule>
  </conditionalFormatting>
  <conditionalFormatting sqref="P16">
    <cfRule type="containsText" dxfId="120" priority="65" operator="containsText" text="A RECEBER">
      <formula>NOT(ISERROR(SEARCH("A RECEBER",P16)))</formula>
    </cfRule>
    <cfRule type="containsText" dxfId="119" priority="64" operator="containsText" text="A PAGAR">
      <formula>NOT(ISERROR(SEARCH("A PAGAR",P16)))</formula>
    </cfRule>
  </conditionalFormatting>
  <conditionalFormatting sqref="P18:P20">
    <cfRule type="containsText" dxfId="118" priority="2" operator="containsText" text="A RECEBER">
      <formula>NOT(ISERROR(SEARCH("A RECEBER",P18)))</formula>
    </cfRule>
    <cfRule type="containsText" dxfId="117" priority="3" operator="containsText" text="A PAGAR">
      <formula>NOT(ISERROR(SEARCH("A PAGAR",P18)))</formula>
    </cfRule>
    <cfRule type="containsText" dxfId="116" priority="4" operator="containsText" text="A RECEBER">
      <formula>NOT(ISERROR(SEARCH("A RECEBER",P18)))</formula>
    </cfRule>
    <cfRule type="containsText" dxfId="115" priority="1" operator="containsText" text="A PAGAR">
      <formula>NOT(ISERROR(SEARCH("A PAGAR",P18)))</formula>
    </cfRule>
  </conditionalFormatting>
  <conditionalFormatting sqref="P21:P226">
    <cfRule type="containsText" dxfId="114" priority="17" operator="containsText" text="A PAGAR">
      <formula>NOT(ISERROR(SEARCH("A PAGAR",P21)))</formula>
    </cfRule>
  </conditionalFormatting>
  <conditionalFormatting sqref="P210:P212">
    <cfRule type="containsText" dxfId="113" priority="74" operator="containsText" text="A PAGAR">
      <formula>NOT(ISERROR(SEARCH("A PAGAR",P210)))</formula>
    </cfRule>
    <cfRule type="containsText" dxfId="112" priority="75" operator="containsText" text="A RECEBER">
      <formula>NOT(ISERROR(SEARCH("A RECEBER",P210)))</formula>
    </cfRule>
  </conditionalFormatting>
  <conditionalFormatting sqref="P210:P226">
    <cfRule type="containsText" dxfId="111" priority="18" operator="containsText" text="A RECEBER">
      <formula>NOT(ISERROR(SEARCH("A RECEBER",P210)))</formula>
    </cfRule>
  </conditionalFormatting>
  <conditionalFormatting sqref="P213">
    <cfRule type="containsText" dxfId="110" priority="16" operator="containsText" text="A RECEBER">
      <formula>NOT(ISERROR(SEARCH("A RECEBER",P213)))</formula>
    </cfRule>
    <cfRule type="containsText" dxfId="109" priority="15" operator="containsText" text="A PAGAR">
      <formula>NOT(ISERROR(SEARCH("A PAGAR",P213)))</formula>
    </cfRule>
  </conditionalFormatting>
  <conditionalFormatting sqref="P214:P226">
    <cfRule type="containsText" dxfId="108" priority="36" operator="containsText" text="A RECEBER">
      <formula>NOT(ISERROR(SEARCH("A RECEBER",P214)))</formula>
    </cfRule>
    <cfRule type="containsText" dxfId="107" priority="35" operator="containsText" text="A PAGAR">
      <formula>NOT(ISERROR(SEARCH("A PAGAR",P214)))</formula>
    </cfRule>
  </conditionalFormatting>
  <conditionalFormatting sqref="P227">
    <cfRule type="containsText" dxfId="106" priority="7" operator="containsText" text="A PAGAR">
      <formula>NOT(ISERROR(SEARCH("A PAGAR",P227)))</formula>
    </cfRule>
    <cfRule type="containsText" dxfId="105" priority="8" operator="containsText" text="A RECEBER">
      <formula>NOT(ISERROR(SEARCH("A RECEBER",P227)))</formula>
    </cfRule>
  </conditionalFormatting>
  <conditionalFormatting sqref="P227:P305">
    <cfRule type="containsText" dxfId="104" priority="9" operator="containsText" text="A PAGAR">
      <formula>NOT(ISERROR(SEARCH("A PAGAR",P227)))</formula>
    </cfRule>
    <cfRule type="containsText" dxfId="103" priority="10" operator="containsText" text="A RECEBER">
      <formula>NOT(ISERROR(SEARCH("A RECEBER",P227)))</formula>
    </cfRule>
  </conditionalFormatting>
  <conditionalFormatting sqref="P278:P283">
    <cfRule type="containsText" dxfId="102" priority="70" operator="containsText" text="A PAGAR">
      <formula>NOT(ISERROR(SEARCH("A PAGAR",P278)))</formula>
    </cfRule>
    <cfRule type="containsText" dxfId="101" priority="71" operator="containsText" text="A RECEBER">
      <formula>NOT(ISERROR(SEARCH("A RECEBER",P278)))</formula>
    </cfRule>
  </conditionalFormatting>
  <conditionalFormatting sqref="P306:P320">
    <cfRule type="containsText" dxfId="100" priority="84" operator="containsText" text="A PAGAR">
      <formula>NOT(ISERROR(SEARCH("A PAGAR",P306)))</formula>
    </cfRule>
    <cfRule type="containsText" dxfId="99" priority="85" operator="containsText" text="A RECEBER">
      <formula>NOT(ISERROR(SEARCH("A RECEBER",P306)))</formula>
    </cfRule>
  </conditionalFormatting>
  <conditionalFormatting sqref="P308">
    <cfRule type="containsText" dxfId="98" priority="82" operator="containsText" text="A PAGAR">
      <formula>NOT(ISERROR(SEARCH("A PAGAR",P308)))</formula>
    </cfRule>
    <cfRule type="containsText" dxfId="97" priority="83" operator="containsText" text="A RECEBER">
      <formula>NOT(ISERROR(SEARCH("A RECEBER",P308)))</formula>
    </cfRule>
  </conditionalFormatting>
  <conditionalFormatting sqref="P321:P361">
    <cfRule type="containsText" dxfId="96" priority="32" operator="containsText" text="A RECEBER">
      <formula>NOT(ISERROR(SEARCH("A RECEBER",P321)))</formula>
    </cfRule>
    <cfRule type="containsText" dxfId="95" priority="31" operator="containsText" text="A PAGAR">
      <formula>NOT(ISERROR(SEARCH("A PAGAR",P321)))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9" fitToHeight="6" orientation="landscape" horizontalDpi="1200" verticalDpi="1200" r:id="rId1"/>
  <headerFooter>
    <oddHeader>&amp;L             &amp;G</oddHeader>
    <oddFooter>&amp;L&amp;7&amp;Z&amp;F</oddFooter>
  </headerFooter>
  <legacyDrawing r:id="rId2"/>
  <legacyDrawingHF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R" error="Verificar DIGITAÇÃO!" xr:uid="{9F693778-B2B1-4C91-988B-9CE40D4098A5}">
          <x14:formula1>
            <xm:f>'TA Status'!$B$7:$B$11</xm:f>
          </x14:formula1>
          <xm:sqref>P121:P361 P116:P119 P110:P114 P7:P108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V301"/>
  <sheetViews>
    <sheetView showGridLines="0" tabSelected="1" zoomScale="85" zoomScaleNormal="85" zoomScaleSheetLayoutView="79" workbookViewId="0">
      <pane xSplit="7" topLeftCell="K1" activePane="topRight" state="frozen"/>
      <selection activeCell="A5" sqref="A5"/>
      <selection pane="topRight" activeCell="O67" sqref="O67"/>
    </sheetView>
  </sheetViews>
  <sheetFormatPr defaultColWidth="9.109375" defaultRowHeight="14.4"/>
  <cols>
    <col min="1" max="1" width="2.109375" style="2" customWidth="1"/>
    <col min="2" max="2" width="19.5546875" style="1" customWidth="1"/>
    <col min="3" max="3" width="25.77734375" style="1" customWidth="1"/>
    <col min="4" max="4" width="27.33203125" style="1" bestFit="1" customWidth="1"/>
    <col min="5" max="5" width="52.5546875" style="1" customWidth="1"/>
    <col min="6" max="6" width="20.5546875" style="1" customWidth="1"/>
    <col min="7" max="7" width="45.109375" style="1" customWidth="1"/>
    <col min="8" max="8" width="26.44140625" style="1" bestFit="1" customWidth="1"/>
    <col min="9" max="9" width="26.109375" style="1" customWidth="1"/>
    <col min="10" max="10" width="57.5546875" style="2" customWidth="1"/>
    <col min="11" max="11" width="64.5546875" style="2" customWidth="1"/>
    <col min="12" max="12" width="12.109375" style="1" customWidth="1"/>
    <col min="13" max="14" width="15.88671875" style="13" customWidth="1"/>
    <col min="15" max="15" width="15.88671875" style="44" customWidth="1"/>
    <col min="16" max="16" width="15.88671875" style="62" customWidth="1"/>
    <col min="17" max="17" width="24.5546875" style="2" bestFit="1" customWidth="1"/>
    <col min="18" max="18" width="15.88671875" style="14" customWidth="1"/>
    <col min="19" max="19" width="15.88671875" style="47" customWidth="1"/>
    <col min="20" max="20" width="24.5546875" style="2" bestFit="1" customWidth="1"/>
    <col min="21" max="21" width="9.109375" style="2"/>
    <col min="22" max="22" width="10" style="58" bestFit="1" customWidth="1"/>
    <col min="23" max="16384" width="9.109375" style="2"/>
  </cols>
  <sheetData>
    <row r="2" spans="2:22" ht="21">
      <c r="C2" s="4" t="s">
        <v>17</v>
      </c>
      <c r="D2" s="16">
        <f>'TA Gerencial'!F2</f>
        <v>2026</v>
      </c>
      <c r="E2" s="6" t="s">
        <v>8</v>
      </c>
      <c r="G2" s="6"/>
      <c r="H2" s="6"/>
      <c r="I2" s="6"/>
      <c r="J2" s="6"/>
      <c r="K2" s="6"/>
      <c r="L2" s="6"/>
      <c r="M2" s="41"/>
      <c r="N2" s="41"/>
      <c r="O2" s="42"/>
      <c r="P2" s="63"/>
      <c r="R2" s="17"/>
      <c r="S2" s="48"/>
    </row>
    <row r="3" spans="2:22" ht="32.25" customHeight="1">
      <c r="C3" s="4" t="s">
        <v>18</v>
      </c>
      <c r="D3" s="17" t="s">
        <v>48</v>
      </c>
      <c r="E3" s="6" t="s">
        <v>16</v>
      </c>
      <c r="G3" s="6"/>
      <c r="H3" s="6"/>
      <c r="I3" s="6"/>
      <c r="J3" s="6"/>
      <c r="K3" s="6"/>
      <c r="L3" s="6"/>
      <c r="M3" s="41"/>
      <c r="N3" s="41"/>
      <c r="O3" s="42"/>
      <c r="P3" s="63"/>
      <c r="R3" s="17"/>
      <c r="S3" s="48"/>
    </row>
    <row r="4" spans="2:22" ht="21">
      <c r="B4" s="8"/>
      <c r="C4" s="4" t="s">
        <v>19</v>
      </c>
      <c r="D4" s="18"/>
      <c r="E4" s="6" t="s">
        <v>42</v>
      </c>
      <c r="G4" s="6"/>
      <c r="H4" s="6"/>
      <c r="I4" s="6"/>
      <c r="J4" s="6"/>
      <c r="K4" s="6"/>
      <c r="L4" s="6"/>
      <c r="M4" s="41"/>
      <c r="N4" s="41"/>
      <c r="O4" s="42"/>
      <c r="P4" s="63"/>
      <c r="R4" s="17"/>
      <c r="S4" s="48"/>
    </row>
    <row r="5" spans="2:22">
      <c r="M5" s="43"/>
    </row>
    <row r="6" spans="2:22" s="16" customFormat="1" ht="41.25" customHeight="1">
      <c r="B6" s="7" t="s">
        <v>192</v>
      </c>
      <c r="C6" s="11" t="s">
        <v>11</v>
      </c>
      <c r="D6" s="11" t="s">
        <v>193</v>
      </c>
      <c r="E6" s="9" t="s">
        <v>23</v>
      </c>
      <c r="F6" s="9" t="s">
        <v>40</v>
      </c>
      <c r="G6" s="9" t="s">
        <v>87</v>
      </c>
      <c r="H6" s="7" t="s">
        <v>12</v>
      </c>
      <c r="I6" s="50" t="s">
        <v>4</v>
      </c>
      <c r="J6" s="7" t="s">
        <v>245</v>
      </c>
      <c r="K6" s="7" t="s">
        <v>0</v>
      </c>
      <c r="L6" s="7" t="s">
        <v>7</v>
      </c>
      <c r="M6" s="45" t="s">
        <v>13</v>
      </c>
      <c r="N6" s="45" t="s">
        <v>14</v>
      </c>
      <c r="O6" s="45" t="s">
        <v>2</v>
      </c>
      <c r="P6" s="10" t="s">
        <v>212</v>
      </c>
      <c r="Q6" s="7" t="s">
        <v>285</v>
      </c>
      <c r="R6" s="46" t="s">
        <v>283</v>
      </c>
      <c r="S6" s="49" t="s">
        <v>55</v>
      </c>
      <c r="T6" s="7" t="s">
        <v>284</v>
      </c>
      <c r="V6" s="35"/>
    </row>
    <row r="7" spans="2:22" s="3" customFormat="1" ht="21" customHeight="1">
      <c r="B7" s="83" t="str">
        <f>CONCATENATE('TA Gerencial'!J2,'TA Gerencial'!H4,'TA Gerencial'!H3)</f>
        <v>3/26</v>
      </c>
      <c r="C7" s="5" t="str">
        <f>VLOOKUP(mMAR[[#This Row],[CÓDIGO CONTABIL]],Contas_Gerencial[#All],3,FALSE)</f>
        <v>DESPESAS FIXAS</v>
      </c>
      <c r="D7" s="16" t="str">
        <f>VLOOKUP(mMAR[[#This Row],[DESCRIÇÃO CONTABIL]],Contas_Gerencial[[#All],[DESCRIÇÃO DA CONTA - NÃO UTILIZAR]:[Código2]],2,FALSE)</f>
        <v>20.02.011</v>
      </c>
      <c r="E7" s="1095" t="s">
        <v>839</v>
      </c>
      <c r="F7" s="1095" t="s">
        <v>581</v>
      </c>
      <c r="G7" s="1095" t="s">
        <v>595</v>
      </c>
      <c r="H7" s="1095" t="s">
        <v>2287</v>
      </c>
      <c r="I7" s="1096" t="s">
        <v>2288</v>
      </c>
      <c r="J7" s="1095" t="s">
        <v>985</v>
      </c>
      <c r="K7" s="1095" t="s">
        <v>2289</v>
      </c>
      <c r="L7" s="1097" t="s">
        <v>1766</v>
      </c>
      <c r="M7" s="1098">
        <v>44716</v>
      </c>
      <c r="N7" s="1098">
        <v>44914</v>
      </c>
      <c r="O7" s="1098"/>
      <c r="P7" s="1099" t="s">
        <v>1</v>
      </c>
      <c r="Q7" s="1100">
        <v>351.04</v>
      </c>
      <c r="R7" s="1101">
        <v>0</v>
      </c>
      <c r="S7" s="1101">
        <v>0</v>
      </c>
      <c r="T7" s="65">
        <f>SUM(mMAR[[#This Row],[PRINCIPAL]:[JUROS]])</f>
        <v>351.04</v>
      </c>
      <c r="V7" s="97"/>
    </row>
    <row r="8" spans="2:22" ht="21" customHeight="1">
      <c r="B8" s="83" t="str">
        <f>B7</f>
        <v>3/26</v>
      </c>
      <c r="C8" s="342" t="str">
        <f>VLOOKUP(mMAR[[#This Row],[CÓDIGO CONTABIL]],Contas_Gerencial[#All],3,FALSE)</f>
        <v>DESPESAS FIXAS</v>
      </c>
      <c r="D8" s="343" t="str">
        <f>VLOOKUP(mMAR[[#This Row],[DESCRIÇÃO CONTABIL]],Contas_Gerencial[[#All],[DESCRIÇÃO DA CONTA - NÃO UTILIZAR]:[Código2]],2,FALSE)</f>
        <v>20.02.011</v>
      </c>
      <c r="E8" s="1102" t="s">
        <v>839</v>
      </c>
      <c r="F8" s="1095" t="s">
        <v>581</v>
      </c>
      <c r="G8" s="1103" t="s">
        <v>595</v>
      </c>
      <c r="H8" s="1095" t="s">
        <v>2287</v>
      </c>
      <c r="I8" s="1104" t="s">
        <v>2290</v>
      </c>
      <c r="J8" s="1095" t="s">
        <v>985</v>
      </c>
      <c r="K8" s="1095" t="s">
        <v>2289</v>
      </c>
      <c r="L8" s="1105" t="s">
        <v>1766</v>
      </c>
      <c r="M8" s="1106">
        <v>44716</v>
      </c>
      <c r="N8" s="1106">
        <v>44914</v>
      </c>
      <c r="O8" s="1106"/>
      <c r="P8" s="1099" t="s">
        <v>1</v>
      </c>
      <c r="Q8" s="1107">
        <v>351.04</v>
      </c>
      <c r="R8" s="1107">
        <v>0</v>
      </c>
      <c r="S8" s="1107">
        <v>0</v>
      </c>
      <c r="T8" s="373">
        <f>SUM(mMAR[[#This Row],[PRINCIPAL]:[JUROS]])</f>
        <v>351.04</v>
      </c>
    </row>
    <row r="9" spans="2:22" ht="21" customHeight="1">
      <c r="B9" s="83" t="str">
        <f t="shared" ref="B9:B72" si="0">B8</f>
        <v>3/26</v>
      </c>
      <c r="C9" s="380" t="str">
        <f>VLOOKUP(mMAR[[#This Row],[CÓDIGO CONTABIL]],Contas_Gerencial[#All],3,FALSE)</f>
        <v>DESPESAS FIXAS</v>
      </c>
      <c r="D9" s="381" t="str">
        <f>VLOOKUP(mMAR[[#This Row],[DESCRIÇÃO CONTABIL]],Contas_Gerencial[[#All],[DESCRIÇÃO DA CONTA - NÃO UTILIZAR]:[Código2]],2,FALSE)</f>
        <v>20.02.011</v>
      </c>
      <c r="E9" s="1102" t="s">
        <v>839</v>
      </c>
      <c r="F9" s="1095" t="s">
        <v>581</v>
      </c>
      <c r="G9" s="1103" t="s">
        <v>595</v>
      </c>
      <c r="H9" s="1095" t="s">
        <v>2287</v>
      </c>
      <c r="I9" s="1108" t="s">
        <v>2291</v>
      </c>
      <c r="J9" s="1095" t="s">
        <v>985</v>
      </c>
      <c r="K9" s="1095" t="s">
        <v>2289</v>
      </c>
      <c r="L9" s="1105" t="s">
        <v>1766</v>
      </c>
      <c r="M9" s="1098">
        <v>44716</v>
      </c>
      <c r="N9" s="1098">
        <v>44914</v>
      </c>
      <c r="O9" s="1098"/>
      <c r="P9" s="1099" t="s">
        <v>1</v>
      </c>
      <c r="Q9" s="1107">
        <v>351.04</v>
      </c>
      <c r="R9" s="1107">
        <v>0</v>
      </c>
      <c r="S9" s="1107">
        <v>0</v>
      </c>
      <c r="T9" s="382">
        <f>SUM(mMAR[[#This Row],[PRINCIPAL]:[JUROS]])</f>
        <v>351.04</v>
      </c>
    </row>
    <row r="10" spans="2:22" ht="21" customHeight="1">
      <c r="B10" s="83" t="str">
        <f t="shared" si="0"/>
        <v>3/26</v>
      </c>
      <c r="C10" s="342" t="str">
        <f>VLOOKUP(mMAR[[#This Row],[CÓDIGO CONTABIL]],Contas_Gerencial[#All],3,FALSE)</f>
        <v>DESPESAS FIXAS</v>
      </c>
      <c r="D10" s="343" t="str">
        <f>VLOOKUP(mMAR[[#This Row],[DESCRIÇÃO CONTABIL]],Contas_Gerencial[[#All],[DESCRIÇÃO DA CONTA - NÃO UTILIZAR]:[Código2]],2,FALSE)</f>
        <v>20.02.011</v>
      </c>
      <c r="E10" s="1102" t="s">
        <v>839</v>
      </c>
      <c r="F10" s="1095" t="s">
        <v>581</v>
      </c>
      <c r="G10" s="1103" t="s">
        <v>595</v>
      </c>
      <c r="H10" s="1095" t="s">
        <v>2287</v>
      </c>
      <c r="I10" s="1104" t="s">
        <v>2292</v>
      </c>
      <c r="J10" s="1109" t="s">
        <v>985</v>
      </c>
      <c r="K10" s="1095" t="s">
        <v>2293</v>
      </c>
      <c r="L10" s="1105" t="s">
        <v>1766</v>
      </c>
      <c r="M10" s="1106">
        <v>45170</v>
      </c>
      <c r="N10" s="1106">
        <v>45264</v>
      </c>
      <c r="O10" s="1106"/>
      <c r="P10" s="1099" t="s">
        <v>1</v>
      </c>
      <c r="Q10" s="1107">
        <v>719.24</v>
      </c>
      <c r="R10" s="1107">
        <v>0</v>
      </c>
      <c r="S10" s="1107">
        <v>0</v>
      </c>
      <c r="T10" s="373">
        <f>SUM(mMAR[[#This Row],[PRINCIPAL]:[JUROS]])</f>
        <v>719.24</v>
      </c>
    </row>
    <row r="11" spans="2:22" ht="21" customHeight="1">
      <c r="B11" s="83" t="str">
        <f t="shared" si="0"/>
        <v>3/26</v>
      </c>
      <c r="C11" s="342" t="str">
        <f>VLOOKUP(mMAR[[#This Row],[CÓDIGO CONTABIL]],Contas_Gerencial[#All],3,FALSE)</f>
        <v>RECEITA SUBCONTA</v>
      </c>
      <c r="D11" s="343" t="str">
        <f>VLOOKUP(mMAR[[#This Row],[DESCRIÇÃO CONTABIL]],Contas_Gerencial[[#All],[DESCRIÇÃO DA CONTA - NÃO UTILIZAR]:[Código2]],2,FALSE)</f>
        <v>10.01.001</v>
      </c>
      <c r="E11" s="473" t="s">
        <v>90</v>
      </c>
      <c r="F11" s="473" t="s">
        <v>41</v>
      </c>
      <c r="G11" s="473" t="s">
        <v>2064</v>
      </c>
      <c r="H11" s="473" t="s">
        <v>1788</v>
      </c>
      <c r="I11" s="474">
        <v>400</v>
      </c>
      <c r="J11" s="472" t="s">
        <v>41</v>
      </c>
      <c r="K11" s="472" t="s">
        <v>1792</v>
      </c>
      <c r="L11" s="475" t="s">
        <v>2137</v>
      </c>
      <c r="M11" s="476">
        <v>46073</v>
      </c>
      <c r="N11" s="476">
        <v>46068</v>
      </c>
      <c r="O11" s="476">
        <v>46084</v>
      </c>
      <c r="P11" s="485" t="s">
        <v>214</v>
      </c>
      <c r="Q11" s="478">
        <f>13981.15+1434.61</f>
        <v>15415.76</v>
      </c>
      <c r="R11" s="479">
        <v>0</v>
      </c>
      <c r="S11" s="479">
        <v>0</v>
      </c>
      <c r="T11" s="373">
        <f>SUM(mMAR[[#This Row],[PRINCIPAL]:[JUROS]])</f>
        <v>15415.76</v>
      </c>
    </row>
    <row r="12" spans="2:22" ht="21" customHeight="1">
      <c r="B12" s="83" t="str">
        <f t="shared" si="0"/>
        <v>3/26</v>
      </c>
      <c r="C12" s="380" t="str">
        <f>VLOOKUP(mMAR[[#This Row],[CÓDIGO CONTABIL]],Contas_Gerencial[#All],3,FALSE)</f>
        <v>TRIBUTOS</v>
      </c>
      <c r="D12" s="381" t="str">
        <f>VLOOKUP(mMAR[[#This Row],[DESCRIÇÃO CONTABIL]],Contas_Gerencial[[#All],[DESCRIÇÃO DA CONTA - NÃO UTILIZAR]:[Código2]],2,FALSE)</f>
        <v>20.08.008</v>
      </c>
      <c r="E12" s="452" t="s">
        <v>2650</v>
      </c>
      <c r="F12" s="107" t="s">
        <v>41</v>
      </c>
      <c r="G12" s="107" t="s">
        <v>2064</v>
      </c>
      <c r="H12" s="107" t="s">
        <v>1788</v>
      </c>
      <c r="I12" s="481">
        <v>400</v>
      </c>
      <c r="J12" s="453" t="s">
        <v>378</v>
      </c>
      <c r="K12" s="453" t="s">
        <v>2087</v>
      </c>
      <c r="L12" s="456" t="s">
        <v>2137</v>
      </c>
      <c r="M12" s="457">
        <v>46073</v>
      </c>
      <c r="N12" s="457">
        <v>46084</v>
      </c>
      <c r="O12" s="457">
        <v>46085</v>
      </c>
      <c r="P12" s="453" t="s">
        <v>214</v>
      </c>
      <c r="Q12" s="483">
        <f>100.2+462.47+154.16</f>
        <v>716.83</v>
      </c>
      <c r="R12" s="482">
        <v>0</v>
      </c>
      <c r="S12" s="482">
        <v>0</v>
      </c>
      <c r="T12" s="382">
        <f>SUM(mMAR[[#This Row],[PRINCIPAL]:[JUROS]])</f>
        <v>716.83</v>
      </c>
    </row>
    <row r="13" spans="2:22" ht="21" customHeight="1">
      <c r="B13" s="83" t="str">
        <f t="shared" si="0"/>
        <v>3/26</v>
      </c>
      <c r="C13" s="380" t="str">
        <f>VLOOKUP(mMAR[[#This Row],[CÓDIGO CONTABIL]],Contas_Gerencial[#All],3,FALSE)</f>
        <v>ENCARGOS</v>
      </c>
      <c r="D13" s="381" t="str">
        <f>VLOOKUP(mMAR[[#This Row],[DESCRIÇÃO CONTABIL]],Contas_Gerencial[[#All],[DESCRIÇÃO DA CONTA - NÃO UTILIZAR]:[Código2]],2,FALSE)</f>
        <v>20.04.004</v>
      </c>
      <c r="E13" s="452" t="s">
        <v>2651</v>
      </c>
      <c r="F13" s="107" t="s">
        <v>41</v>
      </c>
      <c r="G13" s="107" t="s">
        <v>2064</v>
      </c>
      <c r="H13" s="107" t="s">
        <v>1788</v>
      </c>
      <c r="I13" s="481">
        <v>400</v>
      </c>
      <c r="J13" s="453" t="s">
        <v>264</v>
      </c>
      <c r="K13" s="453" t="s">
        <v>2113</v>
      </c>
      <c r="L13" s="456" t="s">
        <v>2137</v>
      </c>
      <c r="M13" s="457">
        <v>46073</v>
      </c>
      <c r="N13" s="457">
        <v>46084</v>
      </c>
      <c r="O13" s="457">
        <v>46085</v>
      </c>
      <c r="P13" s="453" t="s">
        <v>214</v>
      </c>
      <c r="Q13" s="483">
        <v>1315.97</v>
      </c>
      <c r="R13" s="482">
        <v>0</v>
      </c>
      <c r="S13" s="482">
        <v>0</v>
      </c>
      <c r="T13" s="382">
        <f>SUM(mMAR[[#This Row],[PRINCIPAL]:[JUROS]])</f>
        <v>1315.97</v>
      </c>
    </row>
    <row r="14" spans="2:22" ht="21" customHeight="1">
      <c r="B14" s="83" t="str">
        <f t="shared" si="0"/>
        <v>3/26</v>
      </c>
      <c r="C14" s="380" t="str">
        <f>VLOOKUP(mMAR[[#This Row],[CÓDIGO CONTABIL]],Contas_Gerencial[#All],3,FALSE)</f>
        <v>TRIBUTOS</v>
      </c>
      <c r="D14" s="381" t="str">
        <f>VLOOKUP(mMAR[[#This Row],[DESCRIÇÃO CONTABIL]],Contas_Gerencial[[#All],[DESCRIÇÃO DA CONTA - NÃO UTILIZAR]:[Código2]],2,FALSE)</f>
        <v>20.08.005</v>
      </c>
      <c r="E14" s="107" t="s">
        <v>2649</v>
      </c>
      <c r="F14" s="452" t="s">
        <v>41</v>
      </c>
      <c r="G14" s="107" t="s">
        <v>2064</v>
      </c>
      <c r="H14" s="107" t="s">
        <v>1788</v>
      </c>
      <c r="I14" s="481">
        <v>400</v>
      </c>
      <c r="J14" s="453" t="s">
        <v>378</v>
      </c>
      <c r="K14" s="453" t="s">
        <v>2086</v>
      </c>
      <c r="L14" s="456" t="s">
        <v>2137</v>
      </c>
      <c r="M14" s="457">
        <v>46073</v>
      </c>
      <c r="N14" s="457">
        <v>46084</v>
      </c>
      <c r="O14" s="457">
        <v>46085</v>
      </c>
      <c r="P14" s="453" t="s">
        <v>214</v>
      </c>
      <c r="Q14" s="483">
        <v>0</v>
      </c>
      <c r="R14" s="467">
        <v>0</v>
      </c>
      <c r="S14" s="467">
        <v>0</v>
      </c>
      <c r="T14" s="382">
        <f>SUM(mMAR[[#This Row],[PRINCIPAL]:[JUROS]])</f>
        <v>0</v>
      </c>
      <c r="V14" s="1310"/>
    </row>
    <row r="15" spans="2:22" ht="21" customHeight="1">
      <c r="B15" s="83" t="str">
        <f t="shared" si="0"/>
        <v>3/26</v>
      </c>
      <c r="C15" s="342" t="str">
        <f>VLOOKUP(mMAR[[#This Row],[CÓDIGO CONTABIL]],Contas_Gerencial[#All],3,FALSE)</f>
        <v>TRIBUTOS</v>
      </c>
      <c r="D15" s="343" t="str">
        <f>VLOOKUP(mMAR[[#This Row],[DESCRIÇÃO CONTABIL]],Contas_Gerencial[[#All],[DESCRIÇÃO DA CONTA - NÃO UTILIZAR]:[Código2]],2,FALSE)</f>
        <v>20.08.004</v>
      </c>
      <c r="E15" s="452" t="s">
        <v>2648</v>
      </c>
      <c r="F15" s="107" t="s">
        <v>41</v>
      </c>
      <c r="G15" s="107" t="s">
        <v>2064</v>
      </c>
      <c r="H15" s="107" t="s">
        <v>1788</v>
      </c>
      <c r="I15" s="481">
        <v>400</v>
      </c>
      <c r="J15" s="453" t="s">
        <v>378</v>
      </c>
      <c r="K15" s="453" t="s">
        <v>2634</v>
      </c>
      <c r="L15" s="456" t="s">
        <v>2137</v>
      </c>
      <c r="M15" s="457">
        <v>46073</v>
      </c>
      <c r="N15" s="457">
        <v>46084</v>
      </c>
      <c r="O15" s="457">
        <v>46085</v>
      </c>
      <c r="P15" s="453" t="s">
        <v>214</v>
      </c>
      <c r="Q15" s="483">
        <v>308.32</v>
      </c>
      <c r="R15" s="482">
        <v>0</v>
      </c>
      <c r="S15" s="482">
        <v>0</v>
      </c>
      <c r="T15" s="373">
        <f>SUM(mMAR[[#This Row],[PRINCIPAL]:[JUROS]])</f>
        <v>308.32</v>
      </c>
    </row>
    <row r="16" spans="2:22" ht="21" customHeight="1">
      <c r="B16" s="83" t="str">
        <f t="shared" si="0"/>
        <v>3/26</v>
      </c>
      <c r="C16" s="5" t="str">
        <f>VLOOKUP(mMAR[[#This Row],[CÓDIGO CONTABIL]],Contas_Gerencial[#All],3,FALSE)</f>
        <v>FOLHA DE PAGAMENTO</v>
      </c>
      <c r="D16" s="343" t="str">
        <f>VLOOKUP(mMAR[[#This Row],[DESCRIÇÃO CONTABIL]],Contas_Gerencial[[#All],[DESCRIÇÃO DA CONTA - NÃO UTILIZAR]:[Código2]],2,FALSE)</f>
        <v>20.05.021</v>
      </c>
      <c r="E16" s="452" t="s">
        <v>59</v>
      </c>
      <c r="F16" s="452" t="s">
        <v>41</v>
      </c>
      <c r="G16" s="107" t="s">
        <v>2064</v>
      </c>
      <c r="H16" s="452" t="s">
        <v>1791</v>
      </c>
      <c r="I16" s="481">
        <v>400</v>
      </c>
      <c r="J16" s="453" t="s">
        <v>41</v>
      </c>
      <c r="K16" s="453" t="s">
        <v>2144</v>
      </c>
      <c r="L16" s="456" t="s">
        <v>2137</v>
      </c>
      <c r="M16" s="457">
        <v>46073</v>
      </c>
      <c r="N16" s="457">
        <v>46084</v>
      </c>
      <c r="O16" s="457">
        <v>46085</v>
      </c>
      <c r="P16" s="453" t="s">
        <v>214</v>
      </c>
      <c r="Q16" s="483">
        <v>0</v>
      </c>
      <c r="R16" s="459">
        <v>0</v>
      </c>
      <c r="S16" s="459">
        <v>0</v>
      </c>
      <c r="T16" s="373">
        <f>SUM(mMAR[[#This Row],[PRINCIPAL]:[JUROS]])</f>
        <v>0</v>
      </c>
    </row>
    <row r="17" spans="2:22" ht="21" customHeight="1">
      <c r="B17" s="83" t="str">
        <f t="shared" si="0"/>
        <v>3/26</v>
      </c>
      <c r="C17" s="380" t="str">
        <f>VLOOKUP(mMAR[[#This Row],[CÓDIGO CONTABIL]],Contas_Gerencial[#All],3,FALSE)</f>
        <v>BENEFICIO</v>
      </c>
      <c r="D17" s="381" t="str">
        <f>VLOOKUP(mMAR[[#This Row],[DESCRIÇÃO CONTABIL]],Contas_Gerencial[[#All],[DESCRIÇÃO DA CONTA - NÃO UTILIZAR]:[Código2]],2,FALSE)</f>
        <v>20.05.006</v>
      </c>
      <c r="E17" s="454" t="s">
        <v>24</v>
      </c>
      <c r="F17" s="453" t="s">
        <v>41</v>
      </c>
      <c r="G17" s="107" t="s">
        <v>2064</v>
      </c>
      <c r="H17" s="453" t="s">
        <v>1791</v>
      </c>
      <c r="I17" s="481">
        <v>400</v>
      </c>
      <c r="J17" s="453" t="s">
        <v>41</v>
      </c>
      <c r="K17" s="453" t="s">
        <v>2257</v>
      </c>
      <c r="L17" s="451" t="s">
        <v>2258</v>
      </c>
      <c r="M17" s="457">
        <v>46073</v>
      </c>
      <c r="N17" s="457">
        <v>46084</v>
      </c>
      <c r="O17" s="457">
        <v>46085</v>
      </c>
      <c r="P17" s="452" t="s">
        <v>214</v>
      </c>
      <c r="Q17" s="467">
        <v>0</v>
      </c>
      <c r="R17" s="467">
        <v>0</v>
      </c>
      <c r="S17" s="467">
        <v>0</v>
      </c>
      <c r="T17" s="382">
        <f>SUM(mMAR[[#This Row],[PRINCIPAL]:[JUROS]])</f>
        <v>0</v>
      </c>
    </row>
    <row r="18" spans="2:22" ht="21" customHeight="1">
      <c r="B18" s="83" t="str">
        <f t="shared" si="0"/>
        <v>3/26</v>
      </c>
      <c r="C18" s="380" t="str">
        <f>VLOOKUP(mMAR[[#This Row],[CÓDIGO CONTABIL]],Contas_Gerencial[#All],3,FALSE)</f>
        <v>BENEFICIO</v>
      </c>
      <c r="D18" s="381" t="str">
        <f>VLOOKUP(mMAR[[#This Row],[DESCRIÇÃO CONTABIL]],Contas_Gerencial[[#All],[DESCRIÇÃO DA CONTA - NÃO UTILIZAR]:[Código2]],2,FALSE)</f>
        <v>20.05.007</v>
      </c>
      <c r="E18" s="480" t="s">
        <v>25</v>
      </c>
      <c r="F18" s="452" t="s">
        <v>41</v>
      </c>
      <c r="G18" s="107" t="s">
        <v>2064</v>
      </c>
      <c r="H18" s="452" t="s">
        <v>1791</v>
      </c>
      <c r="I18" s="481">
        <v>400</v>
      </c>
      <c r="J18" s="453" t="s">
        <v>41</v>
      </c>
      <c r="K18" s="453" t="s">
        <v>2257</v>
      </c>
      <c r="L18" s="451" t="s">
        <v>2258</v>
      </c>
      <c r="M18" s="457">
        <v>46073</v>
      </c>
      <c r="N18" s="457">
        <v>46084</v>
      </c>
      <c r="O18" s="457">
        <v>46085</v>
      </c>
      <c r="P18" s="452" t="s">
        <v>214</v>
      </c>
      <c r="Q18" s="467">
        <v>0</v>
      </c>
      <c r="R18" s="467">
        <v>0</v>
      </c>
      <c r="S18" s="467">
        <v>0</v>
      </c>
      <c r="T18" s="382">
        <f>SUM(mMAR[[#This Row],[PRINCIPAL]:[JUROS]])</f>
        <v>0</v>
      </c>
    </row>
    <row r="19" spans="2:22" ht="21" customHeight="1">
      <c r="B19" s="83" t="str">
        <f t="shared" si="0"/>
        <v>3/26</v>
      </c>
      <c r="C19" s="1114" t="str">
        <f>VLOOKUP(mMAR[[#This Row],[CÓDIGO CONTABIL]],Contas_Gerencial[#All],3,FALSE)</f>
        <v>SERVIÇOS DE TERCEIROS</v>
      </c>
      <c r="D19" s="1116" t="str">
        <f>VLOOKUP(mMAR[[#This Row],[DESCRIÇÃO CONTABIL]],Contas_Gerencial[[#All],[DESCRIÇÃO DA CONTA - NÃO UTILIZAR]:[Código2]],2,FALSE)</f>
        <v>20.07.006</v>
      </c>
      <c r="E19" s="1156" t="s">
        <v>63</v>
      </c>
      <c r="F19" s="19" t="s">
        <v>41</v>
      </c>
      <c r="G19" s="1162" t="s">
        <v>1767</v>
      </c>
      <c r="H19" s="1157" t="s">
        <v>1932</v>
      </c>
      <c r="I19" s="51">
        <v>572</v>
      </c>
      <c r="J19" s="1157" t="s">
        <v>412</v>
      </c>
      <c r="K19" s="19" t="s">
        <v>2512</v>
      </c>
      <c r="L19" s="1157" t="s">
        <v>1766</v>
      </c>
      <c r="M19" s="1327">
        <v>46083</v>
      </c>
      <c r="N19" s="1327">
        <v>46101</v>
      </c>
      <c r="O19" s="1327">
        <v>46091</v>
      </c>
      <c r="P19" s="452" t="s">
        <v>214</v>
      </c>
      <c r="Q19" s="1197">
        <v>315</v>
      </c>
      <c r="R19" s="1198">
        <v>0</v>
      </c>
      <c r="S19" s="1198">
        <v>0</v>
      </c>
      <c r="T19" s="1159">
        <f>SUM(mMAR[[#This Row],[PRINCIPAL]:[JUROS]])</f>
        <v>315</v>
      </c>
    </row>
    <row r="20" spans="2:22" ht="21" customHeight="1">
      <c r="B20" s="83" t="str">
        <f t="shared" si="0"/>
        <v>3/26</v>
      </c>
      <c r="C20" s="1114" t="str">
        <f>VLOOKUP(mMAR[[#This Row],[CÓDIGO CONTABIL]],Contas_Gerencial[#All],3,FALSE)</f>
        <v>SERVIÇOS DE TERCEIROS</v>
      </c>
      <c r="D20" s="1116" t="str">
        <f>VLOOKUP(mMAR[[#This Row],[DESCRIÇÃO CONTABIL]],Contas_Gerencial[[#All],[DESCRIÇÃO DA CONTA - NÃO UTILIZAR]:[Código2]],2,FALSE)</f>
        <v>20.07.006</v>
      </c>
      <c r="E20" s="1156" t="s">
        <v>63</v>
      </c>
      <c r="F20" s="19" t="s">
        <v>581</v>
      </c>
      <c r="G20" s="1162" t="s">
        <v>1137</v>
      </c>
      <c r="H20" s="1157" t="s">
        <v>1932</v>
      </c>
      <c r="I20" s="51">
        <v>571</v>
      </c>
      <c r="J20" s="1157" t="s">
        <v>412</v>
      </c>
      <c r="K20" s="19" t="s">
        <v>2668</v>
      </c>
      <c r="L20" s="1157" t="s">
        <v>1766</v>
      </c>
      <c r="M20" s="1327">
        <v>46085</v>
      </c>
      <c r="N20" s="1327">
        <v>46101</v>
      </c>
      <c r="O20" s="1327">
        <v>46091</v>
      </c>
      <c r="P20" s="452" t="s">
        <v>214</v>
      </c>
      <c r="Q20" s="1197">
        <v>480</v>
      </c>
      <c r="R20" s="1198">
        <v>0</v>
      </c>
      <c r="S20" s="1198">
        <v>0</v>
      </c>
      <c r="T20" s="1159">
        <f>SUM(mMAR[[#This Row],[PRINCIPAL]:[JUROS]])</f>
        <v>480</v>
      </c>
    </row>
    <row r="21" spans="2:22" ht="21" customHeight="1">
      <c r="B21" s="83" t="str">
        <f t="shared" si="0"/>
        <v>3/26</v>
      </c>
      <c r="C21" s="1114" t="str">
        <f>VLOOKUP(mMAR[[#This Row],[CÓDIGO CONTABIL]],Contas_Gerencial[#All],3,FALSE)</f>
        <v>RECEITA SUBCONTA</v>
      </c>
      <c r="D21" s="1116" t="str">
        <f>VLOOKUP(mMAR[[#This Row],[DESCRIÇÃO CONTABIL]],Contas_Gerencial[[#All],[DESCRIÇÃO DA CONTA - NÃO UTILIZAR]:[Código2]],2,FALSE)</f>
        <v>10.01.001</v>
      </c>
      <c r="E21" s="472" t="s">
        <v>90</v>
      </c>
      <c r="F21" s="1001" t="s">
        <v>581</v>
      </c>
      <c r="G21" s="473" t="s">
        <v>2266</v>
      </c>
      <c r="H21" s="1001" t="s">
        <v>1788</v>
      </c>
      <c r="I21" s="472" t="s">
        <v>1108</v>
      </c>
      <c r="J21" s="1001" t="s">
        <v>41</v>
      </c>
      <c r="K21" s="1001" t="s">
        <v>2267</v>
      </c>
      <c r="L21" s="1081" t="s">
        <v>1766</v>
      </c>
      <c r="M21" s="1002">
        <v>46052</v>
      </c>
      <c r="N21" s="1002">
        <v>46013</v>
      </c>
      <c r="O21" s="1002">
        <v>46057</v>
      </c>
      <c r="P21" s="486" t="s">
        <v>215</v>
      </c>
      <c r="Q21" s="1007">
        <f>250*4.5</f>
        <v>1125</v>
      </c>
      <c r="R21" s="1003">
        <v>0</v>
      </c>
      <c r="S21" s="1003">
        <v>0</v>
      </c>
      <c r="T21" s="1159">
        <f>SUM(mMAR[[#This Row],[PRINCIPAL]:[JUROS]])</f>
        <v>1125</v>
      </c>
    </row>
    <row r="22" spans="2:22" ht="21" customHeight="1">
      <c r="B22" s="83" t="str">
        <f t="shared" si="0"/>
        <v>3/26</v>
      </c>
      <c r="C22" s="1114" t="str">
        <f>VLOOKUP(mMAR[[#This Row],[CÓDIGO CONTABIL]],Contas_Gerencial[#All],3,FALSE)</f>
        <v>DESPESAS FIXAS</v>
      </c>
      <c r="D22" s="1116" t="str">
        <f>VLOOKUP(mMAR[[#This Row],[DESCRIÇÃO CONTABIL]],Contas_Gerencial[[#All],[DESCRIÇÃO DA CONTA - NÃO UTILIZAR]:[Código2]],2,FALSE)</f>
        <v>20.02.008</v>
      </c>
      <c r="E22" s="452" t="s">
        <v>343</v>
      </c>
      <c r="F22" s="453" t="s">
        <v>41</v>
      </c>
      <c r="G22" s="454" t="s">
        <v>1130</v>
      </c>
      <c r="H22" s="453" t="s">
        <v>2168</v>
      </c>
      <c r="I22" s="1158">
        <v>280226</v>
      </c>
      <c r="J22" s="503" t="s">
        <v>1957</v>
      </c>
      <c r="K22" s="453" t="s">
        <v>2261</v>
      </c>
      <c r="L22" s="453" t="s">
        <v>1766</v>
      </c>
      <c r="M22" s="457">
        <v>46081</v>
      </c>
      <c r="N22" s="457">
        <v>46114</v>
      </c>
      <c r="O22" s="457">
        <v>46114</v>
      </c>
      <c r="P22" s="453" t="s">
        <v>214</v>
      </c>
      <c r="Q22" s="458">
        <v>255</v>
      </c>
      <c r="R22" s="459">
        <v>0</v>
      </c>
      <c r="S22" s="459">
        <v>0</v>
      </c>
      <c r="T22" s="1159">
        <f>SUM(mMAR[[#This Row],[PRINCIPAL]:[JUROS]])</f>
        <v>255</v>
      </c>
    </row>
    <row r="23" spans="2:22" ht="21" customHeight="1">
      <c r="B23" s="83" t="str">
        <f t="shared" si="0"/>
        <v>3/26</v>
      </c>
      <c r="C23" s="1114" t="str">
        <f>VLOOKUP(mMAR[[#This Row],[CÓDIGO CONTABIL]],Contas_Gerencial[#All],3,FALSE)</f>
        <v>FOLHA DE PAGAMENTO</v>
      </c>
      <c r="D23" s="1116" t="str">
        <f>VLOOKUP(mMAR[[#This Row],[DESCRIÇÃO CONTABIL]],Contas_Gerencial[[#All],[DESCRIÇÃO DA CONTA - NÃO UTILIZAR]:[Código2]],2,FALSE)</f>
        <v>20.05.020</v>
      </c>
      <c r="E23" s="57" t="s">
        <v>29</v>
      </c>
      <c r="F23" s="19" t="s">
        <v>41</v>
      </c>
      <c r="G23" s="1162" t="s">
        <v>595</v>
      </c>
      <c r="H23" s="19" t="s">
        <v>1802</v>
      </c>
      <c r="I23" s="1158">
        <v>280226</v>
      </c>
      <c r="J23" s="19" t="s">
        <v>41</v>
      </c>
      <c r="K23" s="19" t="s">
        <v>2526</v>
      </c>
      <c r="L23" s="453" t="s">
        <v>1766</v>
      </c>
      <c r="M23" s="457">
        <v>46081</v>
      </c>
      <c r="N23" s="457">
        <v>46114</v>
      </c>
      <c r="O23" s="457">
        <v>46114</v>
      </c>
      <c r="P23" s="453" t="s">
        <v>214</v>
      </c>
      <c r="Q23" s="458">
        <v>35.799999999999997</v>
      </c>
      <c r="R23" s="459">
        <v>0</v>
      </c>
      <c r="S23" s="459">
        <v>0</v>
      </c>
      <c r="T23" s="1159">
        <f>SUM(mMAR[[#This Row],[PRINCIPAL]:[JUROS]])</f>
        <v>35.799999999999997</v>
      </c>
    </row>
    <row r="24" spans="2:22" ht="21" customHeight="1">
      <c r="B24" s="83" t="str">
        <f t="shared" si="0"/>
        <v>3/26</v>
      </c>
      <c r="C24" s="1114" t="str">
        <f>VLOOKUP(mMAR[[#This Row],[CÓDIGO CONTABIL]],Contas_Gerencial[#All],3,FALSE)</f>
        <v>FOLHA DE PAGAMENTO</v>
      </c>
      <c r="D24" s="1116" t="str">
        <f>VLOOKUP(mMAR[[#This Row],[DESCRIÇÃO CONTABIL]],Contas_Gerencial[[#All],[DESCRIÇÃO DA CONTA - NÃO UTILIZAR]:[Código2]],2,FALSE)</f>
        <v>20.05.020</v>
      </c>
      <c r="E24" s="57" t="s">
        <v>29</v>
      </c>
      <c r="F24" s="19" t="s">
        <v>41</v>
      </c>
      <c r="G24" s="1162" t="s">
        <v>595</v>
      </c>
      <c r="H24" s="19" t="s">
        <v>1802</v>
      </c>
      <c r="I24" s="1158">
        <v>280226</v>
      </c>
      <c r="J24" s="19" t="s">
        <v>41</v>
      </c>
      <c r="K24" s="19" t="s">
        <v>2526</v>
      </c>
      <c r="L24" s="453" t="s">
        <v>1766</v>
      </c>
      <c r="M24" s="457">
        <v>46081</v>
      </c>
      <c r="N24" s="457">
        <v>46114</v>
      </c>
      <c r="O24" s="457">
        <v>46114</v>
      </c>
      <c r="P24" s="453" t="s">
        <v>214</v>
      </c>
      <c r="Q24" s="458">
        <v>35.799999999999997</v>
      </c>
      <c r="R24" s="459">
        <v>0</v>
      </c>
      <c r="S24" s="459">
        <v>0</v>
      </c>
      <c r="T24" s="1159">
        <f>SUM(mMAR[[#This Row],[PRINCIPAL]:[JUROS]])</f>
        <v>35.799999999999997</v>
      </c>
    </row>
    <row r="25" spans="2:22" ht="21" customHeight="1">
      <c r="B25" s="83" t="str">
        <f t="shared" si="0"/>
        <v>3/26</v>
      </c>
      <c r="C25" s="1114" t="str">
        <f>VLOOKUP(mMAR[[#This Row],[CÓDIGO CONTABIL]],Contas_Gerencial[#All],3,FALSE)</f>
        <v>FOLHA DE PAGAMENTO</v>
      </c>
      <c r="D25" s="1116" t="str">
        <f>VLOOKUP(mMAR[[#This Row],[DESCRIÇÃO CONTABIL]],Contas_Gerencial[[#All],[DESCRIÇÃO DA CONTA - NÃO UTILIZAR]:[Código2]],2,FALSE)</f>
        <v>20.05.020</v>
      </c>
      <c r="E25" s="57" t="s">
        <v>29</v>
      </c>
      <c r="F25" s="19" t="s">
        <v>41</v>
      </c>
      <c r="G25" s="1162" t="s">
        <v>595</v>
      </c>
      <c r="H25" s="19" t="s">
        <v>1802</v>
      </c>
      <c r="I25" s="1158">
        <v>280226</v>
      </c>
      <c r="J25" s="19" t="s">
        <v>41</v>
      </c>
      <c r="K25" s="19" t="s">
        <v>2527</v>
      </c>
      <c r="L25" s="453" t="s">
        <v>1766</v>
      </c>
      <c r="M25" s="457">
        <v>46081</v>
      </c>
      <c r="N25" s="457">
        <v>46114</v>
      </c>
      <c r="O25" s="457">
        <v>46114</v>
      </c>
      <c r="P25" s="453" t="s">
        <v>214</v>
      </c>
      <c r="Q25" s="458">
        <v>100</v>
      </c>
      <c r="R25" s="459">
        <v>0</v>
      </c>
      <c r="S25" s="459">
        <v>0</v>
      </c>
      <c r="T25" s="1159">
        <f>SUM(mMAR[[#This Row],[PRINCIPAL]:[JUROS]])</f>
        <v>100</v>
      </c>
    </row>
    <row r="26" spans="2:22" ht="21" customHeight="1">
      <c r="B26" s="83" t="str">
        <f t="shared" si="0"/>
        <v>3/26</v>
      </c>
      <c r="C26" s="1114" t="str">
        <f>VLOOKUP(mMAR[[#This Row],[CÓDIGO CONTABIL]],Contas_Gerencial[#All],3,FALSE)</f>
        <v>SERVIÇOS DE TERCEIROS</v>
      </c>
      <c r="D26" s="1116" t="str">
        <f>VLOOKUP(mMAR[[#This Row],[DESCRIÇÃO CONTABIL]],Contas_Gerencial[[#All],[DESCRIÇÃO DA CONTA - NÃO UTILIZAR]:[Código2]],2,FALSE)</f>
        <v>20.07.027</v>
      </c>
      <c r="E26" s="1156" t="s">
        <v>998</v>
      </c>
      <c r="F26" s="19" t="s">
        <v>41</v>
      </c>
      <c r="G26" s="1162" t="s">
        <v>595</v>
      </c>
      <c r="H26" s="19" t="s">
        <v>1803</v>
      </c>
      <c r="I26" s="1158">
        <v>571811</v>
      </c>
      <c r="J26" s="1157" t="s">
        <v>808</v>
      </c>
      <c r="K26" s="19" t="s">
        <v>2612</v>
      </c>
      <c r="L26" s="453" t="s">
        <v>1766</v>
      </c>
      <c r="M26" s="457">
        <v>46083</v>
      </c>
      <c r="N26" s="457">
        <v>46088</v>
      </c>
      <c r="O26" s="457">
        <v>46083</v>
      </c>
      <c r="P26" s="453" t="s">
        <v>214</v>
      </c>
      <c r="Q26" s="458">
        <v>239.65</v>
      </c>
      <c r="R26" s="459">
        <v>0</v>
      </c>
      <c r="S26" s="459">
        <v>0</v>
      </c>
      <c r="T26" s="1159">
        <f>SUM(mMAR[[#This Row],[PRINCIPAL]:[JUROS]])</f>
        <v>239.65</v>
      </c>
    </row>
    <row r="27" spans="2:22" ht="21" customHeight="1">
      <c r="B27" s="83" t="str">
        <f t="shared" si="0"/>
        <v>3/26</v>
      </c>
      <c r="C27" s="1114" t="str">
        <f>VLOOKUP(mMAR[[#This Row],[CÓDIGO CONTABIL]],Contas_Gerencial[#All],3,FALSE)</f>
        <v>FOLHA DE PAGAMENTO</v>
      </c>
      <c r="D27" s="1116" t="str">
        <f>VLOOKUP(mMAR[[#This Row],[DESCRIÇÃO CONTABIL]],Contas_Gerencial[[#All],[DESCRIÇÃO DA CONTA - NÃO UTILIZAR]:[Código2]],2,FALSE)</f>
        <v>20.05.013</v>
      </c>
      <c r="E27" s="57" t="s">
        <v>401</v>
      </c>
      <c r="F27" s="19" t="s">
        <v>41</v>
      </c>
      <c r="G27" s="1162" t="s">
        <v>1767</v>
      </c>
      <c r="H27" s="19" t="s">
        <v>1802</v>
      </c>
      <c r="I27" s="1158">
        <v>100326</v>
      </c>
      <c r="J27" s="19" t="s">
        <v>41</v>
      </c>
      <c r="K27" s="19" t="s">
        <v>2614</v>
      </c>
      <c r="L27" s="453" t="s">
        <v>1766</v>
      </c>
      <c r="M27" s="457">
        <v>46083</v>
      </c>
      <c r="N27" s="457">
        <v>46091</v>
      </c>
      <c r="O27" s="457">
        <v>46091</v>
      </c>
      <c r="P27" s="453" t="s">
        <v>214</v>
      </c>
      <c r="Q27" s="458">
        <v>150</v>
      </c>
      <c r="R27" s="459">
        <v>0</v>
      </c>
      <c r="S27" s="459">
        <v>0</v>
      </c>
      <c r="T27" s="1159">
        <f>SUM(mMAR[[#This Row],[PRINCIPAL]:[JUROS]])</f>
        <v>150</v>
      </c>
      <c r="V27" s="1310"/>
    </row>
    <row r="28" spans="2:22" ht="21" customHeight="1">
      <c r="B28" s="83" t="str">
        <f t="shared" si="0"/>
        <v>3/26</v>
      </c>
      <c r="C28" s="1114" t="str">
        <f>VLOOKUP(mMAR[[#This Row],[CÓDIGO CONTABIL]],Contas_Gerencial[#All],3,FALSE)</f>
        <v>FOLHA DE PAGAMENTO</v>
      </c>
      <c r="D28" s="1116" t="str">
        <f>VLOOKUP(mMAR[[#This Row],[DESCRIÇÃO CONTABIL]],Contas_Gerencial[[#All],[DESCRIÇÃO DA CONTA - NÃO UTILIZAR]:[Código2]],2,FALSE)</f>
        <v>20.05.013</v>
      </c>
      <c r="E28" s="57" t="s">
        <v>401</v>
      </c>
      <c r="F28" s="19" t="s">
        <v>581</v>
      </c>
      <c r="G28" s="1162" t="s">
        <v>1137</v>
      </c>
      <c r="H28" s="19" t="s">
        <v>1802</v>
      </c>
      <c r="I28" s="1158">
        <v>30326</v>
      </c>
      <c r="J28" s="19" t="s">
        <v>41</v>
      </c>
      <c r="K28" s="19" t="s">
        <v>2615</v>
      </c>
      <c r="L28" s="453" t="s">
        <v>1766</v>
      </c>
      <c r="M28" s="457">
        <v>46084</v>
      </c>
      <c r="N28" s="457">
        <v>46084</v>
      </c>
      <c r="O28" s="457">
        <v>46084</v>
      </c>
      <c r="P28" s="453" t="s">
        <v>214</v>
      </c>
      <c r="Q28" s="458">
        <f>90*6</f>
        <v>540</v>
      </c>
      <c r="R28" s="459">
        <v>0</v>
      </c>
      <c r="S28" s="459">
        <v>0</v>
      </c>
      <c r="T28" s="1159">
        <f>SUM(mMAR[[#This Row],[PRINCIPAL]:[JUROS]])</f>
        <v>540</v>
      </c>
    </row>
    <row r="29" spans="2:22" ht="21" customHeight="1">
      <c r="B29" s="83" t="str">
        <f t="shared" si="0"/>
        <v>3/26</v>
      </c>
      <c r="C29" s="1114" t="str">
        <f>VLOOKUP(mMAR[[#This Row],[CÓDIGO CONTABIL]],Contas_Gerencial[#All],3,FALSE)</f>
        <v>FOLHA DE PAGAMENTO</v>
      </c>
      <c r="D29" s="1116" t="str">
        <f>VLOOKUP(mMAR[[#This Row],[DESCRIÇÃO CONTABIL]],Contas_Gerencial[[#All],[DESCRIÇÃO DA CONTA - NÃO UTILIZAR]:[Código2]],2,FALSE)</f>
        <v>20.05.013</v>
      </c>
      <c r="E29" s="992" t="s">
        <v>401</v>
      </c>
      <c r="F29" s="461" t="s">
        <v>581</v>
      </c>
      <c r="G29" s="983" t="s">
        <v>1137</v>
      </c>
      <c r="H29" s="461" t="s">
        <v>1802</v>
      </c>
      <c r="I29" s="1199"/>
      <c r="J29" s="461" t="s">
        <v>581</v>
      </c>
      <c r="K29" s="461" t="s">
        <v>2667</v>
      </c>
      <c r="L29" s="461" t="s">
        <v>1766</v>
      </c>
      <c r="M29" s="463">
        <v>46084</v>
      </c>
      <c r="N29" s="463"/>
      <c r="O29" s="463"/>
      <c r="P29" s="461" t="s">
        <v>1</v>
      </c>
      <c r="Q29" s="993">
        <f>100*3</f>
        <v>300</v>
      </c>
      <c r="R29" s="1200">
        <v>0</v>
      </c>
      <c r="S29" s="1200">
        <v>0</v>
      </c>
      <c r="T29" s="1159">
        <f>SUM(mMAR[[#This Row],[PRINCIPAL]:[JUROS]])</f>
        <v>300</v>
      </c>
    </row>
    <row r="30" spans="2:22" ht="21" customHeight="1">
      <c r="B30" s="83" t="str">
        <f t="shared" si="0"/>
        <v>3/26</v>
      </c>
      <c r="C30" s="1114" t="str">
        <f>VLOOKUP(mMAR[[#This Row],[CÓDIGO CONTABIL]],Contas_Gerencial[#All],3,FALSE)</f>
        <v>DESPESAS FIXAS</v>
      </c>
      <c r="D30" s="1116" t="str">
        <f>VLOOKUP(mMAR[[#This Row],[DESCRIÇÃO CONTABIL]],Contas_Gerencial[[#All],[DESCRIÇÃO DA CONTA - NÃO UTILIZAR]:[Código2]],2,FALSE)</f>
        <v>20.02.008</v>
      </c>
      <c r="E30" s="57" t="s">
        <v>343</v>
      </c>
      <c r="F30" s="1157" t="s">
        <v>41</v>
      </c>
      <c r="G30" s="1196" t="s">
        <v>1130</v>
      </c>
      <c r="H30" s="453" t="s">
        <v>2168</v>
      </c>
      <c r="I30" s="1158">
        <v>60326</v>
      </c>
      <c r="J30" s="1157" t="s">
        <v>2380</v>
      </c>
      <c r="K30" s="1157" t="s">
        <v>2382</v>
      </c>
      <c r="L30" s="1157" t="s">
        <v>1766</v>
      </c>
      <c r="M30" s="60">
        <v>46087</v>
      </c>
      <c r="N30" s="60">
        <v>46087</v>
      </c>
      <c r="O30" s="60">
        <v>46087</v>
      </c>
      <c r="P30" s="1157" t="s">
        <v>214</v>
      </c>
      <c r="Q30" s="1197">
        <v>29.85</v>
      </c>
      <c r="R30" s="1198">
        <v>0</v>
      </c>
      <c r="S30" s="1198">
        <v>0</v>
      </c>
      <c r="T30" s="1159">
        <f>SUM(mMAR[[#This Row],[PRINCIPAL]:[JUROS]])</f>
        <v>29.85</v>
      </c>
    </row>
    <row r="31" spans="2:22" ht="21" customHeight="1">
      <c r="B31" s="83" t="str">
        <f t="shared" si="0"/>
        <v>3/26</v>
      </c>
      <c r="C31" s="1307" t="str">
        <f>VLOOKUP(mMAR[[#This Row],[CÓDIGO CONTABIL]],Contas_Gerencial[#All],3,FALSE)</f>
        <v>FOLHA DE PAGAMENTO</v>
      </c>
      <c r="D31" s="1308" t="str">
        <f>VLOOKUP(mMAR[[#This Row],[DESCRIÇÃO CONTABIL]],Contas_Gerencial[[#All],[DESCRIÇÃO DA CONTA - NÃO UTILIZAR]:[Código2]],2,FALSE)</f>
        <v>20.05.013</v>
      </c>
      <c r="E31" s="121" t="s">
        <v>401</v>
      </c>
      <c r="F31" s="453" t="s">
        <v>581</v>
      </c>
      <c r="G31" s="107" t="s">
        <v>1003</v>
      </c>
      <c r="H31" s="453" t="s">
        <v>1802</v>
      </c>
      <c r="I31" s="455">
        <v>80326</v>
      </c>
      <c r="J31" s="453" t="s">
        <v>581</v>
      </c>
      <c r="K31" s="453" t="s">
        <v>2647</v>
      </c>
      <c r="L31" s="453" t="s">
        <v>1766</v>
      </c>
      <c r="M31" s="457">
        <v>46088</v>
      </c>
      <c r="N31" s="457">
        <v>46089</v>
      </c>
      <c r="O31" s="457">
        <v>46089</v>
      </c>
      <c r="P31" s="1157" t="s">
        <v>214</v>
      </c>
      <c r="Q31" s="458">
        <v>130</v>
      </c>
      <c r="R31" s="467">
        <v>0</v>
      </c>
      <c r="S31" s="467">
        <v>0</v>
      </c>
      <c r="T31" s="1309">
        <f>SUM(mMAR[[#This Row],[PRINCIPAL]:[JUROS]])</f>
        <v>130</v>
      </c>
      <c r="V31" s="1310"/>
    </row>
    <row r="32" spans="2:22" ht="22.8" customHeight="1">
      <c r="B32" s="83" t="str">
        <f t="shared" si="0"/>
        <v>3/26</v>
      </c>
      <c r="C32" s="1307" t="str">
        <f>VLOOKUP(mMAR[[#This Row],[CÓDIGO CONTABIL]],Contas_Gerencial[#All],3,FALSE)</f>
        <v>DESPESAS FIXAS</v>
      </c>
      <c r="D32" s="1308" t="str">
        <f>VLOOKUP(mMAR[[#This Row],[DESCRIÇÃO CONTABIL]],Contas_Gerencial[[#All],[DESCRIÇÃO DA CONTA - NÃO UTILIZAR]:[Código2]],2,FALSE)</f>
        <v>20.02.008</v>
      </c>
      <c r="E32" s="452" t="s">
        <v>343</v>
      </c>
      <c r="F32" s="453" t="s">
        <v>41</v>
      </c>
      <c r="G32" s="454" t="s">
        <v>1130</v>
      </c>
      <c r="H32" s="453" t="s">
        <v>2168</v>
      </c>
      <c r="I32" s="1158">
        <v>470176</v>
      </c>
      <c r="J32" s="503" t="s">
        <v>1857</v>
      </c>
      <c r="K32" s="453" t="s">
        <v>2666</v>
      </c>
      <c r="L32" s="453" t="s">
        <v>1766</v>
      </c>
      <c r="M32" s="457">
        <v>46091</v>
      </c>
      <c r="N32" s="457">
        <v>46091</v>
      </c>
      <c r="O32" s="457">
        <v>46091</v>
      </c>
      <c r="P32" s="453" t="s">
        <v>214</v>
      </c>
      <c r="Q32" s="458">
        <v>329.17</v>
      </c>
      <c r="R32" s="459">
        <v>0</v>
      </c>
      <c r="S32" s="459">
        <v>0</v>
      </c>
      <c r="T32" s="1309">
        <f>SUM(mMAR[[#This Row],[PRINCIPAL]:[JUROS]])</f>
        <v>329.17</v>
      </c>
      <c r="V32" s="1310"/>
    </row>
    <row r="33" spans="2:22" ht="21" customHeight="1">
      <c r="B33" s="83" t="str">
        <f t="shared" si="0"/>
        <v>3/26</v>
      </c>
      <c r="C33" s="5" t="str">
        <f>VLOOKUP(mMAR[[#This Row],[CÓDIGO CONTABIL]],Contas_Gerencial[#All],3,FALSE)</f>
        <v>INVESTIMENTOS</v>
      </c>
      <c r="D33" s="16" t="str">
        <f>VLOOKUP(mMAR[[#This Row],[DESCRIÇÃO CONTABIL]],Contas_Gerencial[[#All],[DESCRIÇÃO DA CONTA - NÃO UTILIZAR]:[Código2]],2,FALSE)</f>
        <v>20.06.003</v>
      </c>
      <c r="E33" s="1227" t="s">
        <v>295</v>
      </c>
      <c r="F33" s="1228" t="s">
        <v>41</v>
      </c>
      <c r="G33" s="1228" t="s">
        <v>595</v>
      </c>
      <c r="H33" s="1229" t="s">
        <v>2065</v>
      </c>
      <c r="I33" s="1229" t="s">
        <v>2065</v>
      </c>
      <c r="J33" s="1228" t="s">
        <v>41</v>
      </c>
      <c r="K33" s="1228" t="s">
        <v>295</v>
      </c>
      <c r="L33" s="1230" t="s">
        <v>2258</v>
      </c>
      <c r="M33" s="1287">
        <v>46081</v>
      </c>
      <c r="N33" s="1231">
        <v>46106</v>
      </c>
      <c r="O33" s="1231"/>
      <c r="P33" s="1228" t="s">
        <v>1</v>
      </c>
      <c r="Q33" s="1232">
        <v>11078.279999999999</v>
      </c>
      <c r="R33" s="1233">
        <v>0</v>
      </c>
      <c r="S33" s="1233">
        <v>0</v>
      </c>
      <c r="T33" s="65">
        <f>SUM(mMAR[[#This Row],[PRINCIPAL]:[JUROS]])</f>
        <v>11078.279999999999</v>
      </c>
      <c r="V33" s="1310"/>
    </row>
    <row r="34" spans="2:22" ht="21" customHeight="1">
      <c r="B34" s="83" t="str">
        <f t="shared" si="0"/>
        <v>3/26</v>
      </c>
      <c r="C34" s="5" t="str">
        <f>VLOOKUP(mMAR[[#This Row],[CÓDIGO CONTABIL]],Contas_Gerencial[#All],3,FALSE)</f>
        <v>INVESTIMENTOS</v>
      </c>
      <c r="D34" s="16" t="str">
        <f>VLOOKUP(mMAR[[#This Row],[DESCRIÇÃO CONTABIL]],Contas_Gerencial[[#All],[DESCRIÇÃO DA CONTA - NÃO UTILIZAR]:[Código2]],2,FALSE)</f>
        <v>20.06.003</v>
      </c>
      <c r="E34" s="1227" t="s">
        <v>295</v>
      </c>
      <c r="F34" s="1228" t="s">
        <v>582</v>
      </c>
      <c r="G34" s="1228" t="s">
        <v>595</v>
      </c>
      <c r="H34" s="1229" t="s">
        <v>2065</v>
      </c>
      <c r="I34" s="1229" t="s">
        <v>2065</v>
      </c>
      <c r="J34" s="1228" t="s">
        <v>582</v>
      </c>
      <c r="K34" s="1228" t="s">
        <v>295</v>
      </c>
      <c r="L34" s="1230" t="s">
        <v>2258</v>
      </c>
      <c r="M34" s="1287">
        <v>46081</v>
      </c>
      <c r="N34" s="1231">
        <v>46106</v>
      </c>
      <c r="O34" s="1231"/>
      <c r="P34" s="1228" t="s">
        <v>1</v>
      </c>
      <c r="Q34" s="1232">
        <v>6091.32</v>
      </c>
      <c r="R34" s="1233">
        <v>0</v>
      </c>
      <c r="S34" s="1233">
        <v>0</v>
      </c>
      <c r="T34" s="65">
        <f>SUM(mMAR[[#This Row],[PRINCIPAL]:[JUROS]])</f>
        <v>6091.32</v>
      </c>
      <c r="V34" s="1310"/>
    </row>
    <row r="35" spans="2:22" ht="21" customHeight="1">
      <c r="B35" s="83" t="str">
        <f t="shared" si="0"/>
        <v>3/26</v>
      </c>
      <c r="C35" s="5" t="str">
        <f>VLOOKUP(mMAR[[#This Row],[CÓDIGO CONTABIL]],Contas_Gerencial[#All],3,FALSE)</f>
        <v>INVESTIMENTOS</v>
      </c>
      <c r="D35" s="16" t="str">
        <f>VLOOKUP(mMAR[[#This Row],[DESCRIÇÃO CONTABIL]],Contas_Gerencial[[#All],[DESCRIÇÃO DA CONTA - NÃO UTILIZAR]:[Código2]],2,FALSE)</f>
        <v>20.06.003</v>
      </c>
      <c r="E35" s="1227" t="s">
        <v>295</v>
      </c>
      <c r="F35" s="1228" t="s">
        <v>581</v>
      </c>
      <c r="G35" s="1228" t="s">
        <v>595</v>
      </c>
      <c r="H35" s="1229" t="s">
        <v>2065</v>
      </c>
      <c r="I35" s="1229" t="s">
        <v>2065</v>
      </c>
      <c r="J35" s="1228" t="s">
        <v>581</v>
      </c>
      <c r="K35" s="1228" t="s">
        <v>295</v>
      </c>
      <c r="L35" s="1230" t="s">
        <v>2258</v>
      </c>
      <c r="M35" s="1287">
        <v>46081</v>
      </c>
      <c r="N35" s="1231">
        <v>46106</v>
      </c>
      <c r="O35" s="1231"/>
      <c r="P35" s="1228" t="s">
        <v>1</v>
      </c>
      <c r="Q35" s="1232">
        <v>12743.88</v>
      </c>
      <c r="R35" s="1233">
        <v>0</v>
      </c>
      <c r="S35" s="1233">
        <v>0</v>
      </c>
      <c r="T35" s="65">
        <f>SUM(mMAR[[#This Row],[PRINCIPAL]:[JUROS]])</f>
        <v>12743.88</v>
      </c>
      <c r="V35" s="1310"/>
    </row>
    <row r="36" spans="2:22" ht="21" customHeight="1">
      <c r="B36" s="83" t="str">
        <f t="shared" si="0"/>
        <v>3/26</v>
      </c>
      <c r="C36" s="1328" t="str">
        <f>VLOOKUP(mMAR[[#This Row],[CÓDIGO CONTABIL]],Contas_Gerencial[#All],3,FALSE)</f>
        <v>FOLHA DE PAGAMENTO</v>
      </c>
      <c r="D36" s="1329" t="str">
        <f>VLOOKUP(mMAR[[#This Row],[DESCRIÇÃO CONTABIL]],Contas_Gerencial[[#All],[DESCRIÇÃO DA CONTA - NÃO UTILIZAR]:[Código2]],2,FALSE)</f>
        <v>20.05.016</v>
      </c>
      <c r="E36" s="1297" t="s">
        <v>65</v>
      </c>
      <c r="F36" s="1298" t="s">
        <v>581</v>
      </c>
      <c r="G36" s="1298" t="s">
        <v>87</v>
      </c>
      <c r="H36" s="1299" t="s">
        <v>2065</v>
      </c>
      <c r="I36" s="1300" t="s">
        <v>2065</v>
      </c>
      <c r="J36" s="1298" t="s">
        <v>581</v>
      </c>
      <c r="K36" s="1298" t="s">
        <v>2646</v>
      </c>
      <c r="L36" s="1299" t="s">
        <v>2591</v>
      </c>
      <c r="M36" s="1301">
        <v>46082</v>
      </c>
      <c r="N36" s="1302">
        <v>46106</v>
      </c>
      <c r="O36" s="1302"/>
      <c r="P36" s="1303" t="s">
        <v>1</v>
      </c>
      <c r="Q36" s="1304">
        <v>0</v>
      </c>
      <c r="R36" s="1305">
        <v>0</v>
      </c>
      <c r="S36" s="1305">
        <v>0</v>
      </c>
      <c r="T36" s="65">
        <f>SUM(mMAR[[#This Row],[PRINCIPAL]:[JUROS]])</f>
        <v>0</v>
      </c>
      <c r="V36" s="1310"/>
    </row>
    <row r="37" spans="2:22" ht="21" customHeight="1">
      <c r="B37" s="83" t="str">
        <f t="shared" si="0"/>
        <v>3/26</v>
      </c>
      <c r="C37" s="1328" t="str">
        <f>VLOOKUP(mMAR[[#This Row],[CÓDIGO CONTABIL]],Contas_Gerencial[#All],3,FALSE)</f>
        <v>FOLHA DE PAGAMENTO</v>
      </c>
      <c r="D37" s="1329" t="str">
        <f>VLOOKUP(mMAR[[#This Row],[DESCRIÇÃO CONTABIL]],Contas_Gerencial[[#All],[DESCRIÇÃO DA CONTA - NÃO UTILIZAR]:[Código2]],2,FALSE)</f>
        <v>20.05.014</v>
      </c>
      <c r="E37" s="1297" t="s">
        <v>402</v>
      </c>
      <c r="F37" s="1298" t="s">
        <v>581</v>
      </c>
      <c r="G37" s="1298" t="s">
        <v>87</v>
      </c>
      <c r="H37" s="1299" t="s">
        <v>2065</v>
      </c>
      <c r="I37" s="1300" t="s">
        <v>2065</v>
      </c>
      <c r="J37" s="1298" t="s">
        <v>581</v>
      </c>
      <c r="K37" s="1298" t="s">
        <v>2646</v>
      </c>
      <c r="L37" s="1299" t="s">
        <v>2591</v>
      </c>
      <c r="M37" s="1301">
        <v>46082</v>
      </c>
      <c r="N37" s="1302">
        <v>46106</v>
      </c>
      <c r="O37" s="1302"/>
      <c r="P37" s="1303" t="s">
        <v>1</v>
      </c>
      <c r="Q37" s="1304">
        <v>0</v>
      </c>
      <c r="R37" s="1305">
        <v>0</v>
      </c>
      <c r="S37" s="1305">
        <v>0</v>
      </c>
      <c r="T37" s="65">
        <f>SUM(mMAR[[#This Row],[PRINCIPAL]:[JUROS]])</f>
        <v>0</v>
      </c>
      <c r="V37" s="1310"/>
    </row>
    <row r="38" spans="2:22" ht="21" customHeight="1">
      <c r="B38" s="83" t="str">
        <f t="shared" si="0"/>
        <v>3/26</v>
      </c>
      <c r="C38" s="5" t="str">
        <f>VLOOKUP(mMAR[[#This Row],[CÓDIGO CONTABIL]],Contas_Gerencial[#All],3,FALSE)</f>
        <v>DESPESAS FIXAS</v>
      </c>
      <c r="D38" s="16" t="str">
        <f>VLOOKUP(mMAR[[#This Row],[DESCRIÇÃO CONTABIL]],Contas_Gerencial[[#All],[DESCRIÇÃO DA CONTA - NÃO UTILIZAR]:[Código2]],2,FALSE)</f>
        <v>20.02.001</v>
      </c>
      <c r="E38" s="453" t="s">
        <v>28</v>
      </c>
      <c r="F38" s="453" t="s">
        <v>41</v>
      </c>
      <c r="G38" s="453" t="s">
        <v>595</v>
      </c>
      <c r="H38" s="453" t="s">
        <v>1803</v>
      </c>
      <c r="I38" s="481">
        <v>38499</v>
      </c>
      <c r="J38" s="453" t="s">
        <v>372</v>
      </c>
      <c r="K38" s="453" t="s">
        <v>1806</v>
      </c>
      <c r="L38" s="451" t="s">
        <v>2258</v>
      </c>
      <c r="M38" s="1330">
        <v>46076</v>
      </c>
      <c r="N38" s="457">
        <v>46091</v>
      </c>
      <c r="O38" s="457">
        <v>46091</v>
      </c>
      <c r="P38" s="453" t="s">
        <v>214</v>
      </c>
      <c r="Q38" s="468">
        <f>2008.57-200</f>
        <v>1808.57</v>
      </c>
      <c r="R38" s="467">
        <v>0</v>
      </c>
      <c r="S38" s="467">
        <v>0</v>
      </c>
      <c r="T38" s="65">
        <f>SUM(mMAR[[#This Row],[PRINCIPAL]:[JUROS]])</f>
        <v>1808.57</v>
      </c>
      <c r="V38" s="1310"/>
    </row>
    <row r="39" spans="2:22" ht="21" customHeight="1">
      <c r="B39" s="83" t="str">
        <f t="shared" si="0"/>
        <v>3/26</v>
      </c>
      <c r="C39" s="5" t="str">
        <f>VLOOKUP(mMAR[[#This Row],[CÓDIGO CONTABIL]],Contas_Gerencial[#All],3,FALSE)</f>
        <v>DESPESAS FIXAS</v>
      </c>
      <c r="D39" s="16" t="str">
        <f>VLOOKUP(mMAR[[#This Row],[DESCRIÇÃO CONTABIL]],Contas_Gerencial[[#All],[DESCRIÇÃO DA CONTA - NÃO UTILIZAR]:[Código2]],2,FALSE)</f>
        <v>20.02.003</v>
      </c>
      <c r="E39" s="107" t="s">
        <v>27</v>
      </c>
      <c r="F39" s="107" t="s">
        <v>41</v>
      </c>
      <c r="G39" s="107" t="s">
        <v>595</v>
      </c>
      <c r="H39" s="107" t="s">
        <v>1803</v>
      </c>
      <c r="I39" s="481">
        <v>5278640</v>
      </c>
      <c r="J39" s="107" t="s">
        <v>1506</v>
      </c>
      <c r="K39" s="107" t="s">
        <v>1809</v>
      </c>
      <c r="L39" s="451" t="s">
        <v>2258</v>
      </c>
      <c r="M39" s="1330">
        <v>46080</v>
      </c>
      <c r="N39" s="457">
        <v>46091</v>
      </c>
      <c r="O39" s="457">
        <v>46091</v>
      </c>
      <c r="P39" s="453" t="s">
        <v>214</v>
      </c>
      <c r="Q39" s="471">
        <v>692.23</v>
      </c>
      <c r="R39" s="471">
        <v>0</v>
      </c>
      <c r="S39" s="471">
        <v>0</v>
      </c>
      <c r="T39" s="65">
        <f>SUM(mMAR[[#This Row],[PRINCIPAL]:[JUROS]])</f>
        <v>692.23</v>
      </c>
      <c r="V39" s="1310"/>
    </row>
    <row r="40" spans="2:22" ht="21" customHeight="1">
      <c r="B40" s="83" t="str">
        <f t="shared" si="0"/>
        <v>3/26</v>
      </c>
      <c r="C40" s="5" t="str">
        <f>VLOOKUP(mMAR[[#This Row],[CÓDIGO CONTABIL]],Contas_Gerencial[#All],3,FALSE)</f>
        <v>DESPESAS FIXAS</v>
      </c>
      <c r="D40" s="16" t="str">
        <f>VLOOKUP(mMAR[[#This Row],[DESCRIÇÃO CONTABIL]],Contas_Gerencial[[#All],[DESCRIÇÃO DA CONTA - NÃO UTILIZAR]:[Código2]],2,FALSE)</f>
        <v>20.02.007</v>
      </c>
      <c r="E40" s="452" t="s">
        <v>26</v>
      </c>
      <c r="F40" s="452" t="s">
        <v>41</v>
      </c>
      <c r="G40" s="480" t="s">
        <v>595</v>
      </c>
      <c r="H40" s="452" t="s">
        <v>1807</v>
      </c>
      <c r="I40" s="481">
        <v>5703368569</v>
      </c>
      <c r="J40" s="453" t="s">
        <v>374</v>
      </c>
      <c r="K40" s="453" t="s">
        <v>1808</v>
      </c>
      <c r="L40" s="451" t="s">
        <v>2258</v>
      </c>
      <c r="M40" s="1330">
        <v>46077</v>
      </c>
      <c r="N40" s="457">
        <v>46091</v>
      </c>
      <c r="O40" s="457">
        <v>46091</v>
      </c>
      <c r="P40" s="453" t="s">
        <v>214</v>
      </c>
      <c r="Q40" s="458">
        <v>95.02</v>
      </c>
      <c r="R40" s="459">
        <v>0</v>
      </c>
      <c r="S40" s="459">
        <v>0</v>
      </c>
      <c r="T40" s="65">
        <f>SUM(mMAR[[#This Row],[PRINCIPAL]:[JUROS]])</f>
        <v>95.02</v>
      </c>
      <c r="V40" s="1310"/>
    </row>
    <row r="41" spans="2:22" ht="21" customHeight="1">
      <c r="B41" s="83" t="str">
        <f t="shared" si="0"/>
        <v>3/26</v>
      </c>
      <c r="C41" s="5" t="str">
        <f>VLOOKUP(mMAR[[#This Row],[CÓDIGO CONTABIL]],Contas_Gerencial[#All],3,FALSE)</f>
        <v>DESPESAS FIXAS</v>
      </c>
      <c r="D41" s="16" t="str">
        <f>VLOOKUP(mMAR[[#This Row],[DESCRIÇÃO CONTABIL]],Contas_Gerencial[[#All],[DESCRIÇÃO DA CONTA - NÃO UTILIZAR]:[Código2]],2,FALSE)</f>
        <v>20.02.007</v>
      </c>
      <c r="E41" s="452" t="s">
        <v>26</v>
      </c>
      <c r="F41" s="452" t="s">
        <v>41</v>
      </c>
      <c r="G41" s="480" t="s">
        <v>595</v>
      </c>
      <c r="H41" s="452" t="s">
        <v>1807</v>
      </c>
      <c r="I41" s="481">
        <v>100326</v>
      </c>
      <c r="J41" s="453" t="s">
        <v>405</v>
      </c>
      <c r="K41" s="453" t="s">
        <v>1861</v>
      </c>
      <c r="L41" s="451" t="s">
        <v>2258</v>
      </c>
      <c r="M41" s="1330">
        <v>46091</v>
      </c>
      <c r="N41" s="1330">
        <v>46091</v>
      </c>
      <c r="O41" s="1330">
        <v>46091</v>
      </c>
      <c r="P41" s="453" t="s">
        <v>214</v>
      </c>
      <c r="Q41" s="458">
        <v>142.91</v>
      </c>
      <c r="R41" s="459">
        <v>0</v>
      </c>
      <c r="S41" s="459">
        <v>0</v>
      </c>
      <c r="T41" s="65">
        <f>SUM(mMAR[[#This Row],[PRINCIPAL]:[JUROS]])</f>
        <v>142.91</v>
      </c>
      <c r="V41" s="1310"/>
    </row>
    <row r="42" spans="2:22" ht="21" customHeight="1">
      <c r="B42" s="83" t="str">
        <f t="shared" si="0"/>
        <v>3/26</v>
      </c>
      <c r="C42" s="5" t="str">
        <f>VLOOKUP(mMAR[[#This Row],[CÓDIGO CONTABIL]],Contas_Gerencial[#All],3,FALSE)</f>
        <v>DESPESAS FIXAS</v>
      </c>
      <c r="D42" s="16" t="str">
        <f>VLOOKUP(mMAR[[#This Row],[DESCRIÇÃO CONTABIL]],Contas_Gerencial[[#All],[DESCRIÇÃO DA CONTA - NÃO UTILIZAR]:[Código2]],2,FALSE)</f>
        <v>20.02.004</v>
      </c>
      <c r="E42" s="453" t="s">
        <v>404</v>
      </c>
      <c r="F42" s="453" t="s">
        <v>41</v>
      </c>
      <c r="G42" s="453" t="s">
        <v>595</v>
      </c>
      <c r="H42" s="453" t="s">
        <v>1807</v>
      </c>
      <c r="I42" s="481" t="s">
        <v>2669</v>
      </c>
      <c r="J42" s="453" t="s">
        <v>1160</v>
      </c>
      <c r="K42" s="453" t="s">
        <v>2670</v>
      </c>
      <c r="L42" s="451" t="s">
        <v>2258</v>
      </c>
      <c r="M42" s="1330">
        <v>46049</v>
      </c>
      <c r="N42" s="457">
        <v>46089</v>
      </c>
      <c r="O42" s="457">
        <v>46091</v>
      </c>
      <c r="P42" s="453" t="s">
        <v>214</v>
      </c>
      <c r="Q42" s="468">
        <v>202.98</v>
      </c>
      <c r="R42" s="467">
        <v>0</v>
      </c>
      <c r="S42" s="467">
        <v>0</v>
      </c>
      <c r="T42" s="65">
        <f>SUM(mMAR[[#This Row],[PRINCIPAL]:[JUROS]])</f>
        <v>202.98</v>
      </c>
      <c r="V42" s="1310"/>
    </row>
    <row r="43" spans="2:22" ht="21" customHeight="1">
      <c r="B43" s="83" t="str">
        <f t="shared" si="0"/>
        <v>3/26</v>
      </c>
      <c r="C43" s="5" t="str">
        <f>VLOOKUP(mMAR[[#This Row],[CÓDIGO CONTABIL]],Contas_Gerencial[#All],3,FALSE)</f>
        <v>DESPESAS FIXAS</v>
      </c>
      <c r="D43" s="16" t="str">
        <f>VLOOKUP(mMAR[[#This Row],[DESCRIÇÃO CONTABIL]],Contas_Gerencial[[#All],[DESCRIÇÃO DA CONTA - NÃO UTILIZAR]:[Código2]],2,FALSE)</f>
        <v>20.02.004</v>
      </c>
      <c r="E43" s="453" t="s">
        <v>404</v>
      </c>
      <c r="F43" s="453" t="s">
        <v>41</v>
      </c>
      <c r="G43" s="453" t="s">
        <v>595</v>
      </c>
      <c r="H43" s="453" t="s">
        <v>1807</v>
      </c>
      <c r="I43" s="481">
        <v>110679754</v>
      </c>
      <c r="J43" s="453" t="s">
        <v>1160</v>
      </c>
      <c r="K43" s="453" t="s">
        <v>2495</v>
      </c>
      <c r="L43" s="451" t="s">
        <v>2258</v>
      </c>
      <c r="M43" s="1330">
        <v>46065</v>
      </c>
      <c r="N43" s="457">
        <v>46081</v>
      </c>
      <c r="O43" s="457">
        <v>46091</v>
      </c>
      <c r="P43" s="453" t="s">
        <v>214</v>
      </c>
      <c r="Q43" s="468">
        <v>54.28</v>
      </c>
      <c r="R43" s="467">
        <v>0</v>
      </c>
      <c r="S43" s="467">
        <v>0</v>
      </c>
      <c r="T43" s="65">
        <f>SUM(mMAR[[#This Row],[PRINCIPAL]:[JUROS]])</f>
        <v>54.28</v>
      </c>
      <c r="V43" s="1310"/>
    </row>
    <row r="44" spans="2:22" ht="21" customHeight="1">
      <c r="B44" s="83" t="str">
        <f t="shared" si="0"/>
        <v>3/26</v>
      </c>
      <c r="C44" s="5" t="str">
        <f>VLOOKUP(mMAR[[#This Row],[CÓDIGO CONTABIL]],Contas_Gerencial[#All],3,FALSE)</f>
        <v>RECEITA SUBCONTA</v>
      </c>
      <c r="D44" s="16" t="str">
        <f>VLOOKUP(mMAR[[#This Row],[DESCRIÇÃO CONTABIL]],Contas_Gerencial[[#All],[DESCRIÇÃO DA CONTA - NÃO UTILIZAR]:[Código2]],2,FALSE)</f>
        <v>10.01.001</v>
      </c>
      <c r="E44" s="473" t="s">
        <v>90</v>
      </c>
      <c r="F44" s="473" t="s">
        <v>41</v>
      </c>
      <c r="G44" s="473" t="s">
        <v>982</v>
      </c>
      <c r="H44" s="473" t="s">
        <v>1788</v>
      </c>
      <c r="I44" s="474" t="s">
        <v>2065</v>
      </c>
      <c r="J44" s="472" t="s">
        <v>41</v>
      </c>
      <c r="K44" s="472" t="s">
        <v>1792</v>
      </c>
      <c r="L44" s="475" t="s">
        <v>2258</v>
      </c>
      <c r="M44" s="1270">
        <v>46081</v>
      </c>
      <c r="N44" s="476">
        <v>46086</v>
      </c>
      <c r="O44" s="457">
        <v>46087</v>
      </c>
      <c r="P44" s="452" t="s">
        <v>214</v>
      </c>
      <c r="Q44" s="483">
        <v>7054</v>
      </c>
      <c r="R44" s="479">
        <v>0</v>
      </c>
      <c r="S44" s="479">
        <v>0</v>
      </c>
      <c r="T44" s="65">
        <f>SUM(mMAR[[#This Row],[PRINCIPAL]:[JUROS]])</f>
        <v>7054</v>
      </c>
      <c r="V44" s="1310"/>
    </row>
    <row r="45" spans="2:22" ht="21" customHeight="1">
      <c r="B45" s="83" t="str">
        <f t="shared" si="0"/>
        <v>3/26</v>
      </c>
      <c r="C45" s="5" t="str">
        <f>VLOOKUP(mMAR[[#This Row],[CÓDIGO CONTABIL]],Contas_Gerencial[#All],3,FALSE)</f>
        <v>TRIBUTOS</v>
      </c>
      <c r="D45" s="16" t="str">
        <f>VLOOKUP(mMAR[[#This Row],[DESCRIÇÃO CONTABIL]],Contas_Gerencial[[#All],[DESCRIÇÃO DA CONTA - NÃO UTILIZAR]:[Código2]],2,FALSE)</f>
        <v>20.08.008</v>
      </c>
      <c r="E45" s="712" t="s">
        <v>2650</v>
      </c>
      <c r="F45" s="713" t="s">
        <v>41</v>
      </c>
      <c r="G45" s="733" t="s">
        <v>982</v>
      </c>
      <c r="H45" s="713" t="s">
        <v>1788</v>
      </c>
      <c r="I45" s="716" t="s">
        <v>2065</v>
      </c>
      <c r="J45" s="711" t="s">
        <v>378</v>
      </c>
      <c r="K45" s="711" t="s">
        <v>2087</v>
      </c>
      <c r="L45" s="714" t="s">
        <v>2258</v>
      </c>
      <c r="M45" s="1271">
        <v>46081</v>
      </c>
      <c r="N45" s="715">
        <v>46101</v>
      </c>
      <c r="O45" s="715"/>
      <c r="P45" s="711" t="s">
        <v>214</v>
      </c>
      <c r="Q45" s="862">
        <f>45.85+211.62+70.54</f>
        <v>328.01000000000005</v>
      </c>
      <c r="R45" s="862">
        <v>0</v>
      </c>
      <c r="S45" s="862">
        <v>0</v>
      </c>
      <c r="T45" s="65">
        <f>SUM(mMAR[[#This Row],[PRINCIPAL]:[JUROS]])</f>
        <v>328.01000000000005</v>
      </c>
      <c r="V45" s="1310"/>
    </row>
    <row r="46" spans="2:22" ht="21" customHeight="1">
      <c r="B46" s="83" t="str">
        <f t="shared" si="0"/>
        <v>3/26</v>
      </c>
      <c r="C46" s="5" t="str">
        <f>VLOOKUP(mMAR[[#This Row],[CÓDIGO CONTABIL]],Contas_Gerencial[#All],3,FALSE)</f>
        <v>ENCARGOS</v>
      </c>
      <c r="D46" s="16" t="str">
        <f>VLOOKUP(mMAR[[#This Row],[DESCRIÇÃO CONTABIL]],Contas_Gerencial[[#All],[DESCRIÇÃO DA CONTA - NÃO UTILIZAR]:[Código2]],2,FALSE)</f>
        <v>20.04.004</v>
      </c>
      <c r="E46" s="712" t="s">
        <v>2651</v>
      </c>
      <c r="F46" s="713" t="s">
        <v>41</v>
      </c>
      <c r="G46" s="733" t="s">
        <v>982</v>
      </c>
      <c r="H46" s="713" t="s">
        <v>1788</v>
      </c>
      <c r="I46" s="716" t="s">
        <v>2065</v>
      </c>
      <c r="J46" s="711" t="s">
        <v>264</v>
      </c>
      <c r="K46" s="711" t="s">
        <v>2113</v>
      </c>
      <c r="L46" s="714" t="s">
        <v>2258</v>
      </c>
      <c r="M46" s="1271">
        <v>46081</v>
      </c>
      <c r="N46" s="715">
        <v>46101</v>
      </c>
      <c r="O46" s="715"/>
      <c r="P46" s="711" t="s">
        <v>214</v>
      </c>
      <c r="Q46" s="861">
        <v>422.58</v>
      </c>
      <c r="R46" s="862">
        <v>0</v>
      </c>
      <c r="S46" s="862">
        <v>0</v>
      </c>
      <c r="T46" s="65">
        <f>SUM(mMAR[[#This Row],[PRINCIPAL]:[JUROS]])</f>
        <v>422.58</v>
      </c>
      <c r="V46" s="1310"/>
    </row>
    <row r="47" spans="2:22" ht="21" customHeight="1">
      <c r="B47" s="83" t="str">
        <f t="shared" si="0"/>
        <v>3/26</v>
      </c>
      <c r="C47" s="5" t="str">
        <f>VLOOKUP(mMAR[[#This Row],[CÓDIGO CONTABIL]],Contas_Gerencial[#All],3,FALSE)</f>
        <v>TRIBUTOS</v>
      </c>
      <c r="D47" s="16" t="str">
        <f>VLOOKUP(mMAR[[#This Row],[DESCRIÇÃO CONTABIL]],Contas_Gerencial[[#All],[DESCRIÇÃO DA CONTA - NÃO UTILIZAR]:[Código2]],2,FALSE)</f>
        <v>20.08.005</v>
      </c>
      <c r="E47" s="713" t="s">
        <v>2649</v>
      </c>
      <c r="F47" s="712" t="s">
        <v>41</v>
      </c>
      <c r="G47" s="733" t="s">
        <v>982</v>
      </c>
      <c r="H47" s="713" t="s">
        <v>1788</v>
      </c>
      <c r="I47" s="716" t="s">
        <v>2065</v>
      </c>
      <c r="J47" s="711" t="s">
        <v>378</v>
      </c>
      <c r="K47" s="711" t="s">
        <v>2086</v>
      </c>
      <c r="L47" s="714" t="s">
        <v>2258</v>
      </c>
      <c r="M47" s="1271">
        <v>46081</v>
      </c>
      <c r="N47" s="715">
        <v>46101</v>
      </c>
      <c r="O47" s="715"/>
      <c r="P47" s="711" t="s">
        <v>1</v>
      </c>
      <c r="Q47" s="730">
        <v>70.540000000000006</v>
      </c>
      <c r="R47" s="730">
        <v>0</v>
      </c>
      <c r="S47" s="730">
        <v>0</v>
      </c>
      <c r="T47" s="65">
        <f>SUM(mMAR[[#This Row],[PRINCIPAL]:[JUROS]])</f>
        <v>70.540000000000006</v>
      </c>
      <c r="V47" s="1310"/>
    </row>
    <row r="48" spans="2:22" ht="21" customHeight="1">
      <c r="B48" s="83" t="str">
        <f t="shared" si="0"/>
        <v>3/26</v>
      </c>
      <c r="C48" s="5" t="str">
        <f>VLOOKUP(mMAR[[#This Row],[CÓDIGO CONTABIL]],Contas_Gerencial[#All],3,FALSE)</f>
        <v>TRIBUTOS</v>
      </c>
      <c r="D48" s="16" t="str">
        <f>VLOOKUP(mMAR[[#This Row],[DESCRIÇÃO CONTABIL]],Contas_Gerencial[[#All],[DESCRIÇÃO DA CONTA - NÃO UTILIZAR]:[Código2]],2,FALSE)</f>
        <v>20.08.004</v>
      </c>
      <c r="E48" s="712" t="s">
        <v>2648</v>
      </c>
      <c r="F48" s="713" t="s">
        <v>41</v>
      </c>
      <c r="G48" s="733" t="s">
        <v>982</v>
      </c>
      <c r="H48" s="713" t="s">
        <v>1788</v>
      </c>
      <c r="I48" s="716" t="s">
        <v>2065</v>
      </c>
      <c r="J48" s="711" t="s">
        <v>378</v>
      </c>
      <c r="K48" s="711" t="s">
        <v>2085</v>
      </c>
      <c r="L48" s="714" t="s">
        <v>2258</v>
      </c>
      <c r="M48" s="1271">
        <v>46081</v>
      </c>
      <c r="N48" s="715">
        <v>46101</v>
      </c>
      <c r="O48" s="1271">
        <v>46081</v>
      </c>
      <c r="P48" s="711" t="s">
        <v>214</v>
      </c>
      <c r="Q48" s="862">
        <v>352.7</v>
      </c>
      <c r="R48" s="862">
        <v>0</v>
      </c>
      <c r="S48" s="862">
        <v>0</v>
      </c>
      <c r="T48" s="65">
        <f>SUM(mMAR[[#This Row],[PRINCIPAL]:[JUROS]])</f>
        <v>352.7</v>
      </c>
      <c r="V48" s="1310"/>
    </row>
    <row r="49" spans="2:22" ht="21" customHeight="1">
      <c r="B49" s="83" t="str">
        <f t="shared" si="0"/>
        <v>3/26</v>
      </c>
      <c r="C49" s="5" t="str">
        <f>VLOOKUP(mMAR[[#This Row],[CÓDIGO CONTABIL]],Contas_Gerencial[#All],3,FALSE)</f>
        <v>FOLHA DE PAGAMENTO</v>
      </c>
      <c r="D49" s="16" t="str">
        <f>VLOOKUP(mMAR[[#This Row],[DESCRIÇÃO CONTABIL]],Contas_Gerencial[[#All],[DESCRIÇÃO DA CONTA - NÃO UTILIZAR]:[Código2]],2,FALSE)</f>
        <v>20.05.021</v>
      </c>
      <c r="E49" s="712" t="s">
        <v>59</v>
      </c>
      <c r="F49" s="712" t="s">
        <v>581</v>
      </c>
      <c r="G49" s="713" t="s">
        <v>982</v>
      </c>
      <c r="H49" s="712" t="s">
        <v>1791</v>
      </c>
      <c r="I49" s="716" t="s">
        <v>2065</v>
      </c>
      <c r="J49" s="711" t="s">
        <v>581</v>
      </c>
      <c r="K49" s="711" t="s">
        <v>1790</v>
      </c>
      <c r="L49" s="714" t="s">
        <v>2258</v>
      </c>
      <c r="M49" s="1271">
        <v>46081</v>
      </c>
      <c r="N49" s="715">
        <v>46086</v>
      </c>
      <c r="O49" s="715">
        <v>46086</v>
      </c>
      <c r="P49" s="711" t="s">
        <v>1</v>
      </c>
      <c r="Q49" s="861">
        <v>1805.69</v>
      </c>
      <c r="R49" s="735">
        <v>0</v>
      </c>
      <c r="S49" s="735">
        <v>0</v>
      </c>
      <c r="T49" s="65">
        <f>SUM(mMAR[[#This Row],[PRINCIPAL]:[JUROS]])</f>
        <v>1805.69</v>
      </c>
      <c r="V49" s="1310"/>
    </row>
    <row r="50" spans="2:22" ht="21" customHeight="1">
      <c r="B50" s="83" t="str">
        <f t="shared" si="0"/>
        <v>3/26</v>
      </c>
      <c r="C50" s="5" t="str">
        <f>VLOOKUP(mMAR[[#This Row],[CÓDIGO CONTABIL]],Contas_Gerencial[#All],3,FALSE)</f>
        <v>ENCARGOS</v>
      </c>
      <c r="D50" s="16" t="str">
        <f>VLOOKUP(mMAR[[#This Row],[DESCRIÇÃO CONTABIL]],Contas_Gerencial[[#All],[DESCRIÇÃO DA CONTA - NÃO UTILIZAR]:[Código2]],2,FALSE)</f>
        <v>20.04.006</v>
      </c>
      <c r="E50" s="712" t="s">
        <v>1180</v>
      </c>
      <c r="F50" s="712" t="s">
        <v>581</v>
      </c>
      <c r="G50" s="733" t="s">
        <v>982</v>
      </c>
      <c r="H50" s="712" t="s">
        <v>1180</v>
      </c>
      <c r="I50" s="716" t="s">
        <v>2065</v>
      </c>
      <c r="J50" s="711" t="s">
        <v>384</v>
      </c>
      <c r="K50" s="712" t="s">
        <v>1180</v>
      </c>
      <c r="L50" s="714" t="s">
        <v>2258</v>
      </c>
      <c r="M50" s="1271">
        <v>46081</v>
      </c>
      <c r="N50" s="715">
        <v>46101</v>
      </c>
      <c r="O50" s="715"/>
      <c r="P50" s="711" t="s">
        <v>1</v>
      </c>
      <c r="Q50" s="861">
        <v>172.65</v>
      </c>
      <c r="R50" s="735">
        <v>0</v>
      </c>
      <c r="S50" s="735">
        <v>0</v>
      </c>
      <c r="T50" s="65">
        <f>SUM(mMAR[[#This Row],[PRINCIPAL]:[JUROS]])</f>
        <v>172.65</v>
      </c>
      <c r="V50" s="1310"/>
    </row>
    <row r="51" spans="2:22" ht="21" customHeight="1">
      <c r="B51" s="83" t="str">
        <f t="shared" si="0"/>
        <v>3/26</v>
      </c>
      <c r="C51" s="5" t="str">
        <f>VLOOKUP(mMAR[[#This Row],[CÓDIGO CONTABIL]],Contas_Gerencial[#All],3,FALSE)</f>
        <v>ENCARGOS</v>
      </c>
      <c r="D51" s="16" t="str">
        <f>VLOOKUP(mMAR[[#This Row],[DESCRIÇÃO CONTABIL]],Contas_Gerencial[[#All],[DESCRIÇÃO DA CONTA - NÃO UTILIZAR]:[Código2]],2,FALSE)</f>
        <v>20.04.001</v>
      </c>
      <c r="E51" s="712" t="s">
        <v>2659</v>
      </c>
      <c r="F51" s="712" t="s">
        <v>581</v>
      </c>
      <c r="G51" s="733" t="s">
        <v>982</v>
      </c>
      <c r="H51" s="713" t="s">
        <v>1788</v>
      </c>
      <c r="I51" s="716" t="s">
        <v>2065</v>
      </c>
      <c r="J51" s="711" t="s">
        <v>757</v>
      </c>
      <c r="K51" s="711" t="s">
        <v>2089</v>
      </c>
      <c r="L51" s="714" t="s">
        <v>2258</v>
      </c>
      <c r="M51" s="1271">
        <v>46081</v>
      </c>
      <c r="N51" s="715">
        <v>46101</v>
      </c>
      <c r="O51" s="715"/>
      <c r="P51" s="711" t="s">
        <v>1</v>
      </c>
      <c r="Q51" s="861">
        <v>169.92</v>
      </c>
      <c r="R51" s="862">
        <v>0</v>
      </c>
      <c r="S51" s="862">
        <v>0</v>
      </c>
      <c r="T51" s="65">
        <f>SUM(mMAR[[#This Row],[PRINCIPAL]:[JUROS]])</f>
        <v>169.92</v>
      </c>
      <c r="V51" s="1310"/>
    </row>
    <row r="52" spans="2:22" ht="21" customHeight="1">
      <c r="B52" s="83" t="str">
        <f t="shared" si="0"/>
        <v>3/26</v>
      </c>
      <c r="C52" s="5" t="str">
        <f>VLOOKUP(mMAR[[#This Row],[CÓDIGO CONTABIL]],Contas_Gerencial[#All],3,FALSE)</f>
        <v>BENEFICIO</v>
      </c>
      <c r="D52" s="16" t="str">
        <f>VLOOKUP(mMAR[[#This Row],[DESCRIÇÃO CONTABIL]],Contas_Gerencial[[#All],[DESCRIÇÃO DA CONTA - NÃO UTILIZAR]:[Código2]],2,FALSE)</f>
        <v>20.05.006</v>
      </c>
      <c r="E52" s="733" t="s">
        <v>24</v>
      </c>
      <c r="F52" s="712" t="s">
        <v>581</v>
      </c>
      <c r="G52" s="712" t="s">
        <v>982</v>
      </c>
      <c r="H52" s="712" t="s">
        <v>1791</v>
      </c>
      <c r="I52" s="716" t="s">
        <v>2065</v>
      </c>
      <c r="J52" s="711" t="s">
        <v>581</v>
      </c>
      <c r="K52" s="711" t="s">
        <v>2590</v>
      </c>
      <c r="L52" s="729" t="s">
        <v>2591</v>
      </c>
      <c r="M52" s="1271">
        <v>46101</v>
      </c>
      <c r="N52" s="715">
        <v>46101</v>
      </c>
      <c r="O52" s="715"/>
      <c r="P52" s="712" t="s">
        <v>1</v>
      </c>
      <c r="Q52" s="730">
        <v>324.66000000000003</v>
      </c>
      <c r="R52" s="730">
        <v>0</v>
      </c>
      <c r="S52" s="730">
        <v>0</v>
      </c>
      <c r="T52" s="65">
        <f>SUM(mMAR[[#This Row],[PRINCIPAL]:[JUROS]])</f>
        <v>324.66000000000003</v>
      </c>
      <c r="V52" s="1310"/>
    </row>
    <row r="53" spans="2:22" ht="21" customHeight="1">
      <c r="B53" s="83" t="str">
        <f t="shared" si="0"/>
        <v>3/26</v>
      </c>
      <c r="C53" s="5" t="str">
        <f>VLOOKUP(mMAR[[#This Row],[CÓDIGO CONTABIL]],Contas_Gerencial[#All],3,FALSE)</f>
        <v>BENEFICIO</v>
      </c>
      <c r="D53" s="16" t="str">
        <f>VLOOKUP(mMAR[[#This Row],[DESCRIÇÃO CONTABIL]],Contas_Gerencial[[#All],[DESCRIÇÃO DA CONTA - NÃO UTILIZAR]:[Código2]],2,FALSE)</f>
        <v>20.05.007</v>
      </c>
      <c r="E53" s="733" t="s">
        <v>25</v>
      </c>
      <c r="F53" s="712" t="s">
        <v>581</v>
      </c>
      <c r="G53" s="712" t="s">
        <v>982</v>
      </c>
      <c r="H53" s="712" t="s">
        <v>1791</v>
      </c>
      <c r="I53" s="716" t="s">
        <v>2065</v>
      </c>
      <c r="J53" s="711" t="s">
        <v>581</v>
      </c>
      <c r="K53" s="711" t="s">
        <v>2590</v>
      </c>
      <c r="L53" s="729" t="s">
        <v>2591</v>
      </c>
      <c r="M53" s="1271">
        <v>46101</v>
      </c>
      <c r="N53" s="715">
        <v>46101</v>
      </c>
      <c r="O53" s="715"/>
      <c r="P53" s="712" t="s">
        <v>1</v>
      </c>
      <c r="Q53" s="730">
        <v>37.799999999999997</v>
      </c>
      <c r="R53" s="730">
        <v>0</v>
      </c>
      <c r="S53" s="730">
        <v>0</v>
      </c>
      <c r="T53" s="65">
        <f>SUM(mMAR[[#This Row],[PRINCIPAL]:[JUROS]])</f>
        <v>37.799999999999997</v>
      </c>
      <c r="V53" s="1310"/>
    </row>
    <row r="54" spans="2:22" ht="21" customHeight="1">
      <c r="B54" s="83" t="str">
        <f t="shared" si="0"/>
        <v>3/26</v>
      </c>
      <c r="C54" s="5" t="str">
        <f>VLOOKUP(mMAR[[#This Row],[CÓDIGO CONTABIL]],Contas_Gerencial[#All],3,FALSE)</f>
        <v>RECEITA SUBCONTA</v>
      </c>
      <c r="D54" s="16" t="str">
        <f>VLOOKUP(mMAR[[#This Row],[DESCRIÇÃO CONTABIL]],Contas_Gerencial[[#All],[DESCRIÇÃO DA CONTA - NÃO UTILIZAR]:[Código2]],2,FALSE)</f>
        <v>10.01.001</v>
      </c>
      <c r="E54" s="473" t="s">
        <v>90</v>
      </c>
      <c r="F54" s="473" t="s">
        <v>41</v>
      </c>
      <c r="G54" s="473" t="s">
        <v>1081</v>
      </c>
      <c r="H54" s="473" t="s">
        <v>1788</v>
      </c>
      <c r="I54" s="474" t="s">
        <v>2065</v>
      </c>
      <c r="J54" s="472" t="s">
        <v>41</v>
      </c>
      <c r="K54" s="472" t="s">
        <v>1792</v>
      </c>
      <c r="L54" s="475" t="s">
        <v>2258</v>
      </c>
      <c r="M54" s="1270">
        <v>46081</v>
      </c>
      <c r="N54" s="476">
        <v>46096</v>
      </c>
      <c r="O54" s="476"/>
      <c r="P54" s="452" t="s">
        <v>215</v>
      </c>
      <c r="Q54" s="478">
        <v>7388</v>
      </c>
      <c r="R54" s="479">
        <v>0</v>
      </c>
      <c r="S54" s="479">
        <v>0</v>
      </c>
      <c r="T54" s="65">
        <f>SUM(mMAR[[#This Row],[PRINCIPAL]:[JUROS]])</f>
        <v>7388</v>
      </c>
      <c r="V54" s="1310"/>
    </row>
    <row r="55" spans="2:22" ht="21" customHeight="1">
      <c r="B55" s="83" t="str">
        <f t="shared" si="0"/>
        <v>3/26</v>
      </c>
      <c r="C55" s="5" t="str">
        <f>VLOOKUP(mMAR[[#This Row],[CÓDIGO CONTABIL]],Contas_Gerencial[#All],3,FALSE)</f>
        <v>TRIBUTOS</v>
      </c>
      <c r="D55" s="16" t="str">
        <f>VLOOKUP(mMAR[[#This Row],[DESCRIÇÃO CONTABIL]],Contas_Gerencial[[#All],[DESCRIÇÃO DA CONTA - NÃO UTILIZAR]:[Código2]],2,FALSE)</f>
        <v>20.08.008</v>
      </c>
      <c r="E55" s="712" t="s">
        <v>2650</v>
      </c>
      <c r="F55" s="713" t="s">
        <v>41</v>
      </c>
      <c r="G55" s="733" t="s">
        <v>1081</v>
      </c>
      <c r="H55" s="713" t="s">
        <v>1788</v>
      </c>
      <c r="I55" s="716" t="s">
        <v>2065</v>
      </c>
      <c r="J55" s="711" t="s">
        <v>378</v>
      </c>
      <c r="K55" s="711" t="s">
        <v>2087</v>
      </c>
      <c r="L55" s="714" t="s">
        <v>2258</v>
      </c>
      <c r="M55" s="1271">
        <v>46081</v>
      </c>
      <c r="N55" s="715">
        <v>46101</v>
      </c>
      <c r="O55" s="715"/>
      <c r="P55" s="711" t="s">
        <v>214</v>
      </c>
      <c r="Q55" s="862">
        <f>48.02+221.64+73.88</f>
        <v>343.53999999999996</v>
      </c>
      <c r="R55" s="862">
        <v>0</v>
      </c>
      <c r="S55" s="862">
        <v>0</v>
      </c>
      <c r="T55" s="65">
        <f>SUM(mMAR[[#This Row],[PRINCIPAL]:[JUROS]])</f>
        <v>343.53999999999996</v>
      </c>
      <c r="V55" s="1310"/>
    </row>
    <row r="56" spans="2:22" ht="21" customHeight="1">
      <c r="B56" s="83" t="str">
        <f t="shared" si="0"/>
        <v>3/26</v>
      </c>
      <c r="C56" s="5" t="str">
        <f>VLOOKUP(mMAR[[#This Row],[CÓDIGO CONTABIL]],Contas_Gerencial[#All],3,FALSE)</f>
        <v>ENCARGOS</v>
      </c>
      <c r="D56" s="16" t="str">
        <f>VLOOKUP(mMAR[[#This Row],[DESCRIÇÃO CONTABIL]],Contas_Gerencial[[#All],[DESCRIÇÃO DA CONTA - NÃO UTILIZAR]:[Código2]],2,FALSE)</f>
        <v>20.04.004</v>
      </c>
      <c r="E56" s="712" t="s">
        <v>2651</v>
      </c>
      <c r="F56" s="713" t="s">
        <v>41</v>
      </c>
      <c r="G56" s="733" t="s">
        <v>1081</v>
      </c>
      <c r="H56" s="713" t="s">
        <v>1788</v>
      </c>
      <c r="I56" s="716" t="s">
        <v>2065</v>
      </c>
      <c r="J56" s="711" t="s">
        <v>264</v>
      </c>
      <c r="K56" s="711" t="s">
        <v>2113</v>
      </c>
      <c r="L56" s="714" t="s">
        <v>2258</v>
      </c>
      <c r="M56" s="1271">
        <v>46081</v>
      </c>
      <c r="N56" s="715">
        <v>46101</v>
      </c>
      <c r="O56" s="715"/>
      <c r="P56" s="711" t="s">
        <v>214</v>
      </c>
      <c r="Q56" s="861">
        <v>459.32</v>
      </c>
      <c r="R56" s="862">
        <v>0</v>
      </c>
      <c r="S56" s="862">
        <v>0</v>
      </c>
      <c r="T56" s="65">
        <f>SUM(mMAR[[#This Row],[PRINCIPAL]:[JUROS]])</f>
        <v>459.32</v>
      </c>
      <c r="V56" s="1310"/>
    </row>
    <row r="57" spans="2:22" ht="21" customHeight="1">
      <c r="B57" s="83" t="str">
        <f t="shared" si="0"/>
        <v>3/26</v>
      </c>
      <c r="C57" s="5" t="str">
        <f>VLOOKUP(mMAR[[#This Row],[CÓDIGO CONTABIL]],Contas_Gerencial[#All],3,FALSE)</f>
        <v>TRIBUTOS</v>
      </c>
      <c r="D57" s="16" t="str">
        <f>VLOOKUP(mMAR[[#This Row],[DESCRIÇÃO CONTABIL]],Contas_Gerencial[[#All],[DESCRIÇÃO DA CONTA - NÃO UTILIZAR]:[Código2]],2,FALSE)</f>
        <v>20.08.005</v>
      </c>
      <c r="E57" s="713" t="s">
        <v>2649</v>
      </c>
      <c r="F57" s="712" t="s">
        <v>41</v>
      </c>
      <c r="G57" s="733" t="s">
        <v>1081</v>
      </c>
      <c r="H57" s="713" t="s">
        <v>1788</v>
      </c>
      <c r="I57" s="716" t="s">
        <v>2065</v>
      </c>
      <c r="J57" s="711" t="s">
        <v>378</v>
      </c>
      <c r="K57" s="711" t="s">
        <v>2086</v>
      </c>
      <c r="L57" s="714" t="s">
        <v>2258</v>
      </c>
      <c r="M57" s="1271">
        <v>46081</v>
      </c>
      <c r="N57" s="715">
        <v>46101</v>
      </c>
      <c r="O57" s="715"/>
      <c r="P57" s="711" t="s">
        <v>1</v>
      </c>
      <c r="Q57" s="730">
        <v>73.88</v>
      </c>
      <c r="R57" s="730">
        <v>0</v>
      </c>
      <c r="S57" s="730">
        <v>0</v>
      </c>
      <c r="T57" s="65">
        <f>SUM(mMAR[[#This Row],[PRINCIPAL]:[JUROS]])</f>
        <v>73.88</v>
      </c>
      <c r="V57" s="1310"/>
    </row>
    <row r="58" spans="2:22" ht="21" customHeight="1">
      <c r="B58" s="83" t="str">
        <f t="shared" si="0"/>
        <v>3/26</v>
      </c>
      <c r="C58" s="5" t="str">
        <f>VLOOKUP(mMAR[[#This Row],[CÓDIGO CONTABIL]],Contas_Gerencial[#All],3,FALSE)</f>
        <v>TRIBUTOS</v>
      </c>
      <c r="D58" s="16" t="str">
        <f>VLOOKUP(mMAR[[#This Row],[DESCRIÇÃO CONTABIL]],Contas_Gerencial[[#All],[DESCRIÇÃO DA CONTA - NÃO UTILIZAR]:[Código2]],2,FALSE)</f>
        <v>20.08.004</v>
      </c>
      <c r="E58" s="712" t="s">
        <v>2648</v>
      </c>
      <c r="F58" s="713" t="s">
        <v>41</v>
      </c>
      <c r="G58" s="733" t="s">
        <v>1081</v>
      </c>
      <c r="H58" s="713" t="s">
        <v>1788</v>
      </c>
      <c r="I58" s="716" t="s">
        <v>2065</v>
      </c>
      <c r="J58" s="711" t="s">
        <v>378</v>
      </c>
      <c r="K58" s="711" t="s">
        <v>2085</v>
      </c>
      <c r="L58" s="714" t="s">
        <v>2258</v>
      </c>
      <c r="M58" s="1271">
        <v>46081</v>
      </c>
      <c r="N58" s="715">
        <v>46101</v>
      </c>
      <c r="O58" s="1271">
        <v>46081</v>
      </c>
      <c r="P58" s="711" t="s">
        <v>214</v>
      </c>
      <c r="Q58" s="862">
        <v>369.4</v>
      </c>
      <c r="R58" s="862">
        <v>0</v>
      </c>
      <c r="S58" s="862">
        <v>0</v>
      </c>
      <c r="T58" s="65">
        <f>SUM(mMAR[[#This Row],[PRINCIPAL]:[JUROS]])</f>
        <v>369.4</v>
      </c>
      <c r="V58" s="1310"/>
    </row>
    <row r="59" spans="2:22" ht="21" customHeight="1">
      <c r="B59" s="83" t="str">
        <f t="shared" si="0"/>
        <v>3/26</v>
      </c>
      <c r="C59" s="5" t="str">
        <f>VLOOKUP(mMAR[[#This Row],[CÓDIGO CONTABIL]],Contas_Gerencial[#All],3,FALSE)</f>
        <v>FOLHA DE PAGAMENTO</v>
      </c>
      <c r="D59" s="16" t="str">
        <f>VLOOKUP(mMAR[[#This Row],[DESCRIÇÃO CONTABIL]],Contas_Gerencial[[#All],[DESCRIÇÃO DA CONTA - NÃO UTILIZAR]:[Código2]],2,FALSE)</f>
        <v>20.05.021</v>
      </c>
      <c r="E59" s="712" t="s">
        <v>59</v>
      </c>
      <c r="F59" s="712" t="s">
        <v>582</v>
      </c>
      <c r="G59" s="713" t="s">
        <v>1081</v>
      </c>
      <c r="H59" s="712" t="s">
        <v>1791</v>
      </c>
      <c r="I59" s="716" t="s">
        <v>2065</v>
      </c>
      <c r="J59" s="712" t="s">
        <v>582</v>
      </c>
      <c r="K59" s="711" t="s">
        <v>1790</v>
      </c>
      <c r="L59" s="714" t="s">
        <v>2258</v>
      </c>
      <c r="M59" s="1271">
        <v>46081</v>
      </c>
      <c r="N59" s="715">
        <v>46086</v>
      </c>
      <c r="O59" s="715"/>
      <c r="P59" s="711" t="s">
        <v>1</v>
      </c>
      <c r="Q59" s="1280">
        <v>1804.14</v>
      </c>
      <c r="R59" s="735">
        <v>0</v>
      </c>
      <c r="S59" s="735">
        <v>0</v>
      </c>
      <c r="T59" s="65">
        <f>SUM(mMAR[[#This Row],[PRINCIPAL]:[JUROS]])</f>
        <v>1804.14</v>
      </c>
      <c r="V59" s="1310"/>
    </row>
    <row r="60" spans="2:22" ht="21" customHeight="1">
      <c r="B60" s="83" t="str">
        <f t="shared" si="0"/>
        <v>3/26</v>
      </c>
      <c r="C60" s="5" t="str">
        <f>VLOOKUP(mMAR[[#This Row],[CÓDIGO CONTABIL]],Contas_Gerencial[#All],3,FALSE)</f>
        <v>ENCARGOS</v>
      </c>
      <c r="D60" s="16" t="str">
        <f>VLOOKUP(mMAR[[#This Row],[DESCRIÇÃO CONTABIL]],Contas_Gerencial[[#All],[DESCRIÇÃO DA CONTA - NÃO UTILIZAR]:[Código2]],2,FALSE)</f>
        <v>20.04.006</v>
      </c>
      <c r="E60" s="712" t="s">
        <v>1180</v>
      </c>
      <c r="F60" s="712" t="s">
        <v>582</v>
      </c>
      <c r="G60" s="733" t="s">
        <v>1081</v>
      </c>
      <c r="H60" s="712" t="s">
        <v>1180</v>
      </c>
      <c r="I60" s="716" t="s">
        <v>2065</v>
      </c>
      <c r="J60" s="711" t="s">
        <v>384</v>
      </c>
      <c r="K60" s="712" t="s">
        <v>1180</v>
      </c>
      <c r="L60" s="714" t="s">
        <v>2258</v>
      </c>
      <c r="M60" s="1271">
        <v>46081</v>
      </c>
      <c r="N60" s="715">
        <v>46101</v>
      </c>
      <c r="O60" s="715"/>
      <c r="P60" s="711" t="s">
        <v>1</v>
      </c>
      <c r="Q60" s="1280">
        <v>172.65</v>
      </c>
      <c r="R60" s="735">
        <v>0</v>
      </c>
      <c r="S60" s="735">
        <v>0</v>
      </c>
      <c r="T60" s="65">
        <f>SUM(mMAR[[#This Row],[PRINCIPAL]:[JUROS]])</f>
        <v>172.65</v>
      </c>
      <c r="V60" s="1310"/>
    </row>
    <row r="61" spans="2:22" ht="21" customHeight="1">
      <c r="B61" s="83" t="str">
        <f t="shared" si="0"/>
        <v>3/26</v>
      </c>
      <c r="C61" s="5" t="str">
        <f>VLOOKUP(mMAR[[#This Row],[CÓDIGO CONTABIL]],Contas_Gerencial[#All],3,FALSE)</f>
        <v>ENCARGOS</v>
      </c>
      <c r="D61" s="16" t="str">
        <f>VLOOKUP(mMAR[[#This Row],[DESCRIÇÃO CONTABIL]],Contas_Gerencial[[#All],[DESCRIÇÃO DA CONTA - NÃO UTILIZAR]:[Código2]],2,FALSE)</f>
        <v>20.04.001</v>
      </c>
      <c r="E61" s="712" t="s">
        <v>2659</v>
      </c>
      <c r="F61" s="712" t="s">
        <v>582</v>
      </c>
      <c r="G61" s="718" t="s">
        <v>1081</v>
      </c>
      <c r="H61" s="711" t="s">
        <v>1788</v>
      </c>
      <c r="I61" s="716" t="s">
        <v>2065</v>
      </c>
      <c r="J61" s="711" t="s">
        <v>757</v>
      </c>
      <c r="K61" s="711" t="s">
        <v>2089</v>
      </c>
      <c r="L61" s="714" t="s">
        <v>2258</v>
      </c>
      <c r="M61" s="1271">
        <v>46081</v>
      </c>
      <c r="N61" s="715">
        <v>46101</v>
      </c>
      <c r="O61" s="715"/>
      <c r="P61" s="711" t="s">
        <v>1</v>
      </c>
      <c r="Q61" s="1280">
        <v>171.47</v>
      </c>
      <c r="R61" s="863">
        <v>0</v>
      </c>
      <c r="S61" s="863">
        <v>0</v>
      </c>
      <c r="T61" s="65">
        <f>SUM(mMAR[[#This Row],[PRINCIPAL]:[JUROS]])</f>
        <v>171.47</v>
      </c>
      <c r="V61" s="1310"/>
    </row>
    <row r="62" spans="2:22" ht="21" customHeight="1">
      <c r="B62" s="83" t="str">
        <f t="shared" si="0"/>
        <v>3/26</v>
      </c>
      <c r="C62" s="5" t="str">
        <f>VLOOKUP(mMAR[[#This Row],[CÓDIGO CONTABIL]],Contas_Gerencial[#All],3,FALSE)</f>
        <v>BENEFICIO</v>
      </c>
      <c r="D62" s="16" t="str">
        <f>VLOOKUP(mMAR[[#This Row],[DESCRIÇÃO CONTABIL]],Contas_Gerencial[[#All],[DESCRIÇÃO DA CONTA - NÃO UTILIZAR]:[Código2]],2,FALSE)</f>
        <v>20.05.006</v>
      </c>
      <c r="E62" s="733" t="s">
        <v>24</v>
      </c>
      <c r="F62" s="712" t="s">
        <v>582</v>
      </c>
      <c r="G62" s="712" t="s">
        <v>1081</v>
      </c>
      <c r="H62" s="712" t="s">
        <v>1791</v>
      </c>
      <c r="I62" s="716" t="s">
        <v>2065</v>
      </c>
      <c r="J62" s="712" t="s">
        <v>582</v>
      </c>
      <c r="K62" s="711" t="s">
        <v>2590</v>
      </c>
      <c r="L62" s="729" t="s">
        <v>2591</v>
      </c>
      <c r="M62" s="1271">
        <v>46101</v>
      </c>
      <c r="N62" s="715">
        <v>46101</v>
      </c>
      <c r="O62" s="715"/>
      <c r="P62" s="712" t="s">
        <v>1</v>
      </c>
      <c r="Q62" s="730">
        <v>1113.1200000000001</v>
      </c>
      <c r="R62" s="730">
        <v>0</v>
      </c>
      <c r="S62" s="730">
        <v>0</v>
      </c>
      <c r="T62" s="65">
        <f>SUM(mMAR[[#This Row],[PRINCIPAL]:[JUROS]])</f>
        <v>1113.1200000000001</v>
      </c>
      <c r="V62" s="1310"/>
    </row>
    <row r="63" spans="2:22" ht="21" customHeight="1">
      <c r="B63" s="83" t="str">
        <f t="shared" si="0"/>
        <v>3/26</v>
      </c>
      <c r="C63" s="5" t="str">
        <f>VLOOKUP(mMAR[[#This Row],[CÓDIGO CONTABIL]],Contas_Gerencial[#All],3,FALSE)</f>
        <v>BENEFICIO</v>
      </c>
      <c r="D63" s="16" t="str">
        <f>VLOOKUP(mMAR[[#This Row],[DESCRIÇÃO CONTABIL]],Contas_Gerencial[[#All],[DESCRIÇÃO DA CONTA - NÃO UTILIZAR]:[Código2]],2,FALSE)</f>
        <v>20.05.007</v>
      </c>
      <c r="E63" s="733" t="s">
        <v>25</v>
      </c>
      <c r="F63" s="712" t="s">
        <v>582</v>
      </c>
      <c r="G63" s="712" t="s">
        <v>1081</v>
      </c>
      <c r="H63" s="712" t="s">
        <v>1791</v>
      </c>
      <c r="I63" s="716" t="s">
        <v>2065</v>
      </c>
      <c r="J63" s="712" t="s">
        <v>582</v>
      </c>
      <c r="K63" s="711" t="s">
        <v>2590</v>
      </c>
      <c r="L63" s="729" t="s">
        <v>2591</v>
      </c>
      <c r="M63" s="1271">
        <v>46101</v>
      </c>
      <c r="N63" s="715">
        <v>46101</v>
      </c>
      <c r="O63" s="715"/>
      <c r="P63" s="712" t="s">
        <v>1</v>
      </c>
      <c r="Q63" s="730">
        <v>264</v>
      </c>
      <c r="R63" s="730">
        <v>0</v>
      </c>
      <c r="S63" s="730">
        <v>0</v>
      </c>
      <c r="T63" s="65">
        <f>SUM(mMAR[[#This Row],[PRINCIPAL]:[JUROS]])</f>
        <v>264</v>
      </c>
      <c r="V63" s="1310"/>
    </row>
    <row r="64" spans="2:22" ht="21" customHeight="1">
      <c r="B64" s="83" t="str">
        <f t="shared" si="0"/>
        <v>3/26</v>
      </c>
      <c r="C64" s="5" t="str">
        <f>VLOOKUP(mMAR[[#This Row],[CÓDIGO CONTABIL]],Contas_Gerencial[#All],3,FALSE)</f>
        <v>RECEITA SUBCONTA</v>
      </c>
      <c r="D64" s="16" t="str">
        <f>VLOOKUP(mMAR[[#This Row],[DESCRIÇÃO CONTABIL]],Contas_Gerencial[[#All],[DESCRIÇÃO DA CONTA - NÃO UTILIZAR]:[Código2]],2,FALSE)</f>
        <v>10.01.001</v>
      </c>
      <c r="E64" s="473" t="s">
        <v>90</v>
      </c>
      <c r="F64" s="473" t="s">
        <v>41</v>
      </c>
      <c r="G64" s="473" t="s">
        <v>1767</v>
      </c>
      <c r="H64" s="473" t="s">
        <v>1788</v>
      </c>
      <c r="I64" s="474" t="s">
        <v>2065</v>
      </c>
      <c r="J64" s="472" t="s">
        <v>41</v>
      </c>
      <c r="K64" s="472" t="s">
        <v>1792</v>
      </c>
      <c r="L64" s="475" t="s">
        <v>2258</v>
      </c>
      <c r="M64" s="1270">
        <v>46081</v>
      </c>
      <c r="N64" s="476">
        <v>46091</v>
      </c>
      <c r="O64" s="476"/>
      <c r="P64" s="452" t="s">
        <v>215</v>
      </c>
      <c r="Q64" s="478">
        <v>41450</v>
      </c>
      <c r="R64" s="479">
        <v>0</v>
      </c>
      <c r="S64" s="479">
        <v>0</v>
      </c>
      <c r="T64" s="65">
        <f>SUM(mMAR[[#This Row],[PRINCIPAL]:[JUROS]])</f>
        <v>41450</v>
      </c>
      <c r="V64" s="1310"/>
    </row>
    <row r="65" spans="2:22" ht="21" customHeight="1">
      <c r="B65" s="83" t="str">
        <f t="shared" si="0"/>
        <v>3/26</v>
      </c>
      <c r="C65" s="5" t="str">
        <f>VLOOKUP(mMAR[[#This Row],[CÓDIGO CONTABIL]],Contas_Gerencial[#All],3,FALSE)</f>
        <v>TRIBUTOS</v>
      </c>
      <c r="D65" s="16" t="str">
        <f>VLOOKUP(mMAR[[#This Row],[DESCRIÇÃO CONTABIL]],Contas_Gerencial[[#All],[DESCRIÇÃO DA CONTA - NÃO UTILIZAR]:[Código2]],2,FALSE)</f>
        <v>20.08.008</v>
      </c>
      <c r="E65" s="712" t="s">
        <v>2650</v>
      </c>
      <c r="F65" s="713" t="s">
        <v>41</v>
      </c>
      <c r="G65" s="733" t="s">
        <v>1767</v>
      </c>
      <c r="H65" s="713" t="s">
        <v>1788</v>
      </c>
      <c r="I65" s="716" t="s">
        <v>2065</v>
      </c>
      <c r="J65" s="711" t="s">
        <v>378</v>
      </c>
      <c r="K65" s="711" t="s">
        <v>2087</v>
      </c>
      <c r="L65" s="714" t="s">
        <v>2258</v>
      </c>
      <c r="M65" s="1271">
        <v>46081</v>
      </c>
      <c r="N65" s="715">
        <v>46101</v>
      </c>
      <c r="O65" s="715"/>
      <c r="P65" s="711" t="s">
        <v>214</v>
      </c>
      <c r="Q65" s="862">
        <f>269.43+1243.5+414.5</f>
        <v>1927.43</v>
      </c>
      <c r="R65" s="862">
        <v>0</v>
      </c>
      <c r="S65" s="862">
        <v>0</v>
      </c>
      <c r="T65" s="65">
        <f>SUM(mMAR[[#This Row],[PRINCIPAL]:[JUROS]])</f>
        <v>1927.43</v>
      </c>
      <c r="V65" s="1310"/>
    </row>
    <row r="66" spans="2:22" ht="21" customHeight="1">
      <c r="B66" s="83" t="str">
        <f t="shared" si="0"/>
        <v>3/26</v>
      </c>
      <c r="C66" s="5" t="str">
        <f>VLOOKUP(mMAR[[#This Row],[CÓDIGO CONTABIL]],Contas_Gerencial[#All],3,FALSE)</f>
        <v>ENCARGOS</v>
      </c>
      <c r="D66" s="16" t="str">
        <f>VLOOKUP(mMAR[[#This Row],[DESCRIÇÃO CONTABIL]],Contas_Gerencial[[#All],[DESCRIÇÃO DA CONTA - NÃO UTILIZAR]:[Código2]],2,FALSE)</f>
        <v>20.04.004</v>
      </c>
      <c r="E66" s="712" t="s">
        <v>2651</v>
      </c>
      <c r="F66" s="713" t="s">
        <v>41</v>
      </c>
      <c r="G66" s="733" t="s">
        <v>1767</v>
      </c>
      <c r="H66" s="713" t="s">
        <v>1788</v>
      </c>
      <c r="I66" s="716" t="s">
        <v>2065</v>
      </c>
      <c r="J66" s="711" t="s">
        <v>264</v>
      </c>
      <c r="K66" s="711" t="s">
        <v>2113</v>
      </c>
      <c r="L66" s="714" t="s">
        <v>2258</v>
      </c>
      <c r="M66" s="1271">
        <v>46081</v>
      </c>
      <c r="N66" s="715">
        <v>46101</v>
      </c>
      <c r="O66" s="715"/>
      <c r="P66" s="711" t="s">
        <v>214</v>
      </c>
      <c r="Q66" s="861">
        <v>3155.24</v>
      </c>
      <c r="R66" s="862">
        <v>0</v>
      </c>
      <c r="S66" s="862">
        <v>0</v>
      </c>
      <c r="T66" s="65">
        <f>SUM(mMAR[[#This Row],[PRINCIPAL]:[JUROS]])</f>
        <v>3155.24</v>
      </c>
      <c r="V66" s="1310"/>
    </row>
    <row r="67" spans="2:22" ht="21" customHeight="1">
      <c r="B67" s="83" t="str">
        <f t="shared" si="0"/>
        <v>3/26</v>
      </c>
      <c r="C67" s="5" t="str">
        <f>VLOOKUP(mMAR[[#This Row],[CÓDIGO CONTABIL]],Contas_Gerencial[#All],3,FALSE)</f>
        <v>TRIBUTOS</v>
      </c>
      <c r="D67" s="16" t="str">
        <f>VLOOKUP(mMAR[[#This Row],[DESCRIÇÃO CONTABIL]],Contas_Gerencial[[#All],[DESCRIÇÃO DA CONTA - NÃO UTILIZAR]:[Código2]],2,FALSE)</f>
        <v>20.08.005</v>
      </c>
      <c r="E67" s="713" t="s">
        <v>2649</v>
      </c>
      <c r="F67" s="712" t="s">
        <v>41</v>
      </c>
      <c r="G67" s="733" t="s">
        <v>1767</v>
      </c>
      <c r="H67" s="713" t="s">
        <v>1788</v>
      </c>
      <c r="I67" s="716" t="s">
        <v>2065</v>
      </c>
      <c r="J67" s="711" t="s">
        <v>378</v>
      </c>
      <c r="K67" s="711" t="s">
        <v>2086</v>
      </c>
      <c r="L67" s="714" t="s">
        <v>2258</v>
      </c>
      <c r="M67" s="1271">
        <v>46081</v>
      </c>
      <c r="N67" s="715">
        <v>46101</v>
      </c>
      <c r="O67" s="715"/>
      <c r="P67" s="711" t="s">
        <v>1</v>
      </c>
      <c r="Q67" s="730">
        <v>414.5</v>
      </c>
      <c r="R67" s="730">
        <v>0</v>
      </c>
      <c r="S67" s="730">
        <v>0</v>
      </c>
      <c r="T67" s="65">
        <f>SUM(mMAR[[#This Row],[PRINCIPAL]:[JUROS]])</f>
        <v>414.5</v>
      </c>
      <c r="V67" s="1310"/>
    </row>
    <row r="68" spans="2:22" ht="21" customHeight="1">
      <c r="B68" s="83" t="str">
        <f t="shared" si="0"/>
        <v>3/26</v>
      </c>
      <c r="C68" s="5" t="str">
        <f>VLOOKUP(mMAR[[#This Row],[CÓDIGO CONTABIL]],Contas_Gerencial[#All],3,FALSE)</f>
        <v>TRIBUTOS</v>
      </c>
      <c r="D68" s="16" t="str">
        <f>VLOOKUP(mMAR[[#This Row],[DESCRIÇÃO CONTABIL]],Contas_Gerencial[[#All],[DESCRIÇÃO DA CONTA - NÃO UTILIZAR]:[Código2]],2,FALSE)</f>
        <v>20.08.004</v>
      </c>
      <c r="E68" s="712" t="s">
        <v>2648</v>
      </c>
      <c r="F68" s="713" t="s">
        <v>41</v>
      </c>
      <c r="G68" s="733" t="s">
        <v>1767</v>
      </c>
      <c r="H68" s="713" t="s">
        <v>1788</v>
      </c>
      <c r="I68" s="716" t="s">
        <v>2065</v>
      </c>
      <c r="J68" s="711" t="s">
        <v>378</v>
      </c>
      <c r="K68" s="711" t="s">
        <v>2085</v>
      </c>
      <c r="L68" s="714" t="s">
        <v>2258</v>
      </c>
      <c r="M68" s="1271">
        <v>46081</v>
      </c>
      <c r="N68" s="715">
        <v>46101</v>
      </c>
      <c r="O68" s="1271">
        <v>46081</v>
      </c>
      <c r="P68" s="711" t="s">
        <v>214</v>
      </c>
      <c r="Q68" s="862">
        <v>2072.5</v>
      </c>
      <c r="R68" s="862">
        <v>0</v>
      </c>
      <c r="S68" s="862">
        <v>0</v>
      </c>
      <c r="T68" s="65">
        <f>SUM(mMAR[[#This Row],[PRINCIPAL]:[JUROS]])</f>
        <v>2072.5</v>
      </c>
      <c r="V68" s="1310"/>
    </row>
    <row r="69" spans="2:22" ht="21" customHeight="1">
      <c r="B69" s="83" t="str">
        <f t="shared" si="0"/>
        <v>3/26</v>
      </c>
      <c r="C69" s="5" t="str">
        <f>VLOOKUP(mMAR[[#This Row],[CÓDIGO CONTABIL]],Contas_Gerencial[#All],3,FALSE)</f>
        <v>FOLHA DE PAGAMENTO</v>
      </c>
      <c r="D69" s="16" t="str">
        <f>VLOOKUP(mMAR[[#This Row],[DESCRIÇÃO CONTABIL]],Contas_Gerencial[[#All],[DESCRIÇÃO DA CONTA - NÃO UTILIZAR]:[Código2]],2,FALSE)</f>
        <v>20.05.021</v>
      </c>
      <c r="E69" s="712" t="s">
        <v>59</v>
      </c>
      <c r="F69" s="712" t="s">
        <v>581</v>
      </c>
      <c r="G69" s="713" t="s">
        <v>1767</v>
      </c>
      <c r="H69" s="712" t="s">
        <v>1791</v>
      </c>
      <c r="I69" s="716" t="s">
        <v>2065</v>
      </c>
      <c r="J69" s="711" t="s">
        <v>41</v>
      </c>
      <c r="K69" s="711" t="s">
        <v>1868</v>
      </c>
      <c r="L69" s="714" t="s">
        <v>2258</v>
      </c>
      <c r="M69" s="1271">
        <v>46081</v>
      </c>
      <c r="N69" s="715">
        <v>46086</v>
      </c>
      <c r="O69" s="715">
        <v>46086</v>
      </c>
      <c r="P69" s="711" t="s">
        <v>1</v>
      </c>
      <c r="Q69" s="861">
        <f>10787.11</f>
        <v>10787.11</v>
      </c>
      <c r="R69" s="735">
        <v>0</v>
      </c>
      <c r="S69" s="735">
        <v>0</v>
      </c>
      <c r="T69" s="65">
        <f>SUM(mMAR[[#This Row],[PRINCIPAL]:[JUROS]])</f>
        <v>10787.11</v>
      </c>
      <c r="V69" s="1310"/>
    </row>
    <row r="70" spans="2:22" ht="21" customHeight="1">
      <c r="B70" s="83" t="str">
        <f t="shared" si="0"/>
        <v>3/26</v>
      </c>
      <c r="C70" s="5" t="str">
        <f>VLOOKUP(mMAR[[#This Row],[CÓDIGO CONTABIL]],Contas_Gerencial[#All],3,FALSE)</f>
        <v>ENCARGOS</v>
      </c>
      <c r="D70" s="16" t="str">
        <f>VLOOKUP(mMAR[[#This Row],[DESCRIÇÃO CONTABIL]],Contas_Gerencial[[#All],[DESCRIÇÃO DA CONTA - NÃO UTILIZAR]:[Código2]],2,FALSE)</f>
        <v>20.04.006</v>
      </c>
      <c r="E70" s="712" t="s">
        <v>1180</v>
      </c>
      <c r="F70" s="712" t="s">
        <v>581</v>
      </c>
      <c r="G70" s="733" t="s">
        <v>1767</v>
      </c>
      <c r="H70" s="712" t="s">
        <v>1180</v>
      </c>
      <c r="I70" s="716" t="s">
        <v>2065</v>
      </c>
      <c r="J70" s="711" t="s">
        <v>384</v>
      </c>
      <c r="K70" s="712" t="s">
        <v>1180</v>
      </c>
      <c r="L70" s="714" t="s">
        <v>2258</v>
      </c>
      <c r="M70" s="1271">
        <v>46081</v>
      </c>
      <c r="N70" s="715">
        <v>46101</v>
      </c>
      <c r="O70" s="715"/>
      <c r="P70" s="711" t="s">
        <v>1</v>
      </c>
      <c r="Q70" s="861">
        <v>1026.8499999999999</v>
      </c>
      <c r="R70" s="735">
        <v>0</v>
      </c>
      <c r="S70" s="735">
        <v>0</v>
      </c>
      <c r="T70" s="65">
        <f>SUM(mMAR[[#This Row],[PRINCIPAL]:[JUROS]])</f>
        <v>1026.8499999999999</v>
      </c>
      <c r="V70" s="1310"/>
    </row>
    <row r="71" spans="2:22" ht="21" customHeight="1">
      <c r="B71" s="83" t="str">
        <f t="shared" si="0"/>
        <v>3/26</v>
      </c>
      <c r="C71" s="5" t="str">
        <f>VLOOKUP(mMAR[[#This Row],[CÓDIGO CONTABIL]],Contas_Gerencial[#All],3,FALSE)</f>
        <v>ENCARGOS</v>
      </c>
      <c r="D71" s="16" t="str">
        <f>VLOOKUP(mMAR[[#This Row],[DESCRIÇÃO CONTABIL]],Contas_Gerencial[[#All],[DESCRIÇÃO DA CONTA - NÃO UTILIZAR]:[Código2]],2,FALSE)</f>
        <v>20.04.001</v>
      </c>
      <c r="E71" s="712" t="s">
        <v>2659</v>
      </c>
      <c r="F71" s="712" t="s">
        <v>581</v>
      </c>
      <c r="G71" s="733" t="s">
        <v>1767</v>
      </c>
      <c r="H71" s="713" t="s">
        <v>1788</v>
      </c>
      <c r="I71" s="716" t="s">
        <v>2065</v>
      </c>
      <c r="J71" s="711" t="s">
        <v>757</v>
      </c>
      <c r="K71" s="711" t="s">
        <v>2089</v>
      </c>
      <c r="L71" s="714" t="s">
        <v>2258</v>
      </c>
      <c r="M71" s="1271">
        <v>46081</v>
      </c>
      <c r="N71" s="715">
        <v>46101</v>
      </c>
      <c r="O71" s="715"/>
      <c r="P71" s="711" t="s">
        <v>1</v>
      </c>
      <c r="Q71" s="861">
        <v>837.45</v>
      </c>
      <c r="R71" s="862">
        <v>0</v>
      </c>
      <c r="S71" s="862">
        <v>0</v>
      </c>
      <c r="T71" s="65">
        <f>SUM(mMAR[[#This Row],[PRINCIPAL]:[JUROS]])</f>
        <v>837.45</v>
      </c>
      <c r="V71" s="1310"/>
    </row>
    <row r="72" spans="2:22" ht="21" customHeight="1">
      <c r="B72" s="83" t="str">
        <f t="shared" si="0"/>
        <v>3/26</v>
      </c>
      <c r="C72" s="5" t="str">
        <f>VLOOKUP(mMAR[[#This Row],[CÓDIGO CONTABIL]],Contas_Gerencial[#All],3,FALSE)</f>
        <v>BENEFICIO</v>
      </c>
      <c r="D72" s="16" t="str">
        <f>VLOOKUP(mMAR[[#This Row],[DESCRIÇÃO CONTABIL]],Contas_Gerencial[[#All],[DESCRIÇÃO DA CONTA - NÃO UTILIZAR]:[Código2]],2,FALSE)</f>
        <v>20.05.006</v>
      </c>
      <c r="E72" s="733" t="s">
        <v>24</v>
      </c>
      <c r="F72" s="712" t="s">
        <v>581</v>
      </c>
      <c r="G72" s="712" t="s">
        <v>1767</v>
      </c>
      <c r="H72" s="712" t="s">
        <v>1819</v>
      </c>
      <c r="I72" s="716" t="s">
        <v>2065</v>
      </c>
      <c r="J72" s="712" t="s">
        <v>581</v>
      </c>
      <c r="K72" s="711" t="s">
        <v>2590</v>
      </c>
      <c r="L72" s="729" t="s">
        <v>2591</v>
      </c>
      <c r="M72" s="1271">
        <v>46101</v>
      </c>
      <c r="N72" s="715">
        <v>46101</v>
      </c>
      <c r="O72" s="715"/>
      <c r="P72" s="712" t="s">
        <v>1</v>
      </c>
      <c r="Q72" s="730">
        <v>5519.22</v>
      </c>
      <c r="R72" s="730">
        <v>0</v>
      </c>
      <c r="S72" s="730">
        <v>0</v>
      </c>
      <c r="T72" s="65">
        <f>SUM(mMAR[[#This Row],[PRINCIPAL]:[JUROS]])</f>
        <v>5519.22</v>
      </c>
      <c r="V72" s="1310"/>
    </row>
    <row r="73" spans="2:22" ht="21" customHeight="1">
      <c r="B73" s="83" t="str">
        <f t="shared" ref="B73:B136" si="1">B72</f>
        <v>3/26</v>
      </c>
      <c r="C73" s="5" t="str">
        <f>VLOOKUP(mMAR[[#This Row],[CÓDIGO CONTABIL]],Contas_Gerencial[#All],3,FALSE)</f>
        <v>BENEFICIO</v>
      </c>
      <c r="D73" s="16" t="str">
        <f>VLOOKUP(mMAR[[#This Row],[DESCRIÇÃO CONTABIL]],Contas_Gerencial[[#All],[DESCRIÇÃO DA CONTA - NÃO UTILIZAR]:[Código2]],2,FALSE)</f>
        <v>20.05.007</v>
      </c>
      <c r="E73" s="733" t="s">
        <v>25</v>
      </c>
      <c r="F73" s="712" t="s">
        <v>581</v>
      </c>
      <c r="G73" s="712" t="s">
        <v>1767</v>
      </c>
      <c r="H73" s="712" t="s">
        <v>1819</v>
      </c>
      <c r="I73" s="716" t="s">
        <v>2065</v>
      </c>
      <c r="J73" s="712" t="s">
        <v>581</v>
      </c>
      <c r="K73" s="711" t="s">
        <v>2590</v>
      </c>
      <c r="L73" s="729" t="s">
        <v>2591</v>
      </c>
      <c r="M73" s="1271">
        <v>46101</v>
      </c>
      <c r="N73" s="715">
        <v>46101</v>
      </c>
      <c r="O73" s="715"/>
      <c r="P73" s="712" t="s">
        <v>1</v>
      </c>
      <c r="Q73" s="730">
        <v>1067</v>
      </c>
      <c r="R73" s="730">
        <v>0</v>
      </c>
      <c r="S73" s="730">
        <v>0</v>
      </c>
      <c r="T73" s="65">
        <f>SUM(mMAR[[#This Row],[PRINCIPAL]:[JUROS]])</f>
        <v>1067</v>
      </c>
      <c r="V73" s="1310"/>
    </row>
    <row r="74" spans="2:22" ht="21" customHeight="1">
      <c r="B74" s="83" t="str">
        <f t="shared" si="1"/>
        <v>3/26</v>
      </c>
      <c r="C74" s="5" t="str">
        <f>VLOOKUP(mMAR[[#This Row],[CÓDIGO CONTABIL]],Contas_Gerencial[#All],3,FALSE)</f>
        <v>RECEITA SUBCONTA</v>
      </c>
      <c r="D74" s="16" t="str">
        <f>VLOOKUP(mMAR[[#This Row],[DESCRIÇÃO CONTABIL]],Contas_Gerencial[[#All],[DESCRIÇÃO DA CONTA - NÃO UTILIZAR]:[Código2]],2,FALSE)</f>
        <v>10.01.001</v>
      </c>
      <c r="E74" s="473" t="s">
        <v>90</v>
      </c>
      <c r="F74" s="473" t="s">
        <v>41</v>
      </c>
      <c r="G74" s="473" t="s">
        <v>49</v>
      </c>
      <c r="H74" s="473" t="s">
        <v>1788</v>
      </c>
      <c r="I74" s="474" t="s">
        <v>2065</v>
      </c>
      <c r="J74" s="472" t="s">
        <v>41</v>
      </c>
      <c r="K74" s="472" t="s">
        <v>1792</v>
      </c>
      <c r="L74" s="475" t="s">
        <v>2258</v>
      </c>
      <c r="M74" s="1270">
        <v>46081</v>
      </c>
      <c r="N74" s="476">
        <v>46086</v>
      </c>
      <c r="O74" s="476"/>
      <c r="P74" s="452" t="s">
        <v>215</v>
      </c>
      <c r="Q74" s="478">
        <v>36427</v>
      </c>
      <c r="R74" s="479">
        <v>0</v>
      </c>
      <c r="S74" s="479">
        <v>0</v>
      </c>
      <c r="T74" s="65">
        <f>SUM(mMAR[[#This Row],[PRINCIPAL]:[JUROS]])</f>
        <v>36427</v>
      </c>
      <c r="V74" s="1310"/>
    </row>
    <row r="75" spans="2:22" ht="21" customHeight="1">
      <c r="B75" s="83" t="str">
        <f t="shared" si="1"/>
        <v>3/26</v>
      </c>
      <c r="C75" s="5" t="str">
        <f>VLOOKUP(mMAR[[#This Row],[CÓDIGO CONTABIL]],Contas_Gerencial[#All],3,FALSE)</f>
        <v>TRIBUTOS</v>
      </c>
      <c r="D75" s="16" t="str">
        <f>VLOOKUP(mMAR[[#This Row],[DESCRIÇÃO CONTABIL]],Contas_Gerencial[[#All],[DESCRIÇÃO DA CONTA - NÃO UTILIZAR]:[Código2]],2,FALSE)</f>
        <v>20.08.008</v>
      </c>
      <c r="E75" s="712" t="s">
        <v>2650</v>
      </c>
      <c r="F75" s="713" t="s">
        <v>41</v>
      </c>
      <c r="G75" s="733" t="s">
        <v>49</v>
      </c>
      <c r="H75" s="713" t="s">
        <v>1788</v>
      </c>
      <c r="I75" s="716" t="s">
        <v>2065</v>
      </c>
      <c r="J75" s="711" t="s">
        <v>378</v>
      </c>
      <c r="K75" s="711" t="s">
        <v>2087</v>
      </c>
      <c r="L75" s="714" t="s">
        <v>2258</v>
      </c>
      <c r="M75" s="1271">
        <v>46081</v>
      </c>
      <c r="N75" s="715">
        <v>46101</v>
      </c>
      <c r="O75" s="715"/>
      <c r="P75" s="711" t="s">
        <v>214</v>
      </c>
      <c r="Q75" s="862">
        <f>236.77+1092.81+364.27</f>
        <v>1693.85</v>
      </c>
      <c r="R75" s="862">
        <v>0</v>
      </c>
      <c r="S75" s="862">
        <v>0</v>
      </c>
      <c r="T75" s="65">
        <f>SUM(mMAR[[#This Row],[PRINCIPAL]:[JUROS]])</f>
        <v>1693.85</v>
      </c>
      <c r="V75" s="1310"/>
    </row>
    <row r="76" spans="2:22" ht="21" customHeight="1">
      <c r="B76" s="83" t="str">
        <f t="shared" si="1"/>
        <v>3/26</v>
      </c>
      <c r="C76" s="5" t="str">
        <f>VLOOKUP(mMAR[[#This Row],[CÓDIGO CONTABIL]],Contas_Gerencial[#All],3,FALSE)</f>
        <v>ENCARGOS</v>
      </c>
      <c r="D76" s="16" t="str">
        <f>VLOOKUP(mMAR[[#This Row],[DESCRIÇÃO CONTABIL]],Contas_Gerencial[[#All],[DESCRIÇÃO DA CONTA - NÃO UTILIZAR]:[Código2]],2,FALSE)</f>
        <v>20.04.004</v>
      </c>
      <c r="E76" s="712" t="s">
        <v>2651</v>
      </c>
      <c r="F76" s="713" t="s">
        <v>41</v>
      </c>
      <c r="G76" s="733" t="s">
        <v>49</v>
      </c>
      <c r="H76" s="713" t="s">
        <v>1788</v>
      </c>
      <c r="I76" s="716" t="s">
        <v>2065</v>
      </c>
      <c r="J76" s="711" t="s">
        <v>264</v>
      </c>
      <c r="K76" s="711" t="s">
        <v>2113</v>
      </c>
      <c r="L76" s="714" t="s">
        <v>2258</v>
      </c>
      <c r="M76" s="1271">
        <v>46081</v>
      </c>
      <c r="N76" s="715">
        <v>46101</v>
      </c>
      <c r="O76" s="715"/>
      <c r="P76" s="711" t="s">
        <v>214</v>
      </c>
      <c r="Q76" s="861">
        <v>2639.67</v>
      </c>
      <c r="R76" s="862">
        <v>0</v>
      </c>
      <c r="S76" s="862">
        <v>0</v>
      </c>
      <c r="T76" s="65">
        <f>SUM(mMAR[[#This Row],[PRINCIPAL]:[JUROS]])</f>
        <v>2639.67</v>
      </c>
      <c r="V76" s="1310"/>
    </row>
    <row r="77" spans="2:22" ht="21" customHeight="1">
      <c r="B77" s="83" t="str">
        <f t="shared" si="1"/>
        <v>3/26</v>
      </c>
      <c r="C77" s="5" t="str">
        <f>VLOOKUP(mMAR[[#This Row],[CÓDIGO CONTABIL]],Contas_Gerencial[#All],3,FALSE)</f>
        <v>TRIBUTOS</v>
      </c>
      <c r="D77" s="16" t="str">
        <f>VLOOKUP(mMAR[[#This Row],[DESCRIÇÃO CONTABIL]],Contas_Gerencial[[#All],[DESCRIÇÃO DA CONTA - NÃO UTILIZAR]:[Código2]],2,FALSE)</f>
        <v>20.08.005</v>
      </c>
      <c r="E77" s="713" t="s">
        <v>2649</v>
      </c>
      <c r="F77" s="712" t="s">
        <v>41</v>
      </c>
      <c r="G77" s="733" t="s">
        <v>49</v>
      </c>
      <c r="H77" s="713" t="s">
        <v>1788</v>
      </c>
      <c r="I77" s="716" t="s">
        <v>2065</v>
      </c>
      <c r="J77" s="711" t="s">
        <v>378</v>
      </c>
      <c r="K77" s="711" t="s">
        <v>2086</v>
      </c>
      <c r="L77" s="714" t="s">
        <v>2258</v>
      </c>
      <c r="M77" s="1271">
        <v>46081</v>
      </c>
      <c r="N77" s="715">
        <v>46101</v>
      </c>
      <c r="O77" s="715"/>
      <c r="P77" s="711" t="s">
        <v>1</v>
      </c>
      <c r="Q77" s="730">
        <v>364.27</v>
      </c>
      <c r="R77" s="730">
        <v>0</v>
      </c>
      <c r="S77" s="730">
        <v>0</v>
      </c>
      <c r="T77" s="65">
        <f>SUM(mMAR[[#This Row],[PRINCIPAL]:[JUROS]])</f>
        <v>364.27</v>
      </c>
      <c r="V77" s="1310"/>
    </row>
    <row r="78" spans="2:22" ht="21" customHeight="1">
      <c r="B78" s="83" t="str">
        <f t="shared" si="1"/>
        <v>3/26</v>
      </c>
      <c r="C78" s="5" t="str">
        <f>VLOOKUP(mMAR[[#This Row],[CÓDIGO CONTABIL]],Contas_Gerencial[#All],3,FALSE)</f>
        <v>TRIBUTOS</v>
      </c>
      <c r="D78" s="16" t="str">
        <f>VLOOKUP(mMAR[[#This Row],[DESCRIÇÃO CONTABIL]],Contas_Gerencial[[#All],[DESCRIÇÃO DA CONTA - NÃO UTILIZAR]:[Código2]],2,FALSE)</f>
        <v>20.08.004</v>
      </c>
      <c r="E78" s="712" t="s">
        <v>2648</v>
      </c>
      <c r="F78" s="713" t="s">
        <v>41</v>
      </c>
      <c r="G78" s="733" t="s">
        <v>49</v>
      </c>
      <c r="H78" s="713" t="s">
        <v>1788</v>
      </c>
      <c r="I78" s="716" t="s">
        <v>2065</v>
      </c>
      <c r="J78" s="711" t="s">
        <v>378</v>
      </c>
      <c r="K78" s="711" t="s">
        <v>2085</v>
      </c>
      <c r="L78" s="714" t="s">
        <v>2258</v>
      </c>
      <c r="M78" s="1271">
        <v>46081</v>
      </c>
      <c r="N78" s="715">
        <v>46101</v>
      </c>
      <c r="O78" s="1271">
        <v>46081</v>
      </c>
      <c r="P78" s="711" t="s">
        <v>214</v>
      </c>
      <c r="Q78" s="862">
        <v>1821.35</v>
      </c>
      <c r="R78" s="862">
        <v>0</v>
      </c>
      <c r="S78" s="862">
        <v>0</v>
      </c>
      <c r="T78" s="65">
        <f>SUM(mMAR[[#This Row],[PRINCIPAL]:[JUROS]])</f>
        <v>1821.35</v>
      </c>
      <c r="V78" s="1310"/>
    </row>
    <row r="79" spans="2:22" ht="21" customHeight="1">
      <c r="B79" s="83" t="str">
        <f t="shared" si="1"/>
        <v>3/26</v>
      </c>
      <c r="C79" s="5" t="str">
        <f>VLOOKUP(mMAR[[#This Row],[CÓDIGO CONTABIL]],Contas_Gerencial[#All],3,FALSE)</f>
        <v>FOLHA DE PAGAMENTO</v>
      </c>
      <c r="D79" s="16" t="str">
        <f>VLOOKUP(mMAR[[#This Row],[DESCRIÇÃO CONTABIL]],Contas_Gerencial[[#All],[DESCRIÇÃO DA CONTA - NÃO UTILIZAR]:[Código2]],2,FALSE)</f>
        <v>20.05.021</v>
      </c>
      <c r="E79" s="712" t="s">
        <v>59</v>
      </c>
      <c r="F79" s="712" t="s">
        <v>581</v>
      </c>
      <c r="G79" s="713" t="s">
        <v>49</v>
      </c>
      <c r="H79" s="712" t="s">
        <v>1791</v>
      </c>
      <c r="I79" s="716" t="s">
        <v>2065</v>
      </c>
      <c r="J79" s="711" t="s">
        <v>41</v>
      </c>
      <c r="K79" s="711" t="s">
        <v>2139</v>
      </c>
      <c r="L79" s="714" t="s">
        <v>2258</v>
      </c>
      <c r="M79" s="1271">
        <v>46081</v>
      </c>
      <c r="N79" s="715">
        <v>46086</v>
      </c>
      <c r="O79" s="715">
        <v>46086</v>
      </c>
      <c r="P79" s="711" t="s">
        <v>1</v>
      </c>
      <c r="Q79" s="861">
        <f>9272.39</f>
        <v>9272.39</v>
      </c>
      <c r="R79" s="735">
        <v>0</v>
      </c>
      <c r="S79" s="735">
        <v>0</v>
      </c>
      <c r="T79" s="65">
        <f>SUM(mMAR[[#This Row],[PRINCIPAL]:[JUROS]])</f>
        <v>9272.39</v>
      </c>
      <c r="V79" s="1310"/>
    </row>
    <row r="80" spans="2:22" ht="21" customHeight="1">
      <c r="B80" s="83" t="str">
        <f t="shared" si="1"/>
        <v>3/26</v>
      </c>
      <c r="C80" s="5" t="str">
        <f>VLOOKUP(mMAR[[#This Row],[CÓDIGO CONTABIL]],Contas_Gerencial[#All],3,FALSE)</f>
        <v>ENCARGOS</v>
      </c>
      <c r="D80" s="16" t="str">
        <f>VLOOKUP(mMAR[[#This Row],[DESCRIÇÃO CONTABIL]],Contas_Gerencial[[#All],[DESCRIÇÃO DA CONTA - NÃO UTILIZAR]:[Código2]],2,FALSE)</f>
        <v>20.04.006</v>
      </c>
      <c r="E80" s="712" t="s">
        <v>1180</v>
      </c>
      <c r="F80" s="712" t="s">
        <v>581</v>
      </c>
      <c r="G80" s="733" t="s">
        <v>49</v>
      </c>
      <c r="H80" s="712" t="s">
        <v>1180</v>
      </c>
      <c r="I80" s="716" t="s">
        <v>2065</v>
      </c>
      <c r="J80" s="711" t="s">
        <v>384</v>
      </c>
      <c r="K80" s="712" t="s">
        <v>1180</v>
      </c>
      <c r="L80" s="714" t="s">
        <v>2258</v>
      </c>
      <c r="M80" s="1271">
        <v>46081</v>
      </c>
      <c r="N80" s="715">
        <v>46101</v>
      </c>
      <c r="O80" s="715"/>
      <c r="P80" s="711" t="s">
        <v>1</v>
      </c>
      <c r="Q80" s="861">
        <v>884.7</v>
      </c>
      <c r="R80" s="735">
        <v>0</v>
      </c>
      <c r="S80" s="735">
        <v>0</v>
      </c>
      <c r="T80" s="65">
        <f>SUM(mMAR[[#This Row],[PRINCIPAL]:[JUROS]])</f>
        <v>884.7</v>
      </c>
      <c r="V80" s="1310"/>
    </row>
    <row r="81" spans="2:22" ht="21" customHeight="1">
      <c r="B81" s="83" t="str">
        <f t="shared" si="1"/>
        <v>3/26</v>
      </c>
      <c r="C81" s="5" t="str">
        <f>VLOOKUP(mMAR[[#This Row],[CÓDIGO CONTABIL]],Contas_Gerencial[#All],3,FALSE)</f>
        <v>ENCARGOS</v>
      </c>
      <c r="D81" s="16" t="str">
        <f>VLOOKUP(mMAR[[#This Row],[DESCRIÇÃO CONTABIL]],Contas_Gerencial[[#All],[DESCRIÇÃO DA CONTA - NÃO UTILIZAR]:[Código2]],2,FALSE)</f>
        <v>20.04.001</v>
      </c>
      <c r="E81" s="712" t="s">
        <v>2659</v>
      </c>
      <c r="F81" s="711" t="s">
        <v>581</v>
      </c>
      <c r="G81" s="718" t="s">
        <v>49</v>
      </c>
      <c r="H81" s="731" t="s">
        <v>1788</v>
      </c>
      <c r="I81" s="716" t="s">
        <v>2065</v>
      </c>
      <c r="J81" s="711" t="s">
        <v>757</v>
      </c>
      <c r="K81" s="711" t="s">
        <v>2089</v>
      </c>
      <c r="L81" s="714" t="s">
        <v>2137</v>
      </c>
      <c r="M81" s="1271">
        <v>46081</v>
      </c>
      <c r="N81" s="715">
        <v>46101</v>
      </c>
      <c r="O81" s="715"/>
      <c r="P81" s="711" t="s">
        <v>1</v>
      </c>
      <c r="Q81" s="861">
        <v>873.72</v>
      </c>
      <c r="R81" s="862">
        <v>0</v>
      </c>
      <c r="S81" s="862">
        <v>0</v>
      </c>
      <c r="T81" s="65">
        <f>SUM(mMAR[[#This Row],[PRINCIPAL]:[JUROS]])</f>
        <v>873.72</v>
      </c>
      <c r="V81" s="1310"/>
    </row>
    <row r="82" spans="2:22" ht="21" customHeight="1">
      <c r="B82" s="83" t="str">
        <f t="shared" si="1"/>
        <v>3/26</v>
      </c>
      <c r="C82" s="5" t="str">
        <f>VLOOKUP(mMAR[[#This Row],[CÓDIGO CONTABIL]],Contas_Gerencial[#All],3,FALSE)</f>
        <v>FOLHA DE PAGAMENTO</v>
      </c>
      <c r="D82" s="16" t="str">
        <f>VLOOKUP(mMAR[[#This Row],[DESCRIÇÃO CONTABIL]],Contas_Gerencial[[#All],[DESCRIÇÃO DA CONTA - NÃO UTILIZAR]:[Código2]],2,FALSE)</f>
        <v>20.05.021</v>
      </c>
      <c r="E82" s="711" t="s">
        <v>59</v>
      </c>
      <c r="F82" s="711" t="s">
        <v>582</v>
      </c>
      <c r="G82" s="731" t="s">
        <v>49</v>
      </c>
      <c r="H82" s="711" t="s">
        <v>1791</v>
      </c>
      <c r="I82" s="716" t="s">
        <v>2065</v>
      </c>
      <c r="J82" s="711" t="s">
        <v>582</v>
      </c>
      <c r="K82" s="711" t="s">
        <v>2077</v>
      </c>
      <c r="L82" s="714" t="s">
        <v>2137</v>
      </c>
      <c r="M82" s="1271">
        <v>46081</v>
      </c>
      <c r="N82" s="715">
        <v>46086</v>
      </c>
      <c r="O82" s="715"/>
      <c r="P82" s="711" t="s">
        <v>1</v>
      </c>
      <c r="Q82" s="861">
        <v>2053.89</v>
      </c>
      <c r="R82" s="735">
        <v>0</v>
      </c>
      <c r="S82" s="735">
        <v>0</v>
      </c>
      <c r="T82" s="65">
        <f>SUM(mMAR[[#This Row],[PRINCIPAL]:[JUROS]])</f>
        <v>2053.89</v>
      </c>
      <c r="V82" s="1310"/>
    </row>
    <row r="83" spans="2:22" ht="21" customHeight="1">
      <c r="B83" s="83" t="str">
        <f t="shared" si="1"/>
        <v>3/26</v>
      </c>
      <c r="C83" s="5" t="str">
        <f>VLOOKUP(mMAR[[#This Row],[CÓDIGO CONTABIL]],Contas_Gerencial[#All],3,FALSE)</f>
        <v>ENCARGOS</v>
      </c>
      <c r="D83" s="16" t="str">
        <f>VLOOKUP(mMAR[[#This Row],[DESCRIÇÃO CONTABIL]],Contas_Gerencial[[#All],[DESCRIÇÃO DA CONTA - NÃO UTILIZAR]:[Código2]],2,FALSE)</f>
        <v>20.04.006</v>
      </c>
      <c r="E83" s="711" t="s">
        <v>1180</v>
      </c>
      <c r="F83" s="711" t="s">
        <v>582</v>
      </c>
      <c r="G83" s="718" t="s">
        <v>49</v>
      </c>
      <c r="H83" s="711" t="s">
        <v>1180</v>
      </c>
      <c r="I83" s="716" t="s">
        <v>2065</v>
      </c>
      <c r="J83" s="711" t="s">
        <v>384</v>
      </c>
      <c r="K83" s="712" t="s">
        <v>1180</v>
      </c>
      <c r="L83" s="714" t="s">
        <v>2137</v>
      </c>
      <c r="M83" s="1271">
        <v>46081</v>
      </c>
      <c r="N83" s="715">
        <v>46086</v>
      </c>
      <c r="O83" s="715"/>
      <c r="P83" s="711" t="s">
        <v>1</v>
      </c>
      <c r="Q83" s="861">
        <v>188.93</v>
      </c>
      <c r="R83" s="735">
        <v>0</v>
      </c>
      <c r="S83" s="735">
        <v>0</v>
      </c>
      <c r="T83" s="65">
        <f>SUM(mMAR[[#This Row],[PRINCIPAL]:[JUROS]])</f>
        <v>188.93</v>
      </c>
      <c r="V83" s="1310"/>
    </row>
    <row r="84" spans="2:22" ht="21" customHeight="1">
      <c r="B84" s="83" t="str">
        <f t="shared" si="1"/>
        <v>3/26</v>
      </c>
      <c r="C84" s="5" t="str">
        <f>VLOOKUP(mMAR[[#This Row],[CÓDIGO CONTABIL]],Contas_Gerencial[#All],3,FALSE)</f>
        <v>ENCARGOS</v>
      </c>
      <c r="D84" s="16" t="str">
        <f>VLOOKUP(mMAR[[#This Row],[DESCRIÇÃO CONTABIL]],Contas_Gerencial[[#All],[DESCRIÇÃO DA CONTA - NÃO UTILIZAR]:[Código2]],2,FALSE)</f>
        <v>20.04.001</v>
      </c>
      <c r="E84" s="712" t="s">
        <v>2659</v>
      </c>
      <c r="F84" s="711" t="s">
        <v>582</v>
      </c>
      <c r="G84" s="718" t="s">
        <v>49</v>
      </c>
      <c r="H84" s="731" t="s">
        <v>1788</v>
      </c>
      <c r="I84" s="716" t="s">
        <v>2065</v>
      </c>
      <c r="J84" s="711" t="s">
        <v>757</v>
      </c>
      <c r="K84" s="711" t="s">
        <v>2089</v>
      </c>
      <c r="L84" s="714" t="s">
        <v>2137</v>
      </c>
      <c r="M84" s="1271">
        <v>46081</v>
      </c>
      <c r="N84" s="715">
        <v>46101</v>
      </c>
      <c r="O84" s="715"/>
      <c r="P84" s="711" t="s">
        <v>1</v>
      </c>
      <c r="Q84" s="861">
        <v>189.78</v>
      </c>
      <c r="R84" s="862">
        <v>0</v>
      </c>
      <c r="S84" s="862">
        <v>0</v>
      </c>
      <c r="T84" s="65">
        <f>SUM(mMAR[[#This Row],[PRINCIPAL]:[JUROS]])</f>
        <v>189.78</v>
      </c>
      <c r="V84" s="1310"/>
    </row>
    <row r="85" spans="2:22" ht="21" customHeight="1">
      <c r="B85" s="83" t="str">
        <f t="shared" si="1"/>
        <v>3/26</v>
      </c>
      <c r="C85" s="5" t="str">
        <f>VLOOKUP(mMAR[[#This Row],[CÓDIGO CONTABIL]],Contas_Gerencial[#All],3,FALSE)</f>
        <v>BENEFICIO</v>
      </c>
      <c r="D85" s="16" t="str">
        <f>VLOOKUP(mMAR[[#This Row],[DESCRIÇÃO CONTABIL]],Contas_Gerencial[[#All],[DESCRIÇÃO DA CONTA - NÃO UTILIZAR]:[Código2]],2,FALSE)</f>
        <v>20.05.006</v>
      </c>
      <c r="E85" s="733" t="s">
        <v>24</v>
      </c>
      <c r="F85" s="712" t="s">
        <v>581</v>
      </c>
      <c r="G85" s="712" t="s">
        <v>49</v>
      </c>
      <c r="H85" s="712" t="s">
        <v>1791</v>
      </c>
      <c r="I85" s="716" t="s">
        <v>2065</v>
      </c>
      <c r="J85" s="711" t="s">
        <v>41</v>
      </c>
      <c r="K85" s="711" t="s">
        <v>2590</v>
      </c>
      <c r="L85" s="729" t="s">
        <v>2591</v>
      </c>
      <c r="M85" s="1271">
        <v>46101</v>
      </c>
      <c r="N85" s="715">
        <v>46101</v>
      </c>
      <c r="O85" s="715"/>
      <c r="P85" s="712" t="s">
        <v>1</v>
      </c>
      <c r="Q85" s="730">
        <v>4174.2</v>
      </c>
      <c r="R85" s="730">
        <v>0</v>
      </c>
      <c r="S85" s="730">
        <v>0</v>
      </c>
      <c r="T85" s="65">
        <f>SUM(mMAR[[#This Row],[PRINCIPAL]:[JUROS]])</f>
        <v>4174.2</v>
      </c>
      <c r="V85" s="1310"/>
    </row>
    <row r="86" spans="2:22" ht="21" customHeight="1">
      <c r="B86" s="83" t="str">
        <f t="shared" si="1"/>
        <v>3/26</v>
      </c>
      <c r="C86" s="5" t="str">
        <f>VLOOKUP(mMAR[[#This Row],[CÓDIGO CONTABIL]],Contas_Gerencial[#All],3,FALSE)</f>
        <v>BENEFICIO</v>
      </c>
      <c r="D86" s="16" t="str">
        <f>VLOOKUP(mMAR[[#This Row],[DESCRIÇÃO CONTABIL]],Contas_Gerencial[[#All],[DESCRIÇÃO DA CONTA - NÃO UTILIZAR]:[Código2]],2,FALSE)</f>
        <v>20.05.007</v>
      </c>
      <c r="E86" s="733" t="s">
        <v>25</v>
      </c>
      <c r="F86" s="712" t="s">
        <v>581</v>
      </c>
      <c r="G86" s="712" t="s">
        <v>49</v>
      </c>
      <c r="H86" s="712" t="s">
        <v>1791</v>
      </c>
      <c r="I86" s="716" t="s">
        <v>2065</v>
      </c>
      <c r="J86" s="711" t="s">
        <v>41</v>
      </c>
      <c r="K86" s="711" t="s">
        <v>2590</v>
      </c>
      <c r="L86" s="729" t="s">
        <v>2591</v>
      </c>
      <c r="M86" s="1271">
        <v>46101</v>
      </c>
      <c r="N86" s="715">
        <v>46101</v>
      </c>
      <c r="O86" s="715"/>
      <c r="P86" s="712" t="s">
        <v>1</v>
      </c>
      <c r="Q86" s="730">
        <v>1041.8</v>
      </c>
      <c r="R86" s="730">
        <v>0</v>
      </c>
      <c r="S86" s="730">
        <v>0</v>
      </c>
      <c r="T86" s="65">
        <f>SUM(mMAR[[#This Row],[PRINCIPAL]:[JUROS]])</f>
        <v>1041.8</v>
      </c>
      <c r="V86" s="1310"/>
    </row>
    <row r="87" spans="2:22" ht="21" customHeight="1">
      <c r="B87" s="83" t="str">
        <f t="shared" si="1"/>
        <v>3/26</v>
      </c>
      <c r="C87" s="5" t="str">
        <f>VLOOKUP(mMAR[[#This Row],[CÓDIGO CONTABIL]],Contas_Gerencial[#All],3,FALSE)</f>
        <v>BENEFICIO</v>
      </c>
      <c r="D87" s="16" t="str">
        <f>VLOOKUP(mMAR[[#This Row],[DESCRIÇÃO CONTABIL]],Contas_Gerencial[[#All],[DESCRIÇÃO DA CONTA - NÃO UTILIZAR]:[Código2]],2,FALSE)</f>
        <v>20.05.006</v>
      </c>
      <c r="E87" s="733" t="s">
        <v>24</v>
      </c>
      <c r="F87" s="712" t="s">
        <v>582</v>
      </c>
      <c r="G87" s="712" t="s">
        <v>49</v>
      </c>
      <c r="H87" s="712" t="s">
        <v>1791</v>
      </c>
      <c r="I87" s="716" t="s">
        <v>2065</v>
      </c>
      <c r="J87" s="711" t="s">
        <v>581</v>
      </c>
      <c r="K87" s="711" t="s">
        <v>2592</v>
      </c>
      <c r="L87" s="729" t="s">
        <v>2591</v>
      </c>
      <c r="M87" s="1271">
        <v>46101</v>
      </c>
      <c r="N87" s="715">
        <v>46101</v>
      </c>
      <c r="O87" s="715"/>
      <c r="P87" s="712" t="s">
        <v>1</v>
      </c>
      <c r="Q87" s="730">
        <v>185.52</v>
      </c>
      <c r="R87" s="730">
        <v>0</v>
      </c>
      <c r="S87" s="730">
        <v>0</v>
      </c>
      <c r="T87" s="65">
        <f>SUM(mMAR[[#This Row],[PRINCIPAL]:[JUROS]])</f>
        <v>185.52</v>
      </c>
      <c r="V87" s="1310"/>
    </row>
    <row r="88" spans="2:22" ht="21" customHeight="1">
      <c r="B88" s="83" t="str">
        <f t="shared" si="1"/>
        <v>3/26</v>
      </c>
      <c r="C88" s="5" t="str">
        <f>VLOOKUP(mMAR[[#This Row],[CÓDIGO CONTABIL]],Contas_Gerencial[#All],3,FALSE)</f>
        <v>BENEFICIO</v>
      </c>
      <c r="D88" s="16" t="str">
        <f>VLOOKUP(mMAR[[#This Row],[DESCRIÇÃO CONTABIL]],Contas_Gerencial[[#All],[DESCRIÇÃO DA CONTA - NÃO UTILIZAR]:[Código2]],2,FALSE)</f>
        <v>20.05.007</v>
      </c>
      <c r="E88" s="733" t="s">
        <v>25</v>
      </c>
      <c r="F88" s="712" t="s">
        <v>582</v>
      </c>
      <c r="G88" s="712" t="s">
        <v>49</v>
      </c>
      <c r="H88" s="712" t="s">
        <v>1791</v>
      </c>
      <c r="I88" s="716" t="s">
        <v>2065</v>
      </c>
      <c r="J88" s="711" t="s">
        <v>582</v>
      </c>
      <c r="K88" s="711" t="s">
        <v>2592</v>
      </c>
      <c r="L88" s="729" t="s">
        <v>2591</v>
      </c>
      <c r="M88" s="1271">
        <v>46101</v>
      </c>
      <c r="N88" s="715">
        <v>46101</v>
      </c>
      <c r="O88" s="715"/>
      <c r="P88" s="712" t="s">
        <v>1</v>
      </c>
      <c r="Q88" s="730">
        <v>38.5</v>
      </c>
      <c r="R88" s="730">
        <v>0</v>
      </c>
      <c r="S88" s="730">
        <v>0</v>
      </c>
      <c r="T88" s="65">
        <f>SUM(mMAR[[#This Row],[PRINCIPAL]:[JUROS]])</f>
        <v>38.5</v>
      </c>
      <c r="V88" s="1310"/>
    </row>
    <row r="89" spans="2:22" ht="21" customHeight="1">
      <c r="B89" s="83" t="str">
        <f t="shared" si="1"/>
        <v>3/26</v>
      </c>
      <c r="C89" s="5" t="str">
        <f>VLOOKUP(mMAR[[#This Row],[CÓDIGO CONTABIL]],Contas_Gerencial[#All],3,FALSE)</f>
        <v>RECEITA SUBCONTA</v>
      </c>
      <c r="D89" s="16" t="str">
        <f>VLOOKUP(mMAR[[#This Row],[DESCRIÇÃO CONTABIL]],Contas_Gerencial[[#All],[DESCRIÇÃO DA CONTA - NÃO UTILIZAR]:[Código2]],2,FALSE)</f>
        <v>10.01.001</v>
      </c>
      <c r="E89" s="485" t="s">
        <v>90</v>
      </c>
      <c r="F89" s="485" t="s">
        <v>582</v>
      </c>
      <c r="G89" s="486" t="s">
        <v>653</v>
      </c>
      <c r="H89" s="485" t="s">
        <v>1788</v>
      </c>
      <c r="I89" s="474" t="s">
        <v>2065</v>
      </c>
      <c r="J89" s="477" t="s">
        <v>582</v>
      </c>
      <c r="K89" s="477" t="s">
        <v>1792</v>
      </c>
      <c r="L89" s="475" t="s">
        <v>2258</v>
      </c>
      <c r="M89" s="1270">
        <v>46081</v>
      </c>
      <c r="N89" s="476">
        <v>46096</v>
      </c>
      <c r="O89" s="476"/>
      <c r="P89" s="452" t="s">
        <v>215</v>
      </c>
      <c r="Q89" s="738">
        <v>24230</v>
      </c>
      <c r="R89" s="487">
        <v>0</v>
      </c>
      <c r="S89" s="487">
        <v>0</v>
      </c>
      <c r="T89" s="65">
        <f>SUM(mMAR[[#This Row],[PRINCIPAL]:[JUROS]])</f>
        <v>24230</v>
      </c>
      <c r="V89" s="1310"/>
    </row>
    <row r="90" spans="2:22" ht="21" customHeight="1">
      <c r="B90" s="83" t="str">
        <f t="shared" si="1"/>
        <v>3/26</v>
      </c>
      <c r="C90" s="5" t="str">
        <f>VLOOKUP(mMAR[[#This Row],[CÓDIGO CONTABIL]],Contas_Gerencial[#All],3,FALSE)</f>
        <v>ENCARGOS</v>
      </c>
      <c r="D90" s="16" t="str">
        <f>VLOOKUP(mMAR[[#This Row],[DESCRIÇÃO CONTABIL]],Contas_Gerencial[[#All],[DESCRIÇÃO DA CONTA - NÃO UTILIZAR]:[Código2]],2,FALSE)</f>
        <v>20.04.004</v>
      </c>
      <c r="E90" s="712" t="s">
        <v>2651</v>
      </c>
      <c r="F90" s="712" t="s">
        <v>582</v>
      </c>
      <c r="G90" s="733" t="s">
        <v>653</v>
      </c>
      <c r="H90" s="712" t="s">
        <v>1788</v>
      </c>
      <c r="I90" s="716" t="s">
        <v>2065</v>
      </c>
      <c r="J90" s="711" t="s">
        <v>264</v>
      </c>
      <c r="K90" s="711" t="s">
        <v>2113</v>
      </c>
      <c r="L90" s="714" t="s">
        <v>2258</v>
      </c>
      <c r="M90" s="1271">
        <v>46081</v>
      </c>
      <c r="N90" s="715">
        <v>46101</v>
      </c>
      <c r="O90" s="715"/>
      <c r="P90" s="711" t="s">
        <v>214</v>
      </c>
      <c r="Q90" s="862">
        <v>1600.87</v>
      </c>
      <c r="R90" s="735">
        <v>0</v>
      </c>
      <c r="S90" s="735">
        <v>0</v>
      </c>
      <c r="T90" s="65">
        <f>SUM(mMAR[[#This Row],[PRINCIPAL]:[JUROS]])</f>
        <v>1600.87</v>
      </c>
      <c r="V90" s="1310"/>
    </row>
    <row r="91" spans="2:22" ht="21" customHeight="1">
      <c r="B91" s="83" t="str">
        <f t="shared" si="1"/>
        <v>3/26</v>
      </c>
      <c r="C91" s="5" t="str">
        <f>VLOOKUP(mMAR[[#This Row],[CÓDIGO CONTABIL]],Contas_Gerencial[#All],3,FALSE)</f>
        <v>TRIBUTOS</v>
      </c>
      <c r="D91" s="16" t="str">
        <f>VLOOKUP(mMAR[[#This Row],[DESCRIÇÃO CONTABIL]],Contas_Gerencial[[#All],[DESCRIÇÃO DA CONTA - NÃO UTILIZAR]:[Código2]],2,FALSE)</f>
        <v>20.08.004</v>
      </c>
      <c r="E91" s="712" t="s">
        <v>2648</v>
      </c>
      <c r="F91" s="712" t="s">
        <v>582</v>
      </c>
      <c r="G91" s="733" t="s">
        <v>653</v>
      </c>
      <c r="H91" s="712" t="s">
        <v>1788</v>
      </c>
      <c r="I91" s="716" t="s">
        <v>2065</v>
      </c>
      <c r="J91" s="711" t="s">
        <v>654</v>
      </c>
      <c r="K91" s="711" t="s">
        <v>2114</v>
      </c>
      <c r="L91" s="714" t="s">
        <v>2258</v>
      </c>
      <c r="M91" s="1271">
        <v>46081</v>
      </c>
      <c r="N91" s="715">
        <v>46101</v>
      </c>
      <c r="O91" s="1271">
        <v>46081</v>
      </c>
      <c r="P91" s="711" t="s">
        <v>214</v>
      </c>
      <c r="Q91" s="734">
        <v>804.44</v>
      </c>
      <c r="R91" s="735">
        <v>0</v>
      </c>
      <c r="S91" s="735">
        <v>0</v>
      </c>
      <c r="T91" s="65">
        <f>SUM(mMAR[[#This Row],[PRINCIPAL]:[JUROS]])</f>
        <v>804.44</v>
      </c>
      <c r="V91" s="1310"/>
    </row>
    <row r="92" spans="2:22" ht="21" customHeight="1">
      <c r="B92" s="83" t="str">
        <f t="shared" si="1"/>
        <v>3/26</v>
      </c>
      <c r="C92" s="5" t="str">
        <f>VLOOKUP(mMAR[[#This Row],[CÓDIGO CONTABIL]],Contas_Gerencial[#All],3,FALSE)</f>
        <v>TRIBUTOS</v>
      </c>
      <c r="D92" s="16" t="str">
        <f>VLOOKUP(mMAR[[#This Row],[DESCRIÇÃO CONTABIL]],Contas_Gerencial[[#All],[DESCRIÇÃO DA CONTA - NÃO UTILIZAR]:[Código2]],2,FALSE)</f>
        <v>20.08.001</v>
      </c>
      <c r="E92" s="712" t="s">
        <v>2112</v>
      </c>
      <c r="F92" s="712" t="s">
        <v>582</v>
      </c>
      <c r="G92" s="733" t="s">
        <v>653</v>
      </c>
      <c r="H92" s="712" t="s">
        <v>1788</v>
      </c>
      <c r="I92" s="716" t="s">
        <v>2065</v>
      </c>
      <c r="J92" s="711" t="s">
        <v>654</v>
      </c>
      <c r="K92" s="711" t="s">
        <v>1907</v>
      </c>
      <c r="L92" s="714" t="s">
        <v>2258</v>
      </c>
      <c r="M92" s="1271">
        <v>46081</v>
      </c>
      <c r="N92" s="715">
        <v>46101</v>
      </c>
      <c r="O92" s="1271">
        <v>46081</v>
      </c>
      <c r="P92" s="711" t="s">
        <v>214</v>
      </c>
      <c r="Q92" s="734">
        <v>0</v>
      </c>
      <c r="R92" s="735">
        <v>0</v>
      </c>
      <c r="S92" s="735">
        <v>0</v>
      </c>
      <c r="T92" s="65">
        <f>SUM(mMAR[[#This Row],[PRINCIPAL]:[JUROS]])</f>
        <v>0</v>
      </c>
      <c r="V92" s="1310"/>
    </row>
    <row r="93" spans="2:22" ht="21" customHeight="1">
      <c r="B93" s="83" t="str">
        <f t="shared" si="1"/>
        <v>3/26</v>
      </c>
      <c r="C93" s="5" t="str">
        <f>VLOOKUP(mMAR[[#This Row],[CÓDIGO CONTABIL]],Contas_Gerencial[#All],3,FALSE)</f>
        <v>TRIBUTOS</v>
      </c>
      <c r="D93" s="16" t="str">
        <f>VLOOKUP(mMAR[[#This Row],[DESCRIÇÃO CONTABIL]],Contas_Gerencial[[#All],[DESCRIÇÃO DA CONTA - NÃO UTILIZAR]:[Código2]],2,FALSE)</f>
        <v>20.08.002</v>
      </c>
      <c r="E93" s="712" t="s">
        <v>589</v>
      </c>
      <c r="F93" s="712" t="s">
        <v>582</v>
      </c>
      <c r="G93" s="733" t="s">
        <v>653</v>
      </c>
      <c r="H93" s="712" t="s">
        <v>1788</v>
      </c>
      <c r="I93" s="716" t="s">
        <v>2065</v>
      </c>
      <c r="J93" s="711" t="s">
        <v>654</v>
      </c>
      <c r="K93" s="711" t="s">
        <v>1907</v>
      </c>
      <c r="L93" s="714" t="s">
        <v>2258</v>
      </c>
      <c r="M93" s="1271">
        <v>46081</v>
      </c>
      <c r="N93" s="715">
        <v>46101</v>
      </c>
      <c r="O93" s="715"/>
      <c r="P93" s="711" t="s">
        <v>1</v>
      </c>
      <c r="Q93" s="861">
        <v>1200.6263095683694</v>
      </c>
      <c r="R93" s="735">
        <v>0</v>
      </c>
      <c r="S93" s="735">
        <v>0</v>
      </c>
      <c r="T93" s="65">
        <f>SUM(mMAR[[#This Row],[PRINCIPAL]:[JUROS]])</f>
        <v>1200.6263095683694</v>
      </c>
      <c r="V93" s="1310"/>
    </row>
    <row r="94" spans="2:22" ht="21" customHeight="1">
      <c r="B94" s="83" t="str">
        <f t="shared" si="1"/>
        <v>3/26</v>
      </c>
      <c r="C94" s="5" t="str">
        <f>VLOOKUP(mMAR[[#This Row],[CÓDIGO CONTABIL]],Contas_Gerencial[#All],3,FALSE)</f>
        <v>FOLHA DE PAGAMENTO</v>
      </c>
      <c r="D94" s="16" t="str">
        <f>VLOOKUP(mMAR[[#This Row],[DESCRIÇÃO CONTABIL]],Contas_Gerencial[[#All],[DESCRIÇÃO DA CONTA - NÃO UTILIZAR]:[Código2]],2,FALSE)</f>
        <v>20.05.021</v>
      </c>
      <c r="E94" s="712" t="s">
        <v>59</v>
      </c>
      <c r="F94" s="711" t="s">
        <v>582</v>
      </c>
      <c r="G94" s="718" t="s">
        <v>653</v>
      </c>
      <c r="H94" s="712" t="s">
        <v>1791</v>
      </c>
      <c r="I94" s="716" t="s">
        <v>2065</v>
      </c>
      <c r="J94" s="711" t="s">
        <v>582</v>
      </c>
      <c r="K94" s="712" t="s">
        <v>1793</v>
      </c>
      <c r="L94" s="714" t="s">
        <v>2258</v>
      </c>
      <c r="M94" s="1271">
        <v>46081</v>
      </c>
      <c r="N94" s="715">
        <v>46086</v>
      </c>
      <c r="O94" s="715"/>
      <c r="P94" s="711" t="s">
        <v>1</v>
      </c>
      <c r="Q94" s="734">
        <v>4107.78</v>
      </c>
      <c r="R94" s="735">
        <v>0</v>
      </c>
      <c r="S94" s="735">
        <v>0</v>
      </c>
      <c r="T94" s="65">
        <f>SUM(mMAR[[#This Row],[PRINCIPAL]:[JUROS]])</f>
        <v>4107.78</v>
      </c>
      <c r="V94" s="1310"/>
    </row>
    <row r="95" spans="2:22" ht="21" customHeight="1">
      <c r="B95" s="83" t="str">
        <f t="shared" si="1"/>
        <v>3/26</v>
      </c>
      <c r="C95" s="5" t="str">
        <f>VLOOKUP(mMAR[[#This Row],[CÓDIGO CONTABIL]],Contas_Gerencial[#All],3,FALSE)</f>
        <v>ENCARGOS</v>
      </c>
      <c r="D95" s="16" t="str">
        <f>VLOOKUP(mMAR[[#This Row],[DESCRIÇÃO CONTABIL]],Contas_Gerencial[[#All],[DESCRIÇÃO DA CONTA - NÃO UTILIZAR]:[Código2]],2,FALSE)</f>
        <v>20.04.006</v>
      </c>
      <c r="E95" s="712" t="s">
        <v>1180</v>
      </c>
      <c r="F95" s="712" t="s">
        <v>582</v>
      </c>
      <c r="G95" s="733" t="s">
        <v>653</v>
      </c>
      <c r="H95" s="712" t="s">
        <v>1180</v>
      </c>
      <c r="I95" s="716" t="s">
        <v>2065</v>
      </c>
      <c r="J95" s="711" t="s">
        <v>384</v>
      </c>
      <c r="K95" s="711" t="s">
        <v>1180</v>
      </c>
      <c r="L95" s="714" t="s">
        <v>2258</v>
      </c>
      <c r="M95" s="1271">
        <v>46081</v>
      </c>
      <c r="N95" s="715">
        <v>46101</v>
      </c>
      <c r="O95" s="715"/>
      <c r="P95" s="711" t="s">
        <v>1</v>
      </c>
      <c r="Q95" s="734">
        <v>377.86</v>
      </c>
      <c r="R95" s="735">
        <v>0</v>
      </c>
      <c r="S95" s="735">
        <v>0</v>
      </c>
      <c r="T95" s="65">
        <f>SUM(mMAR[[#This Row],[PRINCIPAL]:[JUROS]])</f>
        <v>377.86</v>
      </c>
      <c r="V95" s="1310"/>
    </row>
    <row r="96" spans="2:22" ht="21" customHeight="1">
      <c r="B96" s="83" t="str">
        <f t="shared" si="1"/>
        <v>3/26</v>
      </c>
      <c r="C96" s="5" t="str">
        <f>VLOOKUP(mMAR[[#This Row],[CÓDIGO CONTABIL]],Contas_Gerencial[#All],3,FALSE)</f>
        <v>ENCARGOS</v>
      </c>
      <c r="D96" s="16" t="str">
        <f>VLOOKUP(mMAR[[#This Row],[DESCRIÇÃO CONTABIL]],Contas_Gerencial[[#All],[DESCRIÇÃO DA CONTA - NÃO UTILIZAR]:[Código2]],2,FALSE)</f>
        <v>20.04.001</v>
      </c>
      <c r="E96" s="712" t="s">
        <v>2659</v>
      </c>
      <c r="F96" s="712" t="s">
        <v>582</v>
      </c>
      <c r="G96" s="712" t="s">
        <v>653</v>
      </c>
      <c r="H96" s="712" t="s">
        <v>1788</v>
      </c>
      <c r="I96" s="716" t="s">
        <v>2065</v>
      </c>
      <c r="J96" s="711" t="s">
        <v>757</v>
      </c>
      <c r="K96" s="711" t="s">
        <v>2089</v>
      </c>
      <c r="L96" s="714" t="s">
        <v>2258</v>
      </c>
      <c r="M96" s="1271">
        <v>46081</v>
      </c>
      <c r="N96" s="715">
        <v>46101</v>
      </c>
      <c r="O96" s="715"/>
      <c r="P96" s="960" t="s">
        <v>1</v>
      </c>
      <c r="Q96" s="737">
        <v>379.56</v>
      </c>
      <c r="R96" s="735">
        <v>0</v>
      </c>
      <c r="S96" s="735">
        <v>0</v>
      </c>
      <c r="T96" s="65">
        <f>SUM(mMAR[[#This Row],[PRINCIPAL]:[JUROS]])</f>
        <v>379.56</v>
      </c>
      <c r="V96" s="1310"/>
    </row>
    <row r="97" spans="2:22" ht="21" customHeight="1">
      <c r="B97" s="83" t="str">
        <f t="shared" si="1"/>
        <v>3/26</v>
      </c>
      <c r="C97" s="5" t="str">
        <f>VLOOKUP(mMAR[[#This Row],[CÓDIGO CONTABIL]],Contas_Gerencial[#All],3,FALSE)</f>
        <v>BENEFICIO</v>
      </c>
      <c r="D97" s="16" t="str">
        <f>VLOOKUP(mMAR[[#This Row],[DESCRIÇÃO CONTABIL]],Contas_Gerencial[[#All],[DESCRIÇÃO DA CONTA - NÃO UTILIZAR]:[Código2]],2,FALSE)</f>
        <v>20.05.006</v>
      </c>
      <c r="E97" s="733" t="s">
        <v>24</v>
      </c>
      <c r="F97" s="712" t="s">
        <v>582</v>
      </c>
      <c r="G97" s="712" t="s">
        <v>653</v>
      </c>
      <c r="H97" s="712" t="s">
        <v>1791</v>
      </c>
      <c r="I97" s="716" t="s">
        <v>2065</v>
      </c>
      <c r="J97" s="711" t="s">
        <v>582</v>
      </c>
      <c r="K97" s="711" t="s">
        <v>2590</v>
      </c>
      <c r="L97" s="729" t="s">
        <v>2591</v>
      </c>
      <c r="M97" s="1271">
        <v>46101</v>
      </c>
      <c r="N97" s="715">
        <v>46101</v>
      </c>
      <c r="O97" s="715"/>
      <c r="P97" s="712" t="s">
        <v>1</v>
      </c>
      <c r="Q97" s="730">
        <v>1298.6400000000001</v>
      </c>
      <c r="R97" s="730">
        <v>0</v>
      </c>
      <c r="S97" s="730">
        <v>0</v>
      </c>
      <c r="T97" s="65">
        <f>SUM(mMAR[[#This Row],[PRINCIPAL]:[JUROS]])</f>
        <v>1298.6400000000001</v>
      </c>
      <c r="V97" s="1310"/>
    </row>
    <row r="98" spans="2:22" ht="21" customHeight="1">
      <c r="B98" s="83" t="str">
        <f t="shared" si="1"/>
        <v>3/26</v>
      </c>
      <c r="C98" s="5" t="str">
        <f>VLOOKUP(mMAR[[#This Row],[CÓDIGO CONTABIL]],Contas_Gerencial[#All],3,FALSE)</f>
        <v>BENEFICIO</v>
      </c>
      <c r="D98" s="16" t="str">
        <f>VLOOKUP(mMAR[[#This Row],[DESCRIÇÃO CONTABIL]],Contas_Gerencial[[#All],[DESCRIÇÃO DA CONTA - NÃO UTILIZAR]:[Código2]],2,FALSE)</f>
        <v>20.05.007</v>
      </c>
      <c r="E98" s="733" t="s">
        <v>25</v>
      </c>
      <c r="F98" s="712" t="s">
        <v>582</v>
      </c>
      <c r="G98" s="712" t="s">
        <v>653</v>
      </c>
      <c r="H98" s="712" t="s">
        <v>1791</v>
      </c>
      <c r="I98" s="716" t="s">
        <v>2065</v>
      </c>
      <c r="J98" s="711" t="s">
        <v>582</v>
      </c>
      <c r="K98" s="711" t="s">
        <v>2590</v>
      </c>
      <c r="L98" s="729" t="s">
        <v>2591</v>
      </c>
      <c r="M98" s="1271">
        <v>46101</v>
      </c>
      <c r="N98" s="715">
        <v>46101</v>
      </c>
      <c r="O98" s="715"/>
      <c r="P98" s="712" t="s">
        <v>1</v>
      </c>
      <c r="Q98" s="730">
        <v>197.59999999999997</v>
      </c>
      <c r="R98" s="730">
        <v>0</v>
      </c>
      <c r="S98" s="730">
        <v>0</v>
      </c>
      <c r="T98" s="65">
        <f>SUM(mMAR[[#This Row],[PRINCIPAL]:[JUROS]])</f>
        <v>197.59999999999997</v>
      </c>
      <c r="V98" s="1310"/>
    </row>
    <row r="99" spans="2:22" ht="21" customHeight="1">
      <c r="B99" s="83" t="str">
        <f t="shared" si="1"/>
        <v>3/26</v>
      </c>
      <c r="C99" s="5" t="str">
        <f>VLOOKUP(mMAR[[#This Row],[CÓDIGO CONTABIL]],Contas_Gerencial[#All],3,FALSE)</f>
        <v>FOLHA DE PAGAMENTO</v>
      </c>
      <c r="D99" s="16" t="str">
        <f>VLOOKUP(mMAR[[#This Row],[DESCRIÇÃO CONTABIL]],Contas_Gerencial[[#All],[DESCRIÇÃO DA CONTA - NÃO UTILIZAR]:[Código2]],2,FALSE)</f>
        <v>20.05.021</v>
      </c>
      <c r="E99" s="712" t="s">
        <v>59</v>
      </c>
      <c r="F99" s="711" t="s">
        <v>581</v>
      </c>
      <c r="G99" s="711" t="s">
        <v>653</v>
      </c>
      <c r="H99" s="711" t="s">
        <v>1791</v>
      </c>
      <c r="I99" s="716" t="s">
        <v>2065</v>
      </c>
      <c r="J99" s="711" t="s">
        <v>581</v>
      </c>
      <c r="K99" s="711" t="s">
        <v>2145</v>
      </c>
      <c r="L99" s="714" t="s">
        <v>2258</v>
      </c>
      <c r="M99" s="1271">
        <v>46081</v>
      </c>
      <c r="N99" s="715">
        <v>46086</v>
      </c>
      <c r="O99" s="715">
        <v>46086</v>
      </c>
      <c r="P99" s="711" t="s">
        <v>1</v>
      </c>
      <c r="Q99" s="861">
        <v>3611.38</v>
      </c>
      <c r="R99" s="735">
        <v>0</v>
      </c>
      <c r="S99" s="735">
        <v>0</v>
      </c>
      <c r="T99" s="65">
        <f>SUM(mMAR[[#This Row],[PRINCIPAL]:[JUROS]])</f>
        <v>3611.38</v>
      </c>
      <c r="V99" s="1310"/>
    </row>
    <row r="100" spans="2:22" ht="21" customHeight="1">
      <c r="B100" s="83" t="str">
        <f t="shared" si="1"/>
        <v>3/26</v>
      </c>
      <c r="C100" s="5" t="str">
        <f>VLOOKUP(mMAR[[#This Row],[CÓDIGO CONTABIL]],Contas_Gerencial[#All],3,FALSE)</f>
        <v>ENCARGOS</v>
      </c>
      <c r="D100" s="16" t="str">
        <f>VLOOKUP(mMAR[[#This Row],[DESCRIÇÃO CONTABIL]],Contas_Gerencial[[#All],[DESCRIÇÃO DA CONTA - NÃO UTILIZAR]:[Código2]],2,FALSE)</f>
        <v>20.04.006</v>
      </c>
      <c r="E100" s="712" t="s">
        <v>1180</v>
      </c>
      <c r="F100" s="711" t="s">
        <v>581</v>
      </c>
      <c r="G100" s="711" t="s">
        <v>653</v>
      </c>
      <c r="H100" s="712" t="s">
        <v>1180</v>
      </c>
      <c r="I100" s="716">
        <v>158</v>
      </c>
      <c r="J100" s="711" t="s">
        <v>384</v>
      </c>
      <c r="K100" s="712" t="s">
        <v>1180</v>
      </c>
      <c r="L100" s="714" t="s">
        <v>2258</v>
      </c>
      <c r="M100" s="1271">
        <v>46081</v>
      </c>
      <c r="N100" s="715">
        <v>46101</v>
      </c>
      <c r="O100" s="715"/>
      <c r="P100" s="711" t="s">
        <v>1</v>
      </c>
      <c r="Q100" s="861">
        <v>345.3</v>
      </c>
      <c r="R100" s="735">
        <v>0</v>
      </c>
      <c r="S100" s="735">
        <v>0</v>
      </c>
      <c r="T100" s="65">
        <f>SUM(mMAR[[#This Row],[PRINCIPAL]:[JUROS]])</f>
        <v>345.3</v>
      </c>
      <c r="V100" s="1310"/>
    </row>
    <row r="101" spans="2:22" ht="21" customHeight="1">
      <c r="B101" s="83" t="str">
        <f t="shared" si="1"/>
        <v>3/26</v>
      </c>
      <c r="C101" s="5" t="str">
        <f>VLOOKUP(mMAR[[#This Row],[CÓDIGO CONTABIL]],Contas_Gerencial[#All],3,FALSE)</f>
        <v>ENCARGOS</v>
      </c>
      <c r="D101" s="16" t="str">
        <f>VLOOKUP(mMAR[[#This Row],[DESCRIÇÃO CONTABIL]],Contas_Gerencial[[#All],[DESCRIÇÃO DA CONTA - NÃO UTILIZAR]:[Código2]],2,FALSE)</f>
        <v>20.04.001</v>
      </c>
      <c r="E101" s="712" t="s">
        <v>2659</v>
      </c>
      <c r="F101" s="712" t="s">
        <v>581</v>
      </c>
      <c r="G101" s="711" t="s">
        <v>653</v>
      </c>
      <c r="H101" s="712" t="s">
        <v>1788</v>
      </c>
      <c r="I101" s="716">
        <v>158</v>
      </c>
      <c r="J101" s="711" t="s">
        <v>757</v>
      </c>
      <c r="K101" s="711" t="s">
        <v>2089</v>
      </c>
      <c r="L101" s="714" t="s">
        <v>2258</v>
      </c>
      <c r="M101" s="1271">
        <v>46081</v>
      </c>
      <c r="N101" s="715">
        <v>46101</v>
      </c>
      <c r="O101" s="715"/>
      <c r="P101" s="712" t="s">
        <v>1</v>
      </c>
      <c r="Q101" s="734">
        <v>339.84</v>
      </c>
      <c r="R101" s="735">
        <v>0</v>
      </c>
      <c r="S101" s="735">
        <v>0</v>
      </c>
      <c r="T101" s="65">
        <f>SUM(mMAR[[#This Row],[PRINCIPAL]:[JUROS]])</f>
        <v>339.84</v>
      </c>
      <c r="V101" s="1310"/>
    </row>
    <row r="102" spans="2:22" ht="21" customHeight="1">
      <c r="B102" s="83" t="str">
        <f t="shared" si="1"/>
        <v>3/26</v>
      </c>
      <c r="C102" s="5" t="str">
        <f>VLOOKUP(mMAR[[#This Row],[CÓDIGO CONTABIL]],Contas_Gerencial[#All],3,FALSE)</f>
        <v>BENEFICIO</v>
      </c>
      <c r="D102" s="16" t="str">
        <f>VLOOKUP(mMAR[[#This Row],[DESCRIÇÃO CONTABIL]],Contas_Gerencial[[#All],[DESCRIÇÃO DA CONTA - NÃO UTILIZAR]:[Código2]],2,FALSE)</f>
        <v>20.05.006</v>
      </c>
      <c r="E102" s="733" t="s">
        <v>24</v>
      </c>
      <c r="F102" s="712" t="s">
        <v>581</v>
      </c>
      <c r="G102" s="711" t="s">
        <v>653</v>
      </c>
      <c r="H102" s="712" t="s">
        <v>1791</v>
      </c>
      <c r="I102" s="716" t="s">
        <v>2065</v>
      </c>
      <c r="J102" s="711" t="s">
        <v>581</v>
      </c>
      <c r="K102" s="711" t="s">
        <v>2593</v>
      </c>
      <c r="L102" s="729" t="s">
        <v>2591</v>
      </c>
      <c r="M102" s="1271">
        <v>46101</v>
      </c>
      <c r="N102" s="715">
        <v>46101</v>
      </c>
      <c r="O102" s="715"/>
      <c r="P102" s="712" t="s">
        <v>1</v>
      </c>
      <c r="Q102" s="730">
        <v>1298.6400000000001</v>
      </c>
      <c r="R102" s="730">
        <v>0</v>
      </c>
      <c r="S102" s="730">
        <v>0</v>
      </c>
      <c r="T102" s="65">
        <f>SUM(mMAR[[#This Row],[PRINCIPAL]:[JUROS]])</f>
        <v>1298.6400000000001</v>
      </c>
      <c r="V102" s="1310"/>
    </row>
    <row r="103" spans="2:22" ht="21" customHeight="1">
      <c r="B103" s="83" t="str">
        <f t="shared" si="1"/>
        <v>3/26</v>
      </c>
      <c r="C103" s="5" t="str">
        <f>VLOOKUP(mMAR[[#This Row],[CÓDIGO CONTABIL]],Contas_Gerencial[#All],3,FALSE)</f>
        <v>BENEFICIO</v>
      </c>
      <c r="D103" s="16" t="str">
        <f>VLOOKUP(mMAR[[#This Row],[DESCRIÇÃO CONTABIL]],Contas_Gerencial[[#All],[DESCRIÇÃO DA CONTA - NÃO UTILIZAR]:[Código2]],2,FALSE)</f>
        <v>20.05.007</v>
      </c>
      <c r="E103" s="733" t="s">
        <v>25</v>
      </c>
      <c r="F103" s="712" t="s">
        <v>581</v>
      </c>
      <c r="G103" s="711" t="s">
        <v>653</v>
      </c>
      <c r="H103" s="712" t="s">
        <v>1791</v>
      </c>
      <c r="I103" s="716" t="s">
        <v>2065</v>
      </c>
      <c r="J103" s="711" t="s">
        <v>581</v>
      </c>
      <c r="K103" s="711" t="s">
        <v>2593</v>
      </c>
      <c r="L103" s="729" t="s">
        <v>2591</v>
      </c>
      <c r="M103" s="1271">
        <v>46101</v>
      </c>
      <c r="N103" s="715">
        <v>46101</v>
      </c>
      <c r="O103" s="715"/>
      <c r="P103" s="712" t="s">
        <v>1</v>
      </c>
      <c r="Q103" s="730">
        <v>182.39999999999998</v>
      </c>
      <c r="R103" s="730">
        <v>0</v>
      </c>
      <c r="S103" s="730">
        <v>0</v>
      </c>
      <c r="T103" s="65">
        <f>SUM(mMAR[[#This Row],[PRINCIPAL]:[JUROS]])</f>
        <v>182.39999999999998</v>
      </c>
      <c r="V103" s="1310"/>
    </row>
    <row r="104" spans="2:22" ht="21" customHeight="1">
      <c r="B104" s="83" t="str">
        <f t="shared" si="1"/>
        <v>3/26</v>
      </c>
      <c r="C104" s="5" t="str">
        <f>VLOOKUP(mMAR[[#This Row],[CÓDIGO CONTABIL]],Contas_Gerencial[#All],3,FALSE)</f>
        <v>RECEITA SUBCONTA</v>
      </c>
      <c r="D104" s="16" t="str">
        <f>VLOOKUP(mMAR[[#This Row],[DESCRIÇÃO CONTABIL]],Contas_Gerencial[[#All],[DESCRIÇÃO DA CONTA - NÃO UTILIZAR]:[Código2]],2,FALSE)</f>
        <v>10.01.001</v>
      </c>
      <c r="E104" s="485" t="s">
        <v>90</v>
      </c>
      <c r="F104" s="485" t="s">
        <v>582</v>
      </c>
      <c r="G104" s="486" t="s">
        <v>583</v>
      </c>
      <c r="H104" s="485" t="s">
        <v>1788</v>
      </c>
      <c r="I104" s="474" t="s">
        <v>2065</v>
      </c>
      <c r="J104" s="477" t="s">
        <v>582</v>
      </c>
      <c r="K104" s="477" t="s">
        <v>1792</v>
      </c>
      <c r="L104" s="475" t="s">
        <v>2258</v>
      </c>
      <c r="M104" s="1270">
        <v>46081</v>
      </c>
      <c r="N104" s="476">
        <v>46110</v>
      </c>
      <c r="O104" s="476"/>
      <c r="P104" s="867" t="s">
        <v>215</v>
      </c>
      <c r="Q104" s="738">
        <v>13744</v>
      </c>
      <c r="R104" s="487">
        <v>0</v>
      </c>
      <c r="S104" s="487">
        <v>0</v>
      </c>
      <c r="T104" s="65">
        <f>SUM(mMAR[[#This Row],[PRINCIPAL]:[JUROS]])</f>
        <v>13744</v>
      </c>
      <c r="V104" s="1310"/>
    </row>
    <row r="105" spans="2:22" ht="21" customHeight="1">
      <c r="B105" s="83" t="str">
        <f t="shared" si="1"/>
        <v>3/26</v>
      </c>
      <c r="C105" s="5" t="str">
        <f>VLOOKUP(mMAR[[#This Row],[CÓDIGO CONTABIL]],Contas_Gerencial[#All],3,FALSE)</f>
        <v>ENCARGOS</v>
      </c>
      <c r="D105" s="16" t="str">
        <f>VLOOKUP(mMAR[[#This Row],[DESCRIÇÃO CONTABIL]],Contas_Gerencial[[#All],[DESCRIÇÃO DA CONTA - NÃO UTILIZAR]:[Código2]],2,FALSE)</f>
        <v>20.04.004</v>
      </c>
      <c r="E105" s="712" t="s">
        <v>2651</v>
      </c>
      <c r="F105" s="712" t="s">
        <v>582</v>
      </c>
      <c r="G105" s="733" t="s">
        <v>583</v>
      </c>
      <c r="H105" s="712" t="s">
        <v>1788</v>
      </c>
      <c r="I105" s="716" t="s">
        <v>2065</v>
      </c>
      <c r="J105" s="711" t="s">
        <v>264</v>
      </c>
      <c r="K105" s="711" t="s">
        <v>2113</v>
      </c>
      <c r="L105" s="714" t="s">
        <v>2258</v>
      </c>
      <c r="M105" s="1271">
        <v>46081</v>
      </c>
      <c r="N105" s="715">
        <v>46101</v>
      </c>
      <c r="O105" s="715"/>
      <c r="P105" s="711" t="s">
        <v>214</v>
      </c>
      <c r="Q105" s="862">
        <v>684.59</v>
      </c>
      <c r="R105" s="735">
        <v>0</v>
      </c>
      <c r="S105" s="735">
        <v>0</v>
      </c>
      <c r="T105" s="65">
        <f>SUM(mMAR[[#This Row],[PRINCIPAL]:[JUROS]])</f>
        <v>684.59</v>
      </c>
      <c r="V105" s="1310"/>
    </row>
    <row r="106" spans="2:22" ht="21" customHeight="1">
      <c r="B106" s="83" t="str">
        <f t="shared" si="1"/>
        <v>3/26</v>
      </c>
      <c r="C106" s="5" t="str">
        <f>VLOOKUP(mMAR[[#This Row],[CÓDIGO CONTABIL]],Contas_Gerencial[#All],3,FALSE)</f>
        <v>TRIBUTOS</v>
      </c>
      <c r="D106" s="16" t="str">
        <f>VLOOKUP(mMAR[[#This Row],[DESCRIÇÃO CONTABIL]],Contas_Gerencial[[#All],[DESCRIÇÃO DA CONTA - NÃO UTILIZAR]:[Código2]],2,FALSE)</f>
        <v>20.08.004</v>
      </c>
      <c r="E106" s="712" t="s">
        <v>2648</v>
      </c>
      <c r="F106" s="712" t="s">
        <v>582</v>
      </c>
      <c r="G106" s="733" t="s">
        <v>583</v>
      </c>
      <c r="H106" s="712" t="s">
        <v>1788</v>
      </c>
      <c r="I106" s="716" t="s">
        <v>2065</v>
      </c>
      <c r="J106" s="711" t="s">
        <v>654</v>
      </c>
      <c r="K106" s="711" t="s">
        <v>2114</v>
      </c>
      <c r="L106" s="714" t="s">
        <v>2258</v>
      </c>
      <c r="M106" s="1271">
        <v>46081</v>
      </c>
      <c r="N106" s="715">
        <v>46101</v>
      </c>
      <c r="O106" s="1271">
        <v>46081</v>
      </c>
      <c r="P106" s="711" t="s">
        <v>214</v>
      </c>
      <c r="Q106" s="734">
        <v>456.3</v>
      </c>
      <c r="R106" s="735">
        <v>0</v>
      </c>
      <c r="S106" s="735">
        <v>0</v>
      </c>
      <c r="T106" s="65">
        <f>SUM(mMAR[[#This Row],[PRINCIPAL]:[JUROS]])</f>
        <v>456.3</v>
      </c>
      <c r="V106" s="1310"/>
    </row>
    <row r="107" spans="2:22" ht="21" customHeight="1">
      <c r="B107" s="83" t="str">
        <f t="shared" si="1"/>
        <v>3/26</v>
      </c>
      <c r="C107" s="5" t="str">
        <f>VLOOKUP(mMAR[[#This Row],[CÓDIGO CONTABIL]],Contas_Gerencial[#All],3,FALSE)</f>
        <v>TRIBUTOS</v>
      </c>
      <c r="D107" s="16" t="str">
        <f>VLOOKUP(mMAR[[#This Row],[DESCRIÇÃO CONTABIL]],Contas_Gerencial[[#All],[DESCRIÇÃO DA CONTA - NÃO UTILIZAR]:[Código2]],2,FALSE)</f>
        <v>20.08.001</v>
      </c>
      <c r="E107" s="712" t="s">
        <v>2112</v>
      </c>
      <c r="F107" s="712" t="s">
        <v>582</v>
      </c>
      <c r="G107" s="733" t="s">
        <v>583</v>
      </c>
      <c r="H107" s="712" t="s">
        <v>1788</v>
      </c>
      <c r="I107" s="716" t="s">
        <v>2065</v>
      </c>
      <c r="J107" s="711" t="s">
        <v>654</v>
      </c>
      <c r="K107" s="711" t="s">
        <v>1907</v>
      </c>
      <c r="L107" s="714" t="s">
        <v>2258</v>
      </c>
      <c r="M107" s="1271">
        <v>46081</v>
      </c>
      <c r="N107" s="715">
        <v>46101</v>
      </c>
      <c r="O107" s="1271">
        <v>46081</v>
      </c>
      <c r="P107" s="711" t="s">
        <v>214</v>
      </c>
      <c r="Q107" s="734">
        <v>0</v>
      </c>
      <c r="R107" s="735">
        <v>0</v>
      </c>
      <c r="S107" s="735">
        <v>0</v>
      </c>
      <c r="T107" s="65">
        <f>SUM(mMAR[[#This Row],[PRINCIPAL]:[JUROS]])</f>
        <v>0</v>
      </c>
      <c r="V107" s="1310"/>
    </row>
    <row r="108" spans="2:22" ht="21" customHeight="1">
      <c r="B108" s="83" t="str">
        <f t="shared" si="1"/>
        <v>3/26</v>
      </c>
      <c r="C108" s="5" t="str">
        <f>VLOOKUP(mMAR[[#This Row],[CÓDIGO CONTABIL]],Contas_Gerencial[#All],3,FALSE)</f>
        <v>TRIBUTOS</v>
      </c>
      <c r="D108" s="16" t="str">
        <f>VLOOKUP(mMAR[[#This Row],[DESCRIÇÃO CONTABIL]],Contas_Gerencial[[#All],[DESCRIÇÃO DA CONTA - NÃO UTILIZAR]:[Código2]],2,FALSE)</f>
        <v>20.08.002</v>
      </c>
      <c r="E108" s="712" t="s">
        <v>589</v>
      </c>
      <c r="F108" s="712" t="s">
        <v>582</v>
      </c>
      <c r="G108" s="733" t="s">
        <v>583</v>
      </c>
      <c r="H108" s="712" t="s">
        <v>1788</v>
      </c>
      <c r="I108" s="716" t="s">
        <v>2065</v>
      </c>
      <c r="J108" s="711" t="s">
        <v>654</v>
      </c>
      <c r="K108" s="711" t="s">
        <v>1907</v>
      </c>
      <c r="L108" s="714" t="s">
        <v>2258</v>
      </c>
      <c r="M108" s="1271">
        <v>46081</v>
      </c>
      <c r="N108" s="715">
        <v>46101</v>
      </c>
      <c r="O108" s="715"/>
      <c r="P108" s="711" t="s">
        <v>1</v>
      </c>
      <c r="Q108" s="861">
        <v>681.03210890250386</v>
      </c>
      <c r="R108" s="735">
        <v>0</v>
      </c>
      <c r="S108" s="735">
        <v>0</v>
      </c>
      <c r="T108" s="65">
        <f>SUM(mMAR[[#This Row],[PRINCIPAL]:[JUROS]])</f>
        <v>681.03210890250386</v>
      </c>
      <c r="V108" s="1310"/>
    </row>
    <row r="109" spans="2:22" ht="21" customHeight="1">
      <c r="B109" s="83" t="str">
        <f t="shared" si="1"/>
        <v>3/26</v>
      </c>
      <c r="C109" s="5" t="str">
        <f>VLOOKUP(mMAR[[#This Row],[CÓDIGO CONTABIL]],Contas_Gerencial[#All],3,FALSE)</f>
        <v>FOLHA DE PAGAMENTO</v>
      </c>
      <c r="D109" s="16" t="str">
        <f>VLOOKUP(mMAR[[#This Row],[DESCRIÇÃO CONTABIL]],Contas_Gerencial[[#All],[DESCRIÇÃO DA CONTA - NÃO UTILIZAR]:[Código2]],2,FALSE)</f>
        <v>20.05.021</v>
      </c>
      <c r="E109" s="712" t="s">
        <v>59</v>
      </c>
      <c r="F109" s="711" t="s">
        <v>582</v>
      </c>
      <c r="G109" s="733" t="s">
        <v>583</v>
      </c>
      <c r="H109" s="712" t="s">
        <v>1791</v>
      </c>
      <c r="I109" s="716" t="s">
        <v>2065</v>
      </c>
      <c r="J109" s="711" t="s">
        <v>582</v>
      </c>
      <c r="K109" s="712" t="s">
        <v>1793</v>
      </c>
      <c r="L109" s="714" t="s">
        <v>2258</v>
      </c>
      <c r="M109" s="1271">
        <v>46081</v>
      </c>
      <c r="N109" s="715">
        <v>46086</v>
      </c>
      <c r="O109" s="715"/>
      <c r="P109" s="711" t="s">
        <v>1</v>
      </c>
      <c r="Q109" s="1222">
        <v>3379.07</v>
      </c>
      <c r="R109" s="735">
        <v>0</v>
      </c>
      <c r="S109" s="735">
        <v>0</v>
      </c>
      <c r="T109" s="65">
        <f>SUM(mMAR[[#This Row],[PRINCIPAL]:[JUROS]])</f>
        <v>3379.07</v>
      </c>
      <c r="V109" s="1310"/>
    </row>
    <row r="110" spans="2:22" ht="21" customHeight="1">
      <c r="B110" s="83" t="str">
        <f t="shared" si="1"/>
        <v>3/26</v>
      </c>
      <c r="C110" s="5" t="str">
        <f>VLOOKUP(mMAR[[#This Row],[CÓDIGO CONTABIL]],Contas_Gerencial[#All],3,FALSE)</f>
        <v>ENCARGOS</v>
      </c>
      <c r="D110" s="16" t="str">
        <f>VLOOKUP(mMAR[[#This Row],[DESCRIÇÃO CONTABIL]],Contas_Gerencial[[#All],[DESCRIÇÃO DA CONTA - NÃO UTILIZAR]:[Código2]],2,FALSE)</f>
        <v>20.04.006</v>
      </c>
      <c r="E110" s="712" t="s">
        <v>1180</v>
      </c>
      <c r="F110" s="712" t="s">
        <v>582</v>
      </c>
      <c r="G110" s="733" t="s">
        <v>583</v>
      </c>
      <c r="H110" s="712" t="s">
        <v>1180</v>
      </c>
      <c r="I110" s="716" t="s">
        <v>2065</v>
      </c>
      <c r="J110" s="711" t="s">
        <v>384</v>
      </c>
      <c r="K110" s="711" t="s">
        <v>1180</v>
      </c>
      <c r="L110" s="714" t="s">
        <v>2258</v>
      </c>
      <c r="M110" s="1271">
        <v>46081</v>
      </c>
      <c r="N110" s="715">
        <v>46101</v>
      </c>
      <c r="O110" s="715"/>
      <c r="P110" s="711" t="s">
        <v>1</v>
      </c>
      <c r="Q110" s="1222">
        <v>342.74</v>
      </c>
      <c r="R110" s="735">
        <v>0</v>
      </c>
      <c r="S110" s="735">
        <v>0</v>
      </c>
      <c r="T110" s="65">
        <f>SUM(mMAR[[#This Row],[PRINCIPAL]:[JUROS]])</f>
        <v>342.74</v>
      </c>
      <c r="V110" s="1310"/>
    </row>
    <row r="111" spans="2:22" ht="21" customHeight="1">
      <c r="B111" s="83" t="str">
        <f t="shared" si="1"/>
        <v>3/26</v>
      </c>
      <c r="C111" s="5" t="str">
        <f>VLOOKUP(mMAR[[#This Row],[CÓDIGO CONTABIL]],Contas_Gerencial[#All],3,FALSE)</f>
        <v>ENCARGOS</v>
      </c>
      <c r="D111" s="16" t="str">
        <f>VLOOKUP(mMAR[[#This Row],[DESCRIÇÃO CONTABIL]],Contas_Gerencial[[#All],[DESCRIÇÃO DA CONTA - NÃO UTILIZAR]:[Código2]],2,FALSE)</f>
        <v>20.04.001</v>
      </c>
      <c r="E111" s="712" t="s">
        <v>2659</v>
      </c>
      <c r="F111" s="712" t="s">
        <v>582</v>
      </c>
      <c r="G111" s="712" t="s">
        <v>583</v>
      </c>
      <c r="H111" s="712" t="s">
        <v>1788</v>
      </c>
      <c r="I111" s="716" t="s">
        <v>2065</v>
      </c>
      <c r="J111" s="711" t="s">
        <v>757</v>
      </c>
      <c r="K111" s="711" t="s">
        <v>2089</v>
      </c>
      <c r="L111" s="714" t="s">
        <v>2258</v>
      </c>
      <c r="M111" s="1271">
        <v>46081</v>
      </c>
      <c r="N111" s="715">
        <v>46101</v>
      </c>
      <c r="O111" s="715"/>
      <c r="P111" s="960" t="s">
        <v>1</v>
      </c>
      <c r="Q111" s="1281">
        <f>171.47+168.58</f>
        <v>340.05</v>
      </c>
      <c r="R111" s="735">
        <v>0</v>
      </c>
      <c r="S111" s="735">
        <v>0</v>
      </c>
      <c r="T111" s="65">
        <f>SUM(mMAR[[#This Row],[PRINCIPAL]:[JUROS]])</f>
        <v>340.05</v>
      </c>
      <c r="V111" s="1310"/>
    </row>
    <row r="112" spans="2:22" ht="21" customHeight="1">
      <c r="B112" s="83" t="str">
        <f t="shared" si="1"/>
        <v>3/26</v>
      </c>
      <c r="C112" s="5" t="str">
        <f>VLOOKUP(mMAR[[#This Row],[CÓDIGO CONTABIL]],Contas_Gerencial[#All],3,FALSE)</f>
        <v>BENEFICIO</v>
      </c>
      <c r="D112" s="16" t="str">
        <f>VLOOKUP(mMAR[[#This Row],[DESCRIÇÃO CONTABIL]],Contas_Gerencial[[#All],[DESCRIÇÃO DA CONTA - NÃO UTILIZAR]:[Código2]],2,FALSE)</f>
        <v>20.05.006</v>
      </c>
      <c r="E112" s="733" t="s">
        <v>24</v>
      </c>
      <c r="F112" s="712" t="s">
        <v>582</v>
      </c>
      <c r="G112" s="712" t="s">
        <v>583</v>
      </c>
      <c r="H112" s="712" t="s">
        <v>1791</v>
      </c>
      <c r="I112" s="716" t="s">
        <v>2065</v>
      </c>
      <c r="J112" s="711" t="s">
        <v>582</v>
      </c>
      <c r="K112" s="711" t="s">
        <v>2590</v>
      </c>
      <c r="L112" s="729" t="s">
        <v>2591</v>
      </c>
      <c r="M112" s="1271">
        <v>46101</v>
      </c>
      <c r="N112" s="715">
        <v>46101</v>
      </c>
      <c r="O112" s="715"/>
      <c r="P112" s="712" t="s">
        <v>1</v>
      </c>
      <c r="Q112" s="730">
        <v>2179.86</v>
      </c>
      <c r="R112" s="730">
        <v>0</v>
      </c>
      <c r="S112" s="730">
        <v>0</v>
      </c>
      <c r="T112" s="65">
        <f>SUM(mMAR[[#This Row],[PRINCIPAL]:[JUROS]])</f>
        <v>2179.86</v>
      </c>
      <c r="V112" s="1310"/>
    </row>
    <row r="113" spans="2:22" ht="21" customHeight="1">
      <c r="B113" s="83" t="str">
        <f t="shared" si="1"/>
        <v>3/26</v>
      </c>
      <c r="C113" s="5" t="str">
        <f>VLOOKUP(mMAR[[#This Row],[CÓDIGO CONTABIL]],Contas_Gerencial[#All],3,FALSE)</f>
        <v>BENEFICIO</v>
      </c>
      <c r="D113" s="16" t="str">
        <f>VLOOKUP(mMAR[[#This Row],[DESCRIÇÃO CONTABIL]],Contas_Gerencial[[#All],[DESCRIÇÃO DA CONTA - NÃO UTILIZAR]:[Código2]],2,FALSE)</f>
        <v>20.05.007</v>
      </c>
      <c r="E113" s="733" t="s">
        <v>25</v>
      </c>
      <c r="F113" s="712" t="s">
        <v>582</v>
      </c>
      <c r="G113" s="712" t="s">
        <v>583</v>
      </c>
      <c r="H113" s="712" t="s">
        <v>1791</v>
      </c>
      <c r="I113" s="716" t="s">
        <v>2065</v>
      </c>
      <c r="J113" s="711" t="s">
        <v>582</v>
      </c>
      <c r="K113" s="711" t="s">
        <v>2590</v>
      </c>
      <c r="L113" s="729" t="s">
        <v>2591</v>
      </c>
      <c r="M113" s="1271">
        <v>46101</v>
      </c>
      <c r="N113" s="715">
        <v>46101</v>
      </c>
      <c r="O113" s="715"/>
      <c r="P113" s="712" t="s">
        <v>1</v>
      </c>
      <c r="Q113" s="730">
        <v>517</v>
      </c>
      <c r="R113" s="730">
        <v>0</v>
      </c>
      <c r="S113" s="730">
        <v>0</v>
      </c>
      <c r="T113" s="65">
        <f>SUM(mMAR[[#This Row],[PRINCIPAL]:[JUROS]])</f>
        <v>517</v>
      </c>
      <c r="V113" s="1310"/>
    </row>
    <row r="114" spans="2:22" ht="21" customHeight="1">
      <c r="B114" s="83" t="str">
        <f t="shared" si="1"/>
        <v>3/26</v>
      </c>
      <c r="C114" s="5" t="str">
        <f>VLOOKUP(mMAR[[#This Row],[CÓDIGO CONTABIL]],Contas_Gerencial[#All],3,FALSE)</f>
        <v>RECEITA SUBCONTA</v>
      </c>
      <c r="D114" s="16" t="str">
        <f>VLOOKUP(mMAR[[#This Row],[DESCRIÇÃO CONTABIL]],Contas_Gerencial[[#All],[DESCRIÇÃO DA CONTA - NÃO UTILIZAR]:[Código2]],2,FALSE)</f>
        <v>10.01.001</v>
      </c>
      <c r="E114" s="485" t="s">
        <v>90</v>
      </c>
      <c r="F114" s="485" t="s">
        <v>582</v>
      </c>
      <c r="G114" s="486" t="s">
        <v>638</v>
      </c>
      <c r="H114" s="485" t="s">
        <v>1788</v>
      </c>
      <c r="I114" s="474" t="s">
        <v>2065</v>
      </c>
      <c r="J114" s="477" t="s">
        <v>582</v>
      </c>
      <c r="K114" s="477" t="s">
        <v>1792</v>
      </c>
      <c r="L114" s="475" t="s">
        <v>2258</v>
      </c>
      <c r="M114" s="1270">
        <v>46081</v>
      </c>
      <c r="N114" s="476">
        <v>46086</v>
      </c>
      <c r="O114" s="476"/>
      <c r="P114" s="867" t="s">
        <v>215</v>
      </c>
      <c r="Q114" s="738">
        <v>6301</v>
      </c>
      <c r="R114" s="487">
        <v>0</v>
      </c>
      <c r="S114" s="487">
        <v>0</v>
      </c>
      <c r="T114" s="65">
        <f>SUM(mMAR[[#This Row],[PRINCIPAL]:[JUROS]])</f>
        <v>6301</v>
      </c>
      <c r="V114" s="1310"/>
    </row>
    <row r="115" spans="2:22" ht="21" customHeight="1">
      <c r="B115" s="83" t="str">
        <f t="shared" si="1"/>
        <v>3/26</v>
      </c>
      <c r="C115" s="5" t="str">
        <f>VLOOKUP(mMAR[[#This Row],[CÓDIGO CONTABIL]],Contas_Gerencial[#All],3,FALSE)</f>
        <v>ENCARGOS</v>
      </c>
      <c r="D115" s="16" t="str">
        <f>VLOOKUP(mMAR[[#This Row],[DESCRIÇÃO CONTABIL]],Contas_Gerencial[[#All],[DESCRIÇÃO DA CONTA - NÃO UTILIZAR]:[Código2]],2,FALSE)</f>
        <v>20.04.004</v>
      </c>
      <c r="E115" s="712" t="s">
        <v>2651</v>
      </c>
      <c r="F115" s="712" t="s">
        <v>582</v>
      </c>
      <c r="G115" s="733" t="s">
        <v>638</v>
      </c>
      <c r="H115" s="712" t="s">
        <v>1788</v>
      </c>
      <c r="I115" s="716" t="s">
        <v>2065</v>
      </c>
      <c r="J115" s="711" t="s">
        <v>264</v>
      </c>
      <c r="K115" s="711" t="s">
        <v>2113</v>
      </c>
      <c r="L115" s="714" t="s">
        <v>2258</v>
      </c>
      <c r="M115" s="1271">
        <v>46081</v>
      </c>
      <c r="N115" s="715">
        <v>46101</v>
      </c>
      <c r="O115" s="715"/>
      <c r="P115" s="711" t="s">
        <v>214</v>
      </c>
      <c r="Q115" s="862">
        <v>491.83</v>
      </c>
      <c r="R115" s="735">
        <v>0</v>
      </c>
      <c r="S115" s="735">
        <v>0</v>
      </c>
      <c r="T115" s="65">
        <f>SUM(mMAR[[#This Row],[PRINCIPAL]:[JUROS]])</f>
        <v>491.83</v>
      </c>
      <c r="V115" s="1310"/>
    </row>
    <row r="116" spans="2:22" ht="21" customHeight="1">
      <c r="B116" s="83" t="str">
        <f t="shared" si="1"/>
        <v>3/26</v>
      </c>
      <c r="C116" s="5" t="str">
        <f>VLOOKUP(mMAR[[#This Row],[CÓDIGO CONTABIL]],Contas_Gerencial[#All],3,FALSE)</f>
        <v>TRIBUTOS</v>
      </c>
      <c r="D116" s="16" t="str">
        <f>VLOOKUP(mMAR[[#This Row],[DESCRIÇÃO CONTABIL]],Contas_Gerencial[[#All],[DESCRIÇÃO DA CONTA - NÃO UTILIZAR]:[Código2]],2,FALSE)</f>
        <v>20.08.004</v>
      </c>
      <c r="E116" s="712" t="s">
        <v>2648</v>
      </c>
      <c r="F116" s="712" t="s">
        <v>582</v>
      </c>
      <c r="G116" s="733" t="s">
        <v>638</v>
      </c>
      <c r="H116" s="712" t="s">
        <v>1788</v>
      </c>
      <c r="I116" s="716" t="s">
        <v>2065</v>
      </c>
      <c r="J116" s="711" t="s">
        <v>654</v>
      </c>
      <c r="K116" s="711" t="s">
        <v>2114</v>
      </c>
      <c r="L116" s="714" t="s">
        <v>2258</v>
      </c>
      <c r="M116" s="1271">
        <v>46081</v>
      </c>
      <c r="N116" s="715">
        <v>46101</v>
      </c>
      <c r="O116" s="1271">
        <v>46081</v>
      </c>
      <c r="P116" s="711" t="s">
        <v>214</v>
      </c>
      <c r="Q116" s="734">
        <v>209.19</v>
      </c>
      <c r="R116" s="735">
        <v>0</v>
      </c>
      <c r="S116" s="735">
        <v>0</v>
      </c>
      <c r="T116" s="65">
        <f>SUM(mMAR[[#This Row],[PRINCIPAL]:[JUROS]])</f>
        <v>209.19</v>
      </c>
      <c r="V116" s="1310"/>
    </row>
    <row r="117" spans="2:22" ht="21" customHeight="1">
      <c r="B117" s="83" t="str">
        <f t="shared" si="1"/>
        <v>3/26</v>
      </c>
      <c r="C117" s="5" t="str">
        <f>VLOOKUP(mMAR[[#This Row],[CÓDIGO CONTABIL]],Contas_Gerencial[#All],3,FALSE)</f>
        <v>TRIBUTOS</v>
      </c>
      <c r="D117" s="16" t="str">
        <f>VLOOKUP(mMAR[[#This Row],[DESCRIÇÃO CONTABIL]],Contas_Gerencial[[#All],[DESCRIÇÃO DA CONTA - NÃO UTILIZAR]:[Código2]],2,FALSE)</f>
        <v>20.08.001</v>
      </c>
      <c r="E117" s="712" t="s">
        <v>2112</v>
      </c>
      <c r="F117" s="712" t="s">
        <v>582</v>
      </c>
      <c r="G117" s="733" t="s">
        <v>638</v>
      </c>
      <c r="H117" s="712" t="s">
        <v>1788</v>
      </c>
      <c r="I117" s="716" t="s">
        <v>2065</v>
      </c>
      <c r="J117" s="711" t="s">
        <v>654</v>
      </c>
      <c r="K117" s="711" t="s">
        <v>1907</v>
      </c>
      <c r="L117" s="714" t="s">
        <v>2258</v>
      </c>
      <c r="M117" s="1271">
        <v>46081</v>
      </c>
      <c r="N117" s="715">
        <v>46101</v>
      </c>
      <c r="O117" s="1271">
        <v>46081</v>
      </c>
      <c r="P117" s="711" t="s">
        <v>214</v>
      </c>
      <c r="Q117" s="734">
        <v>0</v>
      </c>
      <c r="R117" s="735">
        <v>0</v>
      </c>
      <c r="S117" s="735">
        <v>0</v>
      </c>
      <c r="T117" s="65">
        <f>SUM(mMAR[[#This Row],[PRINCIPAL]:[JUROS]])</f>
        <v>0</v>
      </c>
      <c r="V117" s="1310"/>
    </row>
    <row r="118" spans="2:22" ht="21" customHeight="1">
      <c r="B118" s="83" t="str">
        <f t="shared" si="1"/>
        <v>3/26</v>
      </c>
      <c r="C118" s="5" t="str">
        <f>VLOOKUP(mMAR[[#This Row],[CÓDIGO CONTABIL]],Contas_Gerencial[#All],3,FALSE)</f>
        <v>TRIBUTOS</v>
      </c>
      <c r="D118" s="16" t="str">
        <f>VLOOKUP(mMAR[[#This Row],[DESCRIÇÃO CONTABIL]],Contas_Gerencial[[#All],[DESCRIÇÃO DA CONTA - NÃO UTILIZAR]:[Código2]],2,FALSE)</f>
        <v>20.08.002</v>
      </c>
      <c r="E118" s="712" t="s">
        <v>589</v>
      </c>
      <c r="F118" s="712" t="s">
        <v>582</v>
      </c>
      <c r="G118" s="733" t="s">
        <v>638</v>
      </c>
      <c r="H118" s="712" t="s">
        <v>1788</v>
      </c>
      <c r="I118" s="716" t="s">
        <v>2065</v>
      </c>
      <c r="J118" s="711" t="s">
        <v>654</v>
      </c>
      <c r="K118" s="711" t="s">
        <v>1907</v>
      </c>
      <c r="L118" s="714" t="s">
        <v>2258</v>
      </c>
      <c r="M118" s="1271">
        <v>46081</v>
      </c>
      <c r="N118" s="715">
        <v>46101</v>
      </c>
      <c r="O118" s="715"/>
      <c r="P118" s="711" t="s">
        <v>1</v>
      </c>
      <c r="Q118" s="861">
        <v>312.22230196410635</v>
      </c>
      <c r="R118" s="735">
        <v>0</v>
      </c>
      <c r="S118" s="735">
        <v>0</v>
      </c>
      <c r="T118" s="65">
        <f>SUM(mMAR[[#This Row],[PRINCIPAL]:[JUROS]])</f>
        <v>312.22230196410635</v>
      </c>
      <c r="V118" s="1310"/>
    </row>
    <row r="119" spans="2:22" ht="21" customHeight="1">
      <c r="B119" s="83" t="str">
        <f t="shared" si="1"/>
        <v>3/26</v>
      </c>
      <c r="C119" s="5" t="str">
        <f>VLOOKUP(mMAR[[#This Row],[CÓDIGO CONTABIL]],Contas_Gerencial[#All],3,FALSE)</f>
        <v>FOLHA DE PAGAMENTO</v>
      </c>
      <c r="D119" s="16" t="str">
        <f>VLOOKUP(mMAR[[#This Row],[DESCRIÇÃO CONTABIL]],Contas_Gerencial[[#All],[DESCRIÇÃO DA CONTA - NÃO UTILIZAR]:[Código2]],2,FALSE)</f>
        <v>20.05.021</v>
      </c>
      <c r="E119" s="712" t="s">
        <v>59</v>
      </c>
      <c r="F119" s="711" t="s">
        <v>582</v>
      </c>
      <c r="G119" s="733" t="s">
        <v>638</v>
      </c>
      <c r="H119" s="712" t="s">
        <v>1791</v>
      </c>
      <c r="I119" s="716" t="s">
        <v>2065</v>
      </c>
      <c r="J119" s="711" t="s">
        <v>582</v>
      </c>
      <c r="K119" s="712" t="s">
        <v>1790</v>
      </c>
      <c r="L119" s="714" t="s">
        <v>2258</v>
      </c>
      <c r="M119" s="1271">
        <v>46081</v>
      </c>
      <c r="N119" s="715">
        <v>46086</v>
      </c>
      <c r="O119" s="715"/>
      <c r="P119" s="711" t="s">
        <v>1</v>
      </c>
      <c r="Q119" s="734">
        <v>1804.14</v>
      </c>
      <c r="R119" s="735">
        <v>0</v>
      </c>
      <c r="S119" s="735">
        <v>0</v>
      </c>
      <c r="T119" s="65">
        <f>SUM(mMAR[[#This Row],[PRINCIPAL]:[JUROS]])</f>
        <v>1804.14</v>
      </c>
      <c r="V119" s="1310"/>
    </row>
    <row r="120" spans="2:22" ht="21" customHeight="1">
      <c r="B120" s="83" t="str">
        <f t="shared" si="1"/>
        <v>3/26</v>
      </c>
      <c r="C120" s="5" t="str">
        <f>VLOOKUP(mMAR[[#This Row],[CÓDIGO CONTABIL]],Contas_Gerencial[#All],3,FALSE)</f>
        <v>ENCARGOS</v>
      </c>
      <c r="D120" s="16" t="str">
        <f>VLOOKUP(mMAR[[#This Row],[DESCRIÇÃO CONTABIL]],Contas_Gerencial[[#All],[DESCRIÇÃO DA CONTA - NÃO UTILIZAR]:[Código2]],2,FALSE)</f>
        <v>20.04.006</v>
      </c>
      <c r="E120" s="712" t="s">
        <v>1180</v>
      </c>
      <c r="F120" s="712" t="s">
        <v>582</v>
      </c>
      <c r="G120" s="733" t="s">
        <v>638</v>
      </c>
      <c r="H120" s="712" t="s">
        <v>1180</v>
      </c>
      <c r="I120" s="716" t="s">
        <v>2065</v>
      </c>
      <c r="J120" s="711" t="s">
        <v>384</v>
      </c>
      <c r="K120" s="711" t="s">
        <v>1180</v>
      </c>
      <c r="L120" s="714" t="s">
        <v>2258</v>
      </c>
      <c r="M120" s="1271">
        <v>46081</v>
      </c>
      <c r="N120" s="715">
        <v>46101</v>
      </c>
      <c r="O120" s="715"/>
      <c r="P120" s="711" t="s">
        <v>1</v>
      </c>
      <c r="Q120" s="734">
        <v>172.65</v>
      </c>
      <c r="R120" s="735">
        <v>0</v>
      </c>
      <c r="S120" s="735">
        <v>0</v>
      </c>
      <c r="T120" s="65">
        <f>SUM(mMAR[[#This Row],[PRINCIPAL]:[JUROS]])</f>
        <v>172.65</v>
      </c>
      <c r="V120" s="1310"/>
    </row>
    <row r="121" spans="2:22" ht="21" customHeight="1">
      <c r="B121" s="83" t="str">
        <f t="shared" si="1"/>
        <v>3/26</v>
      </c>
      <c r="C121" s="5" t="str">
        <f>VLOOKUP(mMAR[[#This Row],[CÓDIGO CONTABIL]],Contas_Gerencial[#All],3,FALSE)</f>
        <v>ENCARGOS</v>
      </c>
      <c r="D121" s="16" t="str">
        <f>VLOOKUP(mMAR[[#This Row],[DESCRIÇÃO CONTABIL]],Contas_Gerencial[[#All],[DESCRIÇÃO DA CONTA - NÃO UTILIZAR]:[Código2]],2,FALSE)</f>
        <v>20.04.001</v>
      </c>
      <c r="E121" s="712" t="s">
        <v>2659</v>
      </c>
      <c r="F121" s="712" t="s">
        <v>582</v>
      </c>
      <c r="G121" s="712" t="s">
        <v>638</v>
      </c>
      <c r="H121" s="712" t="s">
        <v>1788</v>
      </c>
      <c r="I121" s="716" t="s">
        <v>2065</v>
      </c>
      <c r="J121" s="711" t="s">
        <v>757</v>
      </c>
      <c r="K121" s="711" t="s">
        <v>2089</v>
      </c>
      <c r="L121" s="714" t="s">
        <v>2258</v>
      </c>
      <c r="M121" s="1271">
        <v>46081</v>
      </c>
      <c r="N121" s="715">
        <v>46101</v>
      </c>
      <c r="O121" s="715"/>
      <c r="P121" s="960" t="s">
        <v>1</v>
      </c>
      <c r="Q121" s="737">
        <v>171.47</v>
      </c>
      <c r="R121" s="735">
        <v>0</v>
      </c>
      <c r="S121" s="735">
        <v>0</v>
      </c>
      <c r="T121" s="65">
        <f>SUM(mMAR[[#This Row],[PRINCIPAL]:[JUROS]])</f>
        <v>171.47</v>
      </c>
      <c r="V121" s="1310"/>
    </row>
    <row r="122" spans="2:22" ht="21" customHeight="1">
      <c r="B122" s="83" t="str">
        <f t="shared" si="1"/>
        <v>3/26</v>
      </c>
      <c r="C122" s="5" t="str">
        <f>VLOOKUP(mMAR[[#This Row],[CÓDIGO CONTABIL]],Contas_Gerencial[#All],3,FALSE)</f>
        <v>BENEFICIO</v>
      </c>
      <c r="D122" s="16" t="str">
        <f>VLOOKUP(mMAR[[#This Row],[DESCRIÇÃO CONTABIL]],Contas_Gerencial[[#All],[DESCRIÇÃO DA CONTA - NÃO UTILIZAR]:[Código2]],2,FALSE)</f>
        <v>20.05.006</v>
      </c>
      <c r="E122" s="733" t="s">
        <v>24</v>
      </c>
      <c r="F122" s="712" t="s">
        <v>582</v>
      </c>
      <c r="G122" s="712" t="s">
        <v>638</v>
      </c>
      <c r="H122" s="712" t="s">
        <v>1791</v>
      </c>
      <c r="I122" s="716" t="s">
        <v>2065</v>
      </c>
      <c r="J122" s="711" t="s">
        <v>582</v>
      </c>
      <c r="K122" s="711" t="s">
        <v>2590</v>
      </c>
      <c r="L122" s="729" t="s">
        <v>2591</v>
      </c>
      <c r="M122" s="1271">
        <v>46101</v>
      </c>
      <c r="N122" s="715">
        <v>46101</v>
      </c>
      <c r="O122" s="715"/>
      <c r="P122" s="712" t="s">
        <v>1</v>
      </c>
      <c r="Q122" s="730">
        <v>1113.1200000000001</v>
      </c>
      <c r="R122" s="730">
        <v>0</v>
      </c>
      <c r="S122" s="730">
        <v>0</v>
      </c>
      <c r="T122" s="65">
        <f>SUM(mMAR[[#This Row],[PRINCIPAL]:[JUROS]])</f>
        <v>1113.1200000000001</v>
      </c>
      <c r="V122" s="1310"/>
    </row>
    <row r="123" spans="2:22" ht="21" customHeight="1">
      <c r="B123" s="83" t="str">
        <f t="shared" si="1"/>
        <v>3/26</v>
      </c>
      <c r="C123" s="5" t="str">
        <f>VLOOKUP(mMAR[[#This Row],[CÓDIGO CONTABIL]],Contas_Gerencial[#All],3,FALSE)</f>
        <v>BENEFICIO</v>
      </c>
      <c r="D123" s="16" t="str">
        <f>VLOOKUP(mMAR[[#This Row],[DESCRIÇÃO CONTABIL]],Contas_Gerencial[[#All],[DESCRIÇÃO DA CONTA - NÃO UTILIZAR]:[Código2]],2,FALSE)</f>
        <v>20.05.007</v>
      </c>
      <c r="E123" s="733" t="s">
        <v>25</v>
      </c>
      <c r="F123" s="712" t="s">
        <v>582</v>
      </c>
      <c r="G123" s="712" t="s">
        <v>638</v>
      </c>
      <c r="H123" s="712" t="s">
        <v>1791</v>
      </c>
      <c r="I123" s="716" t="s">
        <v>2065</v>
      </c>
      <c r="J123" s="711" t="s">
        <v>582</v>
      </c>
      <c r="K123" s="711" t="s">
        <v>2590</v>
      </c>
      <c r="L123" s="729" t="s">
        <v>2591</v>
      </c>
      <c r="M123" s="1271">
        <v>46101</v>
      </c>
      <c r="N123" s="715">
        <v>46101</v>
      </c>
      <c r="O123" s="715"/>
      <c r="P123" s="712" t="s">
        <v>1</v>
      </c>
      <c r="Q123" s="730">
        <v>264</v>
      </c>
      <c r="R123" s="730">
        <v>0</v>
      </c>
      <c r="S123" s="730">
        <v>0</v>
      </c>
      <c r="T123" s="65">
        <f>SUM(mMAR[[#This Row],[PRINCIPAL]:[JUROS]])</f>
        <v>264</v>
      </c>
      <c r="V123" s="1310"/>
    </row>
    <row r="124" spans="2:22" ht="21" customHeight="1">
      <c r="B124" s="83" t="str">
        <f t="shared" si="1"/>
        <v>3/26</v>
      </c>
      <c r="C124" s="5" t="str">
        <f>VLOOKUP(mMAR[[#This Row],[CÓDIGO CONTABIL]],Contas_Gerencial[#All],3,FALSE)</f>
        <v>RECEITA SUBCONTA</v>
      </c>
      <c r="D124" s="16" t="str">
        <f>VLOOKUP(mMAR[[#This Row],[DESCRIÇÃO CONTABIL]],Contas_Gerencial[[#All],[DESCRIÇÃO DA CONTA - NÃO UTILIZAR]:[Código2]],2,FALSE)</f>
        <v>10.01.001</v>
      </c>
      <c r="E124" s="485" t="s">
        <v>90</v>
      </c>
      <c r="F124" s="485" t="s">
        <v>582</v>
      </c>
      <c r="G124" s="486" t="s">
        <v>1082</v>
      </c>
      <c r="H124" s="485" t="s">
        <v>1788</v>
      </c>
      <c r="I124" s="474" t="s">
        <v>2065</v>
      </c>
      <c r="J124" s="477" t="s">
        <v>582</v>
      </c>
      <c r="K124" s="477" t="s">
        <v>1792</v>
      </c>
      <c r="L124" s="475" t="s">
        <v>2258</v>
      </c>
      <c r="M124" s="1270">
        <v>46081</v>
      </c>
      <c r="N124" s="476">
        <v>46096</v>
      </c>
      <c r="O124" s="476"/>
      <c r="P124" s="867" t="s">
        <v>215</v>
      </c>
      <c r="Q124" s="488">
        <v>6486</v>
      </c>
      <c r="R124" s="487">
        <v>0</v>
      </c>
      <c r="S124" s="487">
        <v>0</v>
      </c>
      <c r="T124" s="65">
        <f>SUM(mMAR[[#This Row],[PRINCIPAL]:[JUROS]])</f>
        <v>6486</v>
      </c>
      <c r="V124" s="1310"/>
    </row>
    <row r="125" spans="2:22" ht="21" customHeight="1">
      <c r="B125" s="83" t="str">
        <f t="shared" si="1"/>
        <v>3/26</v>
      </c>
      <c r="C125" s="5" t="str">
        <f>VLOOKUP(mMAR[[#This Row],[CÓDIGO CONTABIL]],Contas_Gerencial[#All],3,FALSE)</f>
        <v>ENCARGOS</v>
      </c>
      <c r="D125" s="16" t="str">
        <f>VLOOKUP(mMAR[[#This Row],[DESCRIÇÃO CONTABIL]],Contas_Gerencial[[#All],[DESCRIÇÃO DA CONTA - NÃO UTILIZAR]:[Código2]],2,FALSE)</f>
        <v>20.04.004</v>
      </c>
      <c r="E125" s="712" t="s">
        <v>2651</v>
      </c>
      <c r="F125" s="712" t="s">
        <v>582</v>
      </c>
      <c r="G125" s="733" t="s">
        <v>1082</v>
      </c>
      <c r="H125" s="712" t="s">
        <v>1788</v>
      </c>
      <c r="I125" s="716" t="s">
        <v>2065</v>
      </c>
      <c r="J125" s="711" t="s">
        <v>264</v>
      </c>
      <c r="K125" s="711" t="s">
        <v>2113</v>
      </c>
      <c r="L125" s="714" t="s">
        <v>2258</v>
      </c>
      <c r="M125" s="1271">
        <v>46081</v>
      </c>
      <c r="N125" s="715">
        <v>46101</v>
      </c>
      <c r="O125" s="715"/>
      <c r="P125" s="711" t="s">
        <v>214</v>
      </c>
      <c r="Q125" s="862">
        <v>349.09</v>
      </c>
      <c r="R125" s="735">
        <v>0</v>
      </c>
      <c r="S125" s="735">
        <v>0</v>
      </c>
      <c r="T125" s="65">
        <f>SUM(mMAR[[#This Row],[PRINCIPAL]:[JUROS]])</f>
        <v>349.09</v>
      </c>
      <c r="V125" s="1310"/>
    </row>
    <row r="126" spans="2:22" ht="21" customHeight="1">
      <c r="B126" s="83" t="str">
        <f t="shared" si="1"/>
        <v>3/26</v>
      </c>
      <c r="C126" s="5" t="str">
        <f>VLOOKUP(mMAR[[#This Row],[CÓDIGO CONTABIL]],Contas_Gerencial[#All],3,FALSE)</f>
        <v>TRIBUTOS</v>
      </c>
      <c r="D126" s="16" t="str">
        <f>VLOOKUP(mMAR[[#This Row],[DESCRIÇÃO CONTABIL]],Contas_Gerencial[[#All],[DESCRIÇÃO DA CONTA - NÃO UTILIZAR]:[Código2]],2,FALSE)</f>
        <v>20.08.004</v>
      </c>
      <c r="E126" s="712" t="s">
        <v>2648</v>
      </c>
      <c r="F126" s="712" t="s">
        <v>582</v>
      </c>
      <c r="G126" s="733" t="s">
        <v>1082</v>
      </c>
      <c r="H126" s="712" t="s">
        <v>1788</v>
      </c>
      <c r="I126" s="716" t="s">
        <v>2065</v>
      </c>
      <c r="J126" s="711" t="s">
        <v>654</v>
      </c>
      <c r="K126" s="711" t="s">
        <v>2114</v>
      </c>
      <c r="L126" s="714" t="s">
        <v>2258</v>
      </c>
      <c r="M126" s="1271">
        <v>46081</v>
      </c>
      <c r="N126" s="715">
        <v>46101</v>
      </c>
      <c r="O126" s="1271">
        <v>46081</v>
      </c>
      <c r="P126" s="711" t="s">
        <v>214</v>
      </c>
      <c r="Q126" s="734">
        <v>215.34</v>
      </c>
      <c r="R126" s="735">
        <v>0</v>
      </c>
      <c r="S126" s="735">
        <v>0</v>
      </c>
      <c r="T126" s="65">
        <f>SUM(mMAR[[#This Row],[PRINCIPAL]:[JUROS]])</f>
        <v>215.34</v>
      </c>
      <c r="V126" s="1310"/>
    </row>
    <row r="127" spans="2:22" ht="21" customHeight="1">
      <c r="B127" s="83" t="str">
        <f t="shared" si="1"/>
        <v>3/26</v>
      </c>
      <c r="C127" s="5" t="str">
        <f>VLOOKUP(mMAR[[#This Row],[CÓDIGO CONTABIL]],Contas_Gerencial[#All],3,FALSE)</f>
        <v>TRIBUTOS</v>
      </c>
      <c r="D127" s="16" t="str">
        <f>VLOOKUP(mMAR[[#This Row],[DESCRIÇÃO CONTABIL]],Contas_Gerencial[[#All],[DESCRIÇÃO DA CONTA - NÃO UTILIZAR]:[Código2]],2,FALSE)</f>
        <v>20.08.001</v>
      </c>
      <c r="E127" s="712" t="s">
        <v>2112</v>
      </c>
      <c r="F127" s="712" t="s">
        <v>582</v>
      </c>
      <c r="G127" s="733" t="s">
        <v>1082</v>
      </c>
      <c r="H127" s="712" t="s">
        <v>1788</v>
      </c>
      <c r="I127" s="716" t="s">
        <v>2065</v>
      </c>
      <c r="J127" s="711" t="s">
        <v>654</v>
      </c>
      <c r="K127" s="711" t="s">
        <v>1907</v>
      </c>
      <c r="L127" s="714" t="s">
        <v>2258</v>
      </c>
      <c r="M127" s="1271">
        <v>46081</v>
      </c>
      <c r="N127" s="715">
        <v>46101</v>
      </c>
      <c r="O127" s="1271">
        <v>46081</v>
      </c>
      <c r="P127" s="711" t="s">
        <v>214</v>
      </c>
      <c r="Q127" s="734">
        <v>0</v>
      </c>
      <c r="R127" s="735">
        <v>0</v>
      </c>
      <c r="S127" s="735">
        <v>0</v>
      </c>
      <c r="T127" s="65">
        <f>SUM(mMAR[[#This Row],[PRINCIPAL]:[JUROS]])</f>
        <v>0</v>
      </c>
      <c r="V127" s="1310"/>
    </row>
    <row r="128" spans="2:22" ht="21" customHeight="1">
      <c r="B128" s="83" t="str">
        <f t="shared" si="1"/>
        <v>3/26</v>
      </c>
      <c r="C128" s="5" t="str">
        <f>VLOOKUP(mMAR[[#This Row],[CÓDIGO CONTABIL]],Contas_Gerencial[#All],3,FALSE)</f>
        <v>TRIBUTOS</v>
      </c>
      <c r="D128" s="16" t="str">
        <f>VLOOKUP(mMAR[[#This Row],[DESCRIÇÃO CONTABIL]],Contas_Gerencial[[#All],[DESCRIÇÃO DA CONTA - NÃO UTILIZAR]:[Código2]],2,FALSE)</f>
        <v>20.08.002</v>
      </c>
      <c r="E128" s="712" t="s">
        <v>589</v>
      </c>
      <c r="F128" s="712" t="s">
        <v>582</v>
      </c>
      <c r="G128" s="733" t="s">
        <v>1082</v>
      </c>
      <c r="H128" s="712" t="s">
        <v>1788</v>
      </c>
      <c r="I128" s="716" t="s">
        <v>2065</v>
      </c>
      <c r="J128" s="711" t="s">
        <v>654</v>
      </c>
      <c r="K128" s="711" t="s">
        <v>1907</v>
      </c>
      <c r="L128" s="714" t="s">
        <v>2258</v>
      </c>
      <c r="M128" s="1271">
        <v>46081</v>
      </c>
      <c r="N128" s="715">
        <v>46101</v>
      </c>
      <c r="O128" s="715"/>
      <c r="P128" s="711" t="s">
        <v>1</v>
      </c>
      <c r="Q128" s="861">
        <v>321.38927956502039</v>
      </c>
      <c r="R128" s="735">
        <v>0</v>
      </c>
      <c r="S128" s="735">
        <v>0</v>
      </c>
      <c r="T128" s="65">
        <f>SUM(mMAR[[#This Row],[PRINCIPAL]:[JUROS]])</f>
        <v>321.38927956502039</v>
      </c>
      <c r="V128" s="1310"/>
    </row>
    <row r="129" spans="2:22" ht="21" customHeight="1">
      <c r="B129" s="83" t="str">
        <f t="shared" si="1"/>
        <v>3/26</v>
      </c>
      <c r="C129" s="5" t="str">
        <f>VLOOKUP(mMAR[[#This Row],[CÓDIGO CONTABIL]],Contas_Gerencial[#All],3,FALSE)</f>
        <v>FOLHA DE PAGAMENTO</v>
      </c>
      <c r="D129" s="16" t="str">
        <f>VLOOKUP(mMAR[[#This Row],[DESCRIÇÃO CONTABIL]],Contas_Gerencial[[#All],[DESCRIÇÃO DA CONTA - NÃO UTILIZAR]:[Código2]],2,FALSE)</f>
        <v>20.05.021</v>
      </c>
      <c r="E129" s="712" t="s">
        <v>59</v>
      </c>
      <c r="F129" s="711" t="s">
        <v>582</v>
      </c>
      <c r="G129" s="733" t="s">
        <v>1082</v>
      </c>
      <c r="H129" s="712" t="s">
        <v>1791</v>
      </c>
      <c r="I129" s="716" t="s">
        <v>2065</v>
      </c>
      <c r="J129" s="711" t="s">
        <v>582</v>
      </c>
      <c r="K129" s="712" t="s">
        <v>2063</v>
      </c>
      <c r="L129" s="714" t="s">
        <v>2258</v>
      </c>
      <c r="M129" s="1271">
        <v>46081</v>
      </c>
      <c r="N129" s="715">
        <v>46086</v>
      </c>
      <c r="O129" s="715"/>
      <c r="P129" s="711" t="s">
        <v>1</v>
      </c>
      <c r="Q129" s="734">
        <v>1804.14</v>
      </c>
      <c r="R129" s="735">
        <v>0</v>
      </c>
      <c r="S129" s="735">
        <v>0</v>
      </c>
      <c r="T129" s="65">
        <f>SUM(mMAR[[#This Row],[PRINCIPAL]:[JUROS]])</f>
        <v>1804.14</v>
      </c>
      <c r="V129" s="1310"/>
    </row>
    <row r="130" spans="2:22" ht="21" customHeight="1">
      <c r="B130" s="83" t="str">
        <f t="shared" si="1"/>
        <v>3/26</v>
      </c>
      <c r="C130" s="5" t="str">
        <f>VLOOKUP(mMAR[[#This Row],[CÓDIGO CONTABIL]],Contas_Gerencial[#All],3,FALSE)</f>
        <v>ENCARGOS</v>
      </c>
      <c r="D130" s="16" t="str">
        <f>VLOOKUP(mMAR[[#This Row],[DESCRIÇÃO CONTABIL]],Contas_Gerencial[[#All],[DESCRIÇÃO DA CONTA - NÃO UTILIZAR]:[Código2]],2,FALSE)</f>
        <v>20.04.006</v>
      </c>
      <c r="E130" s="712" t="s">
        <v>1180</v>
      </c>
      <c r="F130" s="712" t="s">
        <v>582</v>
      </c>
      <c r="G130" s="733" t="s">
        <v>1082</v>
      </c>
      <c r="H130" s="712" t="s">
        <v>1180</v>
      </c>
      <c r="I130" s="716" t="s">
        <v>2065</v>
      </c>
      <c r="J130" s="711" t="s">
        <v>384</v>
      </c>
      <c r="K130" s="711" t="s">
        <v>1180</v>
      </c>
      <c r="L130" s="714" t="s">
        <v>2258</v>
      </c>
      <c r="M130" s="1271">
        <v>46081</v>
      </c>
      <c r="N130" s="715">
        <v>46101</v>
      </c>
      <c r="O130" s="715"/>
      <c r="P130" s="711" t="s">
        <v>1</v>
      </c>
      <c r="Q130" s="734">
        <v>172.65</v>
      </c>
      <c r="R130" s="735">
        <v>0</v>
      </c>
      <c r="S130" s="735">
        <v>0</v>
      </c>
      <c r="T130" s="65">
        <f>SUM(mMAR[[#This Row],[PRINCIPAL]:[JUROS]])</f>
        <v>172.65</v>
      </c>
      <c r="V130" s="1310"/>
    </row>
    <row r="131" spans="2:22" ht="21" customHeight="1">
      <c r="B131" s="83" t="str">
        <f t="shared" si="1"/>
        <v>3/26</v>
      </c>
      <c r="C131" s="5" t="str">
        <f>VLOOKUP(mMAR[[#This Row],[CÓDIGO CONTABIL]],Contas_Gerencial[#All],3,FALSE)</f>
        <v>ENCARGOS</v>
      </c>
      <c r="D131" s="16" t="str">
        <f>VLOOKUP(mMAR[[#This Row],[DESCRIÇÃO CONTABIL]],Contas_Gerencial[[#All],[DESCRIÇÃO DA CONTA - NÃO UTILIZAR]:[Código2]],2,FALSE)</f>
        <v>20.04.001</v>
      </c>
      <c r="E131" s="712" t="s">
        <v>2659</v>
      </c>
      <c r="F131" s="712" t="s">
        <v>582</v>
      </c>
      <c r="G131" s="712" t="s">
        <v>1082</v>
      </c>
      <c r="H131" s="712" t="s">
        <v>1788</v>
      </c>
      <c r="I131" s="716" t="s">
        <v>2065</v>
      </c>
      <c r="J131" s="711" t="s">
        <v>757</v>
      </c>
      <c r="K131" s="711" t="s">
        <v>2089</v>
      </c>
      <c r="L131" s="714" t="s">
        <v>2258</v>
      </c>
      <c r="M131" s="1271">
        <v>46081</v>
      </c>
      <c r="N131" s="715">
        <v>46101</v>
      </c>
      <c r="O131" s="715"/>
      <c r="P131" s="960" t="s">
        <v>1</v>
      </c>
      <c r="Q131" s="737">
        <v>171.47</v>
      </c>
      <c r="R131" s="735">
        <v>0</v>
      </c>
      <c r="S131" s="735">
        <v>0</v>
      </c>
      <c r="T131" s="65">
        <f>SUM(mMAR[[#This Row],[PRINCIPAL]:[JUROS]])</f>
        <v>171.47</v>
      </c>
      <c r="V131" s="1310"/>
    </row>
    <row r="132" spans="2:22" ht="21" customHeight="1">
      <c r="B132" s="83" t="str">
        <f t="shared" si="1"/>
        <v>3/26</v>
      </c>
      <c r="C132" s="5" t="str">
        <f>VLOOKUP(mMAR[[#This Row],[CÓDIGO CONTABIL]],Contas_Gerencial[#All],3,FALSE)</f>
        <v>BENEFICIO</v>
      </c>
      <c r="D132" s="16" t="str">
        <f>VLOOKUP(mMAR[[#This Row],[DESCRIÇÃO CONTABIL]],Contas_Gerencial[[#All],[DESCRIÇÃO DA CONTA - NÃO UTILIZAR]:[Código2]],2,FALSE)</f>
        <v>20.05.006</v>
      </c>
      <c r="E132" s="733" t="s">
        <v>24</v>
      </c>
      <c r="F132" s="712" t="s">
        <v>582</v>
      </c>
      <c r="G132" s="733" t="s">
        <v>1082</v>
      </c>
      <c r="H132" s="712" t="s">
        <v>1791</v>
      </c>
      <c r="I132" s="716" t="s">
        <v>2065</v>
      </c>
      <c r="J132" s="711" t="s">
        <v>581</v>
      </c>
      <c r="K132" s="711" t="s">
        <v>2590</v>
      </c>
      <c r="L132" s="729" t="s">
        <v>2591</v>
      </c>
      <c r="M132" s="1271">
        <v>46101</v>
      </c>
      <c r="N132" s="715">
        <v>46101</v>
      </c>
      <c r="O132" s="715"/>
      <c r="P132" s="712" t="s">
        <v>1</v>
      </c>
      <c r="Q132" s="730">
        <v>1066.74</v>
      </c>
      <c r="R132" s="730">
        <v>0</v>
      </c>
      <c r="S132" s="730">
        <v>0</v>
      </c>
      <c r="T132" s="65">
        <f>SUM(mMAR[[#This Row],[PRINCIPAL]:[JUROS]])</f>
        <v>1066.74</v>
      </c>
      <c r="V132" s="1310"/>
    </row>
    <row r="133" spans="2:22" ht="21" customHeight="1">
      <c r="B133" s="83" t="str">
        <f t="shared" si="1"/>
        <v>3/26</v>
      </c>
      <c r="C133" s="5" t="str">
        <f>VLOOKUP(mMAR[[#This Row],[CÓDIGO CONTABIL]],Contas_Gerencial[#All],3,FALSE)</f>
        <v>BENEFICIO</v>
      </c>
      <c r="D133" s="16" t="str">
        <f>VLOOKUP(mMAR[[#This Row],[DESCRIÇÃO CONTABIL]],Contas_Gerencial[[#All],[DESCRIÇÃO DA CONTA - NÃO UTILIZAR]:[Código2]],2,FALSE)</f>
        <v>20.05.007</v>
      </c>
      <c r="E133" s="733" t="s">
        <v>25</v>
      </c>
      <c r="F133" s="712" t="s">
        <v>582</v>
      </c>
      <c r="G133" s="733" t="s">
        <v>1082</v>
      </c>
      <c r="H133" s="712" t="s">
        <v>1791</v>
      </c>
      <c r="I133" s="716" t="s">
        <v>2065</v>
      </c>
      <c r="J133" s="711" t="s">
        <v>581</v>
      </c>
      <c r="K133" s="711" t="s">
        <v>2590</v>
      </c>
      <c r="L133" s="729" t="s">
        <v>2591</v>
      </c>
      <c r="M133" s="1271">
        <v>46101</v>
      </c>
      <c r="N133" s="715">
        <v>46101</v>
      </c>
      <c r="O133" s="715"/>
      <c r="P133" s="712" t="s">
        <v>1</v>
      </c>
      <c r="Q133" s="730">
        <v>453.09999999999985</v>
      </c>
      <c r="R133" s="730">
        <v>0</v>
      </c>
      <c r="S133" s="730">
        <v>0</v>
      </c>
      <c r="T133" s="65">
        <f>SUM(mMAR[[#This Row],[PRINCIPAL]:[JUROS]])</f>
        <v>453.09999999999985</v>
      </c>
      <c r="V133" s="1310"/>
    </row>
    <row r="134" spans="2:22" ht="21" customHeight="1">
      <c r="B134" s="83" t="str">
        <f t="shared" si="1"/>
        <v>3/26</v>
      </c>
      <c r="C134" s="5" t="str">
        <f>VLOOKUP(mMAR[[#This Row],[CÓDIGO CONTABIL]],Contas_Gerencial[#All],3,FALSE)</f>
        <v>RECEITA SUBCONTA</v>
      </c>
      <c r="D134" s="16" t="str">
        <f>VLOOKUP(mMAR[[#This Row],[DESCRIÇÃO CONTABIL]],Contas_Gerencial[[#All],[DESCRIÇÃO DA CONTA - NÃO UTILIZAR]:[Código2]],2,FALSE)</f>
        <v>10.01.001</v>
      </c>
      <c r="E134" s="485" t="s">
        <v>90</v>
      </c>
      <c r="F134" s="485" t="s">
        <v>581</v>
      </c>
      <c r="G134" s="486" t="s">
        <v>595</v>
      </c>
      <c r="H134" s="485" t="s">
        <v>1788</v>
      </c>
      <c r="I134" s="474">
        <v>0</v>
      </c>
      <c r="J134" s="477" t="s">
        <v>581</v>
      </c>
      <c r="K134" s="477" t="s">
        <v>1792</v>
      </c>
      <c r="L134" s="475" t="s">
        <v>2258</v>
      </c>
      <c r="M134" s="1270">
        <v>46081</v>
      </c>
      <c r="N134" s="476">
        <v>46086</v>
      </c>
      <c r="O134" s="476"/>
      <c r="P134" s="452" t="s">
        <v>215</v>
      </c>
      <c r="Q134" s="488">
        <v>0</v>
      </c>
      <c r="R134" s="487">
        <v>0</v>
      </c>
      <c r="S134" s="487">
        <v>0</v>
      </c>
      <c r="T134" s="65">
        <f>SUM(mMAR[[#This Row],[PRINCIPAL]:[JUROS]])</f>
        <v>0</v>
      </c>
      <c r="V134" s="1310"/>
    </row>
    <row r="135" spans="2:22" ht="21" customHeight="1">
      <c r="B135" s="83" t="str">
        <f t="shared" si="1"/>
        <v>3/26</v>
      </c>
      <c r="C135" s="5" t="str">
        <f>VLOOKUP(mMAR[[#This Row],[CÓDIGO CONTABIL]],Contas_Gerencial[#All],3,FALSE)</f>
        <v>FOLHA DE PAGAMENTO</v>
      </c>
      <c r="D135" s="16" t="str">
        <f>VLOOKUP(mMAR[[#This Row],[DESCRIÇÃO CONTABIL]],Contas_Gerencial[[#All],[DESCRIÇÃO DA CONTA - NÃO UTILIZAR]:[Código2]],2,FALSE)</f>
        <v>20.05.021</v>
      </c>
      <c r="E135" s="712" t="s">
        <v>59</v>
      </c>
      <c r="F135" s="712" t="s">
        <v>581</v>
      </c>
      <c r="G135" s="733" t="s">
        <v>595</v>
      </c>
      <c r="H135" s="712" t="s">
        <v>1791</v>
      </c>
      <c r="I135" s="716">
        <v>0</v>
      </c>
      <c r="J135" s="711" t="s">
        <v>581</v>
      </c>
      <c r="K135" s="711" t="s">
        <v>1973</v>
      </c>
      <c r="L135" s="714" t="s">
        <v>2258</v>
      </c>
      <c r="M135" s="1271">
        <v>46081</v>
      </c>
      <c r="N135" s="715">
        <v>46086</v>
      </c>
      <c r="O135" s="715">
        <v>46086</v>
      </c>
      <c r="P135" s="711" t="s">
        <v>1</v>
      </c>
      <c r="Q135" s="861">
        <v>4705.1899999999996</v>
      </c>
      <c r="R135" s="735">
        <v>0</v>
      </c>
      <c r="S135" s="735">
        <v>0</v>
      </c>
      <c r="T135" s="65">
        <f>SUM(mMAR[[#This Row],[PRINCIPAL]:[JUROS]])</f>
        <v>4705.1899999999996</v>
      </c>
      <c r="V135" s="1310"/>
    </row>
    <row r="136" spans="2:22" ht="21" customHeight="1">
      <c r="B136" s="83" t="str">
        <f t="shared" si="1"/>
        <v>3/26</v>
      </c>
      <c r="C136" s="5" t="str">
        <f>VLOOKUP(mMAR[[#This Row],[CÓDIGO CONTABIL]],Contas_Gerencial[#All],3,FALSE)</f>
        <v>ENCARGOS</v>
      </c>
      <c r="D136" s="16" t="str">
        <f>VLOOKUP(mMAR[[#This Row],[DESCRIÇÃO CONTABIL]],Contas_Gerencial[[#All],[DESCRIÇÃO DA CONTA - NÃO UTILIZAR]:[Código2]],2,FALSE)</f>
        <v>20.04.006</v>
      </c>
      <c r="E136" s="712" t="s">
        <v>1180</v>
      </c>
      <c r="F136" s="711" t="s">
        <v>581</v>
      </c>
      <c r="G136" s="733" t="s">
        <v>595</v>
      </c>
      <c r="H136" s="712" t="s">
        <v>1180</v>
      </c>
      <c r="I136" s="716">
        <v>0</v>
      </c>
      <c r="J136" s="711" t="s">
        <v>384</v>
      </c>
      <c r="K136" s="712" t="s">
        <v>1180</v>
      </c>
      <c r="L136" s="714" t="s">
        <v>2258</v>
      </c>
      <c r="M136" s="1271">
        <v>46081</v>
      </c>
      <c r="N136" s="715">
        <v>46101</v>
      </c>
      <c r="O136" s="715"/>
      <c r="P136" s="711" t="s">
        <v>1</v>
      </c>
      <c r="Q136" s="734">
        <v>296.12</v>
      </c>
      <c r="R136" s="735">
        <v>0</v>
      </c>
      <c r="S136" s="735">
        <v>0</v>
      </c>
      <c r="T136" s="65">
        <f>SUM(mMAR[[#This Row],[PRINCIPAL]:[JUROS]])</f>
        <v>296.12</v>
      </c>
      <c r="V136" s="1310"/>
    </row>
    <row r="137" spans="2:22" ht="21" customHeight="1">
      <c r="B137" s="83" t="str">
        <f t="shared" ref="B137:B200" si="2">B136</f>
        <v>3/26</v>
      </c>
      <c r="C137" s="5" t="str">
        <f>VLOOKUP(mMAR[[#This Row],[CÓDIGO CONTABIL]],Contas_Gerencial[#All],3,FALSE)</f>
        <v>ENCARGOS</v>
      </c>
      <c r="D137" s="16" t="str">
        <f>VLOOKUP(mMAR[[#This Row],[DESCRIÇÃO CONTABIL]],Contas_Gerencial[[#All],[DESCRIÇÃO DA CONTA - NÃO UTILIZAR]:[Código2]],2,FALSE)</f>
        <v>20.04.001</v>
      </c>
      <c r="E137" s="712" t="s">
        <v>2659</v>
      </c>
      <c r="F137" s="712" t="s">
        <v>581</v>
      </c>
      <c r="G137" s="733" t="s">
        <v>595</v>
      </c>
      <c r="H137" s="712" t="s">
        <v>1788</v>
      </c>
      <c r="I137" s="716">
        <v>0</v>
      </c>
      <c r="J137" s="711" t="s">
        <v>757</v>
      </c>
      <c r="K137" s="711" t="s">
        <v>2089</v>
      </c>
      <c r="L137" s="714" t="s">
        <v>2258</v>
      </c>
      <c r="M137" s="1271">
        <v>46081</v>
      </c>
      <c r="N137" s="715">
        <v>46101</v>
      </c>
      <c r="O137" s="715"/>
      <c r="P137" s="712" t="s">
        <v>1</v>
      </c>
      <c r="Q137" s="734">
        <v>511.08</v>
      </c>
      <c r="R137" s="735">
        <v>0</v>
      </c>
      <c r="S137" s="735">
        <v>0</v>
      </c>
      <c r="T137" s="65">
        <f>SUM(mMAR[[#This Row],[PRINCIPAL]:[JUROS]])</f>
        <v>511.08</v>
      </c>
      <c r="V137" s="1310"/>
    </row>
    <row r="138" spans="2:22" ht="21" customHeight="1">
      <c r="B138" s="83" t="str">
        <f t="shared" si="2"/>
        <v>3/26</v>
      </c>
      <c r="C138" s="5" t="str">
        <f>VLOOKUP(mMAR[[#This Row],[CÓDIGO CONTABIL]],Contas_Gerencial[#All],3,FALSE)</f>
        <v>BENEFICIO</v>
      </c>
      <c r="D138" s="16" t="str">
        <f>VLOOKUP(mMAR[[#This Row],[DESCRIÇÃO CONTABIL]],Contas_Gerencial[[#All],[DESCRIÇÃO DA CONTA - NÃO UTILIZAR]:[Código2]],2,FALSE)</f>
        <v>20.05.006</v>
      </c>
      <c r="E138" s="733" t="s">
        <v>24</v>
      </c>
      <c r="F138" s="712" t="s">
        <v>581</v>
      </c>
      <c r="G138" s="733" t="s">
        <v>595</v>
      </c>
      <c r="H138" s="712" t="s">
        <v>1791</v>
      </c>
      <c r="I138" s="716" t="s">
        <v>2065</v>
      </c>
      <c r="J138" s="711" t="s">
        <v>581</v>
      </c>
      <c r="K138" s="711" t="s">
        <v>2590</v>
      </c>
      <c r="L138" s="729" t="s">
        <v>2591</v>
      </c>
      <c r="M138" s="1271">
        <v>46101</v>
      </c>
      <c r="N138" s="715">
        <v>46101</v>
      </c>
      <c r="O138" s="715"/>
      <c r="P138" s="712" t="s">
        <v>1</v>
      </c>
      <c r="Q138" s="730">
        <v>2226.2400000000002</v>
      </c>
      <c r="R138" s="730">
        <v>0</v>
      </c>
      <c r="S138" s="730">
        <v>0</v>
      </c>
      <c r="T138" s="65">
        <f>SUM(mMAR[[#This Row],[PRINCIPAL]:[JUROS]])</f>
        <v>2226.2400000000002</v>
      </c>
      <c r="V138" s="1310"/>
    </row>
    <row r="139" spans="2:22" ht="21" customHeight="1">
      <c r="B139" s="83" t="str">
        <f t="shared" si="2"/>
        <v>3/26</v>
      </c>
      <c r="C139" s="5" t="str">
        <f>VLOOKUP(mMAR[[#This Row],[CÓDIGO CONTABIL]],Contas_Gerencial[#All],3,FALSE)</f>
        <v>BENEFICIO</v>
      </c>
      <c r="D139" s="16" t="str">
        <f>VLOOKUP(mMAR[[#This Row],[DESCRIÇÃO CONTABIL]],Contas_Gerencial[[#All],[DESCRIÇÃO DA CONTA - NÃO UTILIZAR]:[Código2]],2,FALSE)</f>
        <v>20.05.007</v>
      </c>
      <c r="E139" s="733" t="s">
        <v>25</v>
      </c>
      <c r="F139" s="712" t="s">
        <v>581</v>
      </c>
      <c r="G139" s="733" t="s">
        <v>595</v>
      </c>
      <c r="H139" s="712" t="s">
        <v>1791</v>
      </c>
      <c r="I139" s="716" t="s">
        <v>2065</v>
      </c>
      <c r="J139" s="711" t="s">
        <v>581</v>
      </c>
      <c r="K139" s="711" t="s">
        <v>2590</v>
      </c>
      <c r="L139" s="729" t="s">
        <v>2591</v>
      </c>
      <c r="M139" s="1271">
        <v>46101</v>
      </c>
      <c r="N139" s="715">
        <v>46101</v>
      </c>
      <c r="O139" s="715"/>
      <c r="P139" s="712" t="s">
        <v>1</v>
      </c>
      <c r="Q139" s="730">
        <v>528</v>
      </c>
      <c r="R139" s="730">
        <v>0</v>
      </c>
      <c r="S139" s="730">
        <v>0</v>
      </c>
      <c r="T139" s="65">
        <f>SUM(mMAR[[#This Row],[PRINCIPAL]:[JUROS]])</f>
        <v>528</v>
      </c>
      <c r="V139" s="1310"/>
    </row>
    <row r="140" spans="2:22" ht="21" customHeight="1">
      <c r="B140" s="83" t="str">
        <f t="shared" si="2"/>
        <v>3/26</v>
      </c>
      <c r="C140" s="5" t="str">
        <f>VLOOKUP(mMAR[[#This Row],[CÓDIGO CONTABIL]],Contas_Gerencial[#All],3,FALSE)</f>
        <v>RECEITA SUBCONTA</v>
      </c>
      <c r="D140" s="16" t="str">
        <f>VLOOKUP(mMAR[[#This Row],[DESCRIÇÃO CONTABIL]],Contas_Gerencial[[#All],[DESCRIÇÃO DA CONTA - NÃO UTILIZAR]:[Código2]],2,FALSE)</f>
        <v>10.01.001</v>
      </c>
      <c r="E140" s="485" t="s">
        <v>90</v>
      </c>
      <c r="F140" s="485" t="s">
        <v>581</v>
      </c>
      <c r="G140" s="486" t="s">
        <v>1130</v>
      </c>
      <c r="H140" s="485" t="s">
        <v>1788</v>
      </c>
      <c r="I140" s="474" t="s">
        <v>2065</v>
      </c>
      <c r="J140" s="477" t="s">
        <v>581</v>
      </c>
      <c r="K140" s="477" t="s">
        <v>1792</v>
      </c>
      <c r="L140" s="475" t="s">
        <v>2258</v>
      </c>
      <c r="M140" s="1270">
        <v>46081</v>
      </c>
      <c r="N140" s="476">
        <v>46086</v>
      </c>
      <c r="O140" s="476"/>
      <c r="P140" s="452" t="s">
        <v>215</v>
      </c>
      <c r="Q140" s="488">
        <v>0</v>
      </c>
      <c r="R140" s="487">
        <v>0</v>
      </c>
      <c r="S140" s="487">
        <v>0</v>
      </c>
      <c r="T140" s="65">
        <f>SUM(mMAR[[#This Row],[PRINCIPAL]:[JUROS]])</f>
        <v>0</v>
      </c>
      <c r="V140" s="1310"/>
    </row>
    <row r="141" spans="2:22" ht="21" customHeight="1">
      <c r="B141" s="83" t="str">
        <f t="shared" si="2"/>
        <v>3/26</v>
      </c>
      <c r="C141" s="5" t="str">
        <f>VLOOKUP(mMAR[[#This Row],[CÓDIGO CONTABIL]],Contas_Gerencial[#All],3,FALSE)</f>
        <v>FOLHA DE PAGAMENTO</v>
      </c>
      <c r="D141" s="16" t="str">
        <f>VLOOKUP(mMAR[[#This Row],[DESCRIÇÃO CONTABIL]],Contas_Gerencial[[#All],[DESCRIÇÃO DA CONTA - NÃO UTILIZAR]:[Código2]],2,FALSE)</f>
        <v>20.05.021</v>
      </c>
      <c r="E141" s="712" t="s">
        <v>59</v>
      </c>
      <c r="F141" s="711" t="s">
        <v>581</v>
      </c>
      <c r="G141" s="711" t="s">
        <v>1130</v>
      </c>
      <c r="H141" s="711" t="s">
        <v>1791</v>
      </c>
      <c r="I141" s="716" t="s">
        <v>2065</v>
      </c>
      <c r="J141" s="711" t="s">
        <v>581</v>
      </c>
      <c r="K141" s="922" t="s">
        <v>2152</v>
      </c>
      <c r="L141" s="714" t="s">
        <v>2258</v>
      </c>
      <c r="M141" s="1271">
        <v>46081</v>
      </c>
      <c r="N141" s="715">
        <v>46086</v>
      </c>
      <c r="O141" s="715">
        <v>46086</v>
      </c>
      <c r="P141" s="711" t="s">
        <v>1</v>
      </c>
      <c r="Q141" s="861">
        <v>3931.23</v>
      </c>
      <c r="R141" s="735">
        <v>0</v>
      </c>
      <c r="S141" s="735">
        <v>0</v>
      </c>
      <c r="T141" s="65">
        <f>SUM(mMAR[[#This Row],[PRINCIPAL]:[JUROS]])</f>
        <v>3931.23</v>
      </c>
      <c r="V141" s="1310"/>
    </row>
    <row r="142" spans="2:22" ht="21" customHeight="1">
      <c r="B142" s="83" t="str">
        <f t="shared" si="2"/>
        <v>3/26</v>
      </c>
      <c r="C142" s="5" t="str">
        <f>VLOOKUP(mMAR[[#This Row],[CÓDIGO CONTABIL]],Contas_Gerencial[#All],3,FALSE)</f>
        <v>ENCARGOS</v>
      </c>
      <c r="D142" s="16" t="str">
        <f>VLOOKUP(mMAR[[#This Row],[DESCRIÇÃO CONTABIL]],Contas_Gerencial[[#All],[DESCRIÇÃO DA CONTA - NÃO UTILIZAR]:[Código2]],2,FALSE)</f>
        <v>20.04.006</v>
      </c>
      <c r="E142" s="712" t="s">
        <v>1180</v>
      </c>
      <c r="F142" s="711" t="s">
        <v>581</v>
      </c>
      <c r="G142" s="711" t="s">
        <v>1130</v>
      </c>
      <c r="H142" s="712" t="s">
        <v>1180</v>
      </c>
      <c r="I142" s="716" t="s">
        <v>2065</v>
      </c>
      <c r="J142" s="711" t="s">
        <v>384</v>
      </c>
      <c r="K142" s="712" t="s">
        <v>1180</v>
      </c>
      <c r="L142" s="714" t="s">
        <v>2258</v>
      </c>
      <c r="M142" s="1271">
        <v>46081</v>
      </c>
      <c r="N142" s="715">
        <v>46101</v>
      </c>
      <c r="O142" s="715"/>
      <c r="P142" s="711" t="s">
        <v>1</v>
      </c>
      <c r="Q142" s="861">
        <v>542.22</v>
      </c>
      <c r="R142" s="735">
        <v>0</v>
      </c>
      <c r="S142" s="735">
        <v>0</v>
      </c>
      <c r="T142" s="65">
        <f>SUM(mMAR[[#This Row],[PRINCIPAL]:[JUROS]])</f>
        <v>542.22</v>
      </c>
      <c r="V142" s="1310"/>
    </row>
    <row r="143" spans="2:22" ht="21" customHeight="1">
      <c r="B143" s="83" t="str">
        <f t="shared" si="2"/>
        <v>3/26</v>
      </c>
      <c r="C143" s="5" t="str">
        <f>VLOOKUP(mMAR[[#This Row],[CÓDIGO CONTABIL]],Contas_Gerencial[#All],3,FALSE)</f>
        <v>ENCARGOS</v>
      </c>
      <c r="D143" s="16" t="str">
        <f>VLOOKUP(mMAR[[#This Row],[DESCRIÇÃO CONTABIL]],Contas_Gerencial[[#All],[DESCRIÇÃO DA CONTA - NÃO UTILIZAR]:[Código2]],2,FALSE)</f>
        <v>20.04.001</v>
      </c>
      <c r="E143" s="712" t="s">
        <v>2659</v>
      </c>
      <c r="F143" s="712" t="s">
        <v>581</v>
      </c>
      <c r="G143" s="711" t="s">
        <v>1130</v>
      </c>
      <c r="H143" s="712" t="s">
        <v>1788</v>
      </c>
      <c r="I143" s="716" t="s">
        <v>2065</v>
      </c>
      <c r="J143" s="711" t="s">
        <v>757</v>
      </c>
      <c r="K143" s="711" t="s">
        <v>2089</v>
      </c>
      <c r="L143" s="714" t="s">
        <v>2258</v>
      </c>
      <c r="M143" s="1271">
        <v>46081</v>
      </c>
      <c r="N143" s="715">
        <v>46101</v>
      </c>
      <c r="O143" s="715"/>
      <c r="P143" s="712" t="s">
        <v>1</v>
      </c>
      <c r="Q143" s="734">
        <f>497.91-67.54</f>
        <v>430.37</v>
      </c>
      <c r="R143" s="735">
        <v>0</v>
      </c>
      <c r="S143" s="735">
        <v>0</v>
      </c>
      <c r="T143" s="65">
        <f>SUM(mMAR[[#This Row],[PRINCIPAL]:[JUROS]])</f>
        <v>430.37</v>
      </c>
      <c r="V143" s="1310"/>
    </row>
    <row r="144" spans="2:22" ht="21" customHeight="1">
      <c r="B144" s="83" t="str">
        <f t="shared" si="2"/>
        <v>3/26</v>
      </c>
      <c r="C144" s="5" t="str">
        <f>VLOOKUP(mMAR[[#This Row],[CÓDIGO CONTABIL]],Contas_Gerencial[#All],3,FALSE)</f>
        <v>BENEFICIO</v>
      </c>
      <c r="D144" s="16" t="str">
        <f>VLOOKUP(mMAR[[#This Row],[DESCRIÇÃO CONTABIL]],Contas_Gerencial[[#All],[DESCRIÇÃO DA CONTA - NÃO UTILIZAR]:[Código2]],2,FALSE)</f>
        <v>20.05.006</v>
      </c>
      <c r="E144" s="733" t="s">
        <v>24</v>
      </c>
      <c r="F144" s="712" t="s">
        <v>581</v>
      </c>
      <c r="G144" s="733" t="s">
        <v>1130</v>
      </c>
      <c r="H144" s="712" t="s">
        <v>1791</v>
      </c>
      <c r="I144" s="716" t="s">
        <v>2065</v>
      </c>
      <c r="J144" s="711" t="s">
        <v>581</v>
      </c>
      <c r="K144" s="711" t="s">
        <v>2590</v>
      </c>
      <c r="L144" s="729" t="s">
        <v>2591</v>
      </c>
      <c r="M144" s="1271">
        <v>46101</v>
      </c>
      <c r="N144" s="715">
        <v>46101</v>
      </c>
      <c r="O144" s="715"/>
      <c r="P144" s="712" t="s">
        <v>1</v>
      </c>
      <c r="Q144" s="730">
        <v>1994.3400000000001</v>
      </c>
      <c r="R144" s="730">
        <v>0</v>
      </c>
      <c r="S144" s="730">
        <v>0</v>
      </c>
      <c r="T144" s="65">
        <f>SUM(mMAR[[#This Row],[PRINCIPAL]:[JUROS]])</f>
        <v>1994.3400000000001</v>
      </c>
      <c r="V144" s="1310"/>
    </row>
    <row r="145" spans="2:22" ht="21" customHeight="1">
      <c r="B145" s="83" t="str">
        <f t="shared" si="2"/>
        <v>3/26</v>
      </c>
      <c r="C145" s="5" t="str">
        <f>VLOOKUP(mMAR[[#This Row],[CÓDIGO CONTABIL]],Contas_Gerencial[#All],3,FALSE)</f>
        <v>BENEFICIO</v>
      </c>
      <c r="D145" s="16" t="str">
        <f>VLOOKUP(mMAR[[#This Row],[DESCRIÇÃO CONTABIL]],Contas_Gerencial[[#All],[DESCRIÇÃO DA CONTA - NÃO UTILIZAR]:[Código2]],2,FALSE)</f>
        <v>20.05.007</v>
      </c>
      <c r="E145" s="733" t="s">
        <v>25</v>
      </c>
      <c r="F145" s="712" t="s">
        <v>581</v>
      </c>
      <c r="G145" s="733" t="s">
        <v>1130</v>
      </c>
      <c r="H145" s="712" t="s">
        <v>1791</v>
      </c>
      <c r="I145" s="716" t="s">
        <v>2065</v>
      </c>
      <c r="J145" s="711" t="s">
        <v>581</v>
      </c>
      <c r="K145" s="711" t="s">
        <v>2590</v>
      </c>
      <c r="L145" s="729" t="s">
        <v>2591</v>
      </c>
      <c r="M145" s="1271">
        <v>46101</v>
      </c>
      <c r="N145" s="715">
        <v>46101</v>
      </c>
      <c r="O145" s="715"/>
      <c r="P145" s="712" t="s">
        <v>1</v>
      </c>
      <c r="Q145" s="730">
        <v>451</v>
      </c>
      <c r="R145" s="730">
        <v>0</v>
      </c>
      <c r="S145" s="730">
        <v>0</v>
      </c>
      <c r="T145" s="65">
        <f>SUM(mMAR[[#This Row],[PRINCIPAL]:[JUROS]])</f>
        <v>451</v>
      </c>
      <c r="V145" s="1310"/>
    </row>
    <row r="146" spans="2:22" ht="21" customHeight="1">
      <c r="B146" s="83" t="str">
        <f t="shared" si="2"/>
        <v>3/26</v>
      </c>
      <c r="C146" s="5" t="str">
        <f>VLOOKUP(mMAR[[#This Row],[CÓDIGO CONTABIL]],Contas_Gerencial[#All],3,FALSE)</f>
        <v>RECEITA SUBCONTA</v>
      </c>
      <c r="D146" s="16" t="str">
        <f>VLOOKUP(mMAR[[#This Row],[DESCRIÇÃO CONTABIL]],Contas_Gerencial[[#All],[DESCRIÇÃO DA CONTA - NÃO UTILIZAR]:[Código2]],2,FALSE)</f>
        <v>10.01.001</v>
      </c>
      <c r="E146" s="485" t="s">
        <v>90</v>
      </c>
      <c r="F146" s="485" t="s">
        <v>581</v>
      </c>
      <c r="G146" s="486" t="s">
        <v>1834</v>
      </c>
      <c r="H146" s="485" t="s">
        <v>1788</v>
      </c>
      <c r="I146" s="474" t="s">
        <v>2065</v>
      </c>
      <c r="J146" s="477" t="s">
        <v>581</v>
      </c>
      <c r="K146" s="477" t="s">
        <v>1792</v>
      </c>
      <c r="L146" s="475" t="s">
        <v>2258</v>
      </c>
      <c r="M146" s="1270">
        <v>46081</v>
      </c>
      <c r="N146" s="476">
        <v>46091</v>
      </c>
      <c r="O146" s="476"/>
      <c r="P146" s="452" t="s">
        <v>215</v>
      </c>
      <c r="Q146" s="488">
        <v>6699</v>
      </c>
      <c r="R146" s="487">
        <v>0</v>
      </c>
      <c r="S146" s="487">
        <v>0</v>
      </c>
      <c r="T146" s="65">
        <f>SUM(mMAR[[#This Row],[PRINCIPAL]:[JUROS]])</f>
        <v>6699</v>
      </c>
      <c r="V146" s="1310"/>
    </row>
    <row r="147" spans="2:22" ht="21" customHeight="1">
      <c r="B147" s="83" t="str">
        <f t="shared" si="2"/>
        <v>3/26</v>
      </c>
      <c r="C147" s="5" t="str">
        <f>VLOOKUP(mMAR[[#This Row],[CÓDIGO CONTABIL]],Contas_Gerencial[#All],3,FALSE)</f>
        <v>ENCARGOS</v>
      </c>
      <c r="D147" s="16" t="str">
        <f>VLOOKUP(mMAR[[#This Row],[DESCRIÇÃO CONTABIL]],Contas_Gerencial[[#All],[DESCRIÇÃO DA CONTA - NÃO UTILIZAR]:[Código2]],2,FALSE)</f>
        <v>20.04.004</v>
      </c>
      <c r="E147" s="712" t="s">
        <v>2651</v>
      </c>
      <c r="F147" s="712" t="s">
        <v>581</v>
      </c>
      <c r="G147" s="733" t="s">
        <v>1834</v>
      </c>
      <c r="H147" s="712" t="s">
        <v>1788</v>
      </c>
      <c r="I147" s="716" t="s">
        <v>2065</v>
      </c>
      <c r="J147" s="711" t="s">
        <v>264</v>
      </c>
      <c r="K147" s="711" t="s">
        <v>2113</v>
      </c>
      <c r="L147" s="714" t="s">
        <v>2137</v>
      </c>
      <c r="M147" s="1271">
        <v>46052</v>
      </c>
      <c r="N147" s="715">
        <v>46073</v>
      </c>
      <c r="O147" s="715">
        <v>46073</v>
      </c>
      <c r="P147" s="711" t="s">
        <v>214</v>
      </c>
      <c r="Q147" s="862">
        <v>313.02999999999997</v>
      </c>
      <c r="R147" s="735">
        <v>0</v>
      </c>
      <c r="S147" s="735">
        <v>0</v>
      </c>
      <c r="T147" s="65">
        <f>SUM(mMAR[[#This Row],[PRINCIPAL]:[JUROS]])</f>
        <v>313.02999999999997</v>
      </c>
      <c r="V147" s="1310"/>
    </row>
    <row r="148" spans="2:22" ht="21" customHeight="1">
      <c r="B148" s="83" t="str">
        <f t="shared" si="2"/>
        <v>3/26</v>
      </c>
      <c r="C148" s="5" t="str">
        <f>VLOOKUP(mMAR[[#This Row],[CÓDIGO CONTABIL]],Contas_Gerencial[#All],3,FALSE)</f>
        <v>TRIBUTOS</v>
      </c>
      <c r="D148" s="16" t="str">
        <f>VLOOKUP(mMAR[[#This Row],[DESCRIÇÃO CONTABIL]],Contas_Gerencial[[#All],[DESCRIÇÃO DA CONTA - NÃO UTILIZAR]:[Código2]],2,FALSE)</f>
        <v>20.08.004</v>
      </c>
      <c r="E148" s="712" t="s">
        <v>2648</v>
      </c>
      <c r="F148" s="712" t="s">
        <v>581</v>
      </c>
      <c r="G148" s="733" t="s">
        <v>1834</v>
      </c>
      <c r="H148" s="712" t="s">
        <v>1788</v>
      </c>
      <c r="I148" s="716" t="s">
        <v>2065</v>
      </c>
      <c r="J148" s="711" t="s">
        <v>654</v>
      </c>
      <c r="K148" s="711" t="s">
        <v>2114</v>
      </c>
      <c r="L148" s="714" t="s">
        <v>2258</v>
      </c>
      <c r="M148" s="1271">
        <v>46081</v>
      </c>
      <c r="N148" s="715">
        <v>46101</v>
      </c>
      <c r="O148" s="1271">
        <v>46081</v>
      </c>
      <c r="P148" s="711" t="s">
        <v>214</v>
      </c>
      <c r="Q148" s="734">
        <v>289.3914084507042</v>
      </c>
      <c r="R148" s="735">
        <v>0</v>
      </c>
      <c r="S148" s="735">
        <v>0</v>
      </c>
      <c r="T148" s="65">
        <f>SUM(mMAR[[#This Row],[PRINCIPAL]:[JUROS]])</f>
        <v>289.3914084507042</v>
      </c>
      <c r="V148" s="1310"/>
    </row>
    <row r="149" spans="2:22" ht="21" customHeight="1">
      <c r="B149" s="83" t="str">
        <f t="shared" si="2"/>
        <v>3/26</v>
      </c>
      <c r="C149" s="5" t="str">
        <f>VLOOKUP(mMAR[[#This Row],[CÓDIGO CONTABIL]],Contas_Gerencial[#All],3,FALSE)</f>
        <v>TRIBUTOS</v>
      </c>
      <c r="D149" s="16" t="str">
        <f>VLOOKUP(mMAR[[#This Row],[DESCRIÇÃO CONTABIL]],Contas_Gerencial[[#All],[DESCRIÇÃO DA CONTA - NÃO UTILIZAR]:[Código2]],2,FALSE)</f>
        <v>20.08.001</v>
      </c>
      <c r="E149" s="712" t="s">
        <v>2112</v>
      </c>
      <c r="F149" s="712" t="s">
        <v>581</v>
      </c>
      <c r="G149" s="733" t="s">
        <v>1834</v>
      </c>
      <c r="H149" s="712" t="s">
        <v>1788</v>
      </c>
      <c r="I149" s="716" t="s">
        <v>2065</v>
      </c>
      <c r="J149" s="711" t="s">
        <v>654</v>
      </c>
      <c r="K149" s="711" t="s">
        <v>1907</v>
      </c>
      <c r="L149" s="714" t="s">
        <v>2258</v>
      </c>
      <c r="M149" s="1271">
        <v>46081</v>
      </c>
      <c r="N149" s="715">
        <v>46101</v>
      </c>
      <c r="O149" s="1271">
        <v>46081</v>
      </c>
      <c r="P149" s="711" t="s">
        <v>214</v>
      </c>
      <c r="Q149" s="734">
        <v>0</v>
      </c>
      <c r="R149" s="735">
        <v>0</v>
      </c>
      <c r="S149" s="735">
        <v>0</v>
      </c>
      <c r="T149" s="65">
        <f>SUM(mMAR[[#This Row],[PRINCIPAL]:[JUROS]])</f>
        <v>0</v>
      </c>
      <c r="V149" s="1310"/>
    </row>
    <row r="150" spans="2:22" ht="21" customHeight="1">
      <c r="B150" s="83" t="str">
        <f t="shared" si="2"/>
        <v>3/26</v>
      </c>
      <c r="C150" s="5" t="str">
        <f>VLOOKUP(mMAR[[#This Row],[CÓDIGO CONTABIL]],Contas_Gerencial[#All],3,FALSE)</f>
        <v>TRIBUTOS</v>
      </c>
      <c r="D150" s="16" t="str">
        <f>VLOOKUP(mMAR[[#This Row],[DESCRIÇÃO CONTABIL]],Contas_Gerencial[[#All],[DESCRIÇÃO DA CONTA - NÃO UTILIZAR]:[Código2]],2,FALSE)</f>
        <v>20.08.002</v>
      </c>
      <c r="E150" s="712" t="s">
        <v>589</v>
      </c>
      <c r="F150" s="712" t="s">
        <v>581</v>
      </c>
      <c r="G150" s="733" t="s">
        <v>1834</v>
      </c>
      <c r="H150" s="712" t="s">
        <v>1788</v>
      </c>
      <c r="I150" s="716" t="s">
        <v>2065</v>
      </c>
      <c r="J150" s="711" t="s">
        <v>654</v>
      </c>
      <c r="K150" s="711" t="s">
        <v>1907</v>
      </c>
      <c r="L150" s="714" t="s">
        <v>2137</v>
      </c>
      <c r="M150" s="1271">
        <v>46052</v>
      </c>
      <c r="N150" s="715">
        <v>46073</v>
      </c>
      <c r="O150" s="715">
        <v>46072</v>
      </c>
      <c r="P150" s="711" t="s">
        <v>1</v>
      </c>
      <c r="Q150" s="861">
        <v>433.51792066364999</v>
      </c>
      <c r="R150" s="735">
        <v>0</v>
      </c>
      <c r="S150" s="735">
        <v>0</v>
      </c>
      <c r="T150" s="65">
        <f>SUM(mMAR[[#This Row],[PRINCIPAL]:[JUROS]])</f>
        <v>433.51792066364999</v>
      </c>
      <c r="V150" s="1310"/>
    </row>
    <row r="151" spans="2:22" ht="21" customHeight="1">
      <c r="B151" s="83" t="str">
        <f t="shared" si="2"/>
        <v>3/26</v>
      </c>
      <c r="C151" s="5" t="str">
        <f>VLOOKUP(mMAR[[#This Row],[CÓDIGO CONTABIL]],Contas_Gerencial[#All],3,FALSE)</f>
        <v>FOLHA DE PAGAMENTO</v>
      </c>
      <c r="D151" s="16" t="str">
        <f>VLOOKUP(mMAR[[#This Row],[DESCRIÇÃO CONTABIL]],Contas_Gerencial[[#All],[DESCRIÇÃO DA CONTA - NÃO UTILIZAR]:[Código2]],2,FALSE)</f>
        <v>20.05.021</v>
      </c>
      <c r="E151" s="712" t="s">
        <v>59</v>
      </c>
      <c r="F151" s="711" t="s">
        <v>581</v>
      </c>
      <c r="G151" s="733" t="s">
        <v>1834</v>
      </c>
      <c r="H151" s="712" t="s">
        <v>1791</v>
      </c>
      <c r="I151" s="716" t="s">
        <v>2065</v>
      </c>
      <c r="J151" s="711" t="s">
        <v>581</v>
      </c>
      <c r="K151" s="712" t="s">
        <v>2153</v>
      </c>
      <c r="L151" s="714" t="s">
        <v>2137</v>
      </c>
      <c r="M151" s="1271">
        <v>46081</v>
      </c>
      <c r="N151" s="715">
        <v>46086</v>
      </c>
      <c r="O151" s="715">
        <v>46086</v>
      </c>
      <c r="P151" s="711" t="s">
        <v>1</v>
      </c>
      <c r="Q151" s="734">
        <v>1832.2</v>
      </c>
      <c r="R151" s="735">
        <v>0</v>
      </c>
      <c r="S151" s="735">
        <v>0</v>
      </c>
      <c r="T151" s="65">
        <f>SUM(mMAR[[#This Row],[PRINCIPAL]:[JUROS]])</f>
        <v>1832.2</v>
      </c>
      <c r="V151" s="1310"/>
    </row>
    <row r="152" spans="2:22" ht="21" customHeight="1">
      <c r="B152" s="83" t="str">
        <f t="shared" si="2"/>
        <v>3/26</v>
      </c>
      <c r="C152" s="5" t="str">
        <f>VLOOKUP(mMAR[[#This Row],[CÓDIGO CONTABIL]],Contas_Gerencial[#All],3,FALSE)</f>
        <v>ENCARGOS</v>
      </c>
      <c r="D152" s="16" t="str">
        <f>VLOOKUP(mMAR[[#This Row],[DESCRIÇÃO CONTABIL]],Contas_Gerencial[[#All],[DESCRIÇÃO DA CONTA - NÃO UTILIZAR]:[Código2]],2,FALSE)</f>
        <v>20.04.006</v>
      </c>
      <c r="E152" s="712" t="s">
        <v>1180</v>
      </c>
      <c r="F152" s="712" t="s">
        <v>581</v>
      </c>
      <c r="G152" s="733" t="s">
        <v>1834</v>
      </c>
      <c r="H152" s="712" t="s">
        <v>1180</v>
      </c>
      <c r="I152" s="716" t="s">
        <v>2065</v>
      </c>
      <c r="J152" s="711" t="s">
        <v>384</v>
      </c>
      <c r="K152" s="711" t="s">
        <v>1180</v>
      </c>
      <c r="L152" s="714" t="s">
        <v>2137</v>
      </c>
      <c r="M152" s="1271">
        <v>46055</v>
      </c>
      <c r="N152" s="715">
        <v>46073</v>
      </c>
      <c r="O152" s="715">
        <v>46072</v>
      </c>
      <c r="P152" s="711" t="s">
        <v>1</v>
      </c>
      <c r="Q152" s="734">
        <v>155.26</v>
      </c>
      <c r="R152" s="735">
        <v>0</v>
      </c>
      <c r="S152" s="735">
        <v>0</v>
      </c>
      <c r="T152" s="65">
        <f>SUM(mMAR[[#This Row],[PRINCIPAL]:[JUROS]])</f>
        <v>155.26</v>
      </c>
      <c r="V152" s="1310"/>
    </row>
    <row r="153" spans="2:22" ht="21" customHeight="1">
      <c r="B153" s="83" t="str">
        <f t="shared" si="2"/>
        <v>3/26</v>
      </c>
      <c r="C153" s="5" t="str">
        <f>VLOOKUP(mMAR[[#This Row],[CÓDIGO CONTABIL]],Contas_Gerencial[#All],3,FALSE)</f>
        <v>ENCARGOS</v>
      </c>
      <c r="D153" s="16" t="str">
        <f>VLOOKUP(mMAR[[#This Row],[DESCRIÇÃO CONTABIL]],Contas_Gerencial[[#All],[DESCRIÇÃO DA CONTA - NÃO UTILIZAR]:[Código2]],2,FALSE)</f>
        <v>20.04.001</v>
      </c>
      <c r="E153" s="712" t="s">
        <v>2659</v>
      </c>
      <c r="F153" s="712" t="s">
        <v>581</v>
      </c>
      <c r="G153" s="712" t="s">
        <v>1834</v>
      </c>
      <c r="H153" s="712" t="s">
        <v>1788</v>
      </c>
      <c r="I153" s="716" t="s">
        <v>2065</v>
      </c>
      <c r="J153" s="711" t="s">
        <v>757</v>
      </c>
      <c r="K153" s="711" t="s">
        <v>2089</v>
      </c>
      <c r="L153" s="714" t="s">
        <v>2137</v>
      </c>
      <c r="M153" s="1271">
        <v>46055</v>
      </c>
      <c r="N153" s="715">
        <v>46073</v>
      </c>
      <c r="O153" s="715"/>
      <c r="P153" s="960" t="s">
        <v>1</v>
      </c>
      <c r="Q153" s="1268">
        <f>137.31-202.62</f>
        <v>-65.31</v>
      </c>
      <c r="R153" s="735">
        <v>0</v>
      </c>
      <c r="S153" s="735">
        <v>0</v>
      </c>
      <c r="T153" s="65">
        <f>SUM(mMAR[[#This Row],[PRINCIPAL]:[JUROS]])</f>
        <v>-65.31</v>
      </c>
      <c r="V153" s="1310"/>
    </row>
    <row r="154" spans="2:22" ht="21" customHeight="1">
      <c r="B154" s="83" t="str">
        <f t="shared" si="2"/>
        <v>3/26</v>
      </c>
      <c r="C154" s="5" t="str">
        <f>VLOOKUP(mMAR[[#This Row],[CÓDIGO CONTABIL]],Contas_Gerencial[#All],3,FALSE)</f>
        <v>BENEFICIO</v>
      </c>
      <c r="D154" s="16" t="str">
        <f>VLOOKUP(mMAR[[#This Row],[DESCRIÇÃO CONTABIL]],Contas_Gerencial[[#All],[DESCRIÇÃO DA CONTA - NÃO UTILIZAR]:[Código2]],2,FALSE)</f>
        <v>20.05.006</v>
      </c>
      <c r="E154" s="733" t="s">
        <v>24</v>
      </c>
      <c r="F154" s="712" t="s">
        <v>581</v>
      </c>
      <c r="G154" s="733" t="s">
        <v>1834</v>
      </c>
      <c r="H154" s="712" t="s">
        <v>1791</v>
      </c>
      <c r="I154" s="716" t="s">
        <v>2065</v>
      </c>
      <c r="J154" s="711" t="s">
        <v>581</v>
      </c>
      <c r="K154" s="711" t="s">
        <v>2590</v>
      </c>
      <c r="L154" s="729" t="s">
        <v>2591</v>
      </c>
      <c r="M154" s="1271">
        <v>46101</v>
      </c>
      <c r="N154" s="715">
        <v>46101</v>
      </c>
      <c r="O154" s="715"/>
      <c r="P154" s="712" t="s">
        <v>1</v>
      </c>
      <c r="Q154" s="730">
        <v>950.69</v>
      </c>
      <c r="R154" s="730">
        <v>0</v>
      </c>
      <c r="S154" s="730">
        <v>0</v>
      </c>
      <c r="T154" s="65">
        <f>SUM(mMAR[[#This Row],[PRINCIPAL]:[JUROS]])</f>
        <v>950.69</v>
      </c>
      <c r="V154" s="1310"/>
    </row>
    <row r="155" spans="2:22" ht="21" customHeight="1">
      <c r="B155" s="83" t="str">
        <f t="shared" si="2"/>
        <v>3/26</v>
      </c>
      <c r="C155" s="5" t="str">
        <f>VLOOKUP(mMAR[[#This Row],[CÓDIGO CONTABIL]],Contas_Gerencial[#All],3,FALSE)</f>
        <v>BENEFICIO</v>
      </c>
      <c r="D155" s="16" t="str">
        <f>VLOOKUP(mMAR[[#This Row],[DESCRIÇÃO CONTABIL]],Contas_Gerencial[[#All],[DESCRIÇÃO DA CONTA - NÃO UTILIZAR]:[Código2]],2,FALSE)</f>
        <v>20.05.007</v>
      </c>
      <c r="E155" s="733" t="s">
        <v>25</v>
      </c>
      <c r="F155" s="712" t="s">
        <v>581</v>
      </c>
      <c r="G155" s="733" t="s">
        <v>1834</v>
      </c>
      <c r="H155" s="712" t="s">
        <v>1791</v>
      </c>
      <c r="I155" s="716" t="s">
        <v>2065</v>
      </c>
      <c r="J155" s="711" t="s">
        <v>581</v>
      </c>
      <c r="K155" s="711" t="s">
        <v>2590</v>
      </c>
      <c r="L155" s="729" t="s">
        <v>2591</v>
      </c>
      <c r="M155" s="1271">
        <v>46101</v>
      </c>
      <c r="N155" s="715">
        <v>46101</v>
      </c>
      <c r="O155" s="715"/>
      <c r="P155" s="712" t="s">
        <v>1</v>
      </c>
      <c r="Q155" s="730">
        <v>223.67000000000002</v>
      </c>
      <c r="R155" s="730">
        <v>0</v>
      </c>
      <c r="S155" s="730">
        <v>0</v>
      </c>
      <c r="T155" s="65">
        <f>SUM(mMAR[[#This Row],[PRINCIPAL]:[JUROS]])</f>
        <v>223.67000000000002</v>
      </c>
      <c r="V155" s="1310"/>
    </row>
    <row r="156" spans="2:22" ht="21" customHeight="1">
      <c r="B156" s="83" t="str">
        <f t="shared" si="2"/>
        <v>3/26</v>
      </c>
      <c r="C156" s="5" t="str">
        <f>VLOOKUP(mMAR[[#This Row],[CÓDIGO CONTABIL]],Contas_Gerencial[#All],3,FALSE)</f>
        <v>RECEITA SUBCONTA</v>
      </c>
      <c r="D156" s="16" t="str">
        <f>VLOOKUP(mMAR[[#This Row],[DESCRIÇÃO CONTABIL]],Contas_Gerencial[[#All],[DESCRIÇÃO DA CONTA - NÃO UTILIZAR]:[Código2]],2,FALSE)</f>
        <v>10.01.001</v>
      </c>
      <c r="E156" s="473" t="s">
        <v>90</v>
      </c>
      <c r="F156" s="485" t="s">
        <v>581</v>
      </c>
      <c r="G156" s="473" t="s">
        <v>1137</v>
      </c>
      <c r="H156" s="473" t="s">
        <v>2496</v>
      </c>
      <c r="I156" s="474" t="s">
        <v>2065</v>
      </c>
      <c r="J156" s="472" t="s">
        <v>581</v>
      </c>
      <c r="K156" s="472" t="s">
        <v>1792</v>
      </c>
      <c r="L156" s="475" t="s">
        <v>2258</v>
      </c>
      <c r="M156" s="1270">
        <v>46081</v>
      </c>
      <c r="N156" s="476">
        <v>46096</v>
      </c>
      <c r="O156" s="476"/>
      <c r="P156" s="452" t="s">
        <v>215</v>
      </c>
      <c r="Q156" s="478">
        <v>37739</v>
      </c>
      <c r="R156" s="479">
        <v>0</v>
      </c>
      <c r="S156" s="479">
        <v>0</v>
      </c>
      <c r="T156" s="65">
        <f>SUM(mMAR[[#This Row],[PRINCIPAL]:[JUROS]])</f>
        <v>37739</v>
      </c>
      <c r="V156" s="1310"/>
    </row>
    <row r="157" spans="2:22" ht="21" customHeight="1">
      <c r="B157" s="83" t="str">
        <f t="shared" si="2"/>
        <v>3/26</v>
      </c>
      <c r="C157" s="5" t="str">
        <f>VLOOKUP(mMAR[[#This Row],[CÓDIGO CONTABIL]],Contas_Gerencial[#All],3,FALSE)</f>
        <v>ENCARGOS</v>
      </c>
      <c r="D157" s="16" t="str">
        <f>VLOOKUP(mMAR[[#This Row],[DESCRIÇÃO CONTABIL]],Contas_Gerencial[[#All],[DESCRIÇÃO DA CONTA - NÃO UTILIZAR]:[Código2]],2,FALSE)</f>
        <v>20.04.004</v>
      </c>
      <c r="E157" s="712" t="s">
        <v>2651</v>
      </c>
      <c r="F157" s="712" t="s">
        <v>581</v>
      </c>
      <c r="G157" s="733" t="s">
        <v>1137</v>
      </c>
      <c r="H157" s="712" t="s">
        <v>1788</v>
      </c>
      <c r="I157" s="716" t="s">
        <v>2065</v>
      </c>
      <c r="J157" s="711" t="s">
        <v>264</v>
      </c>
      <c r="K157" s="711" t="s">
        <v>2113</v>
      </c>
      <c r="L157" s="714" t="s">
        <v>2258</v>
      </c>
      <c r="M157" s="1271">
        <v>46081</v>
      </c>
      <c r="N157" s="715">
        <v>46101</v>
      </c>
      <c r="O157" s="715"/>
      <c r="P157" s="711" t="s">
        <v>214</v>
      </c>
      <c r="Q157" s="734">
        <v>2467.87</v>
      </c>
      <c r="R157" s="735">
        <v>0</v>
      </c>
      <c r="S157" s="735">
        <v>0</v>
      </c>
      <c r="T157" s="65">
        <f>SUM(mMAR[[#This Row],[PRINCIPAL]:[JUROS]])</f>
        <v>2467.87</v>
      </c>
      <c r="V157" s="1310"/>
    </row>
    <row r="158" spans="2:22" ht="21" customHeight="1">
      <c r="B158" s="83" t="str">
        <f t="shared" si="2"/>
        <v>3/26</v>
      </c>
      <c r="C158" s="5" t="str">
        <f>VLOOKUP(mMAR[[#This Row],[CÓDIGO CONTABIL]],Contas_Gerencial[#All],3,FALSE)</f>
        <v>TRIBUTOS</v>
      </c>
      <c r="D158" s="16" t="str">
        <f>VLOOKUP(mMAR[[#This Row],[DESCRIÇÃO CONTABIL]],Contas_Gerencial[[#All],[DESCRIÇÃO DA CONTA - NÃO UTILIZAR]:[Código2]],2,FALSE)</f>
        <v>20.08.004</v>
      </c>
      <c r="E158" s="712" t="s">
        <v>2648</v>
      </c>
      <c r="F158" s="712" t="s">
        <v>581</v>
      </c>
      <c r="G158" s="733" t="s">
        <v>1137</v>
      </c>
      <c r="H158" s="712" t="s">
        <v>1788</v>
      </c>
      <c r="I158" s="716" t="s">
        <v>2065</v>
      </c>
      <c r="J158" s="711" t="s">
        <v>654</v>
      </c>
      <c r="K158" s="711" t="s">
        <v>2114</v>
      </c>
      <c r="L158" s="714" t="s">
        <v>2258</v>
      </c>
      <c r="M158" s="1271">
        <v>46081</v>
      </c>
      <c r="N158" s="715">
        <v>46101</v>
      </c>
      <c r="O158" s="1271">
        <v>46081</v>
      </c>
      <c r="P158" s="711" t="s">
        <v>214</v>
      </c>
      <c r="Q158" s="734">
        <v>0</v>
      </c>
      <c r="R158" s="735">
        <v>0</v>
      </c>
      <c r="S158" s="735">
        <v>0</v>
      </c>
      <c r="T158" s="65">
        <f>SUM(mMAR[[#This Row],[PRINCIPAL]:[JUROS]])</f>
        <v>0</v>
      </c>
      <c r="V158" s="1310"/>
    </row>
    <row r="159" spans="2:22" ht="21" customHeight="1">
      <c r="B159" s="83" t="str">
        <f t="shared" si="2"/>
        <v>3/26</v>
      </c>
      <c r="C159" s="5" t="str">
        <f>VLOOKUP(mMAR[[#This Row],[CÓDIGO CONTABIL]],Contas_Gerencial[#All],3,FALSE)</f>
        <v>TRIBUTOS</v>
      </c>
      <c r="D159" s="16" t="str">
        <f>VLOOKUP(mMAR[[#This Row],[DESCRIÇÃO CONTABIL]],Contas_Gerencial[[#All],[DESCRIÇÃO DA CONTA - NÃO UTILIZAR]:[Código2]],2,FALSE)</f>
        <v>20.08.001</v>
      </c>
      <c r="E159" s="712" t="s">
        <v>2112</v>
      </c>
      <c r="F159" s="712" t="s">
        <v>581</v>
      </c>
      <c r="G159" s="733" t="s">
        <v>1137</v>
      </c>
      <c r="H159" s="712" t="s">
        <v>1788</v>
      </c>
      <c r="I159" s="716" t="s">
        <v>2065</v>
      </c>
      <c r="J159" s="711" t="s">
        <v>654</v>
      </c>
      <c r="K159" s="711" t="s">
        <v>1907</v>
      </c>
      <c r="L159" s="714" t="s">
        <v>2258</v>
      </c>
      <c r="M159" s="1271">
        <v>46081</v>
      </c>
      <c r="N159" s="715">
        <v>46101</v>
      </c>
      <c r="O159" s="715"/>
      <c r="P159" s="711" t="s">
        <v>1</v>
      </c>
      <c r="Q159" s="734">
        <v>1630.32</v>
      </c>
      <c r="R159" s="735">
        <v>0</v>
      </c>
      <c r="S159" s="735">
        <v>0</v>
      </c>
      <c r="T159" s="65">
        <f>SUM(mMAR[[#This Row],[PRINCIPAL]:[JUROS]])</f>
        <v>1630.32</v>
      </c>
      <c r="V159" s="1310"/>
    </row>
    <row r="160" spans="2:22" ht="21" customHeight="1">
      <c r="B160" s="83" t="str">
        <f t="shared" si="2"/>
        <v>3/26</v>
      </c>
      <c r="C160" s="5" t="str">
        <f>VLOOKUP(mMAR[[#This Row],[CÓDIGO CONTABIL]],Contas_Gerencial[#All],3,FALSE)</f>
        <v>TRIBUTOS</v>
      </c>
      <c r="D160" s="16" t="str">
        <f>VLOOKUP(mMAR[[#This Row],[DESCRIÇÃO CONTABIL]],Contas_Gerencial[[#All],[DESCRIÇÃO DA CONTA - NÃO UTILIZAR]:[Código2]],2,FALSE)</f>
        <v>20.08.002</v>
      </c>
      <c r="E160" s="712" t="s">
        <v>589</v>
      </c>
      <c r="F160" s="712" t="s">
        <v>581</v>
      </c>
      <c r="G160" s="733" t="s">
        <v>1137</v>
      </c>
      <c r="H160" s="712" t="s">
        <v>1788</v>
      </c>
      <c r="I160" s="716" t="s">
        <v>2065</v>
      </c>
      <c r="J160" s="711" t="s">
        <v>654</v>
      </c>
      <c r="K160" s="711" t="s">
        <v>1907</v>
      </c>
      <c r="L160" s="714" t="s">
        <v>2258</v>
      </c>
      <c r="M160" s="1271">
        <v>46081</v>
      </c>
      <c r="N160" s="715">
        <v>46101</v>
      </c>
      <c r="O160" s="715"/>
      <c r="P160" s="711" t="s">
        <v>1</v>
      </c>
      <c r="Q160" s="1192">
        <v>2312.8721427853188</v>
      </c>
      <c r="R160" s="735">
        <v>0</v>
      </c>
      <c r="S160" s="735">
        <v>0</v>
      </c>
      <c r="T160" s="65">
        <f>SUM(mMAR[[#This Row],[PRINCIPAL]:[JUROS]])</f>
        <v>2312.8721427853188</v>
      </c>
      <c r="V160" s="1310"/>
    </row>
    <row r="161" spans="2:22" ht="21" customHeight="1">
      <c r="B161" s="83" t="str">
        <f t="shared" si="2"/>
        <v>3/26</v>
      </c>
      <c r="C161" s="5" t="str">
        <f>VLOOKUP(mMAR[[#This Row],[CÓDIGO CONTABIL]],Contas_Gerencial[#All],3,FALSE)</f>
        <v>FOLHA DE PAGAMENTO</v>
      </c>
      <c r="D161" s="16" t="str">
        <f>VLOOKUP(mMAR[[#This Row],[DESCRIÇÃO CONTABIL]],Contas_Gerencial[[#All],[DESCRIÇÃO DA CONTA - NÃO UTILIZAR]:[Código2]],2,FALSE)</f>
        <v>20.05.021</v>
      </c>
      <c r="E161" s="712" t="s">
        <v>59</v>
      </c>
      <c r="F161" s="711" t="s">
        <v>581</v>
      </c>
      <c r="G161" s="733" t="s">
        <v>1137</v>
      </c>
      <c r="H161" s="712" t="s">
        <v>1791</v>
      </c>
      <c r="I161" s="716" t="s">
        <v>2065</v>
      </c>
      <c r="J161" s="711" t="s">
        <v>581</v>
      </c>
      <c r="K161" s="712" t="s">
        <v>2146</v>
      </c>
      <c r="L161" s="714" t="s">
        <v>2258</v>
      </c>
      <c r="M161" s="1271">
        <v>46081</v>
      </c>
      <c r="N161" s="715">
        <v>46086</v>
      </c>
      <c r="O161" s="715">
        <v>46086</v>
      </c>
      <c r="P161" s="711" t="s">
        <v>1</v>
      </c>
      <c r="Q161" s="734">
        <v>7923.11</v>
      </c>
      <c r="R161" s="735">
        <v>0</v>
      </c>
      <c r="S161" s="735">
        <v>0</v>
      </c>
      <c r="T161" s="65">
        <f>SUM(mMAR[[#This Row],[PRINCIPAL]:[JUROS]])</f>
        <v>7923.11</v>
      </c>
      <c r="V161" s="1310"/>
    </row>
    <row r="162" spans="2:22" ht="21" customHeight="1">
      <c r="B162" s="83" t="str">
        <f t="shared" si="2"/>
        <v>3/26</v>
      </c>
      <c r="C162" s="5" t="str">
        <f>VLOOKUP(mMAR[[#This Row],[CÓDIGO CONTABIL]],Contas_Gerencial[#All],3,FALSE)</f>
        <v>ENCARGOS</v>
      </c>
      <c r="D162" s="16" t="str">
        <f>VLOOKUP(mMAR[[#This Row],[DESCRIÇÃO CONTABIL]],Contas_Gerencial[[#All],[DESCRIÇÃO DA CONTA - NÃO UTILIZAR]:[Código2]],2,FALSE)</f>
        <v>20.04.006</v>
      </c>
      <c r="E162" s="712" t="s">
        <v>1180</v>
      </c>
      <c r="F162" s="712" t="s">
        <v>581</v>
      </c>
      <c r="G162" s="733" t="s">
        <v>1137</v>
      </c>
      <c r="H162" s="712" t="s">
        <v>1180</v>
      </c>
      <c r="I162" s="716" t="s">
        <v>2065</v>
      </c>
      <c r="J162" s="711" t="s">
        <v>384</v>
      </c>
      <c r="K162" s="711" t="s">
        <v>1180</v>
      </c>
      <c r="L162" s="714" t="s">
        <v>2258</v>
      </c>
      <c r="M162" s="1271">
        <v>46081</v>
      </c>
      <c r="N162" s="715">
        <v>46101</v>
      </c>
      <c r="O162" s="715"/>
      <c r="P162" s="711" t="s">
        <v>1</v>
      </c>
      <c r="Q162" s="734">
        <v>728</v>
      </c>
      <c r="R162" s="735">
        <v>0</v>
      </c>
      <c r="S162" s="735">
        <v>0</v>
      </c>
      <c r="T162" s="65">
        <f>SUM(mMAR[[#This Row],[PRINCIPAL]:[JUROS]])</f>
        <v>728</v>
      </c>
      <c r="V162" s="1310"/>
    </row>
    <row r="163" spans="2:22" ht="21" customHeight="1">
      <c r="B163" s="83" t="str">
        <f t="shared" si="2"/>
        <v>3/26</v>
      </c>
      <c r="C163" s="5" t="str">
        <f>VLOOKUP(mMAR[[#This Row],[CÓDIGO CONTABIL]],Contas_Gerencial[#All],3,FALSE)</f>
        <v>ENCARGOS</v>
      </c>
      <c r="D163" s="16" t="str">
        <f>VLOOKUP(mMAR[[#This Row],[DESCRIÇÃO CONTABIL]],Contas_Gerencial[[#All],[DESCRIÇÃO DA CONTA - NÃO UTILIZAR]:[Código2]],2,FALSE)</f>
        <v>20.04.001</v>
      </c>
      <c r="E163" s="712" t="s">
        <v>2659</v>
      </c>
      <c r="F163" s="712" t="s">
        <v>581</v>
      </c>
      <c r="G163" s="712" t="s">
        <v>1137</v>
      </c>
      <c r="H163" s="712" t="s">
        <v>1788</v>
      </c>
      <c r="I163" s="716" t="s">
        <v>2065</v>
      </c>
      <c r="J163" s="711" t="s">
        <v>757</v>
      </c>
      <c r="K163" s="711" t="s">
        <v>2089</v>
      </c>
      <c r="L163" s="714" t="s">
        <v>2258</v>
      </c>
      <c r="M163" s="1271">
        <v>46081</v>
      </c>
      <c r="N163" s="715">
        <v>46101</v>
      </c>
      <c r="O163" s="715"/>
      <c r="P163" s="960" t="s">
        <v>1</v>
      </c>
      <c r="Q163" s="737">
        <f>715.61-67.54</f>
        <v>648.07000000000005</v>
      </c>
      <c r="R163" s="735">
        <v>0</v>
      </c>
      <c r="S163" s="735">
        <v>0</v>
      </c>
      <c r="T163" s="65">
        <f>SUM(mMAR[[#This Row],[PRINCIPAL]:[JUROS]])</f>
        <v>648.07000000000005</v>
      </c>
      <c r="V163" s="1310"/>
    </row>
    <row r="164" spans="2:22" ht="21" customHeight="1">
      <c r="B164" s="83" t="str">
        <f t="shared" si="2"/>
        <v>3/26</v>
      </c>
      <c r="C164" s="5" t="str">
        <f>VLOOKUP(mMAR[[#This Row],[CÓDIGO CONTABIL]],Contas_Gerencial[#All],3,FALSE)</f>
        <v>BENEFICIO</v>
      </c>
      <c r="D164" s="16" t="str">
        <f>VLOOKUP(mMAR[[#This Row],[DESCRIÇÃO CONTABIL]],Contas_Gerencial[[#All],[DESCRIÇÃO DA CONTA - NÃO UTILIZAR]:[Código2]],2,FALSE)</f>
        <v>20.05.006</v>
      </c>
      <c r="E164" s="733" t="s">
        <v>24</v>
      </c>
      <c r="F164" s="712" t="s">
        <v>581</v>
      </c>
      <c r="G164" s="733" t="s">
        <v>1137</v>
      </c>
      <c r="H164" s="712" t="s">
        <v>1791</v>
      </c>
      <c r="I164" s="716" t="s">
        <v>2065</v>
      </c>
      <c r="J164" s="711" t="s">
        <v>581</v>
      </c>
      <c r="K164" s="711" t="s">
        <v>2590</v>
      </c>
      <c r="L164" s="729" t="s">
        <v>2591</v>
      </c>
      <c r="M164" s="1271">
        <v>46101</v>
      </c>
      <c r="N164" s="715">
        <v>46101</v>
      </c>
      <c r="O164" s="715"/>
      <c r="P164" s="712" t="s">
        <v>1</v>
      </c>
      <c r="Q164" s="730">
        <v>2080</v>
      </c>
      <c r="R164" s="730">
        <v>0</v>
      </c>
      <c r="S164" s="730">
        <v>0</v>
      </c>
      <c r="T164" s="65">
        <f>SUM(mMAR[[#This Row],[PRINCIPAL]:[JUROS]])</f>
        <v>2080</v>
      </c>
      <c r="V164" s="1310"/>
    </row>
    <row r="165" spans="2:22" ht="21" customHeight="1">
      <c r="B165" s="83" t="str">
        <f t="shared" si="2"/>
        <v>3/26</v>
      </c>
      <c r="C165" s="5" t="str">
        <f>VLOOKUP(mMAR[[#This Row],[CÓDIGO CONTABIL]],Contas_Gerencial[#All],3,FALSE)</f>
        <v>BENEFICIO</v>
      </c>
      <c r="D165" s="16" t="str">
        <f>VLOOKUP(mMAR[[#This Row],[DESCRIÇÃO CONTABIL]],Contas_Gerencial[[#All],[DESCRIÇÃO DA CONTA - NÃO UTILIZAR]:[Código2]],2,FALSE)</f>
        <v>20.05.007</v>
      </c>
      <c r="E165" s="733" t="s">
        <v>25</v>
      </c>
      <c r="F165" s="712" t="s">
        <v>581</v>
      </c>
      <c r="G165" s="733" t="s">
        <v>1137</v>
      </c>
      <c r="H165" s="712" t="s">
        <v>1791</v>
      </c>
      <c r="I165" s="716" t="s">
        <v>2065</v>
      </c>
      <c r="J165" s="711" t="s">
        <v>581</v>
      </c>
      <c r="K165" s="711" t="s">
        <v>2590</v>
      </c>
      <c r="L165" s="729" t="s">
        <v>2591</v>
      </c>
      <c r="M165" s="1271">
        <v>46101</v>
      </c>
      <c r="N165" s="715">
        <v>46101</v>
      </c>
      <c r="O165" s="715"/>
      <c r="P165" s="712" t="s">
        <v>1</v>
      </c>
      <c r="Q165" s="730">
        <v>0</v>
      </c>
      <c r="R165" s="730">
        <v>0</v>
      </c>
      <c r="S165" s="730">
        <v>0</v>
      </c>
      <c r="T165" s="65">
        <f>SUM(mMAR[[#This Row],[PRINCIPAL]:[JUROS]])</f>
        <v>0</v>
      </c>
      <c r="V165" s="1310"/>
    </row>
    <row r="166" spans="2:22" ht="21" customHeight="1">
      <c r="B166" s="83" t="str">
        <f t="shared" si="2"/>
        <v>3/26</v>
      </c>
      <c r="C166" s="5" t="str">
        <f>VLOOKUP(mMAR[[#This Row],[CÓDIGO CONTABIL]],Contas_Gerencial[#All],3,FALSE)</f>
        <v>RECEITA SUBCONTA</v>
      </c>
      <c r="D166" s="16" t="str">
        <f>VLOOKUP(mMAR[[#This Row],[DESCRIÇÃO CONTABIL]],Contas_Gerencial[[#All],[DESCRIÇÃO DA CONTA - NÃO UTILIZAR]:[Código2]],2,FALSE)</f>
        <v>10.01.001</v>
      </c>
      <c r="E166" s="473" t="s">
        <v>90</v>
      </c>
      <c r="F166" s="485" t="s">
        <v>581</v>
      </c>
      <c r="G166" s="473" t="s">
        <v>1508</v>
      </c>
      <c r="H166" s="473" t="s">
        <v>1788</v>
      </c>
      <c r="I166" s="474" t="s">
        <v>2065</v>
      </c>
      <c r="J166" s="472" t="s">
        <v>581</v>
      </c>
      <c r="K166" s="472" t="s">
        <v>1792</v>
      </c>
      <c r="L166" s="475" t="s">
        <v>2258</v>
      </c>
      <c r="M166" s="1270">
        <v>46081</v>
      </c>
      <c r="N166" s="476">
        <v>46091</v>
      </c>
      <c r="O166" s="476"/>
      <c r="P166" s="452" t="s">
        <v>215</v>
      </c>
      <c r="Q166" s="1170">
        <v>1562</v>
      </c>
      <c r="R166" s="479">
        <v>0</v>
      </c>
      <c r="S166" s="479">
        <v>0</v>
      </c>
      <c r="T166" s="65">
        <f>SUM(mMAR[[#This Row],[PRINCIPAL]:[JUROS]])</f>
        <v>1562</v>
      </c>
      <c r="V166" s="1310"/>
    </row>
    <row r="167" spans="2:22" ht="21" customHeight="1">
      <c r="B167" s="83" t="str">
        <f t="shared" si="2"/>
        <v>3/26</v>
      </c>
      <c r="C167" s="5" t="str">
        <f>VLOOKUP(mMAR[[#This Row],[CÓDIGO CONTABIL]],Contas_Gerencial[#All],3,FALSE)</f>
        <v>ENCARGOS</v>
      </c>
      <c r="D167" s="16" t="str">
        <f>VLOOKUP(mMAR[[#This Row],[DESCRIÇÃO CONTABIL]],Contas_Gerencial[[#All],[DESCRIÇÃO DA CONTA - NÃO UTILIZAR]:[Código2]],2,FALSE)</f>
        <v>20.04.004</v>
      </c>
      <c r="E167" s="712" t="s">
        <v>2651</v>
      </c>
      <c r="F167" s="712" t="s">
        <v>581</v>
      </c>
      <c r="G167" s="733" t="s">
        <v>1508</v>
      </c>
      <c r="H167" s="712" t="s">
        <v>1788</v>
      </c>
      <c r="I167" s="716" t="s">
        <v>2065</v>
      </c>
      <c r="J167" s="711" t="s">
        <v>264</v>
      </c>
      <c r="K167" s="711" t="s">
        <v>2113</v>
      </c>
      <c r="L167" s="714" t="s">
        <v>2258</v>
      </c>
      <c r="M167" s="1271">
        <v>46081</v>
      </c>
      <c r="N167" s="715">
        <v>46101</v>
      </c>
      <c r="O167" s="715"/>
      <c r="P167" s="711" t="s">
        <v>214</v>
      </c>
      <c r="Q167" s="734">
        <v>87.48</v>
      </c>
      <c r="R167" s="735">
        <v>0</v>
      </c>
      <c r="S167" s="735">
        <v>0</v>
      </c>
      <c r="T167" s="65">
        <f>SUM(mMAR[[#This Row],[PRINCIPAL]:[JUROS]])</f>
        <v>87.48</v>
      </c>
      <c r="V167" s="1310"/>
    </row>
    <row r="168" spans="2:22" ht="21" customHeight="1">
      <c r="B168" s="83" t="str">
        <f t="shared" si="2"/>
        <v>3/26</v>
      </c>
      <c r="C168" s="5" t="str">
        <f>VLOOKUP(mMAR[[#This Row],[CÓDIGO CONTABIL]],Contas_Gerencial[#All],3,FALSE)</f>
        <v>TRIBUTOS</v>
      </c>
      <c r="D168" s="16" t="str">
        <f>VLOOKUP(mMAR[[#This Row],[DESCRIÇÃO CONTABIL]],Contas_Gerencial[[#All],[DESCRIÇÃO DA CONTA - NÃO UTILIZAR]:[Código2]],2,FALSE)</f>
        <v>20.08.004</v>
      </c>
      <c r="E168" s="712" t="s">
        <v>2648</v>
      </c>
      <c r="F168" s="712" t="s">
        <v>581</v>
      </c>
      <c r="G168" s="733" t="s">
        <v>1508</v>
      </c>
      <c r="H168" s="712" t="s">
        <v>1788</v>
      </c>
      <c r="I168" s="716" t="s">
        <v>2065</v>
      </c>
      <c r="J168" s="711" t="s">
        <v>654</v>
      </c>
      <c r="K168" s="711" t="s">
        <v>2114</v>
      </c>
      <c r="L168" s="714" t="s">
        <v>2258</v>
      </c>
      <c r="M168" s="1271">
        <v>46081</v>
      </c>
      <c r="N168" s="715">
        <v>46101</v>
      </c>
      <c r="O168" s="1271">
        <v>46081</v>
      </c>
      <c r="P168" s="711" t="s">
        <v>214</v>
      </c>
      <c r="Q168" s="734">
        <v>0</v>
      </c>
      <c r="R168" s="735">
        <v>0</v>
      </c>
      <c r="S168" s="735">
        <v>0</v>
      </c>
      <c r="T168" s="65">
        <f>SUM(mMAR[[#This Row],[PRINCIPAL]:[JUROS]])</f>
        <v>0</v>
      </c>
      <c r="V168" s="1310"/>
    </row>
    <row r="169" spans="2:22" ht="21" customHeight="1">
      <c r="B169" s="83" t="str">
        <f t="shared" si="2"/>
        <v>3/26</v>
      </c>
      <c r="C169" s="5" t="str">
        <f>VLOOKUP(mMAR[[#This Row],[CÓDIGO CONTABIL]],Contas_Gerencial[#All],3,FALSE)</f>
        <v>TRIBUTOS</v>
      </c>
      <c r="D169" s="16" t="str">
        <f>VLOOKUP(mMAR[[#This Row],[DESCRIÇÃO CONTABIL]],Contas_Gerencial[[#All],[DESCRIÇÃO DA CONTA - NÃO UTILIZAR]:[Código2]],2,FALSE)</f>
        <v>20.08.001</v>
      </c>
      <c r="E169" s="712" t="s">
        <v>2112</v>
      </c>
      <c r="F169" s="712" t="s">
        <v>581</v>
      </c>
      <c r="G169" s="733" t="s">
        <v>1508</v>
      </c>
      <c r="H169" s="712" t="s">
        <v>1788</v>
      </c>
      <c r="I169" s="716" t="s">
        <v>2065</v>
      </c>
      <c r="J169" s="711" t="s">
        <v>654</v>
      </c>
      <c r="K169" s="711" t="s">
        <v>1907</v>
      </c>
      <c r="L169" s="714" t="s">
        <v>2258</v>
      </c>
      <c r="M169" s="1271">
        <v>46081</v>
      </c>
      <c r="N169" s="715">
        <v>46101</v>
      </c>
      <c r="O169" s="715"/>
      <c r="P169" s="711" t="s">
        <v>1</v>
      </c>
      <c r="Q169" s="734">
        <v>67.48</v>
      </c>
      <c r="R169" s="735">
        <v>0</v>
      </c>
      <c r="S169" s="735">
        <v>0</v>
      </c>
      <c r="T169" s="65">
        <f>SUM(mMAR[[#This Row],[PRINCIPAL]:[JUROS]])</f>
        <v>67.48</v>
      </c>
      <c r="V169" s="1310"/>
    </row>
    <row r="170" spans="2:22" ht="21" customHeight="1">
      <c r="B170" s="83" t="str">
        <f t="shared" si="2"/>
        <v>3/26</v>
      </c>
      <c r="C170" s="5" t="str">
        <f>VLOOKUP(mMAR[[#This Row],[CÓDIGO CONTABIL]],Contas_Gerencial[#All],3,FALSE)</f>
        <v>TRIBUTOS</v>
      </c>
      <c r="D170" s="16" t="str">
        <f>VLOOKUP(mMAR[[#This Row],[DESCRIÇÃO CONTABIL]],Contas_Gerencial[[#All],[DESCRIÇÃO DA CONTA - NÃO UTILIZAR]:[Código2]],2,FALSE)</f>
        <v>20.08.002</v>
      </c>
      <c r="E170" s="712" t="s">
        <v>589</v>
      </c>
      <c r="F170" s="712" t="s">
        <v>581</v>
      </c>
      <c r="G170" s="712" t="s">
        <v>1508</v>
      </c>
      <c r="H170" s="712" t="s">
        <v>1788</v>
      </c>
      <c r="I170" s="716" t="s">
        <v>2065</v>
      </c>
      <c r="J170" s="711" t="s">
        <v>654</v>
      </c>
      <c r="K170" s="711" t="s">
        <v>1907</v>
      </c>
      <c r="L170" s="714" t="s">
        <v>2258</v>
      </c>
      <c r="M170" s="1271">
        <v>46081</v>
      </c>
      <c r="N170" s="715">
        <v>46101</v>
      </c>
      <c r="O170" s="715"/>
      <c r="P170" s="711" t="s">
        <v>1</v>
      </c>
      <c r="Q170" s="737">
        <v>101.08299627953745</v>
      </c>
      <c r="R170" s="735">
        <v>0</v>
      </c>
      <c r="S170" s="735">
        <v>0</v>
      </c>
      <c r="T170" s="65">
        <f>SUM(mMAR[[#This Row],[PRINCIPAL]:[JUROS]])</f>
        <v>101.08299627953745</v>
      </c>
      <c r="V170" s="1310"/>
    </row>
    <row r="171" spans="2:22" ht="21" customHeight="1">
      <c r="B171" s="83" t="str">
        <f t="shared" si="2"/>
        <v>3/26</v>
      </c>
      <c r="C171" s="5" t="str">
        <f>VLOOKUP(mMAR[[#This Row],[CÓDIGO CONTABIL]],Contas_Gerencial[#All],3,FALSE)</f>
        <v>RECEITA SUBCONTA</v>
      </c>
      <c r="D171" s="16" t="str">
        <f>VLOOKUP(mMAR[[#This Row],[DESCRIÇÃO CONTABIL]],Contas_Gerencial[[#All],[DESCRIÇÃO DA CONTA - NÃO UTILIZAR]:[Código2]],2,FALSE)</f>
        <v>10.01.001</v>
      </c>
      <c r="E171" s="473" t="s">
        <v>90</v>
      </c>
      <c r="F171" s="485" t="s">
        <v>581</v>
      </c>
      <c r="G171" s="473" t="s">
        <v>1630</v>
      </c>
      <c r="H171" s="473" t="s">
        <v>1788</v>
      </c>
      <c r="I171" s="474" t="s">
        <v>2065</v>
      </c>
      <c r="J171" s="472" t="s">
        <v>581</v>
      </c>
      <c r="K171" s="472" t="s">
        <v>1792</v>
      </c>
      <c r="L171" s="475" t="s">
        <v>2258</v>
      </c>
      <c r="M171" s="1270">
        <v>46081</v>
      </c>
      <c r="N171" s="476">
        <v>46086</v>
      </c>
      <c r="O171" s="476"/>
      <c r="P171" s="452" t="s">
        <v>215</v>
      </c>
      <c r="Q171" s="479">
        <v>11996</v>
      </c>
      <c r="R171" s="479">
        <v>0</v>
      </c>
      <c r="S171" s="479">
        <v>0</v>
      </c>
      <c r="T171" s="65">
        <f>SUM(mMAR[[#This Row],[PRINCIPAL]:[JUROS]])</f>
        <v>11996</v>
      </c>
      <c r="V171" s="1310"/>
    </row>
    <row r="172" spans="2:22" ht="21" customHeight="1">
      <c r="B172" s="83" t="str">
        <f t="shared" si="2"/>
        <v>3/26</v>
      </c>
      <c r="C172" s="5" t="str">
        <f>VLOOKUP(mMAR[[#This Row],[CÓDIGO CONTABIL]],Contas_Gerencial[#All],3,FALSE)</f>
        <v>ENCARGOS</v>
      </c>
      <c r="D172" s="16" t="str">
        <f>VLOOKUP(mMAR[[#This Row],[DESCRIÇÃO CONTABIL]],Contas_Gerencial[[#All],[DESCRIÇÃO DA CONTA - NÃO UTILIZAR]:[Código2]],2,FALSE)</f>
        <v>20.04.004</v>
      </c>
      <c r="E172" s="712" t="s">
        <v>2651</v>
      </c>
      <c r="F172" s="712" t="s">
        <v>581</v>
      </c>
      <c r="G172" s="733" t="s">
        <v>1630</v>
      </c>
      <c r="H172" s="712" t="s">
        <v>1788</v>
      </c>
      <c r="I172" s="716" t="s">
        <v>2065</v>
      </c>
      <c r="J172" s="711" t="s">
        <v>264</v>
      </c>
      <c r="K172" s="711" t="s">
        <v>2113</v>
      </c>
      <c r="L172" s="714" t="s">
        <v>2258</v>
      </c>
      <c r="M172" s="1271">
        <v>46081</v>
      </c>
      <c r="N172" s="715">
        <v>46101</v>
      </c>
      <c r="O172" s="715"/>
      <c r="P172" s="711" t="s">
        <v>214</v>
      </c>
      <c r="Q172" s="734">
        <v>1319.56</v>
      </c>
      <c r="R172" s="735">
        <v>0</v>
      </c>
      <c r="S172" s="735">
        <v>0</v>
      </c>
      <c r="T172" s="65">
        <f>SUM(mMAR[[#This Row],[PRINCIPAL]:[JUROS]])</f>
        <v>1319.56</v>
      </c>
      <c r="V172" s="1310"/>
    </row>
    <row r="173" spans="2:22" ht="21" customHeight="1">
      <c r="B173" s="83" t="str">
        <f t="shared" si="2"/>
        <v>3/26</v>
      </c>
      <c r="C173" s="5" t="str">
        <f>VLOOKUP(mMAR[[#This Row],[CÓDIGO CONTABIL]],Contas_Gerencial[#All],3,FALSE)</f>
        <v>TRIBUTOS</v>
      </c>
      <c r="D173" s="16" t="str">
        <f>VLOOKUP(mMAR[[#This Row],[DESCRIÇÃO CONTABIL]],Contas_Gerencial[[#All],[DESCRIÇÃO DA CONTA - NÃO UTILIZAR]:[Código2]],2,FALSE)</f>
        <v>20.08.004</v>
      </c>
      <c r="E173" s="712" t="s">
        <v>2648</v>
      </c>
      <c r="F173" s="712" t="s">
        <v>581</v>
      </c>
      <c r="G173" s="733" t="s">
        <v>1630</v>
      </c>
      <c r="H173" s="712" t="s">
        <v>1788</v>
      </c>
      <c r="I173" s="716" t="s">
        <v>2065</v>
      </c>
      <c r="J173" s="711" t="s">
        <v>654</v>
      </c>
      <c r="K173" s="711" t="s">
        <v>2114</v>
      </c>
      <c r="L173" s="714" t="s">
        <v>2258</v>
      </c>
      <c r="M173" s="1271">
        <v>46081</v>
      </c>
      <c r="N173" s="715">
        <v>46101</v>
      </c>
      <c r="O173" s="1271">
        <v>46081</v>
      </c>
      <c r="P173" s="711" t="s">
        <v>214</v>
      </c>
      <c r="Q173" s="734">
        <v>0</v>
      </c>
      <c r="R173" s="735">
        <v>0</v>
      </c>
      <c r="S173" s="735">
        <v>0</v>
      </c>
      <c r="T173" s="65">
        <f>SUM(mMAR[[#This Row],[PRINCIPAL]:[JUROS]])</f>
        <v>0</v>
      </c>
      <c r="V173" s="1310"/>
    </row>
    <row r="174" spans="2:22" ht="21" customHeight="1">
      <c r="B174" s="83" t="str">
        <f t="shared" si="2"/>
        <v>3/26</v>
      </c>
      <c r="C174" s="5" t="str">
        <f>VLOOKUP(mMAR[[#This Row],[CÓDIGO CONTABIL]],Contas_Gerencial[#All],3,FALSE)</f>
        <v>TRIBUTOS</v>
      </c>
      <c r="D174" s="16" t="str">
        <f>VLOOKUP(mMAR[[#This Row],[DESCRIÇÃO CONTABIL]],Contas_Gerencial[[#All],[DESCRIÇÃO DA CONTA - NÃO UTILIZAR]:[Código2]],2,FALSE)</f>
        <v>20.08.001</v>
      </c>
      <c r="E174" s="712" t="s">
        <v>2112</v>
      </c>
      <c r="F174" s="712" t="s">
        <v>581</v>
      </c>
      <c r="G174" s="733" t="s">
        <v>1630</v>
      </c>
      <c r="H174" s="712" t="s">
        <v>1788</v>
      </c>
      <c r="I174" s="716" t="s">
        <v>2065</v>
      </c>
      <c r="J174" s="711" t="s">
        <v>654</v>
      </c>
      <c r="K174" s="711" t="s">
        <v>1907</v>
      </c>
      <c r="L174" s="714" t="s">
        <v>2258</v>
      </c>
      <c r="M174" s="1271">
        <v>46081</v>
      </c>
      <c r="N174" s="715">
        <v>46101</v>
      </c>
      <c r="O174" s="715"/>
      <c r="P174" s="711" t="s">
        <v>1</v>
      </c>
      <c r="Q174" s="734">
        <v>518.22</v>
      </c>
      <c r="R174" s="735">
        <v>0</v>
      </c>
      <c r="S174" s="735">
        <v>0</v>
      </c>
      <c r="T174" s="65">
        <f>SUM(mMAR[[#This Row],[PRINCIPAL]:[JUROS]])</f>
        <v>518.22</v>
      </c>
      <c r="V174" s="1310"/>
    </row>
    <row r="175" spans="2:22" ht="21" customHeight="1">
      <c r="B175" s="83" t="str">
        <f t="shared" si="2"/>
        <v>3/26</v>
      </c>
      <c r="C175" s="5" t="str">
        <f>VLOOKUP(mMAR[[#This Row],[CÓDIGO CONTABIL]],Contas_Gerencial[#All],3,FALSE)</f>
        <v>TRIBUTOS</v>
      </c>
      <c r="D175" s="16" t="str">
        <f>VLOOKUP(mMAR[[#This Row],[DESCRIÇÃO CONTABIL]],Contas_Gerencial[[#All],[DESCRIÇÃO DA CONTA - NÃO UTILIZAR]:[Código2]],2,FALSE)</f>
        <v>20.08.002</v>
      </c>
      <c r="E175" s="712" t="s">
        <v>589</v>
      </c>
      <c r="F175" s="712" t="s">
        <v>581</v>
      </c>
      <c r="G175" s="733" t="s">
        <v>1630</v>
      </c>
      <c r="H175" s="712" t="s">
        <v>1788</v>
      </c>
      <c r="I175" s="716" t="s">
        <v>2065</v>
      </c>
      <c r="J175" s="711" t="s">
        <v>654</v>
      </c>
      <c r="K175" s="711" t="s">
        <v>1907</v>
      </c>
      <c r="L175" s="714" t="s">
        <v>2258</v>
      </c>
      <c r="M175" s="1271">
        <v>46081</v>
      </c>
      <c r="N175" s="715">
        <v>46101</v>
      </c>
      <c r="O175" s="715"/>
      <c r="P175" s="711" t="s">
        <v>1</v>
      </c>
      <c r="Q175" s="861">
        <v>776.30705721468064</v>
      </c>
      <c r="R175" s="735">
        <v>0</v>
      </c>
      <c r="S175" s="735">
        <v>0</v>
      </c>
      <c r="T175" s="65">
        <f>SUM(mMAR[[#This Row],[PRINCIPAL]:[JUROS]])</f>
        <v>776.30705721468064</v>
      </c>
      <c r="V175" s="1310"/>
    </row>
    <row r="176" spans="2:22" ht="21" customHeight="1">
      <c r="B176" s="83" t="str">
        <f t="shared" si="2"/>
        <v>3/26</v>
      </c>
      <c r="C176" s="5" t="str">
        <f>VLOOKUP(mMAR[[#This Row],[CÓDIGO CONTABIL]],Contas_Gerencial[#All],3,FALSE)</f>
        <v>FOLHA DE PAGAMENTO</v>
      </c>
      <c r="D176" s="16" t="str">
        <f>VLOOKUP(mMAR[[#This Row],[DESCRIÇÃO CONTABIL]],Contas_Gerencial[[#All],[DESCRIÇÃO DA CONTA - NÃO UTILIZAR]:[Código2]],2,FALSE)</f>
        <v>20.05.021</v>
      </c>
      <c r="E176" s="712" t="s">
        <v>59</v>
      </c>
      <c r="F176" s="711" t="s">
        <v>581</v>
      </c>
      <c r="G176" s="986" t="s">
        <v>1630</v>
      </c>
      <c r="H176" s="712" t="s">
        <v>1791</v>
      </c>
      <c r="I176" s="716" t="s">
        <v>2065</v>
      </c>
      <c r="J176" s="711" t="s">
        <v>581</v>
      </c>
      <c r="K176" s="712" t="s">
        <v>1793</v>
      </c>
      <c r="L176" s="714" t="s">
        <v>2258</v>
      </c>
      <c r="M176" s="1271">
        <v>46081</v>
      </c>
      <c r="N176" s="715">
        <v>46086</v>
      </c>
      <c r="O176" s="715">
        <v>46086</v>
      </c>
      <c r="P176" s="711" t="s">
        <v>1</v>
      </c>
      <c r="Q176" s="993">
        <v>3349.62</v>
      </c>
      <c r="R176" s="735">
        <v>0</v>
      </c>
      <c r="S176" s="735">
        <v>0</v>
      </c>
      <c r="T176" s="65">
        <f>SUM(mMAR[[#This Row],[PRINCIPAL]:[JUROS]])</f>
        <v>3349.62</v>
      </c>
      <c r="V176" s="1310"/>
    </row>
    <row r="177" spans="2:22" ht="21" customHeight="1">
      <c r="B177" s="83" t="str">
        <f t="shared" si="2"/>
        <v>3/26</v>
      </c>
      <c r="C177" s="5" t="str">
        <f>VLOOKUP(mMAR[[#This Row],[CÓDIGO CONTABIL]],Contas_Gerencial[#All],3,FALSE)</f>
        <v>ENCARGOS</v>
      </c>
      <c r="D177" s="16" t="str">
        <f>VLOOKUP(mMAR[[#This Row],[DESCRIÇÃO CONTABIL]],Contas_Gerencial[[#All],[DESCRIÇÃO DA CONTA - NÃO UTILIZAR]:[Código2]],2,FALSE)</f>
        <v>20.04.006</v>
      </c>
      <c r="E177" s="712" t="s">
        <v>1180</v>
      </c>
      <c r="F177" s="712" t="s">
        <v>581</v>
      </c>
      <c r="G177" s="733" t="s">
        <v>1630</v>
      </c>
      <c r="H177" s="712" t="s">
        <v>1180</v>
      </c>
      <c r="I177" s="716" t="s">
        <v>2065</v>
      </c>
      <c r="J177" s="711" t="s">
        <v>384</v>
      </c>
      <c r="K177" s="711" t="s">
        <v>1180</v>
      </c>
      <c r="L177" s="714" t="s">
        <v>2258</v>
      </c>
      <c r="M177" s="1271">
        <v>46081</v>
      </c>
      <c r="N177" s="715">
        <v>46101</v>
      </c>
      <c r="O177" s="715"/>
      <c r="P177" s="711" t="s">
        <v>1</v>
      </c>
      <c r="Q177" s="734">
        <v>291.26</v>
      </c>
      <c r="R177" s="735">
        <v>0</v>
      </c>
      <c r="S177" s="735">
        <v>0</v>
      </c>
      <c r="T177" s="65">
        <f>SUM(mMAR[[#This Row],[PRINCIPAL]:[JUROS]])</f>
        <v>291.26</v>
      </c>
      <c r="V177" s="1310"/>
    </row>
    <row r="178" spans="2:22" ht="21" customHeight="1">
      <c r="B178" s="83" t="str">
        <f t="shared" si="2"/>
        <v>3/26</v>
      </c>
      <c r="C178" s="5" t="str">
        <f>VLOOKUP(mMAR[[#This Row],[CÓDIGO CONTABIL]],Contas_Gerencial[#All],3,FALSE)</f>
        <v>ENCARGOS</v>
      </c>
      <c r="D178" s="16" t="str">
        <f>VLOOKUP(mMAR[[#This Row],[DESCRIÇÃO CONTABIL]],Contas_Gerencial[[#All],[DESCRIÇÃO DA CONTA - NÃO UTILIZAR]:[Código2]],2,FALSE)</f>
        <v>20.04.001</v>
      </c>
      <c r="E178" s="712" t="s">
        <v>2659</v>
      </c>
      <c r="F178" s="712" t="s">
        <v>581</v>
      </c>
      <c r="G178" s="712" t="s">
        <v>1630</v>
      </c>
      <c r="H178" s="712" t="s">
        <v>1788</v>
      </c>
      <c r="I178" s="716" t="s">
        <v>2065</v>
      </c>
      <c r="J178" s="711" t="s">
        <v>757</v>
      </c>
      <c r="K178" s="711" t="s">
        <v>2089</v>
      </c>
      <c r="L178" s="714" t="s">
        <v>2258</v>
      </c>
      <c r="M178" s="1271">
        <v>46081</v>
      </c>
      <c r="N178" s="715">
        <v>46101</v>
      </c>
      <c r="O178" s="715"/>
      <c r="P178" s="960" t="s">
        <v>1</v>
      </c>
      <c r="Q178" s="737">
        <f>279.04-67.54</f>
        <v>211.5</v>
      </c>
      <c r="R178" s="735">
        <v>0</v>
      </c>
      <c r="S178" s="735">
        <v>0</v>
      </c>
      <c r="T178" s="65">
        <f>SUM(mMAR[[#This Row],[PRINCIPAL]:[JUROS]])</f>
        <v>211.5</v>
      </c>
      <c r="V178" s="1310"/>
    </row>
    <row r="179" spans="2:22" ht="21" customHeight="1">
      <c r="B179" s="83" t="str">
        <f t="shared" si="2"/>
        <v>3/26</v>
      </c>
      <c r="C179" s="5" t="str">
        <f>VLOOKUP(mMAR[[#This Row],[CÓDIGO CONTABIL]],Contas_Gerencial[#All],3,FALSE)</f>
        <v>BENEFICIO</v>
      </c>
      <c r="D179" s="16" t="str">
        <f>VLOOKUP(mMAR[[#This Row],[DESCRIÇÃO CONTABIL]],Contas_Gerencial[[#All],[DESCRIÇÃO DA CONTA - NÃO UTILIZAR]:[Código2]],2,FALSE)</f>
        <v>20.05.006</v>
      </c>
      <c r="E179" s="733" t="s">
        <v>24</v>
      </c>
      <c r="F179" s="712" t="s">
        <v>581</v>
      </c>
      <c r="G179" s="733" t="s">
        <v>1630</v>
      </c>
      <c r="H179" s="712" t="s">
        <v>1791</v>
      </c>
      <c r="I179" s="716" t="s">
        <v>2065</v>
      </c>
      <c r="J179" s="711" t="s">
        <v>581</v>
      </c>
      <c r="K179" s="711" t="s">
        <v>2590</v>
      </c>
      <c r="L179" s="729" t="s">
        <v>2591</v>
      </c>
      <c r="M179" s="1271">
        <v>46101</v>
      </c>
      <c r="N179" s="715">
        <v>46101</v>
      </c>
      <c r="O179" s="715"/>
      <c r="P179" s="712" t="s">
        <v>1</v>
      </c>
      <c r="Q179" s="730">
        <v>1040</v>
      </c>
      <c r="R179" s="730">
        <v>0</v>
      </c>
      <c r="S179" s="730">
        <v>0</v>
      </c>
      <c r="T179" s="65">
        <f>SUM(mMAR[[#This Row],[PRINCIPAL]:[JUROS]])</f>
        <v>1040</v>
      </c>
      <c r="V179" s="1310"/>
    </row>
    <row r="180" spans="2:22" ht="21" customHeight="1">
      <c r="B180" s="83" t="str">
        <f t="shared" si="2"/>
        <v>3/26</v>
      </c>
      <c r="C180" s="5" t="str">
        <f>VLOOKUP(mMAR[[#This Row],[CÓDIGO CONTABIL]],Contas_Gerencial[#All],3,FALSE)</f>
        <v>BENEFICIO</v>
      </c>
      <c r="D180" s="16" t="str">
        <f>VLOOKUP(mMAR[[#This Row],[DESCRIÇÃO CONTABIL]],Contas_Gerencial[[#All],[DESCRIÇÃO DA CONTA - NÃO UTILIZAR]:[Código2]],2,FALSE)</f>
        <v>20.05.007</v>
      </c>
      <c r="E180" s="733" t="s">
        <v>25</v>
      </c>
      <c r="F180" s="712" t="s">
        <v>581</v>
      </c>
      <c r="G180" s="733" t="s">
        <v>1630</v>
      </c>
      <c r="H180" s="712" t="s">
        <v>1791</v>
      </c>
      <c r="I180" s="716" t="s">
        <v>2065</v>
      </c>
      <c r="J180" s="711" t="s">
        <v>581</v>
      </c>
      <c r="K180" s="711" t="s">
        <v>2590</v>
      </c>
      <c r="L180" s="729" t="s">
        <v>2591</v>
      </c>
      <c r="M180" s="1271">
        <v>46101</v>
      </c>
      <c r="N180" s="715">
        <v>46101</v>
      </c>
      <c r="O180" s="715"/>
      <c r="P180" s="712" t="s">
        <v>1</v>
      </c>
      <c r="Q180" s="730">
        <v>0</v>
      </c>
      <c r="R180" s="730">
        <v>0</v>
      </c>
      <c r="S180" s="730">
        <v>0</v>
      </c>
      <c r="T180" s="65">
        <f>SUM(mMAR[[#This Row],[PRINCIPAL]:[JUROS]])</f>
        <v>0</v>
      </c>
      <c r="V180" s="1310"/>
    </row>
    <row r="181" spans="2:22" ht="21" customHeight="1">
      <c r="B181" s="83" t="str">
        <f t="shared" si="2"/>
        <v>3/26</v>
      </c>
      <c r="C181" s="5" t="str">
        <f>VLOOKUP(mMAR[[#This Row],[CÓDIGO CONTABIL]],Contas_Gerencial[#All],3,FALSE)</f>
        <v>RECEITA SUBCONTA</v>
      </c>
      <c r="D181" s="16" t="str">
        <f>VLOOKUP(mMAR[[#This Row],[DESCRIÇÃO CONTABIL]],Contas_Gerencial[[#All],[DESCRIÇÃO DA CONTA - NÃO UTILIZAR]:[Código2]],2,FALSE)</f>
        <v>10.01.001</v>
      </c>
      <c r="E181" s="473" t="s">
        <v>90</v>
      </c>
      <c r="F181" s="485" t="s">
        <v>581</v>
      </c>
      <c r="G181" s="473" t="s">
        <v>1634</v>
      </c>
      <c r="H181" s="473" t="s">
        <v>1788</v>
      </c>
      <c r="I181" s="474" t="s">
        <v>2065</v>
      </c>
      <c r="J181" s="472" t="s">
        <v>581</v>
      </c>
      <c r="K181" s="472" t="s">
        <v>1792</v>
      </c>
      <c r="L181" s="475" t="s">
        <v>2258</v>
      </c>
      <c r="M181" s="1270">
        <v>46081</v>
      </c>
      <c r="N181" s="476">
        <v>46083</v>
      </c>
      <c r="O181" s="457">
        <v>46085</v>
      </c>
      <c r="P181" s="452" t="s">
        <v>214</v>
      </c>
      <c r="Q181" s="482">
        <v>6676</v>
      </c>
      <c r="R181" s="479">
        <v>0</v>
      </c>
      <c r="S181" s="479">
        <v>0</v>
      </c>
      <c r="T181" s="65">
        <f>SUM(mMAR[[#This Row],[PRINCIPAL]:[JUROS]])</f>
        <v>6676</v>
      </c>
      <c r="V181" s="1310"/>
    </row>
    <row r="182" spans="2:22" ht="21" customHeight="1">
      <c r="B182" s="83" t="str">
        <f t="shared" si="2"/>
        <v>3/26</v>
      </c>
      <c r="C182" s="5" t="str">
        <f>VLOOKUP(mMAR[[#This Row],[CÓDIGO CONTABIL]],Contas_Gerencial[#All],3,FALSE)</f>
        <v>ENCARGOS</v>
      </c>
      <c r="D182" s="16" t="str">
        <f>VLOOKUP(mMAR[[#This Row],[DESCRIÇÃO CONTABIL]],Contas_Gerencial[[#All],[DESCRIÇÃO DA CONTA - NÃO UTILIZAR]:[Código2]],2,FALSE)</f>
        <v>20.04.004</v>
      </c>
      <c r="E182" s="712" t="s">
        <v>2651</v>
      </c>
      <c r="F182" s="712" t="s">
        <v>581</v>
      </c>
      <c r="G182" s="733" t="s">
        <v>1634</v>
      </c>
      <c r="H182" s="712" t="s">
        <v>1788</v>
      </c>
      <c r="I182" s="716" t="s">
        <v>2065</v>
      </c>
      <c r="J182" s="711" t="s">
        <v>264</v>
      </c>
      <c r="K182" s="711" t="s">
        <v>2113</v>
      </c>
      <c r="L182" s="714" t="s">
        <v>2258</v>
      </c>
      <c r="M182" s="1271">
        <v>46081</v>
      </c>
      <c r="N182" s="715">
        <v>46101</v>
      </c>
      <c r="O182" s="715"/>
      <c r="P182" s="711" t="s">
        <v>214</v>
      </c>
      <c r="Q182" s="734">
        <v>355.97</v>
      </c>
      <c r="R182" s="735">
        <v>0</v>
      </c>
      <c r="S182" s="735">
        <v>0</v>
      </c>
      <c r="T182" s="65">
        <f>SUM(mMAR[[#This Row],[PRINCIPAL]:[JUROS]])</f>
        <v>355.97</v>
      </c>
      <c r="V182" s="1310"/>
    </row>
    <row r="183" spans="2:22" ht="21" customHeight="1">
      <c r="B183" s="83" t="str">
        <f t="shared" si="2"/>
        <v>3/26</v>
      </c>
      <c r="C183" s="5" t="str">
        <f>VLOOKUP(mMAR[[#This Row],[CÓDIGO CONTABIL]],Contas_Gerencial[#All],3,FALSE)</f>
        <v>TRIBUTOS</v>
      </c>
      <c r="D183" s="16" t="str">
        <f>VLOOKUP(mMAR[[#This Row],[DESCRIÇÃO CONTABIL]],Contas_Gerencial[[#All],[DESCRIÇÃO DA CONTA - NÃO UTILIZAR]:[Código2]],2,FALSE)</f>
        <v>20.08.004</v>
      </c>
      <c r="E183" s="712" t="s">
        <v>2648</v>
      </c>
      <c r="F183" s="712" t="s">
        <v>581</v>
      </c>
      <c r="G183" s="733" t="s">
        <v>1634</v>
      </c>
      <c r="H183" s="712" t="s">
        <v>1788</v>
      </c>
      <c r="I183" s="716" t="s">
        <v>2065</v>
      </c>
      <c r="J183" s="711" t="s">
        <v>654</v>
      </c>
      <c r="K183" s="711" t="s">
        <v>2114</v>
      </c>
      <c r="L183" s="714" t="s">
        <v>2258</v>
      </c>
      <c r="M183" s="1271">
        <v>46081</v>
      </c>
      <c r="N183" s="715">
        <v>46101</v>
      </c>
      <c r="O183" s="1271">
        <v>46081</v>
      </c>
      <c r="P183" s="711" t="s">
        <v>214</v>
      </c>
      <c r="Q183" s="734">
        <v>288.39999999999998</v>
      </c>
      <c r="R183" s="735">
        <v>0</v>
      </c>
      <c r="S183" s="735">
        <v>0</v>
      </c>
      <c r="T183" s="65">
        <f>SUM(mMAR[[#This Row],[PRINCIPAL]:[JUROS]])</f>
        <v>288.39999999999998</v>
      </c>
      <c r="V183" s="1310"/>
    </row>
    <row r="184" spans="2:22" ht="21" customHeight="1">
      <c r="B184" s="83" t="str">
        <f t="shared" si="2"/>
        <v>3/26</v>
      </c>
      <c r="C184" s="5" t="str">
        <f>VLOOKUP(mMAR[[#This Row],[CÓDIGO CONTABIL]],Contas_Gerencial[#All],3,FALSE)</f>
        <v>TRIBUTOS</v>
      </c>
      <c r="D184" s="16" t="str">
        <f>VLOOKUP(mMAR[[#This Row],[DESCRIÇÃO CONTABIL]],Contas_Gerencial[[#All],[DESCRIÇÃO DA CONTA - NÃO UTILIZAR]:[Código2]],2,FALSE)</f>
        <v>20.08.001</v>
      </c>
      <c r="E184" s="712" t="s">
        <v>2112</v>
      </c>
      <c r="F184" s="712" t="s">
        <v>581</v>
      </c>
      <c r="G184" s="733" t="s">
        <v>1634</v>
      </c>
      <c r="H184" s="712" t="s">
        <v>1788</v>
      </c>
      <c r="I184" s="716" t="s">
        <v>2065</v>
      </c>
      <c r="J184" s="711" t="s">
        <v>654</v>
      </c>
      <c r="K184" s="711" t="s">
        <v>1907</v>
      </c>
      <c r="L184" s="714" t="s">
        <v>2258</v>
      </c>
      <c r="M184" s="1271">
        <v>46081</v>
      </c>
      <c r="N184" s="715">
        <v>46101</v>
      </c>
      <c r="O184" s="1271">
        <v>46081</v>
      </c>
      <c r="P184" s="711" t="s">
        <v>214</v>
      </c>
      <c r="Q184" s="734">
        <v>0</v>
      </c>
      <c r="R184" s="735">
        <v>0</v>
      </c>
      <c r="S184" s="735">
        <v>0</v>
      </c>
      <c r="T184" s="65">
        <f>SUM(mMAR[[#This Row],[PRINCIPAL]:[JUROS]])</f>
        <v>0</v>
      </c>
      <c r="V184" s="1310"/>
    </row>
    <row r="185" spans="2:22" ht="21" customHeight="1">
      <c r="B185" s="83" t="str">
        <f t="shared" si="2"/>
        <v>3/26</v>
      </c>
      <c r="C185" s="5" t="str">
        <f>VLOOKUP(mMAR[[#This Row],[CÓDIGO CONTABIL]],Contas_Gerencial[#All],3,FALSE)</f>
        <v>TRIBUTOS</v>
      </c>
      <c r="D185" s="16" t="str">
        <f>VLOOKUP(mMAR[[#This Row],[DESCRIÇÃO CONTABIL]],Contas_Gerencial[[#All],[DESCRIÇÃO DA CONTA - NÃO UTILIZAR]:[Código2]],2,FALSE)</f>
        <v>20.08.002</v>
      </c>
      <c r="E185" s="712" t="s">
        <v>589</v>
      </c>
      <c r="F185" s="712" t="s">
        <v>581</v>
      </c>
      <c r="G185" s="733" t="s">
        <v>1634</v>
      </c>
      <c r="H185" s="712" t="s">
        <v>1788</v>
      </c>
      <c r="I185" s="716" t="s">
        <v>2065</v>
      </c>
      <c r="J185" s="711" t="s">
        <v>654</v>
      </c>
      <c r="K185" s="711" t="s">
        <v>1907</v>
      </c>
      <c r="L185" s="714" t="s">
        <v>2258</v>
      </c>
      <c r="M185" s="1271">
        <v>46081</v>
      </c>
      <c r="N185" s="715">
        <v>46101</v>
      </c>
      <c r="O185" s="715"/>
      <c r="P185" s="711" t="s">
        <v>1</v>
      </c>
      <c r="Q185" s="861">
        <v>432.02950266465558</v>
      </c>
      <c r="R185" s="735">
        <v>0</v>
      </c>
      <c r="S185" s="735">
        <v>0</v>
      </c>
      <c r="T185" s="65">
        <f>SUM(mMAR[[#This Row],[PRINCIPAL]:[JUROS]])</f>
        <v>432.02950266465558</v>
      </c>
      <c r="V185" s="1310"/>
    </row>
    <row r="186" spans="2:22" ht="21" customHeight="1">
      <c r="B186" s="83" t="str">
        <f t="shared" si="2"/>
        <v>3/26</v>
      </c>
      <c r="C186" s="5" t="str">
        <f>VLOOKUP(mMAR[[#This Row],[CÓDIGO CONTABIL]],Contas_Gerencial[#All],3,FALSE)</f>
        <v>FOLHA DE PAGAMENTO</v>
      </c>
      <c r="D186" s="16" t="str">
        <f>VLOOKUP(mMAR[[#This Row],[DESCRIÇÃO CONTABIL]],Contas_Gerencial[[#All],[DESCRIÇÃO DA CONTA - NÃO UTILIZAR]:[Código2]],2,FALSE)</f>
        <v>20.05.021</v>
      </c>
      <c r="E186" s="712" t="s">
        <v>59</v>
      </c>
      <c r="F186" s="711" t="s">
        <v>581</v>
      </c>
      <c r="G186" s="733" t="s">
        <v>1634</v>
      </c>
      <c r="H186" s="712" t="s">
        <v>1791</v>
      </c>
      <c r="I186" s="716" t="s">
        <v>2065</v>
      </c>
      <c r="J186" s="711" t="s">
        <v>581</v>
      </c>
      <c r="K186" s="712" t="s">
        <v>1790</v>
      </c>
      <c r="L186" s="714" t="s">
        <v>2258</v>
      </c>
      <c r="M186" s="1271">
        <v>46081</v>
      </c>
      <c r="N186" s="715">
        <v>46086</v>
      </c>
      <c r="O186" s="715">
        <v>46086</v>
      </c>
      <c r="P186" s="711" t="s">
        <v>1</v>
      </c>
      <c r="Q186" s="734">
        <v>1805.69</v>
      </c>
      <c r="R186" s="735">
        <v>0</v>
      </c>
      <c r="S186" s="735">
        <v>0</v>
      </c>
      <c r="T186" s="65">
        <f>SUM(mMAR[[#This Row],[PRINCIPAL]:[JUROS]])</f>
        <v>1805.69</v>
      </c>
      <c r="V186" s="1310"/>
    </row>
    <row r="187" spans="2:22" ht="21" customHeight="1">
      <c r="B187" s="83" t="str">
        <f t="shared" si="2"/>
        <v>3/26</v>
      </c>
      <c r="C187" s="5" t="str">
        <f>VLOOKUP(mMAR[[#This Row],[CÓDIGO CONTABIL]],Contas_Gerencial[#All],3,FALSE)</f>
        <v>ENCARGOS</v>
      </c>
      <c r="D187" s="16" t="str">
        <f>VLOOKUP(mMAR[[#This Row],[DESCRIÇÃO CONTABIL]],Contas_Gerencial[[#All],[DESCRIÇÃO DA CONTA - NÃO UTILIZAR]:[Código2]],2,FALSE)</f>
        <v>20.04.006</v>
      </c>
      <c r="E187" s="712" t="s">
        <v>1180</v>
      </c>
      <c r="F187" s="712" t="s">
        <v>581</v>
      </c>
      <c r="G187" s="733" t="s">
        <v>1634</v>
      </c>
      <c r="H187" s="712" t="s">
        <v>1180</v>
      </c>
      <c r="I187" s="716" t="s">
        <v>2065</v>
      </c>
      <c r="J187" s="711" t="s">
        <v>384</v>
      </c>
      <c r="K187" s="711" t="s">
        <v>1180</v>
      </c>
      <c r="L187" s="714" t="s">
        <v>2258</v>
      </c>
      <c r="M187" s="1271">
        <v>46081</v>
      </c>
      <c r="N187" s="715">
        <v>46101</v>
      </c>
      <c r="O187" s="715"/>
      <c r="P187" s="711" t="s">
        <v>1</v>
      </c>
      <c r="Q187" s="734">
        <v>172.65</v>
      </c>
      <c r="R187" s="735">
        <v>0</v>
      </c>
      <c r="S187" s="735">
        <v>0</v>
      </c>
      <c r="T187" s="65">
        <f>SUM(mMAR[[#This Row],[PRINCIPAL]:[JUROS]])</f>
        <v>172.65</v>
      </c>
      <c r="V187" s="1310"/>
    </row>
    <row r="188" spans="2:22" ht="21" customHeight="1">
      <c r="B188" s="83" t="str">
        <f t="shared" si="2"/>
        <v>3/26</v>
      </c>
      <c r="C188" s="5" t="str">
        <f>VLOOKUP(mMAR[[#This Row],[CÓDIGO CONTABIL]],Contas_Gerencial[#All],3,FALSE)</f>
        <v>ENCARGOS</v>
      </c>
      <c r="D188" s="16" t="str">
        <f>VLOOKUP(mMAR[[#This Row],[DESCRIÇÃO CONTABIL]],Contas_Gerencial[[#All],[DESCRIÇÃO DA CONTA - NÃO UTILIZAR]:[Código2]],2,FALSE)</f>
        <v>20.04.001</v>
      </c>
      <c r="E188" s="712" t="s">
        <v>2659</v>
      </c>
      <c r="F188" s="712" t="s">
        <v>581</v>
      </c>
      <c r="G188" s="712" t="s">
        <v>1634</v>
      </c>
      <c r="H188" s="712" t="s">
        <v>1788</v>
      </c>
      <c r="I188" s="716" t="s">
        <v>2065</v>
      </c>
      <c r="J188" s="711" t="s">
        <v>757</v>
      </c>
      <c r="K188" s="711" t="s">
        <v>2089</v>
      </c>
      <c r="L188" s="714" t="s">
        <v>2258</v>
      </c>
      <c r="M188" s="1271">
        <v>46081</v>
      </c>
      <c r="N188" s="715">
        <v>46101</v>
      </c>
      <c r="O188" s="715"/>
      <c r="P188" s="960" t="s">
        <v>1</v>
      </c>
      <c r="Q188" s="737">
        <v>169.92</v>
      </c>
      <c r="R188" s="735">
        <v>0</v>
      </c>
      <c r="S188" s="735">
        <v>0</v>
      </c>
      <c r="T188" s="65">
        <f>SUM(mMAR[[#This Row],[PRINCIPAL]:[JUROS]])</f>
        <v>169.92</v>
      </c>
      <c r="V188" s="1310"/>
    </row>
    <row r="189" spans="2:22" ht="21" customHeight="1">
      <c r="B189" s="83" t="str">
        <f t="shared" si="2"/>
        <v>3/26</v>
      </c>
      <c r="C189" s="5" t="str">
        <f>VLOOKUP(mMAR[[#This Row],[CÓDIGO CONTABIL]],Contas_Gerencial[#All],3,FALSE)</f>
        <v>BENEFICIO</v>
      </c>
      <c r="D189" s="16" t="str">
        <f>VLOOKUP(mMAR[[#This Row],[DESCRIÇÃO CONTABIL]],Contas_Gerencial[[#All],[DESCRIÇÃO DA CONTA - NÃO UTILIZAR]:[Código2]],2,FALSE)</f>
        <v>20.05.006</v>
      </c>
      <c r="E189" s="733" t="s">
        <v>24</v>
      </c>
      <c r="F189" s="712" t="s">
        <v>581</v>
      </c>
      <c r="G189" s="733" t="s">
        <v>1634</v>
      </c>
      <c r="H189" s="712" t="s">
        <v>1791</v>
      </c>
      <c r="I189" s="716" t="s">
        <v>2065</v>
      </c>
      <c r="J189" s="711" t="s">
        <v>581</v>
      </c>
      <c r="K189" s="711" t="s">
        <v>2590</v>
      </c>
      <c r="L189" s="729" t="s">
        <v>2591</v>
      </c>
      <c r="M189" s="1271">
        <v>46101</v>
      </c>
      <c r="N189" s="715">
        <v>46101</v>
      </c>
      <c r="O189" s="715"/>
      <c r="P189" s="712" t="s">
        <v>1</v>
      </c>
      <c r="Q189" s="730">
        <v>1113.1200000000001</v>
      </c>
      <c r="R189" s="730">
        <v>0</v>
      </c>
      <c r="S189" s="730">
        <v>0</v>
      </c>
      <c r="T189" s="65">
        <f>SUM(mMAR[[#This Row],[PRINCIPAL]:[JUROS]])</f>
        <v>1113.1200000000001</v>
      </c>
      <c r="V189" s="1310"/>
    </row>
    <row r="190" spans="2:22" ht="21" customHeight="1">
      <c r="B190" s="83" t="str">
        <f t="shared" si="2"/>
        <v>3/26</v>
      </c>
      <c r="C190" s="5" t="str">
        <f>VLOOKUP(mMAR[[#This Row],[CÓDIGO CONTABIL]],Contas_Gerencial[#All],3,FALSE)</f>
        <v>BENEFICIO</v>
      </c>
      <c r="D190" s="16" t="str">
        <f>VLOOKUP(mMAR[[#This Row],[DESCRIÇÃO CONTABIL]],Contas_Gerencial[[#All],[DESCRIÇÃO DA CONTA - NÃO UTILIZAR]:[Código2]],2,FALSE)</f>
        <v>20.05.007</v>
      </c>
      <c r="E190" s="733" t="s">
        <v>25</v>
      </c>
      <c r="F190" s="712" t="s">
        <v>581</v>
      </c>
      <c r="G190" s="733" t="s">
        <v>1634</v>
      </c>
      <c r="H190" s="712" t="s">
        <v>1791</v>
      </c>
      <c r="I190" s="716" t="s">
        <v>2065</v>
      </c>
      <c r="J190" s="711" t="s">
        <v>581</v>
      </c>
      <c r="K190" s="711" t="s">
        <v>2590</v>
      </c>
      <c r="L190" s="729" t="s">
        <v>2591</v>
      </c>
      <c r="M190" s="1271">
        <v>46101</v>
      </c>
      <c r="N190" s="715">
        <v>46101</v>
      </c>
      <c r="O190" s="715"/>
      <c r="P190" s="712" t="s">
        <v>1</v>
      </c>
      <c r="Q190" s="730">
        <v>182.39999999999992</v>
      </c>
      <c r="R190" s="730">
        <v>0</v>
      </c>
      <c r="S190" s="730">
        <v>0</v>
      </c>
      <c r="T190" s="65">
        <f>SUM(mMAR[[#This Row],[PRINCIPAL]:[JUROS]])</f>
        <v>182.39999999999992</v>
      </c>
      <c r="V190" s="1310"/>
    </row>
    <row r="191" spans="2:22" ht="21" customHeight="1">
      <c r="B191" s="83" t="str">
        <f t="shared" si="2"/>
        <v>3/26</v>
      </c>
      <c r="C191" s="5" t="str">
        <f>VLOOKUP(mMAR[[#This Row],[CÓDIGO CONTABIL]],Contas_Gerencial[#All],3,FALSE)</f>
        <v>RECEITA SUBCONTA</v>
      </c>
      <c r="D191" s="16" t="str">
        <f>VLOOKUP(mMAR[[#This Row],[DESCRIÇÃO CONTABIL]],Contas_Gerencial[[#All],[DESCRIÇÃO DA CONTA - NÃO UTILIZAR]:[Código2]],2,FALSE)</f>
        <v>10.01.001</v>
      </c>
      <c r="E191" s="473" t="s">
        <v>90</v>
      </c>
      <c r="F191" s="485" t="s">
        <v>581</v>
      </c>
      <c r="G191" s="473" t="s">
        <v>1768</v>
      </c>
      <c r="H191" s="473" t="s">
        <v>2496</v>
      </c>
      <c r="I191" s="474" t="s">
        <v>2065</v>
      </c>
      <c r="J191" s="472" t="s">
        <v>581</v>
      </c>
      <c r="K191" s="472" t="s">
        <v>1792</v>
      </c>
      <c r="L191" s="475" t="s">
        <v>2258</v>
      </c>
      <c r="M191" s="1270">
        <v>46081</v>
      </c>
      <c r="N191" s="476">
        <v>46096</v>
      </c>
      <c r="O191" s="476"/>
      <c r="P191" s="452" t="s">
        <v>215</v>
      </c>
      <c r="Q191" s="479">
        <v>9745</v>
      </c>
      <c r="R191" s="479">
        <v>0</v>
      </c>
      <c r="S191" s="479">
        <v>0</v>
      </c>
      <c r="T191" s="65">
        <f>SUM(mMAR[[#This Row],[PRINCIPAL]:[JUROS]])</f>
        <v>9745</v>
      </c>
      <c r="V191" s="1310"/>
    </row>
    <row r="192" spans="2:22" ht="21" customHeight="1">
      <c r="B192" s="83" t="str">
        <f t="shared" si="2"/>
        <v>3/26</v>
      </c>
      <c r="C192" s="5" t="str">
        <f>VLOOKUP(mMAR[[#This Row],[CÓDIGO CONTABIL]],Contas_Gerencial[#All],3,FALSE)</f>
        <v>ENCARGOS</v>
      </c>
      <c r="D192" s="16" t="str">
        <f>VLOOKUP(mMAR[[#This Row],[DESCRIÇÃO CONTABIL]],Contas_Gerencial[[#All],[DESCRIÇÃO DA CONTA - NÃO UTILIZAR]:[Código2]],2,FALSE)</f>
        <v>20.04.004</v>
      </c>
      <c r="E192" s="712" t="s">
        <v>2651</v>
      </c>
      <c r="F192" s="712" t="s">
        <v>581</v>
      </c>
      <c r="G192" s="733" t="s">
        <v>1768</v>
      </c>
      <c r="H192" s="712" t="s">
        <v>1788</v>
      </c>
      <c r="I192" s="716" t="s">
        <v>2065</v>
      </c>
      <c r="J192" s="711" t="s">
        <v>264</v>
      </c>
      <c r="K192" s="711" t="s">
        <v>2113</v>
      </c>
      <c r="L192" s="714" t="s">
        <v>2258</v>
      </c>
      <c r="M192" s="1271">
        <v>46081</v>
      </c>
      <c r="N192" s="715">
        <v>46101</v>
      </c>
      <c r="O192" s="715"/>
      <c r="P192" s="711" t="s">
        <v>214</v>
      </c>
      <c r="Q192" s="734">
        <v>608.91</v>
      </c>
      <c r="R192" s="735">
        <v>0</v>
      </c>
      <c r="S192" s="735">
        <v>0</v>
      </c>
      <c r="T192" s="65">
        <f>SUM(mMAR[[#This Row],[PRINCIPAL]:[JUROS]])</f>
        <v>608.91</v>
      </c>
      <c r="V192" s="1310"/>
    </row>
    <row r="193" spans="2:22" ht="21" customHeight="1">
      <c r="B193" s="83" t="str">
        <f t="shared" si="2"/>
        <v>3/26</v>
      </c>
      <c r="C193" s="5" t="str">
        <f>VLOOKUP(mMAR[[#This Row],[CÓDIGO CONTABIL]],Contas_Gerencial[#All],3,FALSE)</f>
        <v>TRIBUTOS</v>
      </c>
      <c r="D193" s="16" t="str">
        <f>VLOOKUP(mMAR[[#This Row],[DESCRIÇÃO CONTABIL]],Contas_Gerencial[[#All],[DESCRIÇÃO DA CONTA - NÃO UTILIZAR]:[Código2]],2,FALSE)</f>
        <v>20.08.004</v>
      </c>
      <c r="E193" s="712" t="s">
        <v>2648</v>
      </c>
      <c r="F193" s="712" t="s">
        <v>581</v>
      </c>
      <c r="G193" s="733" t="s">
        <v>1768</v>
      </c>
      <c r="H193" s="712" t="s">
        <v>1788</v>
      </c>
      <c r="I193" s="716" t="s">
        <v>2065</v>
      </c>
      <c r="J193" s="711" t="s">
        <v>654</v>
      </c>
      <c r="K193" s="711" t="s">
        <v>2114</v>
      </c>
      <c r="L193" s="714" t="s">
        <v>2258</v>
      </c>
      <c r="M193" s="1271">
        <v>46081</v>
      </c>
      <c r="N193" s="715">
        <v>46101</v>
      </c>
      <c r="O193" s="1271">
        <v>46081</v>
      </c>
      <c r="P193" s="711" t="s">
        <v>214</v>
      </c>
      <c r="Q193" s="734">
        <v>0</v>
      </c>
      <c r="R193" s="735">
        <v>0</v>
      </c>
      <c r="S193" s="735">
        <v>0</v>
      </c>
      <c r="T193" s="65">
        <f>SUM(mMAR[[#This Row],[PRINCIPAL]:[JUROS]])</f>
        <v>0</v>
      </c>
      <c r="V193" s="1310"/>
    </row>
    <row r="194" spans="2:22" ht="21" customHeight="1">
      <c r="B194" s="83" t="str">
        <f t="shared" si="2"/>
        <v>3/26</v>
      </c>
      <c r="C194" s="5" t="str">
        <f>VLOOKUP(mMAR[[#This Row],[CÓDIGO CONTABIL]],Contas_Gerencial[#All],3,FALSE)</f>
        <v>TRIBUTOS</v>
      </c>
      <c r="D194" s="16" t="str">
        <f>VLOOKUP(mMAR[[#This Row],[DESCRIÇÃO CONTABIL]],Contas_Gerencial[[#All],[DESCRIÇÃO DA CONTA - NÃO UTILIZAR]:[Código2]],2,FALSE)</f>
        <v>20.08.001</v>
      </c>
      <c r="E194" s="712" t="s">
        <v>2112</v>
      </c>
      <c r="F194" s="712" t="s">
        <v>581</v>
      </c>
      <c r="G194" s="733" t="s">
        <v>1768</v>
      </c>
      <c r="H194" s="712" t="s">
        <v>1788</v>
      </c>
      <c r="I194" s="716" t="s">
        <v>2065</v>
      </c>
      <c r="J194" s="711" t="s">
        <v>654</v>
      </c>
      <c r="K194" s="711" t="s">
        <v>1907</v>
      </c>
      <c r="L194" s="714" t="s">
        <v>2258</v>
      </c>
      <c r="M194" s="1271">
        <v>46081</v>
      </c>
      <c r="N194" s="715">
        <v>46101</v>
      </c>
      <c r="O194" s="715"/>
      <c r="P194" s="711" t="s">
        <v>1</v>
      </c>
      <c r="Q194" s="734">
        <v>420.98</v>
      </c>
      <c r="R194" s="735">
        <v>0</v>
      </c>
      <c r="S194" s="735">
        <v>0</v>
      </c>
      <c r="T194" s="65">
        <f>SUM(mMAR[[#This Row],[PRINCIPAL]:[JUROS]])</f>
        <v>420.98</v>
      </c>
      <c r="V194" s="1310"/>
    </row>
    <row r="195" spans="2:22" ht="21" customHeight="1">
      <c r="B195" s="83" t="str">
        <f t="shared" si="2"/>
        <v>3/26</v>
      </c>
      <c r="C195" s="5" t="str">
        <f>VLOOKUP(mMAR[[#This Row],[CÓDIGO CONTABIL]],Contas_Gerencial[#All],3,FALSE)</f>
        <v>TRIBUTOS</v>
      </c>
      <c r="D195" s="16" t="str">
        <f>VLOOKUP(mMAR[[#This Row],[DESCRIÇÃO CONTABIL]],Contas_Gerencial[[#All],[DESCRIÇÃO DA CONTA - NÃO UTILIZAR]:[Código2]],2,FALSE)</f>
        <v>20.08.002</v>
      </c>
      <c r="E195" s="712" t="s">
        <v>589</v>
      </c>
      <c r="F195" s="712" t="s">
        <v>581</v>
      </c>
      <c r="G195" s="733" t="s">
        <v>1768</v>
      </c>
      <c r="H195" s="712" t="s">
        <v>1788</v>
      </c>
      <c r="I195" s="716" t="s">
        <v>2065</v>
      </c>
      <c r="J195" s="711" t="s">
        <v>654</v>
      </c>
      <c r="K195" s="711" t="s">
        <v>1907</v>
      </c>
      <c r="L195" s="714" t="s">
        <v>2258</v>
      </c>
      <c r="M195" s="1271">
        <v>46081</v>
      </c>
      <c r="N195" s="715">
        <v>46101</v>
      </c>
      <c r="O195" s="715"/>
      <c r="P195" s="711" t="s">
        <v>1</v>
      </c>
      <c r="Q195" s="861">
        <v>630.63623479135231</v>
      </c>
      <c r="R195" s="735">
        <v>0</v>
      </c>
      <c r="S195" s="735">
        <v>0</v>
      </c>
      <c r="T195" s="65">
        <f>SUM(mMAR[[#This Row],[PRINCIPAL]:[JUROS]])</f>
        <v>630.63623479135231</v>
      </c>
      <c r="V195" s="1310"/>
    </row>
    <row r="196" spans="2:22" ht="21" customHeight="1">
      <c r="B196" s="83" t="str">
        <f t="shared" si="2"/>
        <v>3/26</v>
      </c>
      <c r="C196" s="5" t="str">
        <f>VLOOKUP(mMAR[[#This Row],[CÓDIGO CONTABIL]],Contas_Gerencial[#All],3,FALSE)</f>
        <v>FOLHA DE PAGAMENTO</v>
      </c>
      <c r="D196" s="16" t="str">
        <f>VLOOKUP(mMAR[[#This Row],[DESCRIÇÃO CONTABIL]],Contas_Gerencial[[#All],[DESCRIÇÃO DA CONTA - NÃO UTILIZAR]:[Código2]],2,FALSE)</f>
        <v>20.05.021</v>
      </c>
      <c r="E196" s="712" t="s">
        <v>59</v>
      </c>
      <c r="F196" s="711" t="s">
        <v>581</v>
      </c>
      <c r="G196" s="733" t="s">
        <v>1768</v>
      </c>
      <c r="H196" s="712" t="s">
        <v>1791</v>
      </c>
      <c r="I196" s="716" t="s">
        <v>2065</v>
      </c>
      <c r="J196" s="711" t="s">
        <v>581</v>
      </c>
      <c r="K196" s="712" t="s">
        <v>1793</v>
      </c>
      <c r="L196" s="714" t="s">
        <v>2258</v>
      </c>
      <c r="M196" s="1271">
        <v>46081</v>
      </c>
      <c r="N196" s="715">
        <v>46086</v>
      </c>
      <c r="O196" s="715">
        <v>46086</v>
      </c>
      <c r="P196" s="711" t="s">
        <v>1</v>
      </c>
      <c r="Q196" s="734">
        <v>3310.68</v>
      </c>
      <c r="R196" s="735">
        <v>0</v>
      </c>
      <c r="S196" s="735">
        <v>0</v>
      </c>
      <c r="T196" s="65">
        <f>SUM(mMAR[[#This Row],[PRINCIPAL]:[JUROS]])</f>
        <v>3310.68</v>
      </c>
      <c r="V196" s="1310"/>
    </row>
    <row r="197" spans="2:22" ht="21" customHeight="1">
      <c r="B197" s="83" t="str">
        <f t="shared" si="2"/>
        <v>3/26</v>
      </c>
      <c r="C197" s="5" t="str">
        <f>VLOOKUP(mMAR[[#This Row],[CÓDIGO CONTABIL]],Contas_Gerencial[#All],3,FALSE)</f>
        <v>ENCARGOS</v>
      </c>
      <c r="D197" s="16" t="str">
        <f>VLOOKUP(mMAR[[#This Row],[DESCRIÇÃO CONTABIL]],Contas_Gerencial[[#All],[DESCRIÇÃO DA CONTA - NÃO UTILIZAR]:[Código2]],2,FALSE)</f>
        <v>20.04.006</v>
      </c>
      <c r="E197" s="712" t="s">
        <v>1180</v>
      </c>
      <c r="F197" s="712" t="s">
        <v>581</v>
      </c>
      <c r="G197" s="733" t="s">
        <v>1768</v>
      </c>
      <c r="H197" s="712" t="s">
        <v>1180</v>
      </c>
      <c r="I197" s="716" t="s">
        <v>2065</v>
      </c>
      <c r="J197" s="711" t="s">
        <v>384</v>
      </c>
      <c r="K197" s="711" t="s">
        <v>1180</v>
      </c>
      <c r="L197" s="714" t="s">
        <v>2258</v>
      </c>
      <c r="M197" s="1271">
        <v>46081</v>
      </c>
      <c r="N197" s="715">
        <v>46101</v>
      </c>
      <c r="O197" s="715"/>
      <c r="P197" s="711" t="s">
        <v>1</v>
      </c>
      <c r="Q197" s="734">
        <v>291.26</v>
      </c>
      <c r="R197" s="735">
        <v>0</v>
      </c>
      <c r="S197" s="735">
        <v>0</v>
      </c>
      <c r="T197" s="65">
        <f>SUM(mMAR[[#This Row],[PRINCIPAL]:[JUROS]])</f>
        <v>291.26</v>
      </c>
      <c r="V197" s="1310"/>
    </row>
    <row r="198" spans="2:22" ht="21" customHeight="1">
      <c r="B198" s="83" t="str">
        <f t="shared" si="2"/>
        <v>3/26</v>
      </c>
      <c r="C198" s="5" t="str">
        <f>VLOOKUP(mMAR[[#This Row],[CÓDIGO CONTABIL]],Contas_Gerencial[#All],3,FALSE)</f>
        <v>ENCARGOS</v>
      </c>
      <c r="D198" s="16" t="str">
        <f>VLOOKUP(mMAR[[#This Row],[DESCRIÇÃO CONTABIL]],Contas_Gerencial[[#All],[DESCRIÇÃO DA CONTA - NÃO UTILIZAR]:[Código2]],2,FALSE)</f>
        <v>20.04.001</v>
      </c>
      <c r="E198" s="712" t="s">
        <v>2659</v>
      </c>
      <c r="F198" s="712" t="s">
        <v>581</v>
      </c>
      <c r="G198" s="712" t="s">
        <v>1768</v>
      </c>
      <c r="H198" s="712" t="s">
        <v>1788</v>
      </c>
      <c r="I198" s="716" t="s">
        <v>2065</v>
      </c>
      <c r="J198" s="711" t="s">
        <v>757</v>
      </c>
      <c r="K198" s="711" t="s">
        <v>2089</v>
      </c>
      <c r="L198" s="714" t="s">
        <v>2258</v>
      </c>
      <c r="M198" s="1271">
        <v>46081</v>
      </c>
      <c r="N198" s="715">
        <v>46101</v>
      </c>
      <c r="O198" s="715"/>
      <c r="P198" s="960" t="s">
        <v>1</v>
      </c>
      <c r="Q198" s="737">
        <v>279.04000000000002</v>
      </c>
      <c r="R198" s="735">
        <v>0</v>
      </c>
      <c r="S198" s="735">
        <v>0</v>
      </c>
      <c r="T198" s="65">
        <f>SUM(mMAR[[#This Row],[PRINCIPAL]:[JUROS]])</f>
        <v>279.04000000000002</v>
      </c>
      <c r="V198" s="1310"/>
    </row>
    <row r="199" spans="2:22" ht="21" customHeight="1">
      <c r="B199" s="83" t="str">
        <f t="shared" si="2"/>
        <v>3/26</v>
      </c>
      <c r="C199" s="5" t="str">
        <f>VLOOKUP(mMAR[[#This Row],[CÓDIGO CONTABIL]],Contas_Gerencial[#All],3,FALSE)</f>
        <v>BENEFICIO</v>
      </c>
      <c r="D199" s="16" t="str">
        <f>VLOOKUP(mMAR[[#This Row],[DESCRIÇÃO CONTABIL]],Contas_Gerencial[[#All],[DESCRIÇÃO DA CONTA - NÃO UTILIZAR]:[Código2]],2,FALSE)</f>
        <v>20.05.006</v>
      </c>
      <c r="E199" s="733" t="s">
        <v>24</v>
      </c>
      <c r="F199" s="712" t="s">
        <v>581</v>
      </c>
      <c r="G199" s="733" t="s">
        <v>1768</v>
      </c>
      <c r="H199" s="712" t="s">
        <v>1791</v>
      </c>
      <c r="I199" s="716" t="s">
        <v>2065</v>
      </c>
      <c r="J199" s="711" t="s">
        <v>581</v>
      </c>
      <c r="K199" s="711" t="s">
        <v>2590</v>
      </c>
      <c r="L199" s="729" t="s">
        <v>2591</v>
      </c>
      <c r="M199" s="1271">
        <v>46101</v>
      </c>
      <c r="N199" s="715">
        <v>46101</v>
      </c>
      <c r="O199" s="715"/>
      <c r="P199" s="712" t="s">
        <v>1</v>
      </c>
      <c r="Q199" s="730">
        <v>728</v>
      </c>
      <c r="R199" s="730">
        <v>0</v>
      </c>
      <c r="S199" s="730">
        <v>0</v>
      </c>
      <c r="T199" s="65">
        <f>SUM(mMAR[[#This Row],[PRINCIPAL]:[JUROS]])</f>
        <v>728</v>
      </c>
      <c r="V199" s="1310"/>
    </row>
    <row r="200" spans="2:22" ht="21" customHeight="1">
      <c r="B200" s="83" t="str">
        <f t="shared" si="2"/>
        <v>3/26</v>
      </c>
      <c r="C200" s="5" t="str">
        <f>VLOOKUP(mMAR[[#This Row],[CÓDIGO CONTABIL]],Contas_Gerencial[#All],3,FALSE)</f>
        <v>BENEFICIO</v>
      </c>
      <c r="D200" s="16" t="str">
        <f>VLOOKUP(mMAR[[#This Row],[DESCRIÇÃO CONTABIL]],Contas_Gerencial[[#All],[DESCRIÇÃO DA CONTA - NÃO UTILIZAR]:[Código2]],2,FALSE)</f>
        <v>20.05.007</v>
      </c>
      <c r="E200" s="733" t="s">
        <v>25</v>
      </c>
      <c r="F200" s="712" t="s">
        <v>581</v>
      </c>
      <c r="G200" s="733" t="s">
        <v>1768</v>
      </c>
      <c r="H200" s="712" t="s">
        <v>1791</v>
      </c>
      <c r="I200" s="716" t="s">
        <v>2065</v>
      </c>
      <c r="J200" s="711" t="s">
        <v>581</v>
      </c>
      <c r="K200" s="711" t="s">
        <v>2590</v>
      </c>
      <c r="L200" s="729" t="s">
        <v>2591</v>
      </c>
      <c r="M200" s="1271">
        <v>46101</v>
      </c>
      <c r="N200" s="715">
        <v>46101</v>
      </c>
      <c r="O200" s="715"/>
      <c r="P200" s="712" t="s">
        <v>1</v>
      </c>
      <c r="Q200" s="730">
        <v>0</v>
      </c>
      <c r="R200" s="730">
        <v>0</v>
      </c>
      <c r="S200" s="730">
        <v>0</v>
      </c>
      <c r="T200" s="65">
        <f>SUM(mMAR[[#This Row],[PRINCIPAL]:[JUROS]])</f>
        <v>0</v>
      </c>
      <c r="V200" s="1310"/>
    </row>
    <row r="201" spans="2:22" ht="21" customHeight="1">
      <c r="B201" s="83" t="str">
        <f t="shared" ref="B201:B264" si="3">B200</f>
        <v>3/26</v>
      </c>
      <c r="C201" s="5" t="str">
        <f>VLOOKUP(mMAR[[#This Row],[CÓDIGO CONTABIL]],Contas_Gerencial[#All],3,FALSE)</f>
        <v>RECEITA SUBCONTA</v>
      </c>
      <c r="D201" s="16" t="str">
        <f>VLOOKUP(mMAR[[#This Row],[DESCRIÇÃO CONTABIL]],Contas_Gerencial[[#All],[DESCRIÇÃO DA CONTA - NÃO UTILIZAR]:[Código2]],2,FALSE)</f>
        <v>10.01.001</v>
      </c>
      <c r="E201" s="473" t="s">
        <v>90</v>
      </c>
      <c r="F201" s="485" t="s">
        <v>581</v>
      </c>
      <c r="G201" s="473" t="s">
        <v>1003</v>
      </c>
      <c r="H201" s="473" t="s">
        <v>2496</v>
      </c>
      <c r="I201" s="474" t="s">
        <v>2065</v>
      </c>
      <c r="J201" s="472" t="s">
        <v>581</v>
      </c>
      <c r="K201" s="472" t="s">
        <v>1792</v>
      </c>
      <c r="L201" s="475" t="s">
        <v>2258</v>
      </c>
      <c r="M201" s="1270">
        <v>46081</v>
      </c>
      <c r="N201" s="476">
        <v>46096</v>
      </c>
      <c r="O201" s="476"/>
      <c r="P201" s="452" t="s">
        <v>215</v>
      </c>
      <c r="Q201" s="479">
        <v>19698</v>
      </c>
      <c r="R201" s="479">
        <v>0</v>
      </c>
      <c r="S201" s="479">
        <v>0</v>
      </c>
      <c r="T201" s="65">
        <f>SUM(mMAR[[#This Row],[PRINCIPAL]:[JUROS]])</f>
        <v>19698</v>
      </c>
      <c r="V201" s="1310"/>
    </row>
    <row r="202" spans="2:22" ht="21" customHeight="1">
      <c r="B202" s="83" t="str">
        <f t="shared" si="3"/>
        <v>3/26</v>
      </c>
      <c r="C202" s="5" t="str">
        <f>VLOOKUP(mMAR[[#This Row],[CÓDIGO CONTABIL]],Contas_Gerencial[#All],3,FALSE)</f>
        <v>ENCARGOS</v>
      </c>
      <c r="D202" s="16" t="str">
        <f>VLOOKUP(mMAR[[#This Row],[DESCRIÇÃO CONTABIL]],Contas_Gerencial[[#All],[DESCRIÇÃO DA CONTA - NÃO UTILIZAR]:[Código2]],2,FALSE)</f>
        <v>20.04.004</v>
      </c>
      <c r="E202" s="712" t="s">
        <v>2651</v>
      </c>
      <c r="F202" s="712" t="s">
        <v>581</v>
      </c>
      <c r="G202" s="733" t="s">
        <v>1003</v>
      </c>
      <c r="H202" s="712" t="s">
        <v>1788</v>
      </c>
      <c r="I202" s="716" t="s">
        <v>2065</v>
      </c>
      <c r="J202" s="711" t="s">
        <v>264</v>
      </c>
      <c r="K202" s="711" t="s">
        <v>2113</v>
      </c>
      <c r="L202" s="714" t="s">
        <v>2258</v>
      </c>
      <c r="M202" s="1271">
        <v>46081</v>
      </c>
      <c r="N202" s="715">
        <v>46101</v>
      </c>
      <c r="O202" s="715"/>
      <c r="P202" s="711" t="s">
        <v>214</v>
      </c>
      <c r="Q202" s="734">
        <v>1328.59</v>
      </c>
      <c r="R202" s="735">
        <v>0</v>
      </c>
      <c r="S202" s="735">
        <v>0</v>
      </c>
      <c r="T202" s="65">
        <f>SUM(mMAR[[#This Row],[PRINCIPAL]:[JUROS]])</f>
        <v>1328.59</v>
      </c>
      <c r="V202" s="1310"/>
    </row>
    <row r="203" spans="2:22" ht="21" customHeight="1">
      <c r="B203" s="83" t="str">
        <f t="shared" si="3"/>
        <v>3/26</v>
      </c>
      <c r="C203" s="5" t="str">
        <f>VLOOKUP(mMAR[[#This Row],[CÓDIGO CONTABIL]],Contas_Gerencial[#All],3,FALSE)</f>
        <v>TRIBUTOS</v>
      </c>
      <c r="D203" s="16" t="str">
        <f>VLOOKUP(mMAR[[#This Row],[DESCRIÇÃO CONTABIL]],Contas_Gerencial[[#All],[DESCRIÇÃO DA CONTA - NÃO UTILIZAR]:[Código2]],2,FALSE)</f>
        <v>20.08.004</v>
      </c>
      <c r="E203" s="712" t="s">
        <v>2648</v>
      </c>
      <c r="F203" s="712" t="s">
        <v>581</v>
      </c>
      <c r="G203" s="733" t="s">
        <v>1003</v>
      </c>
      <c r="H203" s="712" t="s">
        <v>1788</v>
      </c>
      <c r="I203" s="716" t="s">
        <v>2065</v>
      </c>
      <c r="J203" s="711" t="s">
        <v>654</v>
      </c>
      <c r="K203" s="711" t="s">
        <v>2114</v>
      </c>
      <c r="L203" s="714" t="s">
        <v>2258</v>
      </c>
      <c r="M203" s="1271">
        <v>46081</v>
      </c>
      <c r="N203" s="715">
        <v>46101</v>
      </c>
      <c r="O203" s="1271">
        <v>46081</v>
      </c>
      <c r="P203" s="711" t="s">
        <v>214</v>
      </c>
      <c r="Q203" s="734">
        <v>850.94</v>
      </c>
      <c r="R203" s="735">
        <v>0</v>
      </c>
      <c r="S203" s="735">
        <v>0</v>
      </c>
      <c r="T203" s="65">
        <f>SUM(mMAR[[#This Row],[PRINCIPAL]:[JUROS]])</f>
        <v>850.94</v>
      </c>
      <c r="V203" s="1310"/>
    </row>
    <row r="204" spans="2:22" ht="21" customHeight="1">
      <c r="B204" s="83" t="str">
        <f t="shared" si="3"/>
        <v>3/26</v>
      </c>
      <c r="C204" s="5" t="str">
        <f>VLOOKUP(mMAR[[#This Row],[CÓDIGO CONTABIL]],Contas_Gerencial[#All],3,FALSE)</f>
        <v>TRIBUTOS</v>
      </c>
      <c r="D204" s="16" t="str">
        <f>VLOOKUP(mMAR[[#This Row],[DESCRIÇÃO CONTABIL]],Contas_Gerencial[[#All],[DESCRIÇÃO DA CONTA - NÃO UTILIZAR]:[Código2]],2,FALSE)</f>
        <v>20.08.001</v>
      </c>
      <c r="E204" s="712" t="s">
        <v>2112</v>
      </c>
      <c r="F204" s="712" t="s">
        <v>581</v>
      </c>
      <c r="G204" s="733" t="s">
        <v>1003</v>
      </c>
      <c r="H204" s="712" t="s">
        <v>1788</v>
      </c>
      <c r="I204" s="716" t="s">
        <v>2065</v>
      </c>
      <c r="J204" s="711" t="s">
        <v>654</v>
      </c>
      <c r="K204" s="711" t="s">
        <v>1907</v>
      </c>
      <c r="L204" s="714" t="s">
        <v>2258</v>
      </c>
      <c r="M204" s="1271">
        <v>46081</v>
      </c>
      <c r="N204" s="715">
        <v>46101</v>
      </c>
      <c r="O204" s="1271">
        <v>46081</v>
      </c>
      <c r="P204" s="711" t="s">
        <v>214</v>
      </c>
      <c r="Q204" s="734">
        <v>0</v>
      </c>
      <c r="R204" s="735">
        <v>0</v>
      </c>
      <c r="S204" s="735">
        <v>0</v>
      </c>
      <c r="T204" s="65">
        <f>SUM(mMAR[[#This Row],[PRINCIPAL]:[JUROS]])</f>
        <v>0</v>
      </c>
      <c r="V204" s="1310"/>
    </row>
    <row r="205" spans="2:22" ht="21" customHeight="1">
      <c r="B205" s="83" t="str">
        <f t="shared" si="3"/>
        <v>3/26</v>
      </c>
      <c r="C205" s="5" t="str">
        <f>VLOOKUP(mMAR[[#This Row],[CÓDIGO CONTABIL]],Contas_Gerencial[#All],3,FALSE)</f>
        <v>TRIBUTOS</v>
      </c>
      <c r="D205" s="16" t="str">
        <f>VLOOKUP(mMAR[[#This Row],[DESCRIÇÃO CONTABIL]],Contas_Gerencial[[#All],[DESCRIÇÃO DA CONTA - NÃO UTILIZAR]:[Código2]],2,FALSE)</f>
        <v>20.08.002</v>
      </c>
      <c r="E205" s="712" t="s">
        <v>589</v>
      </c>
      <c r="F205" s="712" t="s">
        <v>581</v>
      </c>
      <c r="G205" s="733" t="s">
        <v>1003</v>
      </c>
      <c r="H205" s="712" t="s">
        <v>1788</v>
      </c>
      <c r="I205" s="716" t="s">
        <v>2065</v>
      </c>
      <c r="J205" s="711" t="s">
        <v>654</v>
      </c>
      <c r="K205" s="711" t="s">
        <v>1907</v>
      </c>
      <c r="L205" s="714" t="s">
        <v>2258</v>
      </c>
      <c r="M205" s="1271">
        <v>46081</v>
      </c>
      <c r="N205" s="715">
        <v>46101</v>
      </c>
      <c r="O205" s="715"/>
      <c r="P205" s="711" t="s">
        <v>1</v>
      </c>
      <c r="Q205" s="861">
        <v>1274.7329453996983</v>
      </c>
      <c r="R205" s="735">
        <v>0</v>
      </c>
      <c r="S205" s="735">
        <v>0</v>
      </c>
      <c r="T205" s="65">
        <f>SUM(mMAR[[#This Row],[PRINCIPAL]:[JUROS]])</f>
        <v>1274.7329453996983</v>
      </c>
      <c r="V205" s="1310"/>
    </row>
    <row r="206" spans="2:22" ht="21" customHeight="1">
      <c r="B206" s="83" t="str">
        <f t="shared" si="3"/>
        <v>3/26</v>
      </c>
      <c r="C206" s="5" t="str">
        <f>VLOOKUP(mMAR[[#This Row],[CÓDIGO CONTABIL]],Contas_Gerencial[#All],3,FALSE)</f>
        <v>FOLHA DE PAGAMENTO</v>
      </c>
      <c r="D206" s="16" t="str">
        <f>VLOOKUP(mMAR[[#This Row],[DESCRIÇÃO CONTABIL]],Contas_Gerencial[[#All],[DESCRIÇÃO DA CONTA - NÃO UTILIZAR]:[Código2]],2,FALSE)</f>
        <v>20.05.021</v>
      </c>
      <c r="E206" s="712" t="s">
        <v>59</v>
      </c>
      <c r="F206" s="711" t="s">
        <v>581</v>
      </c>
      <c r="G206" s="733" t="s">
        <v>1003</v>
      </c>
      <c r="H206" s="712" t="s">
        <v>1791</v>
      </c>
      <c r="I206" s="716" t="s">
        <v>2065</v>
      </c>
      <c r="J206" s="711" t="s">
        <v>581</v>
      </c>
      <c r="K206" s="712" t="s">
        <v>1793</v>
      </c>
      <c r="L206" s="714" t="s">
        <v>2258</v>
      </c>
      <c r="M206" s="1271">
        <v>46081</v>
      </c>
      <c r="N206" s="715">
        <v>46086</v>
      </c>
      <c r="O206" s="715">
        <v>46086</v>
      </c>
      <c r="P206" s="711" t="s">
        <v>1</v>
      </c>
      <c r="Q206" s="734">
        <v>5352.5</v>
      </c>
      <c r="R206" s="735">
        <v>0</v>
      </c>
      <c r="S206" s="735">
        <v>0</v>
      </c>
      <c r="T206" s="65">
        <f>SUM(mMAR[[#This Row],[PRINCIPAL]:[JUROS]])</f>
        <v>5352.5</v>
      </c>
      <c r="V206" s="1310"/>
    </row>
    <row r="207" spans="2:22" ht="21" customHeight="1">
      <c r="B207" s="83" t="str">
        <f t="shared" si="3"/>
        <v>3/26</v>
      </c>
      <c r="C207" s="5" t="str">
        <f>VLOOKUP(mMAR[[#This Row],[CÓDIGO CONTABIL]],Contas_Gerencial[#All],3,FALSE)</f>
        <v>ENCARGOS</v>
      </c>
      <c r="D207" s="16" t="str">
        <f>VLOOKUP(mMAR[[#This Row],[DESCRIÇÃO CONTABIL]],Contas_Gerencial[[#All],[DESCRIÇÃO DA CONTA - NÃO UTILIZAR]:[Código2]],2,FALSE)</f>
        <v>20.04.006</v>
      </c>
      <c r="E207" s="712" t="s">
        <v>1180</v>
      </c>
      <c r="F207" s="712" t="s">
        <v>581</v>
      </c>
      <c r="G207" s="733" t="s">
        <v>1003</v>
      </c>
      <c r="H207" s="712" t="s">
        <v>1180</v>
      </c>
      <c r="I207" s="716" t="s">
        <v>2065</v>
      </c>
      <c r="J207" s="711" t="s">
        <v>384</v>
      </c>
      <c r="K207" s="711" t="s">
        <v>1180</v>
      </c>
      <c r="L207" s="714" t="s">
        <v>2258</v>
      </c>
      <c r="M207" s="1271">
        <v>46081</v>
      </c>
      <c r="N207" s="715">
        <v>46101</v>
      </c>
      <c r="O207" s="715"/>
      <c r="P207" s="711" t="s">
        <v>1</v>
      </c>
      <c r="Q207" s="734">
        <v>517.95000000000005</v>
      </c>
      <c r="R207" s="735">
        <v>0</v>
      </c>
      <c r="S207" s="735">
        <v>0</v>
      </c>
      <c r="T207" s="65">
        <f>SUM(mMAR[[#This Row],[PRINCIPAL]:[JUROS]])</f>
        <v>517.95000000000005</v>
      </c>
      <c r="V207" s="1310"/>
    </row>
    <row r="208" spans="2:22" ht="21" customHeight="1">
      <c r="B208" s="83" t="str">
        <f t="shared" si="3"/>
        <v>3/26</v>
      </c>
      <c r="C208" s="5" t="str">
        <f>VLOOKUP(mMAR[[#This Row],[CÓDIGO CONTABIL]],Contas_Gerencial[#All],3,FALSE)</f>
        <v>ENCARGOS</v>
      </c>
      <c r="D208" s="16" t="str">
        <f>VLOOKUP(mMAR[[#This Row],[DESCRIÇÃO CONTABIL]],Contas_Gerencial[[#All],[DESCRIÇÃO DA CONTA - NÃO UTILIZAR]:[Código2]],2,FALSE)</f>
        <v>20.04.001</v>
      </c>
      <c r="E208" s="712" t="s">
        <v>2659</v>
      </c>
      <c r="F208" s="712" t="s">
        <v>581</v>
      </c>
      <c r="G208" s="712" t="s">
        <v>1003</v>
      </c>
      <c r="H208" s="712" t="s">
        <v>1788</v>
      </c>
      <c r="I208" s="716" t="s">
        <v>2065</v>
      </c>
      <c r="J208" s="711" t="s">
        <v>757</v>
      </c>
      <c r="K208" s="711" t="s">
        <v>2089</v>
      </c>
      <c r="L208" s="714" t="s">
        <v>2258</v>
      </c>
      <c r="M208" s="1271">
        <v>46081</v>
      </c>
      <c r="N208" s="715">
        <v>46101</v>
      </c>
      <c r="O208" s="715"/>
      <c r="P208" s="960" t="s">
        <v>1</v>
      </c>
      <c r="Q208" s="737">
        <v>509.76</v>
      </c>
      <c r="R208" s="735">
        <v>0</v>
      </c>
      <c r="S208" s="735">
        <v>0</v>
      </c>
      <c r="T208" s="65">
        <f>SUM(mMAR[[#This Row],[PRINCIPAL]:[JUROS]])</f>
        <v>509.76</v>
      </c>
      <c r="V208" s="1310"/>
    </row>
    <row r="209" spans="2:22" ht="21" customHeight="1">
      <c r="B209" s="83" t="str">
        <f t="shared" si="3"/>
        <v>3/26</v>
      </c>
      <c r="C209" s="5" t="str">
        <f>VLOOKUP(mMAR[[#This Row],[CÓDIGO CONTABIL]],Contas_Gerencial[#All],3,FALSE)</f>
        <v>BENEFICIO</v>
      </c>
      <c r="D209" s="16" t="str">
        <f>VLOOKUP(mMAR[[#This Row],[DESCRIÇÃO CONTABIL]],Contas_Gerencial[[#All],[DESCRIÇÃO DA CONTA - NÃO UTILIZAR]:[Código2]],2,FALSE)</f>
        <v>20.05.006</v>
      </c>
      <c r="E209" s="733" t="s">
        <v>24</v>
      </c>
      <c r="F209" s="712" t="s">
        <v>581</v>
      </c>
      <c r="G209" s="712" t="s">
        <v>1003</v>
      </c>
      <c r="H209" s="712" t="s">
        <v>1791</v>
      </c>
      <c r="I209" s="716" t="s">
        <v>2065</v>
      </c>
      <c r="J209" s="711" t="s">
        <v>581</v>
      </c>
      <c r="K209" s="711" t="s">
        <v>2590</v>
      </c>
      <c r="L209" s="729" t="s">
        <v>2591</v>
      </c>
      <c r="M209" s="1271">
        <v>46101</v>
      </c>
      <c r="N209" s="715">
        <v>46101</v>
      </c>
      <c r="O209" s="715"/>
      <c r="P209" s="712" t="s">
        <v>1</v>
      </c>
      <c r="Q209" s="730">
        <v>2272.6200000000003</v>
      </c>
      <c r="R209" s="730">
        <v>0</v>
      </c>
      <c r="S209" s="730">
        <v>0</v>
      </c>
      <c r="T209" s="65">
        <f>SUM(mMAR[[#This Row],[PRINCIPAL]:[JUROS]])</f>
        <v>2272.6200000000003</v>
      </c>
      <c r="V209" s="1310"/>
    </row>
    <row r="210" spans="2:22" ht="21" customHeight="1">
      <c r="B210" s="83" t="str">
        <f t="shared" si="3"/>
        <v>3/26</v>
      </c>
      <c r="C210" s="5" t="str">
        <f>VLOOKUP(mMAR[[#This Row],[CÓDIGO CONTABIL]],Contas_Gerencial[#All],3,FALSE)</f>
        <v>BENEFICIO</v>
      </c>
      <c r="D210" s="16" t="str">
        <f>VLOOKUP(mMAR[[#This Row],[DESCRIÇÃO CONTABIL]],Contas_Gerencial[[#All],[DESCRIÇÃO DA CONTA - NÃO UTILIZAR]:[Código2]],2,FALSE)</f>
        <v>20.05.007</v>
      </c>
      <c r="E210" s="733" t="s">
        <v>25</v>
      </c>
      <c r="F210" s="712" t="s">
        <v>581</v>
      </c>
      <c r="G210" s="712" t="s">
        <v>1003</v>
      </c>
      <c r="H210" s="712" t="s">
        <v>1791</v>
      </c>
      <c r="I210" s="716" t="s">
        <v>2065</v>
      </c>
      <c r="J210" s="711" t="s">
        <v>581</v>
      </c>
      <c r="K210" s="711" t="s">
        <v>2590</v>
      </c>
      <c r="L210" s="729" t="s">
        <v>2591</v>
      </c>
      <c r="M210" s="1271">
        <v>46101</v>
      </c>
      <c r="N210" s="715">
        <v>46101</v>
      </c>
      <c r="O210" s="715"/>
      <c r="P210" s="712" t="s">
        <v>1</v>
      </c>
      <c r="Q210" s="730">
        <v>295.8</v>
      </c>
      <c r="R210" s="730">
        <v>0</v>
      </c>
      <c r="S210" s="730">
        <v>0</v>
      </c>
      <c r="T210" s="65">
        <f>SUM(mMAR[[#This Row],[PRINCIPAL]:[JUROS]])</f>
        <v>295.8</v>
      </c>
      <c r="V210" s="1310"/>
    </row>
    <row r="211" spans="2:22" ht="21" customHeight="1">
      <c r="B211" s="83" t="str">
        <f t="shared" si="3"/>
        <v>3/26</v>
      </c>
      <c r="C211" s="5" t="str">
        <f>VLOOKUP(mMAR[[#This Row],[CÓDIGO CONTABIL]],Contas_Gerencial[#All],3,FALSE)</f>
        <v>RECEITA SUBCONTA</v>
      </c>
      <c r="D211" s="16" t="str">
        <f>VLOOKUP(mMAR[[#This Row],[DESCRIÇÃO CONTABIL]],Contas_Gerencial[[#All],[DESCRIÇÃO DA CONTA - NÃO UTILIZAR]:[Código2]],2,FALSE)</f>
        <v>10.01.001</v>
      </c>
      <c r="E211" s="473" t="s">
        <v>90</v>
      </c>
      <c r="F211" s="485" t="s">
        <v>581</v>
      </c>
      <c r="G211" s="473" t="s">
        <v>1991</v>
      </c>
      <c r="H211" s="473" t="s">
        <v>2496</v>
      </c>
      <c r="I211" s="474" t="s">
        <v>2065</v>
      </c>
      <c r="J211" s="472" t="s">
        <v>581</v>
      </c>
      <c r="K211" s="472" t="s">
        <v>1792</v>
      </c>
      <c r="L211" s="475" t="s">
        <v>2258</v>
      </c>
      <c r="M211" s="1270">
        <v>46081</v>
      </c>
      <c r="N211" s="476">
        <v>46096</v>
      </c>
      <c r="O211" s="476"/>
      <c r="P211" s="452" t="s">
        <v>215</v>
      </c>
      <c r="Q211" s="479">
        <v>6086</v>
      </c>
      <c r="R211" s="479">
        <v>0</v>
      </c>
      <c r="S211" s="479">
        <v>0</v>
      </c>
      <c r="T211" s="65">
        <f>SUM(mMAR[[#This Row],[PRINCIPAL]:[JUROS]])</f>
        <v>6086</v>
      </c>
      <c r="V211" s="1310"/>
    </row>
    <row r="212" spans="2:22" ht="21" customHeight="1">
      <c r="B212" s="83" t="str">
        <f t="shared" si="3"/>
        <v>3/26</v>
      </c>
      <c r="C212" s="5" t="str">
        <f>VLOOKUP(mMAR[[#This Row],[CÓDIGO CONTABIL]],Contas_Gerencial[#All],3,FALSE)</f>
        <v>ENCARGOS</v>
      </c>
      <c r="D212" s="16" t="str">
        <f>VLOOKUP(mMAR[[#This Row],[DESCRIÇÃO CONTABIL]],Contas_Gerencial[[#All],[DESCRIÇÃO DA CONTA - NÃO UTILIZAR]:[Código2]],2,FALSE)</f>
        <v>20.04.004</v>
      </c>
      <c r="E212" s="712" t="s">
        <v>2651</v>
      </c>
      <c r="F212" s="712" t="s">
        <v>581</v>
      </c>
      <c r="G212" s="733" t="s">
        <v>1991</v>
      </c>
      <c r="H212" s="712" t="s">
        <v>1788</v>
      </c>
      <c r="I212" s="716" t="s">
        <v>2065</v>
      </c>
      <c r="J212" s="711" t="s">
        <v>264</v>
      </c>
      <c r="K212" s="711" t="s">
        <v>2113</v>
      </c>
      <c r="L212" s="714" t="s">
        <v>2258</v>
      </c>
      <c r="M212" s="1271">
        <v>46081</v>
      </c>
      <c r="N212" s="715">
        <v>46101</v>
      </c>
      <c r="O212" s="715"/>
      <c r="P212" s="711" t="s">
        <v>214</v>
      </c>
      <c r="Q212" s="734">
        <v>335.07</v>
      </c>
      <c r="R212" s="735">
        <v>0</v>
      </c>
      <c r="S212" s="735">
        <v>0</v>
      </c>
      <c r="T212" s="65">
        <f>SUM(mMAR[[#This Row],[PRINCIPAL]:[JUROS]])</f>
        <v>335.07</v>
      </c>
      <c r="V212" s="1310"/>
    </row>
    <row r="213" spans="2:22" ht="21" customHeight="1">
      <c r="B213" s="83" t="str">
        <f t="shared" si="3"/>
        <v>3/26</v>
      </c>
      <c r="C213" s="5" t="str">
        <f>VLOOKUP(mMAR[[#This Row],[CÓDIGO CONTABIL]],Contas_Gerencial[#All],3,FALSE)</f>
        <v>TRIBUTOS</v>
      </c>
      <c r="D213" s="16" t="str">
        <f>VLOOKUP(mMAR[[#This Row],[DESCRIÇÃO CONTABIL]],Contas_Gerencial[[#All],[DESCRIÇÃO DA CONTA - NÃO UTILIZAR]:[Código2]],2,FALSE)</f>
        <v>20.08.004</v>
      </c>
      <c r="E213" s="712" t="s">
        <v>2648</v>
      </c>
      <c r="F213" s="712" t="s">
        <v>581</v>
      </c>
      <c r="G213" s="733" t="s">
        <v>1991</v>
      </c>
      <c r="H213" s="712" t="s">
        <v>1788</v>
      </c>
      <c r="I213" s="716" t="s">
        <v>2065</v>
      </c>
      <c r="J213" s="711" t="s">
        <v>654</v>
      </c>
      <c r="K213" s="711" t="s">
        <v>2114</v>
      </c>
      <c r="L213" s="714" t="s">
        <v>2258</v>
      </c>
      <c r="M213" s="1271">
        <v>46081</v>
      </c>
      <c r="N213" s="715">
        <v>46101</v>
      </c>
      <c r="O213" s="1271">
        <v>46081</v>
      </c>
      <c r="P213" s="711" t="s">
        <v>214</v>
      </c>
      <c r="Q213" s="734">
        <v>0</v>
      </c>
      <c r="R213" s="735">
        <v>0</v>
      </c>
      <c r="S213" s="735">
        <v>0</v>
      </c>
      <c r="T213" s="65">
        <f>SUM(mMAR[[#This Row],[PRINCIPAL]:[JUROS]])</f>
        <v>0</v>
      </c>
      <c r="V213" s="1310"/>
    </row>
    <row r="214" spans="2:22" ht="21" customHeight="1">
      <c r="B214" s="83" t="str">
        <f t="shared" si="3"/>
        <v>3/26</v>
      </c>
      <c r="C214" s="5" t="str">
        <f>VLOOKUP(mMAR[[#This Row],[CÓDIGO CONTABIL]],Contas_Gerencial[#All],3,FALSE)</f>
        <v>TRIBUTOS</v>
      </c>
      <c r="D214" s="16" t="str">
        <f>VLOOKUP(mMAR[[#This Row],[DESCRIÇÃO CONTABIL]],Contas_Gerencial[[#All],[DESCRIÇÃO DA CONTA - NÃO UTILIZAR]:[Código2]],2,FALSE)</f>
        <v>20.08.001</v>
      </c>
      <c r="E214" s="712" t="s">
        <v>2112</v>
      </c>
      <c r="F214" s="712" t="s">
        <v>581</v>
      </c>
      <c r="G214" s="733" t="s">
        <v>1991</v>
      </c>
      <c r="H214" s="712" t="s">
        <v>1788</v>
      </c>
      <c r="I214" s="716" t="s">
        <v>2065</v>
      </c>
      <c r="J214" s="711" t="s">
        <v>654</v>
      </c>
      <c r="K214" s="711" t="s">
        <v>1907</v>
      </c>
      <c r="L214" s="714" t="s">
        <v>2258</v>
      </c>
      <c r="M214" s="1271">
        <v>46081</v>
      </c>
      <c r="N214" s="715">
        <v>46101</v>
      </c>
      <c r="O214" s="715"/>
      <c r="P214" s="711" t="s">
        <v>1</v>
      </c>
      <c r="Q214" s="734">
        <v>262.91030181086518</v>
      </c>
      <c r="R214" s="735">
        <v>0</v>
      </c>
      <c r="S214" s="735">
        <v>0</v>
      </c>
      <c r="T214" s="65">
        <f>SUM(mMAR[[#This Row],[PRINCIPAL]:[JUROS]])</f>
        <v>262.91030181086518</v>
      </c>
      <c r="V214" s="1310"/>
    </row>
    <row r="215" spans="2:22" ht="21" customHeight="1">
      <c r="B215" s="83" t="str">
        <f t="shared" si="3"/>
        <v>3/26</v>
      </c>
      <c r="C215" s="5" t="str">
        <f>VLOOKUP(mMAR[[#This Row],[CÓDIGO CONTABIL]],Contas_Gerencial[#All],3,FALSE)</f>
        <v>TRIBUTOS</v>
      </c>
      <c r="D215" s="16" t="str">
        <f>VLOOKUP(mMAR[[#This Row],[DESCRIÇÃO CONTABIL]],Contas_Gerencial[[#All],[DESCRIÇÃO DA CONTA - NÃO UTILIZAR]:[Código2]],2,FALSE)</f>
        <v>20.08.002</v>
      </c>
      <c r="E215" s="712" t="s">
        <v>589</v>
      </c>
      <c r="F215" s="712" t="s">
        <v>581</v>
      </c>
      <c r="G215" s="733" t="s">
        <v>1991</v>
      </c>
      <c r="H215" s="712" t="s">
        <v>1788</v>
      </c>
      <c r="I215" s="716" t="s">
        <v>2065</v>
      </c>
      <c r="J215" s="711" t="s">
        <v>654</v>
      </c>
      <c r="K215" s="711" t="s">
        <v>1907</v>
      </c>
      <c r="L215" s="714" t="s">
        <v>2258</v>
      </c>
      <c r="M215" s="1271">
        <v>46081</v>
      </c>
      <c r="N215" s="715">
        <v>46101</v>
      </c>
      <c r="O215" s="715"/>
      <c r="P215" s="711" t="s">
        <v>1</v>
      </c>
      <c r="Q215" s="734">
        <v>393.84834529914531</v>
      </c>
      <c r="R215" s="735">
        <v>0</v>
      </c>
      <c r="S215" s="735">
        <v>0</v>
      </c>
      <c r="T215" s="65">
        <f>SUM(mMAR[[#This Row],[PRINCIPAL]:[JUROS]])</f>
        <v>393.84834529914531</v>
      </c>
      <c r="V215" s="1310"/>
    </row>
    <row r="216" spans="2:22" ht="21" customHeight="1">
      <c r="B216" s="83" t="str">
        <f t="shared" si="3"/>
        <v>3/26</v>
      </c>
      <c r="C216" s="5" t="str">
        <f>VLOOKUP(mMAR[[#This Row],[CÓDIGO CONTABIL]],Contas_Gerencial[#All],3,FALSE)</f>
        <v>FOLHA DE PAGAMENTO</v>
      </c>
      <c r="D216" s="16" t="str">
        <f>VLOOKUP(mMAR[[#This Row],[DESCRIÇÃO CONTABIL]],Contas_Gerencial[[#All],[DESCRIÇÃO DA CONTA - NÃO UTILIZAR]:[Código2]],2,FALSE)</f>
        <v>20.05.021</v>
      </c>
      <c r="E216" s="712" t="s">
        <v>59</v>
      </c>
      <c r="F216" s="711" t="s">
        <v>581</v>
      </c>
      <c r="G216" s="733" t="s">
        <v>1991</v>
      </c>
      <c r="H216" s="712" t="s">
        <v>1791</v>
      </c>
      <c r="I216" s="716" t="s">
        <v>2065</v>
      </c>
      <c r="J216" s="711" t="s">
        <v>581</v>
      </c>
      <c r="K216" s="712" t="s">
        <v>1790</v>
      </c>
      <c r="L216" s="714" t="s">
        <v>2258</v>
      </c>
      <c r="M216" s="1271">
        <v>46081</v>
      </c>
      <c r="N216" s="715">
        <v>46086</v>
      </c>
      <c r="O216" s="715">
        <v>46086</v>
      </c>
      <c r="P216" s="711" t="s">
        <v>1</v>
      </c>
      <c r="Q216" s="734">
        <v>1641.04</v>
      </c>
      <c r="R216" s="735">
        <v>0</v>
      </c>
      <c r="S216" s="735">
        <v>0</v>
      </c>
      <c r="T216" s="65">
        <f>SUM(mMAR[[#This Row],[PRINCIPAL]:[JUROS]])</f>
        <v>1641.04</v>
      </c>
      <c r="V216" s="1310"/>
    </row>
    <row r="217" spans="2:22" ht="21" customHeight="1">
      <c r="B217" s="83" t="str">
        <f t="shared" si="3"/>
        <v>3/26</v>
      </c>
      <c r="C217" s="5" t="str">
        <f>VLOOKUP(mMAR[[#This Row],[CÓDIGO CONTABIL]],Contas_Gerencial[#All],3,FALSE)</f>
        <v>ENCARGOS</v>
      </c>
      <c r="D217" s="16" t="str">
        <f>VLOOKUP(mMAR[[#This Row],[DESCRIÇÃO CONTABIL]],Contas_Gerencial[[#All],[DESCRIÇÃO DA CONTA - NÃO UTILIZAR]:[Código2]],2,FALSE)</f>
        <v>20.04.006</v>
      </c>
      <c r="E217" s="712" t="s">
        <v>1180</v>
      </c>
      <c r="F217" s="712" t="s">
        <v>581</v>
      </c>
      <c r="G217" s="733" t="s">
        <v>1991</v>
      </c>
      <c r="H217" s="712" t="s">
        <v>1180</v>
      </c>
      <c r="I217" s="716" t="s">
        <v>2065</v>
      </c>
      <c r="J217" s="711" t="s">
        <v>384</v>
      </c>
      <c r="K217" s="711" t="s">
        <v>1180</v>
      </c>
      <c r="L217" s="714" t="s">
        <v>2258</v>
      </c>
      <c r="M217" s="1271">
        <v>46081</v>
      </c>
      <c r="N217" s="715">
        <v>46101</v>
      </c>
      <c r="O217" s="715"/>
      <c r="P217" s="711" t="s">
        <v>1</v>
      </c>
      <c r="Q217" s="734">
        <v>145.63</v>
      </c>
      <c r="R217" s="735">
        <v>0</v>
      </c>
      <c r="S217" s="735">
        <v>0</v>
      </c>
      <c r="T217" s="65">
        <f>SUM(mMAR[[#This Row],[PRINCIPAL]:[JUROS]])</f>
        <v>145.63</v>
      </c>
      <c r="V217" s="1310"/>
    </row>
    <row r="218" spans="2:22" ht="21" customHeight="1">
      <c r="B218" s="83" t="str">
        <f t="shared" si="3"/>
        <v>3/26</v>
      </c>
      <c r="C218" s="5" t="str">
        <f>VLOOKUP(mMAR[[#This Row],[CÓDIGO CONTABIL]],Contas_Gerencial[#All],3,FALSE)</f>
        <v>ENCARGOS</v>
      </c>
      <c r="D218" s="16" t="str">
        <f>VLOOKUP(mMAR[[#This Row],[DESCRIÇÃO CONTABIL]],Contas_Gerencial[[#All],[DESCRIÇÃO DA CONTA - NÃO UTILIZAR]:[Código2]],2,FALSE)</f>
        <v>20.04.001</v>
      </c>
      <c r="E218" s="712" t="s">
        <v>2659</v>
      </c>
      <c r="F218" s="712" t="s">
        <v>581</v>
      </c>
      <c r="G218" s="712" t="s">
        <v>1991</v>
      </c>
      <c r="H218" s="712" t="s">
        <v>1788</v>
      </c>
      <c r="I218" s="716" t="s">
        <v>2065</v>
      </c>
      <c r="J218" s="711" t="s">
        <v>757</v>
      </c>
      <c r="K218" s="711" t="s">
        <v>2089</v>
      </c>
      <c r="L218" s="714" t="s">
        <v>2258</v>
      </c>
      <c r="M218" s="1271">
        <v>46081</v>
      </c>
      <c r="N218" s="715">
        <v>46101</v>
      </c>
      <c r="O218" s="715"/>
      <c r="P218" s="960" t="s">
        <v>1</v>
      </c>
      <c r="Q218" s="737">
        <v>139.52000000000001</v>
      </c>
      <c r="R218" s="735">
        <v>0</v>
      </c>
      <c r="S218" s="735">
        <v>0</v>
      </c>
      <c r="T218" s="65">
        <f>SUM(mMAR[[#This Row],[PRINCIPAL]:[JUROS]])</f>
        <v>139.52000000000001</v>
      </c>
      <c r="V218" s="1310"/>
    </row>
    <row r="219" spans="2:22" ht="21" customHeight="1">
      <c r="B219" s="83" t="str">
        <f t="shared" si="3"/>
        <v>3/26</v>
      </c>
      <c r="C219" s="5" t="str">
        <f>VLOOKUP(mMAR[[#This Row],[CÓDIGO CONTABIL]],Contas_Gerencial[#All],3,FALSE)</f>
        <v>BENEFICIO</v>
      </c>
      <c r="D219" s="16" t="str">
        <f>VLOOKUP(mMAR[[#This Row],[DESCRIÇÃO CONTABIL]],Contas_Gerencial[[#All],[DESCRIÇÃO DA CONTA - NÃO UTILIZAR]:[Código2]],2,FALSE)</f>
        <v>20.05.006</v>
      </c>
      <c r="E219" s="733" t="s">
        <v>24</v>
      </c>
      <c r="F219" s="712" t="s">
        <v>581</v>
      </c>
      <c r="G219" s="733" t="s">
        <v>1991</v>
      </c>
      <c r="H219" s="712" t="s">
        <v>1791</v>
      </c>
      <c r="I219" s="716" t="s">
        <v>2065</v>
      </c>
      <c r="J219" s="711" t="s">
        <v>581</v>
      </c>
      <c r="K219" s="711" t="s">
        <v>2590</v>
      </c>
      <c r="L219" s="729" t="s">
        <v>2591</v>
      </c>
      <c r="M219" s="1271">
        <v>46101</v>
      </c>
      <c r="N219" s="715">
        <v>46101</v>
      </c>
      <c r="O219" s="715"/>
      <c r="P219" s="712" t="s">
        <v>1</v>
      </c>
      <c r="Q219" s="730">
        <v>520</v>
      </c>
      <c r="R219" s="730">
        <v>0</v>
      </c>
      <c r="S219" s="730">
        <v>0</v>
      </c>
      <c r="T219" s="65">
        <f>SUM(mMAR[[#This Row],[PRINCIPAL]:[JUROS]])</f>
        <v>520</v>
      </c>
      <c r="V219" s="1310"/>
    </row>
    <row r="220" spans="2:22" ht="21" customHeight="1">
      <c r="B220" s="83" t="str">
        <f t="shared" si="3"/>
        <v>3/26</v>
      </c>
      <c r="C220" s="5" t="str">
        <f>VLOOKUP(mMAR[[#This Row],[CÓDIGO CONTABIL]],Contas_Gerencial[#All],3,FALSE)</f>
        <v>BENEFICIO</v>
      </c>
      <c r="D220" s="16" t="str">
        <f>VLOOKUP(mMAR[[#This Row],[DESCRIÇÃO CONTABIL]],Contas_Gerencial[[#All],[DESCRIÇÃO DA CONTA - NÃO UTILIZAR]:[Código2]],2,FALSE)</f>
        <v>20.05.007</v>
      </c>
      <c r="E220" s="733" t="s">
        <v>25</v>
      </c>
      <c r="F220" s="712" t="s">
        <v>581</v>
      </c>
      <c r="G220" s="733" t="s">
        <v>1991</v>
      </c>
      <c r="H220" s="712" t="s">
        <v>1791</v>
      </c>
      <c r="I220" s="716" t="s">
        <v>2065</v>
      </c>
      <c r="J220" s="711" t="s">
        <v>581</v>
      </c>
      <c r="K220" s="711" t="s">
        <v>2590</v>
      </c>
      <c r="L220" s="729" t="s">
        <v>2591</v>
      </c>
      <c r="M220" s="1271">
        <v>46101</v>
      </c>
      <c r="N220" s="715">
        <v>46101</v>
      </c>
      <c r="O220" s="715"/>
      <c r="P220" s="712" t="s">
        <v>1</v>
      </c>
      <c r="Q220" s="730">
        <v>0</v>
      </c>
      <c r="R220" s="730">
        <v>0</v>
      </c>
      <c r="S220" s="730">
        <v>0</v>
      </c>
      <c r="T220" s="65">
        <f>SUM(mMAR[[#This Row],[PRINCIPAL]:[JUROS]])</f>
        <v>0</v>
      </c>
      <c r="V220" s="1310"/>
    </row>
    <row r="221" spans="2:22" ht="21" customHeight="1">
      <c r="B221" s="83" t="str">
        <f t="shared" si="3"/>
        <v>3/26</v>
      </c>
      <c r="C221" s="5" t="str">
        <f>VLOOKUP(mMAR[[#This Row],[CÓDIGO CONTABIL]],Contas_Gerencial[#All],3,FALSE)</f>
        <v>RECEITA SUBCONTA</v>
      </c>
      <c r="D221" s="16" t="str">
        <f>VLOOKUP(mMAR[[#This Row],[DESCRIÇÃO CONTABIL]],Contas_Gerencial[[#All],[DESCRIÇÃO DA CONTA - NÃO UTILIZAR]:[Código2]],2,FALSE)</f>
        <v>10.01.001</v>
      </c>
      <c r="E221" s="473" t="s">
        <v>90</v>
      </c>
      <c r="F221" s="485" t="s">
        <v>581</v>
      </c>
      <c r="G221" s="107" t="s">
        <v>1659</v>
      </c>
      <c r="H221" s="473" t="s">
        <v>1788</v>
      </c>
      <c r="I221" s="474">
        <v>205</v>
      </c>
      <c r="J221" s="472" t="s">
        <v>581</v>
      </c>
      <c r="K221" s="472" t="s">
        <v>1792</v>
      </c>
      <c r="L221" s="475" t="s">
        <v>2258</v>
      </c>
      <c r="M221" s="1270">
        <v>46081</v>
      </c>
      <c r="N221" s="476">
        <v>46086</v>
      </c>
      <c r="O221" s="457">
        <v>46086</v>
      </c>
      <c r="P221" s="452" t="s">
        <v>214</v>
      </c>
      <c r="Q221" s="482">
        <v>5998</v>
      </c>
      <c r="R221" s="479">
        <v>0</v>
      </c>
      <c r="S221" s="479">
        <v>0</v>
      </c>
      <c r="T221" s="65">
        <f>SUM(mMAR[[#This Row],[PRINCIPAL]:[JUROS]])</f>
        <v>5998</v>
      </c>
      <c r="V221" s="1310"/>
    </row>
    <row r="222" spans="2:22" ht="21" customHeight="1">
      <c r="B222" s="83" t="str">
        <f t="shared" si="3"/>
        <v>3/26</v>
      </c>
      <c r="C222" s="5" t="str">
        <f>VLOOKUP(mMAR[[#This Row],[CÓDIGO CONTABIL]],Contas_Gerencial[#All],3,FALSE)</f>
        <v>ENCARGOS</v>
      </c>
      <c r="D222" s="16" t="str">
        <f>VLOOKUP(mMAR[[#This Row],[DESCRIÇÃO CONTABIL]],Contas_Gerencial[[#All],[DESCRIÇÃO DA CONTA - NÃO UTILIZAR]:[Código2]],2,FALSE)</f>
        <v>20.04.004</v>
      </c>
      <c r="E222" s="712" t="s">
        <v>2651</v>
      </c>
      <c r="F222" s="712" t="s">
        <v>581</v>
      </c>
      <c r="G222" s="733" t="s">
        <v>1659</v>
      </c>
      <c r="H222" s="712" t="s">
        <v>1788</v>
      </c>
      <c r="I222" s="716" t="s">
        <v>2065</v>
      </c>
      <c r="J222" s="711" t="s">
        <v>264</v>
      </c>
      <c r="K222" s="711" t="s">
        <v>2113</v>
      </c>
      <c r="L222" s="714" t="s">
        <v>2258</v>
      </c>
      <c r="M222" s="1271">
        <v>46081</v>
      </c>
      <c r="N222" s="715">
        <v>46101</v>
      </c>
      <c r="O222" s="715"/>
      <c r="P222" s="711" t="s">
        <v>214</v>
      </c>
      <c r="Q222" s="734">
        <v>0</v>
      </c>
      <c r="R222" s="735">
        <v>0</v>
      </c>
      <c r="S222" s="735">
        <v>0</v>
      </c>
      <c r="T222" s="65">
        <f>SUM(mMAR[[#This Row],[PRINCIPAL]:[JUROS]])</f>
        <v>0</v>
      </c>
      <c r="V222" s="1310"/>
    </row>
    <row r="223" spans="2:22" ht="21" customHeight="1">
      <c r="B223" s="83" t="str">
        <f t="shared" si="3"/>
        <v>3/26</v>
      </c>
      <c r="C223" s="5" t="str">
        <f>VLOOKUP(mMAR[[#This Row],[CÓDIGO CONTABIL]],Contas_Gerencial[#All],3,FALSE)</f>
        <v>TRIBUTOS</v>
      </c>
      <c r="D223" s="16" t="str">
        <f>VLOOKUP(mMAR[[#This Row],[DESCRIÇÃO CONTABIL]],Contas_Gerencial[[#All],[DESCRIÇÃO DA CONTA - NÃO UTILIZAR]:[Código2]],2,FALSE)</f>
        <v>20.08.004</v>
      </c>
      <c r="E223" s="712" t="s">
        <v>2648</v>
      </c>
      <c r="F223" s="712" t="s">
        <v>581</v>
      </c>
      <c r="G223" s="733" t="s">
        <v>1659</v>
      </c>
      <c r="H223" s="712" t="s">
        <v>1788</v>
      </c>
      <c r="I223" s="716" t="s">
        <v>2065</v>
      </c>
      <c r="J223" s="711" t="s">
        <v>654</v>
      </c>
      <c r="K223" s="711" t="s">
        <v>2114</v>
      </c>
      <c r="L223" s="714" t="s">
        <v>2258</v>
      </c>
      <c r="M223" s="1271">
        <v>46081</v>
      </c>
      <c r="N223" s="715">
        <v>46101</v>
      </c>
      <c r="O223" s="1271">
        <v>46081</v>
      </c>
      <c r="P223" s="711" t="s">
        <v>214</v>
      </c>
      <c r="Q223" s="734">
        <v>0</v>
      </c>
      <c r="R223" s="735">
        <v>0</v>
      </c>
      <c r="S223" s="735">
        <v>0</v>
      </c>
      <c r="T223" s="65">
        <f>SUM(mMAR[[#This Row],[PRINCIPAL]:[JUROS]])</f>
        <v>0</v>
      </c>
      <c r="V223" s="1310"/>
    </row>
    <row r="224" spans="2:22" ht="21" customHeight="1">
      <c r="B224" s="83" t="str">
        <f t="shared" si="3"/>
        <v>3/26</v>
      </c>
      <c r="C224" s="5" t="str">
        <f>VLOOKUP(mMAR[[#This Row],[CÓDIGO CONTABIL]],Contas_Gerencial[#All],3,FALSE)</f>
        <v>TRIBUTOS</v>
      </c>
      <c r="D224" s="16" t="str">
        <f>VLOOKUP(mMAR[[#This Row],[DESCRIÇÃO CONTABIL]],Contas_Gerencial[[#All],[DESCRIÇÃO DA CONTA - NÃO UTILIZAR]:[Código2]],2,FALSE)</f>
        <v>20.08.001</v>
      </c>
      <c r="E224" s="712" t="s">
        <v>2112</v>
      </c>
      <c r="F224" s="712" t="s">
        <v>581</v>
      </c>
      <c r="G224" s="733" t="s">
        <v>1659</v>
      </c>
      <c r="H224" s="712" t="s">
        <v>1788</v>
      </c>
      <c r="I224" s="716" t="s">
        <v>2065</v>
      </c>
      <c r="J224" s="711" t="s">
        <v>654</v>
      </c>
      <c r="K224" s="711" t="s">
        <v>1907</v>
      </c>
      <c r="L224" s="714" t="s">
        <v>2258</v>
      </c>
      <c r="M224" s="1271">
        <v>46081</v>
      </c>
      <c r="N224" s="715">
        <v>46101</v>
      </c>
      <c r="O224" s="715"/>
      <c r="P224" s="711" t="s">
        <v>1</v>
      </c>
      <c r="Q224" s="734">
        <v>259.10877263581489</v>
      </c>
      <c r="R224" s="735">
        <v>0</v>
      </c>
      <c r="S224" s="735">
        <v>0</v>
      </c>
      <c r="T224" s="65">
        <f>SUM(mMAR[[#This Row],[PRINCIPAL]:[JUROS]])</f>
        <v>259.10877263581489</v>
      </c>
      <c r="V224" s="1310"/>
    </row>
    <row r="225" spans="2:22" ht="21" customHeight="1">
      <c r="B225" s="83" t="str">
        <f t="shared" si="3"/>
        <v>3/26</v>
      </c>
      <c r="C225" s="5" t="str">
        <f>VLOOKUP(mMAR[[#This Row],[CÓDIGO CONTABIL]],Contas_Gerencial[#All],3,FALSE)</f>
        <v>TRIBUTOS</v>
      </c>
      <c r="D225" s="16" t="str">
        <f>VLOOKUP(mMAR[[#This Row],[DESCRIÇÃO CONTABIL]],Contas_Gerencial[[#All],[DESCRIÇÃO DA CONTA - NÃO UTILIZAR]:[Código2]],2,FALSE)</f>
        <v>20.08.002</v>
      </c>
      <c r="E225" s="712" t="s">
        <v>589</v>
      </c>
      <c r="F225" s="712" t="s">
        <v>581</v>
      </c>
      <c r="G225" s="733" t="s">
        <v>1659</v>
      </c>
      <c r="H225" s="712" t="s">
        <v>1788</v>
      </c>
      <c r="I225" s="716" t="s">
        <v>2065</v>
      </c>
      <c r="J225" s="711" t="s">
        <v>654</v>
      </c>
      <c r="K225" s="711" t="s">
        <v>1907</v>
      </c>
      <c r="L225" s="714" t="s">
        <v>2258</v>
      </c>
      <c r="M225" s="1271">
        <v>46081</v>
      </c>
      <c r="N225" s="715">
        <v>46101</v>
      </c>
      <c r="O225" s="715"/>
      <c r="P225" s="711" t="s">
        <v>1</v>
      </c>
      <c r="Q225" s="734">
        <f>388.15352860734-6.69</f>
        <v>381.46352860733998</v>
      </c>
      <c r="R225" s="735">
        <v>0</v>
      </c>
      <c r="S225" s="735">
        <v>0</v>
      </c>
      <c r="T225" s="65">
        <f>SUM(mMAR[[#This Row],[PRINCIPAL]:[JUROS]])</f>
        <v>381.46352860733998</v>
      </c>
      <c r="V225" s="1310"/>
    </row>
    <row r="226" spans="2:22" ht="21" customHeight="1">
      <c r="B226" s="83" t="str">
        <f t="shared" si="3"/>
        <v>3/26</v>
      </c>
      <c r="C226" s="5" t="str">
        <f>VLOOKUP(mMAR[[#This Row],[CÓDIGO CONTABIL]],Contas_Gerencial[#All],3,FALSE)</f>
        <v>FOLHA DE PAGAMENTO</v>
      </c>
      <c r="D226" s="16" t="str">
        <f>VLOOKUP(mMAR[[#This Row],[DESCRIÇÃO CONTABIL]],Contas_Gerencial[[#All],[DESCRIÇÃO DA CONTA - NÃO UTILIZAR]:[Código2]],2,FALSE)</f>
        <v>20.05.021</v>
      </c>
      <c r="E226" s="712" t="s">
        <v>59</v>
      </c>
      <c r="F226" s="711" t="s">
        <v>581</v>
      </c>
      <c r="G226" s="733" t="s">
        <v>1659</v>
      </c>
      <c r="H226" s="712" t="s">
        <v>1791</v>
      </c>
      <c r="I226" s="716" t="s">
        <v>2065</v>
      </c>
      <c r="J226" s="711" t="s">
        <v>581</v>
      </c>
      <c r="K226" s="712" t="s">
        <v>1790</v>
      </c>
      <c r="L226" s="714" t="s">
        <v>2258</v>
      </c>
      <c r="M226" s="1271">
        <v>46081</v>
      </c>
      <c r="N226" s="715">
        <v>46086</v>
      </c>
      <c r="O226" s="715">
        <v>46086</v>
      </c>
      <c r="P226" s="711" t="s">
        <v>1</v>
      </c>
      <c r="Q226" s="734">
        <v>1641.04</v>
      </c>
      <c r="R226" s="735">
        <v>0</v>
      </c>
      <c r="S226" s="735">
        <v>0</v>
      </c>
      <c r="T226" s="65">
        <f>SUM(mMAR[[#This Row],[PRINCIPAL]:[JUROS]])</f>
        <v>1641.04</v>
      </c>
      <c r="V226" s="1310"/>
    </row>
    <row r="227" spans="2:22" ht="21" customHeight="1">
      <c r="B227" s="83" t="str">
        <f t="shared" si="3"/>
        <v>3/26</v>
      </c>
      <c r="C227" s="5" t="str">
        <f>VLOOKUP(mMAR[[#This Row],[CÓDIGO CONTABIL]],Contas_Gerencial[#All],3,FALSE)</f>
        <v>ENCARGOS</v>
      </c>
      <c r="D227" s="16" t="str">
        <f>VLOOKUP(mMAR[[#This Row],[DESCRIÇÃO CONTABIL]],Contas_Gerencial[[#All],[DESCRIÇÃO DA CONTA - NÃO UTILIZAR]:[Código2]],2,FALSE)</f>
        <v>20.04.006</v>
      </c>
      <c r="E227" s="712" t="s">
        <v>1180</v>
      </c>
      <c r="F227" s="712" t="s">
        <v>581</v>
      </c>
      <c r="G227" s="733" t="s">
        <v>1659</v>
      </c>
      <c r="H227" s="712" t="s">
        <v>1180</v>
      </c>
      <c r="I227" s="716" t="s">
        <v>2065</v>
      </c>
      <c r="J227" s="711" t="s">
        <v>384</v>
      </c>
      <c r="K227" s="711" t="s">
        <v>1180</v>
      </c>
      <c r="L227" s="714" t="s">
        <v>2258</v>
      </c>
      <c r="M227" s="1271">
        <v>46081</v>
      </c>
      <c r="N227" s="715">
        <v>46101</v>
      </c>
      <c r="O227" s="715"/>
      <c r="P227" s="711" t="s">
        <v>1</v>
      </c>
      <c r="Q227" s="734">
        <v>145.63</v>
      </c>
      <c r="R227" s="735">
        <v>0</v>
      </c>
      <c r="S227" s="735">
        <v>0</v>
      </c>
      <c r="T227" s="65">
        <f>SUM(mMAR[[#This Row],[PRINCIPAL]:[JUROS]])</f>
        <v>145.63</v>
      </c>
      <c r="V227" s="1310"/>
    </row>
    <row r="228" spans="2:22" ht="21" customHeight="1">
      <c r="B228" s="83" t="str">
        <f t="shared" si="3"/>
        <v>3/26</v>
      </c>
      <c r="C228" s="5" t="str">
        <f>VLOOKUP(mMAR[[#This Row],[CÓDIGO CONTABIL]],Contas_Gerencial[#All],3,FALSE)</f>
        <v>ENCARGOS</v>
      </c>
      <c r="D228" s="16" t="str">
        <f>VLOOKUP(mMAR[[#This Row],[DESCRIÇÃO CONTABIL]],Contas_Gerencial[[#All],[DESCRIÇÃO DA CONTA - NÃO UTILIZAR]:[Código2]],2,FALSE)</f>
        <v>20.04.001</v>
      </c>
      <c r="E228" s="712" t="s">
        <v>2659</v>
      </c>
      <c r="F228" s="712" t="s">
        <v>581</v>
      </c>
      <c r="G228" s="712" t="s">
        <v>1659</v>
      </c>
      <c r="H228" s="712" t="s">
        <v>1788</v>
      </c>
      <c r="I228" s="716" t="s">
        <v>2065</v>
      </c>
      <c r="J228" s="711" t="s">
        <v>757</v>
      </c>
      <c r="K228" s="711" t="s">
        <v>2089</v>
      </c>
      <c r="L228" s="714" t="s">
        <v>2258</v>
      </c>
      <c r="M228" s="1271">
        <v>46081</v>
      </c>
      <c r="N228" s="715">
        <v>46101</v>
      </c>
      <c r="O228" s="715"/>
      <c r="P228" s="960" t="s">
        <v>1</v>
      </c>
      <c r="Q228" s="737">
        <v>139.52000000000001</v>
      </c>
      <c r="R228" s="735">
        <v>0</v>
      </c>
      <c r="S228" s="735">
        <v>0</v>
      </c>
      <c r="T228" s="65">
        <f>SUM(mMAR[[#This Row],[PRINCIPAL]:[JUROS]])</f>
        <v>139.52000000000001</v>
      </c>
      <c r="V228" s="1310"/>
    </row>
    <row r="229" spans="2:22" ht="21" customHeight="1">
      <c r="B229" s="83" t="str">
        <f t="shared" si="3"/>
        <v>3/26</v>
      </c>
      <c r="C229" s="5" t="str">
        <f>VLOOKUP(mMAR[[#This Row],[CÓDIGO CONTABIL]],Contas_Gerencial[#All],3,FALSE)</f>
        <v>BENEFICIO</v>
      </c>
      <c r="D229" s="16" t="str">
        <f>VLOOKUP(mMAR[[#This Row],[DESCRIÇÃO CONTABIL]],Contas_Gerencial[[#All],[DESCRIÇÃO DA CONTA - NÃO UTILIZAR]:[Código2]],2,FALSE)</f>
        <v>20.05.006</v>
      </c>
      <c r="E229" s="733" t="s">
        <v>24</v>
      </c>
      <c r="F229" s="712" t="s">
        <v>581</v>
      </c>
      <c r="G229" s="712" t="s">
        <v>1659</v>
      </c>
      <c r="H229" s="712" t="s">
        <v>1791</v>
      </c>
      <c r="I229" s="716" t="s">
        <v>2065</v>
      </c>
      <c r="J229" s="711" t="s">
        <v>581</v>
      </c>
      <c r="K229" s="711" t="s">
        <v>2590</v>
      </c>
      <c r="L229" s="729" t="s">
        <v>2591</v>
      </c>
      <c r="M229" s="1271">
        <v>46101</v>
      </c>
      <c r="N229" s="715">
        <v>46101</v>
      </c>
      <c r="O229" s="715"/>
      <c r="P229" s="712" t="s">
        <v>1</v>
      </c>
      <c r="Q229" s="730">
        <v>520</v>
      </c>
      <c r="R229" s="730">
        <v>0</v>
      </c>
      <c r="S229" s="730">
        <v>0</v>
      </c>
      <c r="T229" s="65">
        <f>SUM(mMAR[[#This Row],[PRINCIPAL]:[JUROS]])</f>
        <v>520</v>
      </c>
      <c r="V229" s="1310"/>
    </row>
    <row r="230" spans="2:22" ht="21" customHeight="1">
      <c r="B230" s="83" t="str">
        <f t="shared" si="3"/>
        <v>3/26</v>
      </c>
      <c r="C230" s="5" t="str">
        <f>VLOOKUP(mMAR[[#This Row],[CÓDIGO CONTABIL]],Contas_Gerencial[#All],3,FALSE)</f>
        <v>BENEFICIO</v>
      </c>
      <c r="D230" s="16" t="str">
        <f>VLOOKUP(mMAR[[#This Row],[DESCRIÇÃO CONTABIL]],Contas_Gerencial[[#All],[DESCRIÇÃO DA CONTA - NÃO UTILIZAR]:[Código2]],2,FALSE)</f>
        <v>20.05.007</v>
      </c>
      <c r="E230" s="733" t="s">
        <v>25</v>
      </c>
      <c r="F230" s="712" t="s">
        <v>581</v>
      </c>
      <c r="G230" s="712" t="s">
        <v>1659</v>
      </c>
      <c r="H230" s="712" t="s">
        <v>1791</v>
      </c>
      <c r="I230" s="716" t="s">
        <v>2065</v>
      </c>
      <c r="J230" s="711" t="s">
        <v>581</v>
      </c>
      <c r="K230" s="711" t="s">
        <v>2590</v>
      </c>
      <c r="L230" s="729" t="s">
        <v>2591</v>
      </c>
      <c r="M230" s="1271">
        <v>46101</v>
      </c>
      <c r="N230" s="715">
        <v>46101</v>
      </c>
      <c r="O230" s="715"/>
      <c r="P230" s="712" t="s">
        <v>1</v>
      </c>
      <c r="Q230" s="730">
        <v>0</v>
      </c>
      <c r="R230" s="730">
        <v>0</v>
      </c>
      <c r="S230" s="730">
        <v>0</v>
      </c>
      <c r="T230" s="65">
        <f>SUM(mMAR[[#This Row],[PRINCIPAL]:[JUROS]])</f>
        <v>0</v>
      </c>
      <c r="V230" s="1310"/>
    </row>
    <row r="231" spans="2:22" ht="21" customHeight="1">
      <c r="B231" s="83" t="str">
        <f t="shared" si="3"/>
        <v>3/26</v>
      </c>
      <c r="C231" s="5" t="str">
        <f>VLOOKUP(mMAR[[#This Row],[CÓDIGO CONTABIL]],Contas_Gerencial[#All],3,FALSE)</f>
        <v>FOLHA DE PAGAMENTO</v>
      </c>
      <c r="D231" s="16" t="str">
        <f>VLOOKUP(mMAR[[#This Row],[DESCRIÇÃO CONTABIL]],Contas_Gerencial[[#All],[DESCRIÇÃO DA CONTA - NÃO UTILIZAR]:[Código2]],2,FALSE)</f>
        <v>20.05.018</v>
      </c>
      <c r="E231" s="712" t="s">
        <v>74</v>
      </c>
      <c r="F231" s="711" t="s">
        <v>41</v>
      </c>
      <c r="G231" s="718" t="s">
        <v>595</v>
      </c>
      <c r="H231" s="711" t="s">
        <v>1802</v>
      </c>
      <c r="I231" s="716" t="s">
        <v>2065</v>
      </c>
      <c r="J231" s="711" t="s">
        <v>41</v>
      </c>
      <c r="K231" s="711" t="s">
        <v>1882</v>
      </c>
      <c r="L231" s="729" t="s">
        <v>2591</v>
      </c>
      <c r="M231" s="1271">
        <v>46091</v>
      </c>
      <c r="N231" s="715">
        <v>46091</v>
      </c>
      <c r="O231" s="715"/>
      <c r="P231" s="712" t="s">
        <v>1</v>
      </c>
      <c r="Q231" s="734">
        <f>633</f>
        <v>633</v>
      </c>
      <c r="R231" s="735">
        <v>0</v>
      </c>
      <c r="S231" s="735">
        <v>0</v>
      </c>
      <c r="T231" s="65">
        <f>SUM(mMAR[[#This Row],[PRINCIPAL]:[JUROS]])</f>
        <v>633</v>
      </c>
      <c r="V231" s="1310"/>
    </row>
    <row r="232" spans="2:22" ht="21" customHeight="1">
      <c r="B232" s="83" t="str">
        <f t="shared" si="3"/>
        <v>3/26</v>
      </c>
      <c r="C232" s="5" t="str">
        <f>VLOOKUP(mMAR[[#This Row],[CÓDIGO CONTABIL]],Contas_Gerencial[#All],3,FALSE)</f>
        <v>FOLHA DE PAGAMENTO</v>
      </c>
      <c r="D232" s="16" t="str">
        <f>VLOOKUP(mMAR[[#This Row],[DESCRIÇÃO CONTABIL]],Contas_Gerencial[[#All],[DESCRIÇÃO DA CONTA - NÃO UTILIZAR]:[Código2]],2,FALSE)</f>
        <v>20.05.018</v>
      </c>
      <c r="E232" s="713" t="s">
        <v>74</v>
      </c>
      <c r="F232" s="713" t="s">
        <v>41</v>
      </c>
      <c r="G232" s="713" t="s">
        <v>595</v>
      </c>
      <c r="H232" s="713" t="s">
        <v>1802</v>
      </c>
      <c r="I232" s="716" t="s">
        <v>2065</v>
      </c>
      <c r="J232" s="713" t="s">
        <v>41</v>
      </c>
      <c r="K232" s="713" t="s">
        <v>1818</v>
      </c>
      <c r="L232" s="729" t="s">
        <v>2591</v>
      </c>
      <c r="M232" s="1271">
        <v>46091</v>
      </c>
      <c r="N232" s="715">
        <v>46091</v>
      </c>
      <c r="O232" s="715"/>
      <c r="P232" s="712" t="s">
        <v>1</v>
      </c>
      <c r="Q232" s="730">
        <f>(1472+1500)-(869.84+808.91)</f>
        <v>1293.25</v>
      </c>
      <c r="R232" s="730">
        <v>0</v>
      </c>
      <c r="S232" s="730">
        <v>0</v>
      </c>
      <c r="T232" s="65">
        <f>SUM(mMAR[[#This Row],[PRINCIPAL]:[JUROS]])</f>
        <v>1293.25</v>
      </c>
      <c r="V232" s="1310"/>
    </row>
    <row r="233" spans="2:22" ht="21" customHeight="1">
      <c r="B233" s="83" t="str">
        <f t="shared" si="3"/>
        <v>3/26</v>
      </c>
      <c r="C233" s="5" t="str">
        <f>VLOOKUP(mMAR[[#This Row],[CÓDIGO CONTABIL]],Contas_Gerencial[#All],3,FALSE)</f>
        <v>FOLHA DE PAGAMENTO</v>
      </c>
      <c r="D233" s="16" t="str">
        <f>VLOOKUP(mMAR[[#This Row],[DESCRIÇÃO CONTABIL]],Contas_Gerencial[[#All],[DESCRIÇÃO DA CONTA - NÃO UTILIZAR]:[Código2]],2,FALSE)</f>
        <v>20.05.018</v>
      </c>
      <c r="E233" s="107" t="s">
        <v>74</v>
      </c>
      <c r="F233" s="107" t="s">
        <v>41</v>
      </c>
      <c r="G233" s="107" t="s">
        <v>595</v>
      </c>
      <c r="H233" s="107" t="s">
        <v>1802</v>
      </c>
      <c r="I233" s="481">
        <v>100326</v>
      </c>
      <c r="J233" s="107" t="s">
        <v>41</v>
      </c>
      <c r="K233" s="107" t="s">
        <v>2672</v>
      </c>
      <c r="L233" s="451" t="s">
        <v>2137</v>
      </c>
      <c r="M233" s="1330">
        <v>46091</v>
      </c>
      <c r="N233" s="1330">
        <v>46091</v>
      </c>
      <c r="O233" s="1330">
        <v>46091</v>
      </c>
      <c r="P233" s="452" t="s">
        <v>214</v>
      </c>
      <c r="Q233" s="467">
        <f>(239.9+199.9)/2</f>
        <v>219.9</v>
      </c>
      <c r="R233" s="467">
        <v>0</v>
      </c>
      <c r="S233" s="467">
        <v>0</v>
      </c>
      <c r="T233" s="65">
        <f>SUM(mMAR[[#This Row],[PRINCIPAL]:[JUROS]])</f>
        <v>219.9</v>
      </c>
      <c r="V233" s="1310"/>
    </row>
    <row r="234" spans="2:22" ht="21" customHeight="1">
      <c r="B234" s="83" t="str">
        <f t="shared" si="3"/>
        <v>3/26</v>
      </c>
      <c r="C234" s="5" t="str">
        <f>VLOOKUP(mMAR[[#This Row],[CÓDIGO CONTABIL]],Contas_Gerencial[#All],3,FALSE)</f>
        <v>MEDICINA DO TRABALHO</v>
      </c>
      <c r="D234" s="16" t="str">
        <f>VLOOKUP(mMAR[[#This Row],[DESCRIÇÃO CONTABIL]],Contas_Gerencial[[#All],[DESCRIÇÃO DA CONTA - NÃO UTILIZAR]:[Código2]],2,FALSE)</f>
        <v>20.05.024</v>
      </c>
      <c r="E234" s="711" t="s">
        <v>293</v>
      </c>
      <c r="F234" s="711" t="s">
        <v>41</v>
      </c>
      <c r="G234" s="711" t="s">
        <v>87</v>
      </c>
      <c r="H234" s="711" t="s">
        <v>1932</v>
      </c>
      <c r="I234" s="716" t="s">
        <v>2065</v>
      </c>
      <c r="J234" s="711" t="s">
        <v>1144</v>
      </c>
      <c r="K234" s="711" t="s">
        <v>2108</v>
      </c>
      <c r="L234" s="729" t="s">
        <v>2591</v>
      </c>
      <c r="M234" s="1271">
        <v>46101</v>
      </c>
      <c r="N234" s="715">
        <v>46101</v>
      </c>
      <c r="O234" s="715"/>
      <c r="P234" s="712" t="s">
        <v>1</v>
      </c>
      <c r="Q234" s="717">
        <v>0</v>
      </c>
      <c r="R234" s="730">
        <v>0</v>
      </c>
      <c r="S234" s="730">
        <v>0</v>
      </c>
      <c r="T234" s="65">
        <f>SUM(mMAR[[#This Row],[PRINCIPAL]:[JUROS]])</f>
        <v>0</v>
      </c>
      <c r="V234" s="1310"/>
    </row>
    <row r="235" spans="2:22" ht="21" customHeight="1">
      <c r="B235" s="83" t="str">
        <f t="shared" si="3"/>
        <v>3/26</v>
      </c>
      <c r="C235" s="5" t="str">
        <f>VLOOKUP(mMAR[[#This Row],[CÓDIGO CONTABIL]],Contas_Gerencial[#All],3,FALSE)</f>
        <v>MEDICINA DO TRABALHO</v>
      </c>
      <c r="D235" s="16" t="str">
        <f>VLOOKUP(mMAR[[#This Row],[DESCRIÇÃO CONTABIL]],Contas_Gerencial[[#All],[DESCRIÇÃO DA CONTA - NÃO UTILIZAR]:[Código2]],2,FALSE)</f>
        <v>20.05.024</v>
      </c>
      <c r="E235" s="711" t="s">
        <v>293</v>
      </c>
      <c r="F235" s="711" t="s">
        <v>581</v>
      </c>
      <c r="G235" s="711" t="s">
        <v>87</v>
      </c>
      <c r="H235" s="711" t="s">
        <v>1932</v>
      </c>
      <c r="I235" s="716" t="s">
        <v>2065</v>
      </c>
      <c r="J235" s="711" t="s">
        <v>1144</v>
      </c>
      <c r="K235" s="711" t="s">
        <v>2108</v>
      </c>
      <c r="L235" s="729" t="s">
        <v>2591</v>
      </c>
      <c r="M235" s="1271">
        <v>46101</v>
      </c>
      <c r="N235" s="715">
        <v>46101</v>
      </c>
      <c r="O235" s="715"/>
      <c r="P235" s="712" t="s">
        <v>1</v>
      </c>
      <c r="Q235" s="717">
        <v>0</v>
      </c>
      <c r="R235" s="730">
        <v>0</v>
      </c>
      <c r="S235" s="730">
        <v>0</v>
      </c>
      <c r="T235" s="65">
        <f>SUM(mMAR[[#This Row],[PRINCIPAL]:[JUROS]])</f>
        <v>0</v>
      </c>
      <c r="V235" s="1310"/>
    </row>
    <row r="236" spans="2:22" ht="21" customHeight="1">
      <c r="B236" s="83" t="str">
        <f t="shared" si="3"/>
        <v>3/26</v>
      </c>
      <c r="C236" s="5" t="str">
        <f>VLOOKUP(mMAR[[#This Row],[CÓDIGO CONTABIL]],Contas_Gerencial[#All],3,FALSE)</f>
        <v>MEDICINA DO TRABALHO</v>
      </c>
      <c r="D236" s="16" t="str">
        <f>VLOOKUP(mMAR[[#This Row],[DESCRIÇÃO CONTABIL]],Contas_Gerencial[[#All],[DESCRIÇÃO DA CONTA - NÃO UTILIZAR]:[Código2]],2,FALSE)</f>
        <v>20.05.024</v>
      </c>
      <c r="E236" s="711" t="s">
        <v>293</v>
      </c>
      <c r="F236" s="711" t="s">
        <v>582</v>
      </c>
      <c r="G236" s="711" t="s">
        <v>87</v>
      </c>
      <c r="H236" s="711" t="s">
        <v>1932</v>
      </c>
      <c r="I236" s="716" t="s">
        <v>2065</v>
      </c>
      <c r="J236" s="711" t="s">
        <v>1144</v>
      </c>
      <c r="K236" s="711" t="s">
        <v>2108</v>
      </c>
      <c r="L236" s="729" t="s">
        <v>2591</v>
      </c>
      <c r="M236" s="1271">
        <v>46101</v>
      </c>
      <c r="N236" s="715">
        <v>46101</v>
      </c>
      <c r="O236" s="715"/>
      <c r="P236" s="712" t="s">
        <v>1</v>
      </c>
      <c r="Q236" s="717">
        <v>0</v>
      </c>
      <c r="R236" s="730">
        <v>0</v>
      </c>
      <c r="S236" s="730">
        <v>0</v>
      </c>
      <c r="T236" s="65">
        <f>SUM(mMAR[[#This Row],[PRINCIPAL]:[JUROS]])</f>
        <v>0</v>
      </c>
      <c r="V236" s="1310"/>
    </row>
    <row r="237" spans="2:22" ht="21" customHeight="1">
      <c r="B237" s="83" t="str">
        <f t="shared" si="3"/>
        <v>3/26</v>
      </c>
      <c r="C237" s="5" t="str">
        <f>VLOOKUP(mMAR[[#This Row],[CÓDIGO CONTABIL]],Contas_Gerencial[#All],3,FALSE)</f>
        <v>DESPESAS BANCÁRIAS</v>
      </c>
      <c r="D237" s="16" t="str">
        <f>VLOOKUP(mMAR[[#This Row],[DESCRIÇÃO CONTABIL]],Contas_Gerencial[[#All],[DESCRIÇÃO DA CONTA - NÃO UTILIZAR]:[Código2]],2,FALSE)</f>
        <v>20.01.034</v>
      </c>
      <c r="E237" s="753" t="s">
        <v>680</v>
      </c>
      <c r="F237" s="712" t="s">
        <v>41</v>
      </c>
      <c r="G237" s="733" t="s">
        <v>595</v>
      </c>
      <c r="H237" s="712" t="s">
        <v>1983</v>
      </c>
      <c r="I237" s="1178" t="s">
        <v>2012</v>
      </c>
      <c r="J237" s="711" t="s">
        <v>1083</v>
      </c>
      <c r="K237" s="711" t="s">
        <v>1980</v>
      </c>
      <c r="L237" s="714" t="s">
        <v>2278</v>
      </c>
      <c r="M237" s="1271">
        <v>45139</v>
      </c>
      <c r="N237" s="715">
        <v>46082</v>
      </c>
      <c r="O237" s="715"/>
      <c r="P237" s="712" t="s">
        <v>1</v>
      </c>
      <c r="Q237" s="730">
        <v>3162.16</v>
      </c>
      <c r="R237" s="1083">
        <v>1669.63</v>
      </c>
      <c r="S237" s="730">
        <v>0</v>
      </c>
      <c r="T237" s="65">
        <f>SUM(mMAR[[#This Row],[PRINCIPAL]:[JUROS]])</f>
        <v>4831.79</v>
      </c>
      <c r="V237" s="1310"/>
    </row>
    <row r="238" spans="2:22" ht="21" customHeight="1">
      <c r="B238" s="83" t="str">
        <f t="shared" si="3"/>
        <v>3/26</v>
      </c>
      <c r="C238" s="5" t="str">
        <f>VLOOKUP(mMAR[[#This Row],[CÓDIGO CONTABIL]],Contas_Gerencial[#All],3,FALSE)</f>
        <v>DESPESAS BANCÁRIAS</v>
      </c>
      <c r="D238" s="16" t="str">
        <f>VLOOKUP(mMAR[[#This Row],[DESCRIÇÃO CONTABIL]],Contas_Gerencial[[#All],[DESCRIÇÃO DA CONTA - NÃO UTILIZAR]:[Código2]],2,FALSE)</f>
        <v>20.01.009</v>
      </c>
      <c r="E238" s="718" t="s">
        <v>80</v>
      </c>
      <c r="F238" s="712" t="s">
        <v>41</v>
      </c>
      <c r="G238" s="712" t="s">
        <v>595</v>
      </c>
      <c r="H238" s="712" t="s">
        <v>1983</v>
      </c>
      <c r="I238" s="728" t="s">
        <v>2065</v>
      </c>
      <c r="J238" s="711" t="s">
        <v>1083</v>
      </c>
      <c r="K238" s="711" t="s">
        <v>2313</v>
      </c>
      <c r="L238" s="729" t="s">
        <v>2591</v>
      </c>
      <c r="M238" s="1271"/>
      <c r="N238" s="715"/>
      <c r="O238" s="715"/>
      <c r="P238" s="452" t="s">
        <v>1</v>
      </c>
      <c r="Q238" s="737">
        <v>22.5</v>
      </c>
      <c r="R238" s="730">
        <v>0</v>
      </c>
      <c r="S238" s="730">
        <v>0</v>
      </c>
      <c r="T238" s="65">
        <f>SUM(mMAR[[#This Row],[PRINCIPAL]:[JUROS]])</f>
        <v>22.5</v>
      </c>
      <c r="V238" s="1310"/>
    </row>
    <row r="239" spans="2:22" ht="21" customHeight="1">
      <c r="B239" s="83" t="str">
        <f t="shared" si="3"/>
        <v>3/26</v>
      </c>
      <c r="C239" s="5" t="str">
        <f>VLOOKUP(mMAR[[#This Row],[CÓDIGO CONTABIL]],Contas_Gerencial[#All],3,FALSE)</f>
        <v>DESPESAS BANCÁRIAS</v>
      </c>
      <c r="D239" s="16" t="str">
        <f>VLOOKUP(mMAR[[#This Row],[DESCRIÇÃO CONTABIL]],Contas_Gerencial[[#All],[DESCRIÇÃO DA CONTA - NÃO UTILIZAR]:[Código2]],2,FALSE)</f>
        <v>20.01.002</v>
      </c>
      <c r="E239" s="711" t="s">
        <v>2653</v>
      </c>
      <c r="F239" s="712" t="s">
        <v>41</v>
      </c>
      <c r="G239" s="712" t="s">
        <v>595</v>
      </c>
      <c r="H239" s="712" t="s">
        <v>1983</v>
      </c>
      <c r="I239" s="728" t="s">
        <v>2065</v>
      </c>
      <c r="J239" s="711" t="s">
        <v>1083</v>
      </c>
      <c r="K239" s="711" t="s">
        <v>2314</v>
      </c>
      <c r="L239" s="729" t="s">
        <v>2591</v>
      </c>
      <c r="M239" s="1271"/>
      <c r="N239" s="715"/>
      <c r="O239" s="715"/>
      <c r="P239" s="452" t="s">
        <v>1</v>
      </c>
      <c r="Q239" s="737">
        <v>3.28</v>
      </c>
      <c r="R239" s="730">
        <v>0</v>
      </c>
      <c r="S239" s="730">
        <v>0</v>
      </c>
      <c r="T239" s="65">
        <f>SUM(mMAR[[#This Row],[PRINCIPAL]:[JUROS]])</f>
        <v>3.28</v>
      </c>
      <c r="V239" s="1310"/>
    </row>
    <row r="240" spans="2:22" ht="21" customHeight="1">
      <c r="B240" s="83" t="str">
        <f t="shared" si="3"/>
        <v>3/26</v>
      </c>
      <c r="C240" s="5" t="str">
        <f>VLOOKUP(mMAR[[#This Row],[CÓDIGO CONTABIL]],Contas_Gerencial[#All],3,FALSE)</f>
        <v>DESPESAS BANCÁRIAS</v>
      </c>
      <c r="D240" s="16" t="str">
        <f>VLOOKUP(mMAR[[#This Row],[DESCRIÇÃO CONTABIL]],Contas_Gerencial[[#All],[DESCRIÇÃO DA CONTA - NÃO UTILIZAR]:[Código2]],2,FALSE)</f>
        <v>20.01.015</v>
      </c>
      <c r="E240" s="711" t="s">
        <v>82</v>
      </c>
      <c r="F240" s="712" t="s">
        <v>41</v>
      </c>
      <c r="G240" s="712" t="s">
        <v>595</v>
      </c>
      <c r="H240" s="712" t="s">
        <v>1983</v>
      </c>
      <c r="I240" s="728" t="s">
        <v>2065</v>
      </c>
      <c r="J240" s="711" t="s">
        <v>1083</v>
      </c>
      <c r="K240" s="711" t="s">
        <v>2316</v>
      </c>
      <c r="L240" s="729" t="s">
        <v>2591</v>
      </c>
      <c r="M240" s="1271"/>
      <c r="N240" s="715"/>
      <c r="O240" s="715"/>
      <c r="P240" s="452" t="s">
        <v>1</v>
      </c>
      <c r="Q240" s="737">
        <v>183</v>
      </c>
      <c r="R240" s="730">
        <v>0</v>
      </c>
      <c r="S240" s="730">
        <v>0</v>
      </c>
      <c r="T240" s="65">
        <f>SUM(mMAR[[#This Row],[PRINCIPAL]:[JUROS]])</f>
        <v>183</v>
      </c>
      <c r="V240" s="1310"/>
    </row>
    <row r="241" spans="2:22" ht="21" customHeight="1">
      <c r="B241" s="83" t="str">
        <f t="shared" si="3"/>
        <v>3/26</v>
      </c>
      <c r="C241" s="5" t="str">
        <f>VLOOKUP(mMAR[[#This Row],[CÓDIGO CONTABIL]],Contas_Gerencial[#All],3,FALSE)</f>
        <v>DESPESAS BANCÁRIAS</v>
      </c>
      <c r="D241" s="16" t="str">
        <f>VLOOKUP(mMAR[[#This Row],[DESCRIÇÃO CONTABIL]],Contas_Gerencial[[#All],[DESCRIÇÃO DA CONTA - NÃO UTILIZAR]:[Código2]],2,FALSE)</f>
        <v>20.01.032</v>
      </c>
      <c r="E241" s="712" t="s">
        <v>84</v>
      </c>
      <c r="F241" s="712" t="s">
        <v>41</v>
      </c>
      <c r="G241" s="712" t="s">
        <v>595</v>
      </c>
      <c r="H241" s="712" t="s">
        <v>1983</v>
      </c>
      <c r="I241" s="728" t="s">
        <v>2065</v>
      </c>
      <c r="J241" s="711" t="s">
        <v>1083</v>
      </c>
      <c r="K241" s="711" t="s">
        <v>2318</v>
      </c>
      <c r="L241" s="729" t="s">
        <v>2591</v>
      </c>
      <c r="M241" s="1271"/>
      <c r="N241" s="715"/>
      <c r="O241" s="715"/>
      <c r="P241" s="452" t="s">
        <v>1</v>
      </c>
      <c r="Q241" s="737">
        <v>139.19999999999999</v>
      </c>
      <c r="R241" s="730">
        <v>0</v>
      </c>
      <c r="S241" s="730">
        <v>0</v>
      </c>
      <c r="T241" s="65">
        <f>SUM(mMAR[[#This Row],[PRINCIPAL]:[JUROS]])</f>
        <v>139.19999999999999</v>
      </c>
      <c r="V241" s="1310"/>
    </row>
    <row r="242" spans="2:22" ht="21" customHeight="1">
      <c r="B242" s="83" t="str">
        <f t="shared" si="3"/>
        <v>3/26</v>
      </c>
      <c r="C242" s="5" t="str">
        <f>VLOOKUP(mMAR[[#This Row],[CÓDIGO CONTABIL]],Contas_Gerencial[#All],3,FALSE)</f>
        <v>DESPESAS BANCÁRIAS</v>
      </c>
      <c r="D242" s="16" t="str">
        <f>VLOOKUP(mMAR[[#This Row],[DESCRIÇÃO CONTABIL]],Contas_Gerencial[[#All],[DESCRIÇÃO DA CONTA - NÃO UTILIZAR]:[Código2]],2,FALSE)</f>
        <v>20.01.007</v>
      </c>
      <c r="E242" s="712" t="s">
        <v>2657</v>
      </c>
      <c r="F242" s="712" t="s">
        <v>41</v>
      </c>
      <c r="G242" s="712" t="s">
        <v>595</v>
      </c>
      <c r="H242" s="712" t="s">
        <v>1983</v>
      </c>
      <c r="I242" s="728" t="s">
        <v>2065</v>
      </c>
      <c r="J242" s="711" t="s">
        <v>1083</v>
      </c>
      <c r="K242" s="711" t="s">
        <v>2319</v>
      </c>
      <c r="L242" s="729" t="s">
        <v>2591</v>
      </c>
      <c r="M242" s="1271"/>
      <c r="N242" s="715"/>
      <c r="O242" s="715"/>
      <c r="P242" s="452" t="s">
        <v>1</v>
      </c>
      <c r="Q242" s="737">
        <v>13</v>
      </c>
      <c r="R242" s="730">
        <v>0</v>
      </c>
      <c r="S242" s="730">
        <v>0</v>
      </c>
      <c r="T242" s="65">
        <f>SUM(mMAR[[#This Row],[PRINCIPAL]:[JUROS]])</f>
        <v>13</v>
      </c>
      <c r="V242" s="1310"/>
    </row>
    <row r="243" spans="2:22" ht="21" customHeight="1">
      <c r="B243" s="83" t="str">
        <f t="shared" si="3"/>
        <v>3/26</v>
      </c>
      <c r="C243" s="5" t="str">
        <f>VLOOKUP(mMAR[[#This Row],[CÓDIGO CONTABIL]],Contas_Gerencial[#All],3,FALSE)</f>
        <v>DESPESAS BANCÁRIAS</v>
      </c>
      <c r="D243" s="16" t="str">
        <f>VLOOKUP(mMAR[[#This Row],[DESCRIÇÃO CONTABIL]],Contas_Gerencial[[#All],[DESCRIÇÃO DA CONTA - NÃO UTILIZAR]:[Código2]],2,FALSE)</f>
        <v>20.01.025</v>
      </c>
      <c r="E243" s="711" t="s">
        <v>627</v>
      </c>
      <c r="F243" s="712" t="s">
        <v>41</v>
      </c>
      <c r="G243" s="712" t="s">
        <v>595</v>
      </c>
      <c r="H243" s="712" t="s">
        <v>1983</v>
      </c>
      <c r="I243" s="728" t="s">
        <v>2065</v>
      </c>
      <c r="J243" s="711" t="s">
        <v>1083</v>
      </c>
      <c r="K243" s="711" t="s">
        <v>2315</v>
      </c>
      <c r="L243" s="729" t="s">
        <v>2591</v>
      </c>
      <c r="M243" s="1271"/>
      <c r="N243" s="715"/>
      <c r="O243" s="715"/>
      <c r="P243" s="452" t="s">
        <v>1</v>
      </c>
      <c r="Q243" s="737">
        <v>44.77</v>
      </c>
      <c r="R243" s="730">
        <v>0</v>
      </c>
      <c r="S243" s="730">
        <v>0</v>
      </c>
      <c r="T243" s="65">
        <f>SUM(mMAR[[#This Row],[PRINCIPAL]:[JUROS]])</f>
        <v>44.77</v>
      </c>
      <c r="V243" s="1310"/>
    </row>
    <row r="244" spans="2:22" ht="21" customHeight="1">
      <c r="B244" s="83" t="str">
        <f t="shared" si="3"/>
        <v>3/26</v>
      </c>
      <c r="C244" s="5" t="str">
        <f>VLOOKUP(mMAR[[#This Row],[CÓDIGO CONTABIL]],Contas_Gerencial[#All],3,FALSE)</f>
        <v>DESPESAS BANCÁRIAS</v>
      </c>
      <c r="D244" s="16" t="str">
        <f>VLOOKUP(mMAR[[#This Row],[DESCRIÇÃO CONTABIL]],Contas_Gerencial[[#All],[DESCRIÇÃO DA CONTA - NÃO UTILIZAR]:[Código2]],2,FALSE)</f>
        <v>20.01.003</v>
      </c>
      <c r="E244" s="753" t="s">
        <v>79</v>
      </c>
      <c r="F244" s="712" t="s">
        <v>41</v>
      </c>
      <c r="G244" s="712" t="s">
        <v>595</v>
      </c>
      <c r="H244" s="712" t="s">
        <v>1983</v>
      </c>
      <c r="I244" s="728" t="s">
        <v>2065</v>
      </c>
      <c r="J244" s="711" t="s">
        <v>1083</v>
      </c>
      <c r="K244" s="711" t="s">
        <v>2320</v>
      </c>
      <c r="L244" s="729" t="s">
        <v>2591</v>
      </c>
      <c r="M244" s="1271"/>
      <c r="N244" s="715"/>
      <c r="O244" s="715"/>
      <c r="P244" s="452" t="s">
        <v>1</v>
      </c>
      <c r="Q244" s="1084">
        <v>561.47</v>
      </c>
      <c r="R244" s="730">
        <v>0</v>
      </c>
      <c r="S244" s="730">
        <v>0</v>
      </c>
      <c r="T244" s="65">
        <f>SUM(mMAR[[#This Row],[PRINCIPAL]:[JUROS]])</f>
        <v>561.47</v>
      </c>
      <c r="V244" s="1310"/>
    </row>
    <row r="245" spans="2:22" ht="21" customHeight="1">
      <c r="B245" s="83" t="str">
        <f t="shared" si="3"/>
        <v>3/26</v>
      </c>
      <c r="C245" s="5" t="str">
        <f>VLOOKUP(mMAR[[#This Row],[CÓDIGO CONTABIL]],Contas_Gerencial[#All],3,FALSE)</f>
        <v>DESPESAS BANCÁRIAS</v>
      </c>
      <c r="D245" s="16" t="str">
        <f>VLOOKUP(mMAR[[#This Row],[DESCRIÇÃO CONTABIL]],Contas_Gerencial[[#All],[DESCRIÇÃO DA CONTA - NÃO UTILIZAR]:[Código2]],2,FALSE)</f>
        <v>20.01.034</v>
      </c>
      <c r="E245" s="712" t="s">
        <v>680</v>
      </c>
      <c r="F245" s="712" t="s">
        <v>582</v>
      </c>
      <c r="G245" s="712" t="s">
        <v>595</v>
      </c>
      <c r="H245" s="712" t="s">
        <v>1983</v>
      </c>
      <c r="I245" s="728" t="s">
        <v>2065</v>
      </c>
      <c r="J245" s="711" t="s">
        <v>1083</v>
      </c>
      <c r="K245" s="711" t="s">
        <v>2005</v>
      </c>
      <c r="L245" s="1082" t="s">
        <v>2279</v>
      </c>
      <c r="M245" s="1271">
        <v>45132</v>
      </c>
      <c r="N245" s="715">
        <v>46106</v>
      </c>
      <c r="O245" s="715"/>
      <c r="P245" s="452" t="s">
        <v>1</v>
      </c>
      <c r="Q245" s="737">
        <v>4054.05</v>
      </c>
      <c r="R245" s="1177">
        <v>1205.0199999999995</v>
      </c>
      <c r="S245" s="735">
        <v>0</v>
      </c>
      <c r="T245" s="65">
        <f>SUM(mMAR[[#This Row],[PRINCIPAL]:[JUROS]])</f>
        <v>5259.07</v>
      </c>
      <c r="V245" s="1310"/>
    </row>
    <row r="246" spans="2:22" ht="21" customHeight="1">
      <c r="B246" s="83" t="str">
        <f t="shared" si="3"/>
        <v>3/26</v>
      </c>
      <c r="C246" s="5" t="str">
        <f>VLOOKUP(mMAR[[#This Row],[CÓDIGO CONTABIL]],Contas_Gerencial[#All],3,FALSE)</f>
        <v>DESPESAS BANCÁRIAS</v>
      </c>
      <c r="D246" s="16" t="str">
        <f>VLOOKUP(mMAR[[#This Row],[DESCRIÇÃO CONTABIL]],Contas_Gerencial[[#All],[DESCRIÇÃO DA CONTA - NÃO UTILIZAR]:[Código2]],2,FALSE)</f>
        <v>20.01.002</v>
      </c>
      <c r="E246" s="711" t="s">
        <v>2653</v>
      </c>
      <c r="F246" s="712" t="s">
        <v>582</v>
      </c>
      <c r="G246" s="712" t="s">
        <v>595</v>
      </c>
      <c r="H246" s="712" t="s">
        <v>1983</v>
      </c>
      <c r="I246" s="728" t="s">
        <v>2065</v>
      </c>
      <c r="J246" s="711" t="s">
        <v>1083</v>
      </c>
      <c r="K246" s="711" t="s">
        <v>2314</v>
      </c>
      <c r="L246" s="714" t="s">
        <v>1766</v>
      </c>
      <c r="M246" s="1271"/>
      <c r="N246" s="715"/>
      <c r="O246" s="715"/>
      <c r="P246" s="452" t="s">
        <v>1</v>
      </c>
      <c r="Q246" s="737">
        <v>0.01</v>
      </c>
      <c r="R246" s="730">
        <v>0</v>
      </c>
      <c r="S246" s="730">
        <v>0</v>
      </c>
      <c r="T246" s="65">
        <f>SUM(mMAR[[#This Row],[PRINCIPAL]:[JUROS]])</f>
        <v>0.01</v>
      </c>
      <c r="V246" s="1310"/>
    </row>
    <row r="247" spans="2:22" ht="21" customHeight="1">
      <c r="B247" s="83" t="str">
        <f t="shared" si="3"/>
        <v>3/26</v>
      </c>
      <c r="C247" s="5" t="str">
        <f>VLOOKUP(mMAR[[#This Row],[CÓDIGO CONTABIL]],Contas_Gerencial[#All],3,FALSE)</f>
        <v>DESPESAS BANCÁRIAS</v>
      </c>
      <c r="D247" s="16" t="str">
        <f>VLOOKUP(mMAR[[#This Row],[DESCRIÇÃO CONTABIL]],Contas_Gerencial[[#All],[DESCRIÇÃO DA CONTA - NÃO UTILIZAR]:[Código2]],2,FALSE)</f>
        <v>20.01.017</v>
      </c>
      <c r="E247" s="712" t="s">
        <v>115</v>
      </c>
      <c r="F247" s="712" t="s">
        <v>582</v>
      </c>
      <c r="G247" s="712" t="s">
        <v>595</v>
      </c>
      <c r="H247" s="712" t="s">
        <v>1983</v>
      </c>
      <c r="I247" s="728" t="s">
        <v>2065</v>
      </c>
      <c r="J247" s="711" t="s">
        <v>1083</v>
      </c>
      <c r="K247" s="711" t="s">
        <v>2333</v>
      </c>
      <c r="L247" s="714" t="s">
        <v>1766</v>
      </c>
      <c r="M247" s="1271"/>
      <c r="N247" s="715"/>
      <c r="O247" s="715"/>
      <c r="P247" s="452" t="s">
        <v>1</v>
      </c>
      <c r="Q247" s="737">
        <v>119</v>
      </c>
      <c r="R247" s="730">
        <v>0</v>
      </c>
      <c r="S247" s="730">
        <v>0</v>
      </c>
      <c r="T247" s="65">
        <f>SUM(mMAR[[#This Row],[PRINCIPAL]:[JUROS]])</f>
        <v>119</v>
      </c>
      <c r="V247" s="1310"/>
    </row>
    <row r="248" spans="2:22" ht="21" customHeight="1">
      <c r="B248" s="83" t="str">
        <f t="shared" si="3"/>
        <v>3/26</v>
      </c>
      <c r="C248" s="5" t="str">
        <f>VLOOKUP(mMAR[[#This Row],[CÓDIGO CONTABIL]],Contas_Gerencial[#All],3,FALSE)</f>
        <v>DESPESAS BANCÁRIAS</v>
      </c>
      <c r="D248" s="16" t="str">
        <f>VLOOKUP(mMAR[[#This Row],[DESCRIÇÃO CONTABIL]],Contas_Gerencial[[#All],[DESCRIÇÃO DA CONTA - NÃO UTILIZAR]:[Código2]],2,FALSE)</f>
        <v>20.01.032</v>
      </c>
      <c r="E248" s="712" t="s">
        <v>84</v>
      </c>
      <c r="F248" s="712" t="s">
        <v>582</v>
      </c>
      <c r="G248" s="712" t="s">
        <v>595</v>
      </c>
      <c r="H248" s="712" t="s">
        <v>1983</v>
      </c>
      <c r="I248" s="728" t="s">
        <v>2065</v>
      </c>
      <c r="J248" s="711" t="s">
        <v>1083</v>
      </c>
      <c r="K248" s="711" t="s">
        <v>2318</v>
      </c>
      <c r="L248" s="714" t="s">
        <v>1766</v>
      </c>
      <c r="M248" s="1271"/>
      <c r="N248" s="715"/>
      <c r="O248" s="715"/>
      <c r="P248" s="452" t="s">
        <v>1</v>
      </c>
      <c r="Q248" s="737">
        <v>81.400000000000006</v>
      </c>
      <c r="R248" s="730">
        <v>0</v>
      </c>
      <c r="S248" s="730">
        <v>0</v>
      </c>
      <c r="T248" s="65">
        <f>SUM(mMAR[[#This Row],[PRINCIPAL]:[JUROS]])</f>
        <v>81.400000000000006</v>
      </c>
      <c r="V248" s="1310"/>
    </row>
    <row r="249" spans="2:22" ht="21" customHeight="1">
      <c r="B249" s="83" t="str">
        <f t="shared" si="3"/>
        <v>3/26</v>
      </c>
      <c r="C249" s="5" t="str">
        <f>VLOOKUP(mMAR[[#This Row],[CÓDIGO CONTABIL]],Contas_Gerencial[#All],3,FALSE)</f>
        <v>DESPESAS BANCÁRIAS</v>
      </c>
      <c r="D249" s="16" t="str">
        <f>VLOOKUP(mMAR[[#This Row],[DESCRIÇÃO CONTABIL]],Contas_Gerencial[[#All],[DESCRIÇÃO DA CONTA - NÃO UTILIZAR]:[Código2]],2,FALSE)</f>
        <v>20.01.025</v>
      </c>
      <c r="E249" s="711" t="s">
        <v>627</v>
      </c>
      <c r="F249" s="712" t="s">
        <v>582</v>
      </c>
      <c r="G249" s="712" t="s">
        <v>595</v>
      </c>
      <c r="H249" s="712" t="s">
        <v>1983</v>
      </c>
      <c r="I249" s="728" t="s">
        <v>2065</v>
      </c>
      <c r="J249" s="711" t="s">
        <v>1083</v>
      </c>
      <c r="K249" s="711" t="s">
        <v>2315</v>
      </c>
      <c r="L249" s="714" t="s">
        <v>1766</v>
      </c>
      <c r="M249" s="1271"/>
      <c r="N249" s="715"/>
      <c r="O249" s="715"/>
      <c r="P249" s="452" t="s">
        <v>1</v>
      </c>
      <c r="Q249" s="737">
        <v>4.95</v>
      </c>
      <c r="R249" s="730">
        <v>0</v>
      </c>
      <c r="S249" s="730">
        <v>0</v>
      </c>
      <c r="T249" s="65">
        <f>SUM(mMAR[[#This Row],[PRINCIPAL]:[JUROS]])</f>
        <v>4.95</v>
      </c>
      <c r="V249" s="1310"/>
    </row>
    <row r="250" spans="2:22" ht="21" customHeight="1">
      <c r="B250" s="83" t="str">
        <f t="shared" si="3"/>
        <v>3/26</v>
      </c>
      <c r="C250" s="5" t="str">
        <f>VLOOKUP(mMAR[[#This Row],[CÓDIGO CONTABIL]],Contas_Gerencial[#All],3,FALSE)</f>
        <v>DESPESAS BANCÁRIAS</v>
      </c>
      <c r="D250" s="16" t="str">
        <f>VLOOKUP(mMAR[[#This Row],[DESCRIÇÃO CONTABIL]],Contas_Gerencial[[#All],[DESCRIÇÃO DA CONTA - NÃO UTILIZAR]:[Código2]],2,FALSE)</f>
        <v>20.01.006</v>
      </c>
      <c r="E250" s="712" t="s">
        <v>2656</v>
      </c>
      <c r="F250" s="712" t="s">
        <v>582</v>
      </c>
      <c r="G250" s="712" t="s">
        <v>595</v>
      </c>
      <c r="H250" s="712" t="s">
        <v>1983</v>
      </c>
      <c r="I250" s="728" t="s">
        <v>2065</v>
      </c>
      <c r="J250" s="711" t="s">
        <v>1083</v>
      </c>
      <c r="K250" s="711" t="s">
        <v>2587</v>
      </c>
      <c r="L250" s="714" t="s">
        <v>1766</v>
      </c>
      <c r="M250" s="1271"/>
      <c r="N250" s="715"/>
      <c r="O250" s="715"/>
      <c r="P250" s="452" t="s">
        <v>1</v>
      </c>
      <c r="Q250" s="737">
        <v>61.98</v>
      </c>
      <c r="R250" s="730">
        <v>0</v>
      </c>
      <c r="S250" s="730">
        <v>0</v>
      </c>
      <c r="T250" s="65">
        <f>SUM(mMAR[[#This Row],[PRINCIPAL]:[JUROS]])</f>
        <v>61.98</v>
      </c>
      <c r="V250" s="1310"/>
    </row>
    <row r="251" spans="2:22" ht="21" customHeight="1">
      <c r="B251" s="83" t="str">
        <f t="shared" si="3"/>
        <v>3/26</v>
      </c>
      <c r="C251" s="5" t="str">
        <f>VLOOKUP(mMAR[[#This Row],[CÓDIGO CONTABIL]],Contas_Gerencial[#All],3,FALSE)</f>
        <v>DESPESAS BANCÁRIAS</v>
      </c>
      <c r="D251" s="16" t="str">
        <f>VLOOKUP(mMAR[[#This Row],[DESCRIÇÃO CONTABIL]],Contas_Gerencial[[#All],[DESCRIÇÃO DA CONTA - NÃO UTILIZAR]:[Código2]],2,FALSE)</f>
        <v>20.01.003</v>
      </c>
      <c r="E251" s="753" t="s">
        <v>79</v>
      </c>
      <c r="F251" s="712" t="s">
        <v>582</v>
      </c>
      <c r="G251" s="712" t="s">
        <v>595</v>
      </c>
      <c r="H251" s="712" t="s">
        <v>1983</v>
      </c>
      <c r="I251" s="728" t="s">
        <v>2065</v>
      </c>
      <c r="J251" s="711" t="s">
        <v>1083</v>
      </c>
      <c r="K251" s="711" t="s">
        <v>2320</v>
      </c>
      <c r="L251" s="714" t="s">
        <v>1766</v>
      </c>
      <c r="M251" s="1271"/>
      <c r="N251" s="715"/>
      <c r="O251" s="715"/>
      <c r="P251" s="452" t="s">
        <v>1</v>
      </c>
      <c r="Q251" s="1084">
        <v>34.090000000000003</v>
      </c>
      <c r="R251" s="730">
        <v>0</v>
      </c>
      <c r="S251" s="730">
        <v>0</v>
      </c>
      <c r="T251" s="65">
        <f>SUM(mMAR[[#This Row],[PRINCIPAL]:[JUROS]])</f>
        <v>34.090000000000003</v>
      </c>
      <c r="V251" s="1310"/>
    </row>
    <row r="252" spans="2:22" ht="21" customHeight="1">
      <c r="B252" s="83" t="str">
        <f t="shared" si="3"/>
        <v>3/26</v>
      </c>
      <c r="C252" s="5" t="str">
        <f>VLOOKUP(mMAR[[#This Row],[CÓDIGO CONTABIL]],Contas_Gerencial[#All],3,FALSE)</f>
        <v>DESPESAS BANCÁRIAS</v>
      </c>
      <c r="D252" s="16" t="str">
        <f>VLOOKUP(mMAR[[#This Row],[DESCRIÇÃO CONTABIL]],Contas_Gerencial[[#All],[DESCRIÇÃO DA CONTA - NÃO UTILIZAR]:[Código2]],2,FALSE)</f>
        <v>20.01.034</v>
      </c>
      <c r="E252" s="752" t="s">
        <v>680</v>
      </c>
      <c r="F252" s="711" t="s">
        <v>581</v>
      </c>
      <c r="G252" s="718" t="s">
        <v>595</v>
      </c>
      <c r="H252" s="711" t="s">
        <v>1983</v>
      </c>
      <c r="I252" s="754" t="s">
        <v>2066</v>
      </c>
      <c r="J252" s="711" t="s">
        <v>1083</v>
      </c>
      <c r="K252" s="711" t="s">
        <v>2006</v>
      </c>
      <c r="L252" s="736" t="s">
        <v>2280</v>
      </c>
      <c r="M252" s="1271">
        <v>45602</v>
      </c>
      <c r="N252" s="715">
        <v>46059</v>
      </c>
      <c r="O252" s="715"/>
      <c r="P252" s="453" t="s">
        <v>1</v>
      </c>
      <c r="Q252" s="730">
        <v>4054.2</v>
      </c>
      <c r="R252" s="1083">
        <v>2532.1000000000004</v>
      </c>
      <c r="S252" s="730">
        <v>0</v>
      </c>
      <c r="T252" s="65">
        <f>SUM(mMAR[[#This Row],[PRINCIPAL]:[JUROS]])</f>
        <v>6586.3</v>
      </c>
      <c r="V252" s="1310"/>
    </row>
    <row r="253" spans="2:22" ht="21" customHeight="1">
      <c r="B253" s="83" t="str">
        <f t="shared" si="3"/>
        <v>3/26</v>
      </c>
      <c r="C253" s="5" t="str">
        <f>VLOOKUP(mMAR[[#This Row],[CÓDIGO CONTABIL]],Contas_Gerencial[#All],3,FALSE)</f>
        <v>DESPESAS BANCÁRIAS</v>
      </c>
      <c r="D253" s="16" t="str">
        <f>VLOOKUP(mMAR[[#This Row],[DESCRIÇÃO CONTABIL]],Contas_Gerencial[[#All],[DESCRIÇÃO DA CONTA - NÃO UTILIZAR]:[Código2]],2,FALSE)</f>
        <v>20.01.002</v>
      </c>
      <c r="E253" s="712" t="s">
        <v>2653</v>
      </c>
      <c r="F253" s="711" t="s">
        <v>581</v>
      </c>
      <c r="G253" s="711" t="s">
        <v>595</v>
      </c>
      <c r="H253" s="711" t="s">
        <v>1983</v>
      </c>
      <c r="I253" s="728" t="s">
        <v>2065</v>
      </c>
      <c r="J253" s="711" t="s">
        <v>1083</v>
      </c>
      <c r="K253" s="711" t="s">
        <v>2314</v>
      </c>
      <c r="L253" s="714" t="s">
        <v>1766</v>
      </c>
      <c r="M253" s="1271">
        <v>46055</v>
      </c>
      <c r="N253" s="715">
        <v>46083</v>
      </c>
      <c r="O253" s="715"/>
      <c r="P253" s="453" t="s">
        <v>1</v>
      </c>
      <c r="Q253" s="737">
        <v>2.0299999999999998</v>
      </c>
      <c r="R253" s="730">
        <v>0</v>
      </c>
      <c r="S253" s="730">
        <v>0</v>
      </c>
      <c r="T253" s="65">
        <f>SUM(mMAR[[#This Row],[PRINCIPAL]:[JUROS]])</f>
        <v>2.0299999999999998</v>
      </c>
      <c r="V253" s="1310"/>
    </row>
    <row r="254" spans="2:22" ht="21" customHeight="1">
      <c r="B254" s="83" t="str">
        <f t="shared" si="3"/>
        <v>3/26</v>
      </c>
      <c r="C254" s="5" t="str">
        <f>VLOOKUP(mMAR[[#This Row],[CÓDIGO CONTABIL]],Contas_Gerencial[#All],3,FALSE)</f>
        <v>DESPESAS BANCÁRIAS</v>
      </c>
      <c r="D254" s="16" t="str">
        <f>VLOOKUP(mMAR[[#This Row],[DESCRIÇÃO CONTABIL]],Contas_Gerencial[[#All],[DESCRIÇÃO DA CONTA - NÃO UTILIZAR]:[Código2]],2,FALSE)</f>
        <v>20.01.032</v>
      </c>
      <c r="E254" s="712" t="s">
        <v>84</v>
      </c>
      <c r="F254" s="711" t="s">
        <v>581</v>
      </c>
      <c r="G254" s="711" t="s">
        <v>595</v>
      </c>
      <c r="H254" s="711" t="s">
        <v>1983</v>
      </c>
      <c r="I254" s="728" t="s">
        <v>2065</v>
      </c>
      <c r="J254" s="711" t="s">
        <v>1083</v>
      </c>
      <c r="K254" s="711" t="s">
        <v>2318</v>
      </c>
      <c r="L254" s="714" t="s">
        <v>1766</v>
      </c>
      <c r="M254" s="1271">
        <v>46063</v>
      </c>
      <c r="N254" s="715">
        <v>46063</v>
      </c>
      <c r="O254" s="715"/>
      <c r="P254" s="453" t="s">
        <v>1</v>
      </c>
      <c r="Q254" s="737">
        <v>81.400000000000006</v>
      </c>
      <c r="R254" s="730">
        <v>0</v>
      </c>
      <c r="S254" s="730">
        <v>0</v>
      </c>
      <c r="T254" s="65">
        <f>SUM(mMAR[[#This Row],[PRINCIPAL]:[JUROS]])</f>
        <v>81.400000000000006</v>
      </c>
      <c r="V254" s="1310"/>
    </row>
    <row r="255" spans="2:22" ht="21" customHeight="1">
      <c r="B255" s="83" t="str">
        <f t="shared" si="3"/>
        <v>3/26</v>
      </c>
      <c r="C255" s="5" t="str">
        <f>VLOOKUP(mMAR[[#This Row],[CÓDIGO CONTABIL]],Contas_Gerencial[#All],3,FALSE)</f>
        <v>DESPESAS BANCÁRIAS</v>
      </c>
      <c r="D255" s="16" t="str">
        <f>VLOOKUP(mMAR[[#This Row],[DESCRIÇÃO CONTABIL]],Contas_Gerencial[[#All],[DESCRIÇÃO DA CONTA - NÃO UTILIZAR]:[Código2]],2,FALSE)</f>
        <v>20.01.017</v>
      </c>
      <c r="E255" s="718" t="s">
        <v>115</v>
      </c>
      <c r="F255" s="711" t="s">
        <v>581</v>
      </c>
      <c r="G255" s="711" t="s">
        <v>595</v>
      </c>
      <c r="H255" s="711" t="s">
        <v>1983</v>
      </c>
      <c r="I255" s="728" t="s">
        <v>2065</v>
      </c>
      <c r="J255" s="711" t="s">
        <v>1083</v>
      </c>
      <c r="K255" s="711" t="s">
        <v>2333</v>
      </c>
      <c r="L255" s="714" t="s">
        <v>1766</v>
      </c>
      <c r="M255" s="1271">
        <v>46080</v>
      </c>
      <c r="N255" s="715">
        <v>46108</v>
      </c>
      <c r="O255" s="715"/>
      <c r="P255" s="453" t="s">
        <v>1</v>
      </c>
      <c r="Q255" s="737">
        <v>318.5</v>
      </c>
      <c r="R255" s="730">
        <v>0</v>
      </c>
      <c r="S255" s="730">
        <v>0</v>
      </c>
      <c r="T255" s="65">
        <f>SUM(mMAR[[#This Row],[PRINCIPAL]:[JUROS]])</f>
        <v>318.5</v>
      </c>
      <c r="V255" s="1310"/>
    </row>
    <row r="256" spans="2:22" ht="21" customHeight="1">
      <c r="B256" s="83" t="str">
        <f t="shared" si="3"/>
        <v>3/26</v>
      </c>
      <c r="C256" s="5" t="str">
        <f>VLOOKUP(mMAR[[#This Row],[CÓDIGO CONTABIL]],Contas_Gerencial[#All],3,FALSE)</f>
        <v>DESPESAS BANCÁRIAS</v>
      </c>
      <c r="D256" s="16" t="str">
        <f>VLOOKUP(mMAR[[#This Row],[DESCRIÇÃO CONTABIL]],Contas_Gerencial[[#All],[DESCRIÇÃO DA CONTA - NÃO UTILIZAR]:[Código2]],2,FALSE)</f>
        <v>20.01.003</v>
      </c>
      <c r="E256" s="753" t="s">
        <v>79</v>
      </c>
      <c r="F256" s="711" t="s">
        <v>581</v>
      </c>
      <c r="G256" s="711" t="s">
        <v>595</v>
      </c>
      <c r="H256" s="711" t="s">
        <v>1983</v>
      </c>
      <c r="I256" s="728" t="s">
        <v>2065</v>
      </c>
      <c r="J256" s="711" t="s">
        <v>1083</v>
      </c>
      <c r="K256" s="711" t="s">
        <v>2320</v>
      </c>
      <c r="L256" s="714" t="s">
        <v>1766</v>
      </c>
      <c r="M256" s="1271"/>
      <c r="N256" s="715"/>
      <c r="O256" s="715"/>
      <c r="P256" s="453" t="s">
        <v>1</v>
      </c>
      <c r="Q256" s="1084">
        <v>391</v>
      </c>
      <c r="R256" s="730">
        <v>0</v>
      </c>
      <c r="S256" s="730">
        <v>0</v>
      </c>
      <c r="T256" s="65">
        <f>SUM(mMAR[[#This Row],[PRINCIPAL]:[JUROS]])</f>
        <v>391</v>
      </c>
      <c r="V256" s="1310"/>
    </row>
    <row r="257" spans="2:22" ht="21" customHeight="1">
      <c r="B257" s="83" t="str">
        <f t="shared" si="3"/>
        <v>3/26</v>
      </c>
      <c r="C257" s="5" t="str">
        <f>VLOOKUP(mMAR[[#This Row],[CÓDIGO CONTABIL]],Contas_Gerencial[#All],3,FALSE)</f>
        <v>BENEFICIO</v>
      </c>
      <c r="D257" s="16" t="str">
        <f>VLOOKUP(mMAR[[#This Row],[DESCRIÇÃO CONTABIL]],Contas_Gerencial[[#All],[DESCRIÇÃO DA CONTA - NÃO UTILIZAR]:[Código2]],2,FALSE)</f>
        <v>20.05.003</v>
      </c>
      <c r="E257" s="712" t="s">
        <v>47</v>
      </c>
      <c r="F257" s="712" t="s">
        <v>582</v>
      </c>
      <c r="G257" s="733" t="s">
        <v>653</v>
      </c>
      <c r="H257" s="712" t="s">
        <v>1803</v>
      </c>
      <c r="I257" s="716" t="s">
        <v>2065</v>
      </c>
      <c r="J257" s="711" t="s">
        <v>386</v>
      </c>
      <c r="K257" s="711" t="s">
        <v>1837</v>
      </c>
      <c r="L257" s="729" t="s">
        <v>2591</v>
      </c>
      <c r="M257" s="1271">
        <v>46096</v>
      </c>
      <c r="N257" s="715">
        <v>46101</v>
      </c>
      <c r="O257" s="715"/>
      <c r="P257" s="712" t="s">
        <v>1</v>
      </c>
      <c r="Q257" s="730">
        <f>14.28*3</f>
        <v>42.839999999999996</v>
      </c>
      <c r="R257" s="730">
        <v>0</v>
      </c>
      <c r="S257" s="730">
        <v>0</v>
      </c>
      <c r="T257" s="65">
        <f>SUM(mMAR[[#This Row],[PRINCIPAL]:[JUROS]])</f>
        <v>42.839999999999996</v>
      </c>
      <c r="V257" s="1310"/>
    </row>
    <row r="258" spans="2:22" ht="21" customHeight="1">
      <c r="B258" s="83" t="str">
        <f t="shared" si="3"/>
        <v>3/26</v>
      </c>
      <c r="C258" s="5" t="str">
        <f>VLOOKUP(mMAR[[#This Row],[CÓDIGO CONTABIL]],Contas_Gerencial[#All],3,FALSE)</f>
        <v>BENEFICIO</v>
      </c>
      <c r="D258" s="16" t="str">
        <f>VLOOKUP(mMAR[[#This Row],[DESCRIÇÃO CONTABIL]],Contas_Gerencial[[#All],[DESCRIÇÃO DA CONTA - NÃO UTILIZAR]:[Código2]],2,FALSE)</f>
        <v>20.05.003</v>
      </c>
      <c r="E258" s="712" t="s">
        <v>47</v>
      </c>
      <c r="F258" s="712" t="s">
        <v>41</v>
      </c>
      <c r="G258" s="733" t="s">
        <v>1767</v>
      </c>
      <c r="H258" s="712" t="s">
        <v>1803</v>
      </c>
      <c r="I258" s="716" t="s">
        <v>2065</v>
      </c>
      <c r="J258" s="711" t="s">
        <v>386</v>
      </c>
      <c r="K258" s="711" t="s">
        <v>1816</v>
      </c>
      <c r="L258" s="729" t="s">
        <v>2591</v>
      </c>
      <c r="M258" s="1271">
        <v>46096</v>
      </c>
      <c r="N258" s="715">
        <v>46101</v>
      </c>
      <c r="O258" s="715"/>
      <c r="P258" s="712" t="s">
        <v>1</v>
      </c>
      <c r="Q258" s="730">
        <f>14.28*7</f>
        <v>99.96</v>
      </c>
      <c r="R258" s="730">
        <v>0</v>
      </c>
      <c r="S258" s="730">
        <v>0</v>
      </c>
      <c r="T258" s="65">
        <f>SUM(mMAR[[#This Row],[PRINCIPAL]:[JUROS]])</f>
        <v>99.96</v>
      </c>
      <c r="V258" s="1310"/>
    </row>
    <row r="259" spans="2:22" ht="21" customHeight="1">
      <c r="B259" s="83" t="str">
        <f t="shared" si="3"/>
        <v>3/26</v>
      </c>
      <c r="C259" s="5" t="str">
        <f>VLOOKUP(mMAR[[#This Row],[CÓDIGO CONTABIL]],Contas_Gerencial[#All],3,FALSE)</f>
        <v>BENEFICIO</v>
      </c>
      <c r="D259" s="16" t="str">
        <f>VLOOKUP(mMAR[[#This Row],[DESCRIÇÃO CONTABIL]],Contas_Gerencial[[#All],[DESCRIÇÃO DA CONTA - NÃO UTILIZAR]:[Código2]],2,FALSE)</f>
        <v>20.05.003</v>
      </c>
      <c r="E259" s="712" t="s">
        <v>47</v>
      </c>
      <c r="F259" s="712" t="s">
        <v>581</v>
      </c>
      <c r="G259" s="733" t="s">
        <v>595</v>
      </c>
      <c r="H259" s="712" t="s">
        <v>1803</v>
      </c>
      <c r="I259" s="716" t="s">
        <v>2065</v>
      </c>
      <c r="J259" s="711" t="s">
        <v>386</v>
      </c>
      <c r="K259" s="711" t="s">
        <v>1817</v>
      </c>
      <c r="L259" s="729" t="s">
        <v>2591</v>
      </c>
      <c r="M259" s="1271">
        <v>46096</v>
      </c>
      <c r="N259" s="715">
        <v>46101</v>
      </c>
      <c r="O259" s="715"/>
      <c r="P259" s="712" t="s">
        <v>1</v>
      </c>
      <c r="Q259" s="730">
        <f>14.28*2</f>
        <v>28.56</v>
      </c>
      <c r="R259" s="730">
        <v>0</v>
      </c>
      <c r="S259" s="730">
        <v>0</v>
      </c>
      <c r="T259" s="65">
        <f>SUM(mMAR[[#This Row],[PRINCIPAL]:[JUROS]])</f>
        <v>28.56</v>
      </c>
      <c r="V259" s="1310"/>
    </row>
    <row r="260" spans="2:22" ht="21" customHeight="1">
      <c r="B260" s="83" t="str">
        <f t="shared" si="3"/>
        <v>3/26</v>
      </c>
      <c r="C260" s="5" t="str">
        <f>VLOOKUP(mMAR[[#This Row],[CÓDIGO CONTABIL]],Contas_Gerencial[#All],3,FALSE)</f>
        <v>BENEFICIO</v>
      </c>
      <c r="D260" s="16" t="str">
        <f>VLOOKUP(mMAR[[#This Row],[DESCRIÇÃO CONTABIL]],Contas_Gerencial[[#All],[DESCRIÇÃO DA CONTA - NÃO UTILIZAR]:[Código2]],2,FALSE)</f>
        <v>20.05.003</v>
      </c>
      <c r="E260" s="712" t="s">
        <v>47</v>
      </c>
      <c r="F260" s="712" t="s">
        <v>581</v>
      </c>
      <c r="G260" s="733" t="s">
        <v>49</v>
      </c>
      <c r="H260" s="712" t="s">
        <v>1803</v>
      </c>
      <c r="I260" s="716" t="s">
        <v>2065</v>
      </c>
      <c r="J260" s="711" t="s">
        <v>386</v>
      </c>
      <c r="K260" s="711" t="s">
        <v>2190</v>
      </c>
      <c r="L260" s="729" t="s">
        <v>2591</v>
      </c>
      <c r="M260" s="1271">
        <v>46096</v>
      </c>
      <c r="N260" s="715">
        <v>46101</v>
      </c>
      <c r="O260" s="715"/>
      <c r="P260" s="712" t="s">
        <v>1</v>
      </c>
      <c r="Q260" s="730">
        <f>14.28*4</f>
        <v>57.12</v>
      </c>
      <c r="R260" s="730">
        <v>0</v>
      </c>
      <c r="S260" s="730">
        <v>0</v>
      </c>
      <c r="T260" s="65">
        <f>SUM(mMAR[[#This Row],[PRINCIPAL]:[JUROS]])</f>
        <v>57.12</v>
      </c>
      <c r="V260" s="1310"/>
    </row>
    <row r="261" spans="2:22" ht="21" customHeight="1">
      <c r="B261" s="83" t="str">
        <f t="shared" si="3"/>
        <v>3/26</v>
      </c>
      <c r="C261" s="5" t="str">
        <f>VLOOKUP(mMAR[[#This Row],[CÓDIGO CONTABIL]],Contas_Gerencial[#All],3,FALSE)</f>
        <v>BENEFICIO</v>
      </c>
      <c r="D261" s="16" t="str">
        <f>VLOOKUP(mMAR[[#This Row],[DESCRIÇÃO CONTABIL]],Contas_Gerencial[[#All],[DESCRIÇÃO DA CONTA - NÃO UTILIZAR]:[Código2]],2,FALSE)</f>
        <v>20.05.003</v>
      </c>
      <c r="E261" s="712" t="s">
        <v>47</v>
      </c>
      <c r="F261" s="712" t="s">
        <v>581</v>
      </c>
      <c r="G261" s="733" t="s">
        <v>1130</v>
      </c>
      <c r="H261" s="712" t="s">
        <v>1803</v>
      </c>
      <c r="I261" s="716" t="s">
        <v>2065</v>
      </c>
      <c r="J261" s="711" t="s">
        <v>386</v>
      </c>
      <c r="K261" s="711" t="s">
        <v>2191</v>
      </c>
      <c r="L261" s="729" t="s">
        <v>2591</v>
      </c>
      <c r="M261" s="1271">
        <v>46096</v>
      </c>
      <c r="N261" s="715">
        <v>46101</v>
      </c>
      <c r="O261" s="715"/>
      <c r="P261" s="712" t="s">
        <v>1</v>
      </c>
      <c r="Q261" s="730">
        <f>14.28*1</f>
        <v>14.28</v>
      </c>
      <c r="R261" s="730">
        <v>0</v>
      </c>
      <c r="S261" s="730">
        <v>0</v>
      </c>
      <c r="T261" s="65">
        <f>SUM(mMAR[[#This Row],[PRINCIPAL]:[JUROS]])</f>
        <v>14.28</v>
      </c>
      <c r="V261" s="1310"/>
    </row>
    <row r="262" spans="2:22" ht="21" customHeight="1">
      <c r="B262" s="83" t="str">
        <f t="shared" si="3"/>
        <v>3/26</v>
      </c>
      <c r="C262" s="5" t="str">
        <f>VLOOKUP(mMAR[[#This Row],[CÓDIGO CONTABIL]],Contas_Gerencial[#All],3,FALSE)</f>
        <v>BENEFICIO</v>
      </c>
      <c r="D262" s="16" t="str">
        <f>VLOOKUP(mMAR[[#This Row],[DESCRIÇÃO CONTABIL]],Contas_Gerencial[[#All],[DESCRIÇÃO DA CONTA - NÃO UTILIZAR]:[Código2]],2,FALSE)</f>
        <v>20.05.004</v>
      </c>
      <c r="E262" s="733" t="s">
        <v>72</v>
      </c>
      <c r="F262" s="712" t="s">
        <v>41</v>
      </c>
      <c r="G262" s="712" t="s">
        <v>595</v>
      </c>
      <c r="H262" s="712" t="s">
        <v>1803</v>
      </c>
      <c r="I262" s="716" t="s">
        <v>2065</v>
      </c>
      <c r="J262" s="711" t="s">
        <v>1146</v>
      </c>
      <c r="K262" s="922" t="s">
        <v>2103</v>
      </c>
      <c r="L262" s="729" t="s">
        <v>2591</v>
      </c>
      <c r="M262" s="1271">
        <v>46101</v>
      </c>
      <c r="N262" s="715">
        <v>46101</v>
      </c>
      <c r="O262" s="715"/>
      <c r="P262" s="712" t="s">
        <v>1</v>
      </c>
      <c r="Q262" s="717">
        <v>23.52</v>
      </c>
      <c r="R262" s="730">
        <v>0</v>
      </c>
      <c r="S262" s="730">
        <v>0</v>
      </c>
      <c r="T262" s="65">
        <f>SUM(mMAR[[#This Row],[PRINCIPAL]:[JUROS]])</f>
        <v>23.52</v>
      </c>
      <c r="V262" s="1310"/>
    </row>
    <row r="263" spans="2:22" ht="21" customHeight="1">
      <c r="B263" s="83" t="str">
        <f t="shared" si="3"/>
        <v>3/26</v>
      </c>
      <c r="C263" s="5" t="str">
        <f>VLOOKUP(mMAR[[#This Row],[CÓDIGO CONTABIL]],Contas_Gerencial[#All],3,FALSE)</f>
        <v>BENEFICIO</v>
      </c>
      <c r="D263" s="16" t="str">
        <f>VLOOKUP(mMAR[[#This Row],[DESCRIÇÃO CONTABIL]],Contas_Gerencial[[#All],[DESCRIÇÃO DA CONTA - NÃO UTILIZAR]:[Código2]],2,FALSE)</f>
        <v>20.05.004</v>
      </c>
      <c r="E263" s="733" t="s">
        <v>72</v>
      </c>
      <c r="F263" s="712" t="s">
        <v>581</v>
      </c>
      <c r="G263" s="712" t="s">
        <v>595</v>
      </c>
      <c r="H263" s="712" t="s">
        <v>1803</v>
      </c>
      <c r="I263" s="716" t="s">
        <v>2065</v>
      </c>
      <c r="J263" s="711" t="s">
        <v>1146</v>
      </c>
      <c r="K263" s="922" t="s">
        <v>2105</v>
      </c>
      <c r="L263" s="729" t="s">
        <v>2591</v>
      </c>
      <c r="M263" s="1271">
        <v>46101</v>
      </c>
      <c r="N263" s="715">
        <v>46101</v>
      </c>
      <c r="O263" s="715"/>
      <c r="P263" s="712" t="s">
        <v>1</v>
      </c>
      <c r="Q263" s="717">
        <f>3.36*1</f>
        <v>3.36</v>
      </c>
      <c r="R263" s="730">
        <v>0</v>
      </c>
      <c r="S263" s="730">
        <v>0</v>
      </c>
      <c r="T263" s="65">
        <f>SUM(mMAR[[#This Row],[PRINCIPAL]:[JUROS]])</f>
        <v>3.36</v>
      </c>
      <c r="V263" s="1310"/>
    </row>
    <row r="264" spans="2:22" ht="21" customHeight="1">
      <c r="B264" s="83" t="str">
        <f t="shared" si="3"/>
        <v>3/26</v>
      </c>
      <c r="C264" s="5" t="str">
        <f>VLOOKUP(mMAR[[#This Row],[CÓDIGO CONTABIL]],Contas_Gerencial[#All],3,FALSE)</f>
        <v>BENEFICIO</v>
      </c>
      <c r="D264" s="16" t="str">
        <f>VLOOKUP(mMAR[[#This Row],[DESCRIÇÃO CONTABIL]],Contas_Gerencial[[#All],[DESCRIÇÃO DA CONTA - NÃO UTILIZAR]:[Código2]],2,FALSE)</f>
        <v>20.05.004</v>
      </c>
      <c r="E264" s="733" t="s">
        <v>72</v>
      </c>
      <c r="F264" s="712" t="s">
        <v>581</v>
      </c>
      <c r="G264" s="712" t="s">
        <v>1630</v>
      </c>
      <c r="H264" s="712" t="s">
        <v>1803</v>
      </c>
      <c r="I264" s="716" t="s">
        <v>2065</v>
      </c>
      <c r="J264" s="711" t="s">
        <v>1146</v>
      </c>
      <c r="K264" s="922" t="s">
        <v>2105</v>
      </c>
      <c r="L264" s="729" t="s">
        <v>2591</v>
      </c>
      <c r="M264" s="1271">
        <v>46101</v>
      </c>
      <c r="N264" s="715">
        <v>46101</v>
      </c>
      <c r="O264" s="715"/>
      <c r="P264" s="712" t="s">
        <v>1</v>
      </c>
      <c r="Q264" s="717">
        <f>3.36*4</f>
        <v>13.44</v>
      </c>
      <c r="R264" s="730">
        <v>0</v>
      </c>
      <c r="S264" s="730">
        <v>0</v>
      </c>
      <c r="T264" s="65">
        <f>SUM(mMAR[[#This Row],[PRINCIPAL]:[JUROS]])</f>
        <v>13.44</v>
      </c>
      <c r="V264" s="1310"/>
    </row>
    <row r="265" spans="2:22" ht="21" customHeight="1">
      <c r="B265" s="83" t="str">
        <f t="shared" ref="B265:B294" si="4">B264</f>
        <v>3/26</v>
      </c>
      <c r="C265" s="5" t="str">
        <f>VLOOKUP(mMAR[[#This Row],[CÓDIGO CONTABIL]],Contas_Gerencial[#All],3,FALSE)</f>
        <v>BENEFICIO</v>
      </c>
      <c r="D265" s="16" t="str">
        <f>VLOOKUP(mMAR[[#This Row],[DESCRIÇÃO CONTABIL]],Contas_Gerencial[[#All],[DESCRIÇÃO DA CONTA - NÃO UTILIZAR]:[Código2]],2,FALSE)</f>
        <v>20.05.004</v>
      </c>
      <c r="E265" s="733" t="s">
        <v>72</v>
      </c>
      <c r="F265" s="712" t="s">
        <v>581</v>
      </c>
      <c r="G265" s="712" t="s">
        <v>1137</v>
      </c>
      <c r="H265" s="712" t="s">
        <v>1803</v>
      </c>
      <c r="I265" s="716" t="s">
        <v>2065</v>
      </c>
      <c r="J265" s="711" t="s">
        <v>1146</v>
      </c>
      <c r="K265" s="922" t="s">
        <v>2105</v>
      </c>
      <c r="L265" s="729" t="s">
        <v>2591</v>
      </c>
      <c r="M265" s="1271">
        <v>46101</v>
      </c>
      <c r="N265" s="715">
        <v>46101</v>
      </c>
      <c r="O265" s="715"/>
      <c r="P265" s="712" t="s">
        <v>1</v>
      </c>
      <c r="Q265" s="717">
        <f>3.36*6</f>
        <v>20.16</v>
      </c>
      <c r="R265" s="730">
        <v>0</v>
      </c>
      <c r="S265" s="730">
        <v>0</v>
      </c>
      <c r="T265" s="65">
        <f>SUM(mMAR[[#This Row],[PRINCIPAL]:[JUROS]])</f>
        <v>20.16</v>
      </c>
      <c r="V265" s="1310"/>
    </row>
    <row r="266" spans="2:22" ht="21" customHeight="1">
      <c r="B266" s="83" t="str">
        <f t="shared" si="4"/>
        <v>3/26</v>
      </c>
      <c r="C266" s="5" t="str">
        <f>VLOOKUP(mMAR[[#This Row],[CÓDIGO CONTABIL]],Contas_Gerencial[#All],3,FALSE)</f>
        <v>BENEFICIO</v>
      </c>
      <c r="D266" s="16" t="str">
        <f>VLOOKUP(mMAR[[#This Row],[DESCRIÇÃO CONTABIL]],Contas_Gerencial[[#All],[DESCRIÇÃO DA CONTA - NÃO UTILIZAR]:[Código2]],2,FALSE)</f>
        <v>20.05.004</v>
      </c>
      <c r="E266" s="733" t="s">
        <v>72</v>
      </c>
      <c r="F266" s="712" t="s">
        <v>581</v>
      </c>
      <c r="G266" s="712" t="s">
        <v>1768</v>
      </c>
      <c r="H266" s="712" t="s">
        <v>1803</v>
      </c>
      <c r="I266" s="716" t="s">
        <v>2065</v>
      </c>
      <c r="J266" s="711" t="s">
        <v>1146</v>
      </c>
      <c r="K266" s="922" t="s">
        <v>2105</v>
      </c>
      <c r="L266" s="729" t="s">
        <v>2591</v>
      </c>
      <c r="M266" s="1271">
        <v>46101</v>
      </c>
      <c r="N266" s="715">
        <v>46101</v>
      </c>
      <c r="O266" s="715"/>
      <c r="P266" s="712" t="s">
        <v>1</v>
      </c>
      <c r="Q266" s="717">
        <f>3.36*2</f>
        <v>6.72</v>
      </c>
      <c r="R266" s="730">
        <v>0</v>
      </c>
      <c r="S266" s="730">
        <v>0</v>
      </c>
      <c r="T266" s="65">
        <f>SUM(mMAR[[#This Row],[PRINCIPAL]:[JUROS]])</f>
        <v>6.72</v>
      </c>
      <c r="V266" s="1310"/>
    </row>
    <row r="267" spans="2:22" ht="21" customHeight="1">
      <c r="B267" s="83" t="str">
        <f t="shared" si="4"/>
        <v>3/26</v>
      </c>
      <c r="C267" s="5" t="str">
        <f>VLOOKUP(mMAR[[#This Row],[CÓDIGO CONTABIL]],Contas_Gerencial[#All],3,FALSE)</f>
        <v>SERVIÇOS DE TERCEIROS</v>
      </c>
      <c r="D267" s="16" t="str">
        <f>VLOOKUP(mMAR[[#This Row],[DESCRIÇÃO CONTABIL]],Contas_Gerencial[[#All],[DESCRIÇÃO DA CONTA - NÃO UTILIZAR]:[Código2]],2,FALSE)</f>
        <v>20.07.028</v>
      </c>
      <c r="E267" s="107" t="s">
        <v>881</v>
      </c>
      <c r="F267" s="452" t="s">
        <v>41</v>
      </c>
      <c r="G267" s="107" t="s">
        <v>595</v>
      </c>
      <c r="H267" s="452" t="s">
        <v>1803</v>
      </c>
      <c r="I267" s="481" t="s">
        <v>2671</v>
      </c>
      <c r="J267" s="453" t="s">
        <v>1038</v>
      </c>
      <c r="K267" s="453" t="s">
        <v>1804</v>
      </c>
      <c r="L267" s="451" t="s">
        <v>2591</v>
      </c>
      <c r="M267" s="1330">
        <v>46083</v>
      </c>
      <c r="N267" s="457">
        <v>46086</v>
      </c>
      <c r="O267" s="457">
        <v>46091</v>
      </c>
      <c r="P267" s="452" t="s">
        <v>214</v>
      </c>
      <c r="Q267" s="467">
        <v>39</v>
      </c>
      <c r="R267" s="467">
        <v>0</v>
      </c>
      <c r="S267" s="467">
        <v>0</v>
      </c>
      <c r="T267" s="65">
        <f>SUM(mMAR[[#This Row],[PRINCIPAL]:[JUROS]])</f>
        <v>39</v>
      </c>
      <c r="V267" s="1310"/>
    </row>
    <row r="268" spans="2:22" ht="21" customHeight="1">
      <c r="B268" s="83" t="str">
        <f t="shared" si="4"/>
        <v>3/26</v>
      </c>
      <c r="C268" s="5" t="str">
        <f>VLOOKUP(mMAR[[#This Row],[CÓDIGO CONTABIL]],Contas_Gerencial[#All],3,FALSE)</f>
        <v>SERVIÇOS DE TERCEIROS</v>
      </c>
      <c r="D268" s="16" t="str">
        <f>VLOOKUP(mMAR[[#This Row],[DESCRIÇÃO CONTABIL]],Contas_Gerencial[[#All],[DESCRIÇÃO DA CONTA - NÃO UTILIZAR]:[Código2]],2,FALSE)</f>
        <v>20.07.028</v>
      </c>
      <c r="E268" s="731" t="s">
        <v>881</v>
      </c>
      <c r="F268" s="711" t="s">
        <v>41</v>
      </c>
      <c r="G268" s="731" t="s">
        <v>595</v>
      </c>
      <c r="H268" s="711" t="s">
        <v>1802</v>
      </c>
      <c r="I268" s="716" t="s">
        <v>2065</v>
      </c>
      <c r="J268" s="711" t="s">
        <v>1106</v>
      </c>
      <c r="K268" s="711" t="s">
        <v>2044</v>
      </c>
      <c r="L268" s="729" t="s">
        <v>2591</v>
      </c>
      <c r="M268" s="1271"/>
      <c r="N268" s="715">
        <v>46101</v>
      </c>
      <c r="O268" s="715"/>
      <c r="P268" s="712" t="s">
        <v>1</v>
      </c>
      <c r="Q268" s="730">
        <v>1365</v>
      </c>
      <c r="R268" s="730">
        <v>0</v>
      </c>
      <c r="S268" s="730">
        <v>0</v>
      </c>
      <c r="T268" s="65">
        <f>SUM(mMAR[[#This Row],[PRINCIPAL]:[JUROS]])</f>
        <v>1365</v>
      </c>
      <c r="V268" s="1310"/>
    </row>
    <row r="269" spans="2:22" ht="21" customHeight="1">
      <c r="B269" s="83" t="str">
        <f t="shared" si="4"/>
        <v>3/26</v>
      </c>
      <c r="C269" s="5" t="str">
        <f>VLOOKUP(mMAR[[#This Row],[CÓDIGO CONTABIL]],Contas_Gerencial[#All],3,FALSE)</f>
        <v>SERVIÇOS DE TERCEIROS</v>
      </c>
      <c r="D269" s="16" t="str">
        <f>VLOOKUP(mMAR[[#This Row],[DESCRIÇÃO CONTABIL]],Contas_Gerencial[[#All],[DESCRIÇÃO DA CONTA - NÃO UTILIZAR]:[Código2]],2,FALSE)</f>
        <v>20.07.002</v>
      </c>
      <c r="E269" s="713" t="s">
        <v>294</v>
      </c>
      <c r="F269" s="712" t="s">
        <v>41</v>
      </c>
      <c r="G269" s="713" t="s">
        <v>595</v>
      </c>
      <c r="H269" s="712" t="s">
        <v>1802</v>
      </c>
      <c r="I269" s="716" t="s">
        <v>2065</v>
      </c>
      <c r="J269" s="711" t="s">
        <v>1125</v>
      </c>
      <c r="K269" s="711" t="s">
        <v>1859</v>
      </c>
      <c r="L269" s="729" t="s">
        <v>2591</v>
      </c>
      <c r="M269" s="1271"/>
      <c r="N269" s="715">
        <v>46101</v>
      </c>
      <c r="O269" s="715"/>
      <c r="P269" s="712" t="s">
        <v>1</v>
      </c>
      <c r="Q269" s="730">
        <f>1320*1</f>
        <v>1320</v>
      </c>
      <c r="R269" s="730">
        <v>0</v>
      </c>
      <c r="S269" s="730">
        <v>0</v>
      </c>
      <c r="T269" s="65">
        <f>SUM(mMAR[[#This Row],[PRINCIPAL]:[JUROS]])</f>
        <v>1320</v>
      </c>
      <c r="V269" s="1310"/>
    </row>
    <row r="270" spans="2:22" ht="21" customHeight="1">
      <c r="B270" s="83" t="str">
        <f t="shared" si="4"/>
        <v>3/26</v>
      </c>
      <c r="C270" s="5" t="str">
        <f>VLOOKUP(mMAR[[#This Row],[CÓDIGO CONTABIL]],Contas_Gerencial[#All],3,FALSE)</f>
        <v>SERVIÇOS DE TERCEIROS</v>
      </c>
      <c r="D270" s="16" t="str">
        <f>VLOOKUP(mMAR[[#This Row],[DESCRIÇÃO CONTABIL]],Contas_Gerencial[[#All],[DESCRIÇÃO DA CONTA - NÃO UTILIZAR]:[Código2]],2,FALSE)</f>
        <v>20.07.002</v>
      </c>
      <c r="E270" s="713" t="s">
        <v>294</v>
      </c>
      <c r="F270" s="712" t="s">
        <v>582</v>
      </c>
      <c r="G270" s="713" t="s">
        <v>595</v>
      </c>
      <c r="H270" s="712" t="s">
        <v>1802</v>
      </c>
      <c r="I270" s="716" t="s">
        <v>2065</v>
      </c>
      <c r="J270" s="711" t="s">
        <v>1125</v>
      </c>
      <c r="K270" s="711" t="s">
        <v>1859</v>
      </c>
      <c r="L270" s="729" t="s">
        <v>2591</v>
      </c>
      <c r="M270" s="1271"/>
      <c r="N270" s="715">
        <v>46101</v>
      </c>
      <c r="O270" s="715"/>
      <c r="P270" s="712" t="s">
        <v>1</v>
      </c>
      <c r="Q270" s="730">
        <f>500*1</f>
        <v>500</v>
      </c>
      <c r="R270" s="730">
        <v>0</v>
      </c>
      <c r="S270" s="730">
        <v>0</v>
      </c>
      <c r="T270" s="65">
        <f>SUM(mMAR[[#This Row],[PRINCIPAL]:[JUROS]])</f>
        <v>500</v>
      </c>
      <c r="V270" s="1310"/>
    </row>
    <row r="271" spans="2:22" ht="21" customHeight="1">
      <c r="B271" s="83" t="str">
        <f t="shared" si="4"/>
        <v>3/26</v>
      </c>
      <c r="C271" s="5" t="str">
        <f>VLOOKUP(mMAR[[#This Row],[CÓDIGO CONTABIL]],Contas_Gerencial[#All],3,FALSE)</f>
        <v>SERVIÇOS DE TERCEIROS</v>
      </c>
      <c r="D271" s="16" t="str">
        <f>VLOOKUP(mMAR[[#This Row],[DESCRIÇÃO CONTABIL]],Contas_Gerencial[[#All],[DESCRIÇÃO DA CONTA - NÃO UTILIZAR]:[Código2]],2,FALSE)</f>
        <v>20.07.002</v>
      </c>
      <c r="E271" s="713" t="s">
        <v>294</v>
      </c>
      <c r="F271" s="712" t="s">
        <v>581</v>
      </c>
      <c r="G271" s="713" t="s">
        <v>595</v>
      </c>
      <c r="H271" s="712" t="s">
        <v>1802</v>
      </c>
      <c r="I271" s="716" t="s">
        <v>2065</v>
      </c>
      <c r="J271" s="711" t="s">
        <v>1125</v>
      </c>
      <c r="K271" s="711" t="s">
        <v>1859</v>
      </c>
      <c r="L271" s="729" t="s">
        <v>2591</v>
      </c>
      <c r="M271" s="1271"/>
      <c r="N271" s="715">
        <v>46101</v>
      </c>
      <c r="O271" s="715"/>
      <c r="P271" s="712" t="s">
        <v>1</v>
      </c>
      <c r="Q271" s="730">
        <f>730*1</f>
        <v>730</v>
      </c>
      <c r="R271" s="730">
        <v>0</v>
      </c>
      <c r="S271" s="730">
        <v>0</v>
      </c>
      <c r="T271" s="65">
        <f>SUM(mMAR[[#This Row],[PRINCIPAL]:[JUROS]])</f>
        <v>730</v>
      </c>
      <c r="V271" s="1310"/>
    </row>
    <row r="272" spans="2:22" ht="21" customHeight="1">
      <c r="B272" s="83" t="str">
        <f t="shared" si="4"/>
        <v>3/26</v>
      </c>
      <c r="C272" s="5" t="str">
        <f>VLOOKUP(mMAR[[#This Row],[CÓDIGO CONTABIL]],Contas_Gerencial[#All],3,FALSE)</f>
        <v>SERVIÇOS DE TERCEIROS</v>
      </c>
      <c r="D272" s="16" t="str">
        <f>VLOOKUP(mMAR[[#This Row],[DESCRIÇÃO CONTABIL]],Contas_Gerencial[[#All],[DESCRIÇÃO DA CONTA - NÃO UTILIZAR]:[Código2]],2,FALSE)</f>
        <v>20.07.018</v>
      </c>
      <c r="E272" s="713" t="s">
        <v>265</v>
      </c>
      <c r="F272" s="712" t="s">
        <v>41</v>
      </c>
      <c r="G272" s="713" t="s">
        <v>1767</v>
      </c>
      <c r="H272" s="712" t="s">
        <v>1803</v>
      </c>
      <c r="I272" s="716" t="s">
        <v>2065</v>
      </c>
      <c r="J272" s="711" t="s">
        <v>260</v>
      </c>
      <c r="K272" s="711" t="s">
        <v>1815</v>
      </c>
      <c r="L272" s="729" t="s">
        <v>2591</v>
      </c>
      <c r="M272" s="1271"/>
      <c r="N272" s="715">
        <v>46101</v>
      </c>
      <c r="O272" s="715"/>
      <c r="P272" s="712" t="s">
        <v>1</v>
      </c>
      <c r="Q272" s="730">
        <v>580</v>
      </c>
      <c r="R272" s="730">
        <v>0</v>
      </c>
      <c r="S272" s="730">
        <v>0</v>
      </c>
      <c r="T272" s="65">
        <f>SUM(mMAR[[#This Row],[PRINCIPAL]:[JUROS]])</f>
        <v>580</v>
      </c>
      <c r="V272" s="1310"/>
    </row>
    <row r="273" spans="2:22" ht="21" customHeight="1">
      <c r="B273" s="83" t="str">
        <f t="shared" si="4"/>
        <v>3/26</v>
      </c>
      <c r="C273" s="5" t="str">
        <f>VLOOKUP(mMAR[[#This Row],[CÓDIGO CONTABIL]],Contas_Gerencial[#All],3,FALSE)</f>
        <v>DESPESAS GERAIS</v>
      </c>
      <c r="D273" s="16" t="str">
        <f>VLOOKUP(mMAR[[#This Row],[DESCRIÇÃO CONTABIL]],Contas_Gerencial[[#All],[DESCRIÇÃO DA CONTA - NÃO UTILIZAR]:[Código2]],2,FALSE)</f>
        <v>20.03.006</v>
      </c>
      <c r="E273" s="731" t="s">
        <v>6</v>
      </c>
      <c r="F273" s="711" t="s">
        <v>41</v>
      </c>
      <c r="G273" s="718" t="s">
        <v>1081</v>
      </c>
      <c r="H273" s="711" t="s">
        <v>1788</v>
      </c>
      <c r="I273" s="716" t="s">
        <v>2065</v>
      </c>
      <c r="J273" s="711" t="s">
        <v>1105</v>
      </c>
      <c r="K273" s="711" t="s">
        <v>6</v>
      </c>
      <c r="L273" s="729" t="s">
        <v>2591</v>
      </c>
      <c r="M273" s="1271"/>
      <c r="N273" s="715">
        <v>46101</v>
      </c>
      <c r="O273" s="715"/>
      <c r="P273" s="712" t="s">
        <v>1</v>
      </c>
      <c r="Q273" s="734">
        <v>367.82</v>
      </c>
      <c r="R273" s="730">
        <v>0</v>
      </c>
      <c r="S273" s="730">
        <v>0</v>
      </c>
      <c r="T273" s="65">
        <f>SUM(mMAR[[#This Row],[PRINCIPAL]:[JUROS]])</f>
        <v>367.82</v>
      </c>
      <c r="V273" s="1310"/>
    </row>
    <row r="274" spans="2:22" ht="21" customHeight="1">
      <c r="B274" s="83" t="str">
        <f t="shared" si="4"/>
        <v>3/26</v>
      </c>
      <c r="C274" s="5" t="str">
        <f>VLOOKUP(mMAR[[#This Row],[CÓDIGO CONTABIL]],Contas_Gerencial[#All],3,FALSE)</f>
        <v>DESPESAS GERAIS</v>
      </c>
      <c r="D274" s="16" t="str">
        <f>VLOOKUP(mMAR[[#This Row],[DESCRIÇÃO CONTABIL]],Contas_Gerencial[[#All],[DESCRIÇÃO DA CONTA - NÃO UTILIZAR]:[Código2]],2,FALSE)</f>
        <v>20.03.006</v>
      </c>
      <c r="E274" s="731" t="s">
        <v>6</v>
      </c>
      <c r="F274" s="711" t="s">
        <v>41</v>
      </c>
      <c r="G274" s="718" t="s">
        <v>982</v>
      </c>
      <c r="H274" s="711" t="s">
        <v>1788</v>
      </c>
      <c r="I274" s="716" t="s">
        <v>2065</v>
      </c>
      <c r="J274" s="711" t="s">
        <v>1105</v>
      </c>
      <c r="K274" s="711" t="s">
        <v>6</v>
      </c>
      <c r="L274" s="729" t="s">
        <v>2591</v>
      </c>
      <c r="M274" s="1271"/>
      <c r="N274" s="715">
        <v>46101</v>
      </c>
      <c r="O274" s="715"/>
      <c r="P274" s="712" t="s">
        <v>1</v>
      </c>
      <c r="Q274" s="734">
        <v>392.01</v>
      </c>
      <c r="R274" s="730">
        <v>0</v>
      </c>
      <c r="S274" s="730">
        <v>0</v>
      </c>
      <c r="T274" s="65">
        <f>SUM(mMAR[[#This Row],[PRINCIPAL]:[JUROS]])</f>
        <v>392.01</v>
      </c>
      <c r="V274" s="1310"/>
    </row>
    <row r="275" spans="2:22" ht="21" customHeight="1">
      <c r="B275" s="83" t="str">
        <f t="shared" si="4"/>
        <v>3/26</v>
      </c>
      <c r="C275" s="5" t="str">
        <f>VLOOKUP(mMAR[[#This Row],[CÓDIGO CONTABIL]],Contas_Gerencial[#All],3,FALSE)</f>
        <v>DESPESAS GERAIS</v>
      </c>
      <c r="D275" s="16" t="str">
        <f>VLOOKUP(mMAR[[#This Row],[DESCRIÇÃO CONTABIL]],Contas_Gerencial[[#All],[DESCRIÇÃO DA CONTA - NÃO UTILIZAR]:[Código2]],2,FALSE)</f>
        <v>20.03.006</v>
      </c>
      <c r="E275" s="731" t="s">
        <v>6</v>
      </c>
      <c r="F275" s="711" t="s">
        <v>41</v>
      </c>
      <c r="G275" s="718" t="s">
        <v>49</v>
      </c>
      <c r="H275" s="711" t="s">
        <v>1788</v>
      </c>
      <c r="I275" s="716" t="s">
        <v>2065</v>
      </c>
      <c r="J275" s="711" t="s">
        <v>1105</v>
      </c>
      <c r="K275" s="711" t="s">
        <v>6</v>
      </c>
      <c r="L275" s="729" t="s">
        <v>2591</v>
      </c>
      <c r="M275" s="1271"/>
      <c r="N275" s="715">
        <v>46101</v>
      </c>
      <c r="O275" s="715"/>
      <c r="P275" s="712" t="s">
        <v>1</v>
      </c>
      <c r="Q275" s="734">
        <v>555.04</v>
      </c>
      <c r="R275" s="730">
        <v>0</v>
      </c>
      <c r="S275" s="730">
        <v>0</v>
      </c>
      <c r="T275" s="65">
        <f>SUM(mMAR[[#This Row],[PRINCIPAL]:[JUROS]])</f>
        <v>555.04</v>
      </c>
      <c r="V275" s="1310"/>
    </row>
    <row r="276" spans="2:22" ht="21" customHeight="1">
      <c r="B276" s="83" t="str">
        <f t="shared" si="4"/>
        <v>3/26</v>
      </c>
      <c r="C276" s="5" t="str">
        <f>VLOOKUP(mMAR[[#This Row],[CÓDIGO CONTABIL]],Contas_Gerencial[#All],3,FALSE)</f>
        <v>DESPESAS GERAIS</v>
      </c>
      <c r="D276" s="16" t="str">
        <f>VLOOKUP(mMAR[[#This Row],[DESCRIÇÃO CONTABIL]],Contas_Gerencial[[#All],[DESCRIÇÃO DA CONTA - NÃO UTILIZAR]:[Código2]],2,FALSE)</f>
        <v>20.03.006</v>
      </c>
      <c r="E276" s="731" t="s">
        <v>6</v>
      </c>
      <c r="F276" s="711" t="s">
        <v>41</v>
      </c>
      <c r="G276" s="718" t="s">
        <v>1767</v>
      </c>
      <c r="H276" s="711" t="s">
        <v>1788</v>
      </c>
      <c r="I276" s="716" t="s">
        <v>2065</v>
      </c>
      <c r="J276" s="711" t="s">
        <v>1105</v>
      </c>
      <c r="K276" s="711" t="s">
        <v>6</v>
      </c>
      <c r="L276" s="729" t="s">
        <v>2591</v>
      </c>
      <c r="M276" s="1271"/>
      <c r="N276" s="715">
        <v>46101</v>
      </c>
      <c r="O276" s="715"/>
      <c r="P276" s="712" t="s">
        <v>1</v>
      </c>
      <c r="Q276" s="734">
        <v>995.44</v>
      </c>
      <c r="R276" s="730">
        <v>0</v>
      </c>
      <c r="S276" s="730">
        <v>0</v>
      </c>
      <c r="T276" s="65">
        <f>SUM(mMAR[[#This Row],[PRINCIPAL]:[JUROS]])</f>
        <v>995.44</v>
      </c>
      <c r="V276" s="1310"/>
    </row>
    <row r="277" spans="2:22" ht="21" customHeight="1">
      <c r="B277" s="83" t="str">
        <f t="shared" si="4"/>
        <v>3/26</v>
      </c>
      <c r="C277" s="5" t="str">
        <f>VLOOKUP(mMAR[[#This Row],[CÓDIGO CONTABIL]],Contas_Gerencial[#All],3,FALSE)</f>
        <v>DESPESAS GERAIS</v>
      </c>
      <c r="D277" s="16" t="str">
        <f>VLOOKUP(mMAR[[#This Row],[DESCRIÇÃO CONTABIL]],Contas_Gerencial[[#All],[DESCRIÇÃO DA CONTA - NÃO UTILIZAR]:[Código2]],2,FALSE)</f>
        <v>20.03.006</v>
      </c>
      <c r="E277" s="731" t="s">
        <v>6</v>
      </c>
      <c r="F277" s="711" t="s">
        <v>582</v>
      </c>
      <c r="G277" s="718" t="s">
        <v>653</v>
      </c>
      <c r="H277" s="711" t="s">
        <v>1788</v>
      </c>
      <c r="I277" s="716" t="s">
        <v>2065</v>
      </c>
      <c r="J277" s="711" t="s">
        <v>1105</v>
      </c>
      <c r="K277" s="711" t="s">
        <v>2028</v>
      </c>
      <c r="L277" s="729" t="s">
        <v>2591</v>
      </c>
      <c r="M277" s="1271"/>
      <c r="N277" s="715">
        <v>46101</v>
      </c>
      <c r="O277" s="715"/>
      <c r="P277" s="712" t="s">
        <v>1</v>
      </c>
      <c r="Q277" s="734">
        <v>0</v>
      </c>
      <c r="R277" s="730">
        <v>0</v>
      </c>
      <c r="S277" s="730">
        <v>0</v>
      </c>
      <c r="T277" s="65">
        <f>SUM(mMAR[[#This Row],[PRINCIPAL]:[JUROS]])</f>
        <v>0</v>
      </c>
      <c r="V277" s="1310"/>
    </row>
    <row r="278" spans="2:22" ht="21" customHeight="1">
      <c r="B278" s="83" t="str">
        <f t="shared" si="4"/>
        <v>3/26</v>
      </c>
      <c r="C278" s="5" t="str">
        <f>VLOOKUP(mMAR[[#This Row],[CÓDIGO CONTABIL]],Contas_Gerencial[#All],3,FALSE)</f>
        <v>DESPESAS GERAIS</v>
      </c>
      <c r="D278" s="16" t="str">
        <f>VLOOKUP(mMAR[[#This Row],[DESCRIÇÃO CONTABIL]],Contas_Gerencial[[#All],[DESCRIÇÃO DA CONTA - NÃO UTILIZAR]:[Código2]],2,FALSE)</f>
        <v>20.03.006</v>
      </c>
      <c r="E278" s="731" t="s">
        <v>6</v>
      </c>
      <c r="F278" s="711" t="s">
        <v>582</v>
      </c>
      <c r="G278" s="718" t="s">
        <v>583</v>
      </c>
      <c r="H278" s="711" t="s">
        <v>1788</v>
      </c>
      <c r="I278" s="716" t="s">
        <v>2065</v>
      </c>
      <c r="J278" s="711" t="s">
        <v>1105</v>
      </c>
      <c r="K278" s="711" t="s">
        <v>6</v>
      </c>
      <c r="L278" s="729" t="s">
        <v>2591</v>
      </c>
      <c r="M278" s="1271"/>
      <c r="N278" s="715">
        <v>46101</v>
      </c>
      <c r="O278" s="715"/>
      <c r="P278" s="712" t="s">
        <v>1</v>
      </c>
      <c r="Q278" s="734">
        <v>781.38</v>
      </c>
      <c r="R278" s="730">
        <v>0</v>
      </c>
      <c r="S278" s="730">
        <v>0</v>
      </c>
      <c r="T278" s="65">
        <f>SUM(mMAR[[#This Row],[PRINCIPAL]:[JUROS]])</f>
        <v>781.38</v>
      </c>
      <c r="V278" s="1310"/>
    </row>
    <row r="279" spans="2:22" ht="21" customHeight="1">
      <c r="B279" s="83" t="str">
        <f t="shared" si="4"/>
        <v>3/26</v>
      </c>
      <c r="C279" s="5" t="str">
        <f>VLOOKUP(mMAR[[#This Row],[CÓDIGO CONTABIL]],Contas_Gerencial[#All],3,FALSE)</f>
        <v>DESPESAS GERAIS</v>
      </c>
      <c r="D279" s="16" t="str">
        <f>VLOOKUP(mMAR[[#This Row],[DESCRIÇÃO CONTABIL]],Contas_Gerencial[[#All],[DESCRIÇÃO DA CONTA - NÃO UTILIZAR]:[Código2]],2,FALSE)</f>
        <v>20.03.006</v>
      </c>
      <c r="E279" s="731" t="s">
        <v>6</v>
      </c>
      <c r="F279" s="711" t="s">
        <v>582</v>
      </c>
      <c r="G279" s="718" t="s">
        <v>638</v>
      </c>
      <c r="H279" s="711" t="s">
        <v>1788</v>
      </c>
      <c r="I279" s="716" t="s">
        <v>2065</v>
      </c>
      <c r="J279" s="711" t="s">
        <v>1105</v>
      </c>
      <c r="K279" s="711" t="s">
        <v>6</v>
      </c>
      <c r="L279" s="729" t="s">
        <v>2591</v>
      </c>
      <c r="M279" s="1271"/>
      <c r="N279" s="715">
        <v>46101</v>
      </c>
      <c r="O279" s="715"/>
      <c r="P279" s="712" t="s">
        <v>1</v>
      </c>
      <c r="Q279" s="734">
        <v>294.54000000000002</v>
      </c>
      <c r="R279" s="730">
        <v>0</v>
      </c>
      <c r="S279" s="730">
        <v>0</v>
      </c>
      <c r="T279" s="65">
        <f>SUM(mMAR[[#This Row],[PRINCIPAL]:[JUROS]])</f>
        <v>294.54000000000002</v>
      </c>
      <c r="V279" s="1310"/>
    </row>
    <row r="280" spans="2:22" ht="21" customHeight="1">
      <c r="B280" s="83" t="str">
        <f t="shared" si="4"/>
        <v>3/26</v>
      </c>
      <c r="C280" s="5" t="str">
        <f>VLOOKUP(mMAR[[#This Row],[CÓDIGO CONTABIL]],Contas_Gerencial[#All],3,FALSE)</f>
        <v>DESPESAS GERAIS</v>
      </c>
      <c r="D280" s="16" t="str">
        <f>VLOOKUP(mMAR[[#This Row],[DESCRIÇÃO CONTABIL]],Contas_Gerencial[[#All],[DESCRIÇÃO DA CONTA - NÃO UTILIZAR]:[Código2]],2,FALSE)</f>
        <v>20.03.006</v>
      </c>
      <c r="E280" s="731" t="s">
        <v>6</v>
      </c>
      <c r="F280" s="711" t="s">
        <v>582</v>
      </c>
      <c r="G280" s="718" t="s">
        <v>1082</v>
      </c>
      <c r="H280" s="711" t="s">
        <v>1788</v>
      </c>
      <c r="I280" s="716" t="s">
        <v>2065</v>
      </c>
      <c r="J280" s="711" t="s">
        <v>1105</v>
      </c>
      <c r="K280" s="711" t="s">
        <v>6</v>
      </c>
      <c r="L280" s="729" t="s">
        <v>2591</v>
      </c>
      <c r="M280" s="1271"/>
      <c r="N280" s="715">
        <v>46101</v>
      </c>
      <c r="O280" s="715"/>
      <c r="P280" s="712" t="s">
        <v>1</v>
      </c>
      <c r="Q280" s="734">
        <v>135.71</v>
      </c>
      <c r="R280" s="730">
        <v>0</v>
      </c>
      <c r="S280" s="730">
        <v>0</v>
      </c>
      <c r="T280" s="65">
        <f>SUM(mMAR[[#This Row],[PRINCIPAL]:[JUROS]])</f>
        <v>135.71</v>
      </c>
      <c r="V280" s="1310"/>
    </row>
    <row r="281" spans="2:22" ht="21" customHeight="1">
      <c r="B281" s="83" t="str">
        <f t="shared" si="4"/>
        <v>3/26</v>
      </c>
      <c r="C281" s="5" t="str">
        <f>VLOOKUP(mMAR[[#This Row],[CÓDIGO CONTABIL]],Contas_Gerencial[#All],3,FALSE)</f>
        <v>DESPESAS GERAIS</v>
      </c>
      <c r="D281" s="16" t="str">
        <f>VLOOKUP(mMAR[[#This Row],[DESCRIÇÃO CONTABIL]],Contas_Gerencial[[#All],[DESCRIÇÃO DA CONTA - NÃO UTILIZAR]:[Código2]],2,FALSE)</f>
        <v>20.03.006</v>
      </c>
      <c r="E281" s="731" t="s">
        <v>6</v>
      </c>
      <c r="F281" s="711" t="s">
        <v>582</v>
      </c>
      <c r="G281" s="718" t="s">
        <v>1082</v>
      </c>
      <c r="H281" s="711" t="s">
        <v>1788</v>
      </c>
      <c r="I281" s="716" t="s">
        <v>2065</v>
      </c>
      <c r="J281" s="711" t="s">
        <v>1105</v>
      </c>
      <c r="K281" s="711" t="s">
        <v>2283</v>
      </c>
      <c r="L281" s="729" t="s">
        <v>2591</v>
      </c>
      <c r="M281" s="1271"/>
      <c r="N281" s="715">
        <v>46101</v>
      </c>
      <c r="O281" s="715"/>
      <c r="P281" s="712" t="s">
        <v>1</v>
      </c>
      <c r="Q281" s="734">
        <v>213.05</v>
      </c>
      <c r="R281" s="730">
        <v>0</v>
      </c>
      <c r="S281" s="730">
        <v>0</v>
      </c>
      <c r="T281" s="65">
        <f>SUM(mMAR[[#This Row],[PRINCIPAL]:[JUROS]])</f>
        <v>213.05</v>
      </c>
      <c r="V281" s="1310"/>
    </row>
    <row r="282" spans="2:22" ht="21" customHeight="1">
      <c r="B282" s="83" t="str">
        <f t="shared" si="4"/>
        <v>3/26</v>
      </c>
      <c r="C282" s="5" t="str">
        <f>VLOOKUP(mMAR[[#This Row],[CÓDIGO CONTABIL]],Contas_Gerencial[#All],3,FALSE)</f>
        <v>DESPESAS GERAIS</v>
      </c>
      <c r="D282" s="16" t="str">
        <f>VLOOKUP(mMAR[[#This Row],[DESCRIÇÃO CONTABIL]],Contas_Gerencial[[#All],[DESCRIÇÃO DA CONTA - NÃO UTILIZAR]:[Código2]],2,FALSE)</f>
        <v>20.03.006</v>
      </c>
      <c r="E282" s="731" t="s">
        <v>6</v>
      </c>
      <c r="F282" s="711" t="s">
        <v>581</v>
      </c>
      <c r="G282" s="718" t="s">
        <v>1003</v>
      </c>
      <c r="H282" s="711" t="s">
        <v>1788</v>
      </c>
      <c r="I282" s="716" t="s">
        <v>2065</v>
      </c>
      <c r="J282" s="711" t="s">
        <v>1105</v>
      </c>
      <c r="K282" s="711" t="s">
        <v>6</v>
      </c>
      <c r="L282" s="729" t="s">
        <v>2591</v>
      </c>
      <c r="M282" s="1271"/>
      <c r="N282" s="715">
        <v>46101</v>
      </c>
      <c r="O282" s="715"/>
      <c r="P282" s="712" t="s">
        <v>1</v>
      </c>
      <c r="Q282" s="734">
        <v>804.81</v>
      </c>
      <c r="R282" s="730">
        <v>0</v>
      </c>
      <c r="S282" s="730">
        <v>0</v>
      </c>
      <c r="T282" s="65">
        <f>SUM(mMAR[[#This Row],[PRINCIPAL]:[JUROS]])</f>
        <v>804.81</v>
      </c>
      <c r="V282" s="1310"/>
    </row>
    <row r="283" spans="2:22" ht="21" customHeight="1">
      <c r="B283" s="83" t="str">
        <f t="shared" si="4"/>
        <v>3/26</v>
      </c>
      <c r="C283" s="5" t="str">
        <f>VLOOKUP(mMAR[[#This Row],[CÓDIGO CONTABIL]],Contas_Gerencial[#All],3,FALSE)</f>
        <v>DESPESAS GERAIS</v>
      </c>
      <c r="D283" s="16" t="str">
        <f>VLOOKUP(mMAR[[#This Row],[DESCRIÇÃO CONTABIL]],Contas_Gerencial[[#All],[DESCRIÇÃO DA CONTA - NÃO UTILIZAR]:[Código2]],2,FALSE)</f>
        <v>20.03.006</v>
      </c>
      <c r="E283" s="731" t="s">
        <v>6</v>
      </c>
      <c r="F283" s="711" t="s">
        <v>581</v>
      </c>
      <c r="G283" s="718" t="s">
        <v>1634</v>
      </c>
      <c r="H283" s="711" t="s">
        <v>1788</v>
      </c>
      <c r="I283" s="716" t="s">
        <v>2065</v>
      </c>
      <c r="J283" s="711" t="s">
        <v>1105</v>
      </c>
      <c r="K283" s="711" t="s">
        <v>6</v>
      </c>
      <c r="L283" s="729" t="s">
        <v>2591</v>
      </c>
      <c r="M283" s="1271"/>
      <c r="N283" s="715">
        <v>46101</v>
      </c>
      <c r="O283" s="715"/>
      <c r="P283" s="712" t="s">
        <v>1</v>
      </c>
      <c r="Q283" s="734">
        <v>230.45</v>
      </c>
      <c r="R283" s="730">
        <v>0</v>
      </c>
      <c r="S283" s="730">
        <v>0</v>
      </c>
      <c r="T283" s="65">
        <f>SUM(mMAR[[#This Row],[PRINCIPAL]:[JUROS]])</f>
        <v>230.45</v>
      </c>
      <c r="V283" s="1310"/>
    </row>
    <row r="284" spans="2:22" ht="21" customHeight="1">
      <c r="B284" s="83" t="str">
        <f t="shared" si="4"/>
        <v>3/26</v>
      </c>
      <c r="C284" s="5" t="str">
        <f>VLOOKUP(mMAR[[#This Row],[CÓDIGO CONTABIL]],Contas_Gerencial[#All],3,FALSE)</f>
        <v>DESPESAS GERAIS</v>
      </c>
      <c r="D284" s="16" t="str">
        <f>VLOOKUP(mMAR[[#This Row],[DESCRIÇÃO CONTABIL]],Contas_Gerencial[[#All],[DESCRIÇÃO DA CONTA - NÃO UTILIZAR]:[Código2]],2,FALSE)</f>
        <v>20.03.006</v>
      </c>
      <c r="E284" s="731" t="s">
        <v>6</v>
      </c>
      <c r="F284" s="711" t="s">
        <v>581</v>
      </c>
      <c r="G284" s="718" t="s">
        <v>1137</v>
      </c>
      <c r="H284" s="711" t="s">
        <v>1788</v>
      </c>
      <c r="I284" s="716" t="s">
        <v>2065</v>
      </c>
      <c r="J284" s="711" t="s">
        <v>1105</v>
      </c>
      <c r="K284" s="711" t="s">
        <v>6</v>
      </c>
      <c r="L284" s="729" t="s">
        <v>2591</v>
      </c>
      <c r="M284" s="1271"/>
      <c r="N284" s="715">
        <v>46101</v>
      </c>
      <c r="O284" s="715"/>
      <c r="P284" s="712" t="s">
        <v>1</v>
      </c>
      <c r="Q284" s="734">
        <v>539.17999999999995</v>
      </c>
      <c r="R284" s="730">
        <v>0</v>
      </c>
      <c r="S284" s="730">
        <v>0</v>
      </c>
      <c r="T284" s="65">
        <f>SUM(mMAR[[#This Row],[PRINCIPAL]:[JUROS]])</f>
        <v>539.17999999999995</v>
      </c>
      <c r="V284" s="1310"/>
    </row>
    <row r="285" spans="2:22" ht="21" customHeight="1">
      <c r="B285" s="83" t="str">
        <f t="shared" si="4"/>
        <v>3/26</v>
      </c>
      <c r="C285" s="5" t="str">
        <f>VLOOKUP(mMAR[[#This Row],[CÓDIGO CONTABIL]],Contas_Gerencial[#All],3,FALSE)</f>
        <v>DESPESAS GERAIS</v>
      </c>
      <c r="D285" s="16" t="str">
        <f>VLOOKUP(mMAR[[#This Row],[DESCRIÇÃO CONTABIL]],Contas_Gerencial[[#All],[DESCRIÇÃO DA CONTA - NÃO UTILIZAR]:[Código2]],2,FALSE)</f>
        <v>20.03.006</v>
      </c>
      <c r="E285" s="731" t="s">
        <v>6</v>
      </c>
      <c r="F285" s="711" t="s">
        <v>581</v>
      </c>
      <c r="G285" s="713" t="s">
        <v>1768</v>
      </c>
      <c r="H285" s="711" t="s">
        <v>1788</v>
      </c>
      <c r="I285" s="716" t="s">
        <v>2065</v>
      </c>
      <c r="J285" s="711" t="s">
        <v>1105</v>
      </c>
      <c r="K285" s="711" t="s">
        <v>2028</v>
      </c>
      <c r="L285" s="729" t="s">
        <v>2591</v>
      </c>
      <c r="M285" s="1271"/>
      <c r="N285" s="715">
        <v>46101</v>
      </c>
      <c r="O285" s="715"/>
      <c r="P285" s="712" t="s">
        <v>1</v>
      </c>
      <c r="Q285" s="734">
        <v>0</v>
      </c>
      <c r="R285" s="730">
        <v>0</v>
      </c>
      <c r="S285" s="730">
        <v>0</v>
      </c>
      <c r="T285" s="65">
        <f>SUM(mMAR[[#This Row],[PRINCIPAL]:[JUROS]])</f>
        <v>0</v>
      </c>
      <c r="V285" s="1310"/>
    </row>
    <row r="286" spans="2:22" ht="21" customHeight="1">
      <c r="B286" s="83" t="str">
        <f t="shared" si="4"/>
        <v>3/26</v>
      </c>
      <c r="C286" s="5" t="str">
        <f>VLOOKUP(mMAR[[#This Row],[CÓDIGO CONTABIL]],Contas_Gerencial[#All],3,FALSE)</f>
        <v>DESPESAS GERAIS</v>
      </c>
      <c r="D286" s="16" t="str">
        <f>VLOOKUP(mMAR[[#This Row],[DESCRIÇÃO CONTABIL]],Contas_Gerencial[[#All],[DESCRIÇÃO DA CONTA - NÃO UTILIZAR]:[Código2]],2,FALSE)</f>
        <v>20.03.006</v>
      </c>
      <c r="E286" s="731" t="s">
        <v>6</v>
      </c>
      <c r="F286" s="711" t="s">
        <v>581</v>
      </c>
      <c r="G286" s="713" t="s">
        <v>1991</v>
      </c>
      <c r="H286" s="711" t="s">
        <v>1788</v>
      </c>
      <c r="I286" s="716" t="s">
        <v>2065</v>
      </c>
      <c r="J286" s="711" t="s">
        <v>1105</v>
      </c>
      <c r="K286" s="711" t="s">
        <v>2028</v>
      </c>
      <c r="L286" s="729" t="s">
        <v>2591</v>
      </c>
      <c r="M286" s="1271"/>
      <c r="N286" s="715">
        <v>46101</v>
      </c>
      <c r="O286" s="715"/>
      <c r="P286" s="712" t="s">
        <v>1</v>
      </c>
      <c r="Q286" s="734">
        <v>0</v>
      </c>
      <c r="R286" s="730">
        <v>0</v>
      </c>
      <c r="S286" s="730">
        <v>0</v>
      </c>
      <c r="T286" s="65">
        <f>SUM(mMAR[[#This Row],[PRINCIPAL]:[JUROS]])</f>
        <v>0</v>
      </c>
      <c r="V286" s="1310"/>
    </row>
    <row r="287" spans="2:22" ht="21" customHeight="1">
      <c r="B287" s="83" t="str">
        <f t="shared" si="4"/>
        <v>3/26</v>
      </c>
      <c r="C287" s="5" t="str">
        <f>VLOOKUP(mMAR[[#This Row],[CÓDIGO CONTABIL]],Contas_Gerencial[#All],3,FALSE)</f>
        <v>DESPESAS GERAIS</v>
      </c>
      <c r="D287" s="16" t="str">
        <f>VLOOKUP(mMAR[[#This Row],[DESCRIÇÃO CONTABIL]],Contas_Gerencial[[#All],[DESCRIÇÃO DA CONTA - NÃO UTILIZAR]:[Código2]],2,FALSE)</f>
        <v>20.03.006</v>
      </c>
      <c r="E287" s="731" t="s">
        <v>6</v>
      </c>
      <c r="F287" s="711" t="s">
        <v>581</v>
      </c>
      <c r="G287" s="713" t="s">
        <v>1659</v>
      </c>
      <c r="H287" s="711" t="s">
        <v>1788</v>
      </c>
      <c r="I287" s="716" t="s">
        <v>2065</v>
      </c>
      <c r="J287" s="711" t="s">
        <v>1105</v>
      </c>
      <c r="K287" s="711" t="s">
        <v>2028</v>
      </c>
      <c r="L287" s="729" t="s">
        <v>2591</v>
      </c>
      <c r="M287" s="1271"/>
      <c r="N287" s="715">
        <v>46101</v>
      </c>
      <c r="O287" s="715"/>
      <c r="P287" s="712" t="s">
        <v>1</v>
      </c>
      <c r="Q287" s="734">
        <v>0</v>
      </c>
      <c r="R287" s="730">
        <v>0</v>
      </c>
      <c r="S287" s="730">
        <v>0</v>
      </c>
      <c r="T287" s="65">
        <f>SUM(mMAR[[#This Row],[PRINCIPAL]:[JUROS]])</f>
        <v>0</v>
      </c>
      <c r="V287" s="1310"/>
    </row>
    <row r="288" spans="2:22" ht="21" customHeight="1">
      <c r="B288" s="83" t="str">
        <f t="shared" si="4"/>
        <v>3/26</v>
      </c>
      <c r="C288" s="5" t="str">
        <f>VLOOKUP(mMAR[[#This Row],[CÓDIGO CONTABIL]],Contas_Gerencial[#All],3,FALSE)</f>
        <v>TRIBUTOS</v>
      </c>
      <c r="D288" s="16" t="str">
        <f>VLOOKUP(mMAR[[#This Row],[DESCRIÇÃO CONTABIL]],Contas_Gerencial[[#All],[DESCRIÇÃO DA CONTA - NÃO UTILIZAR]:[Código2]],2,FALSE)</f>
        <v>20.08.016</v>
      </c>
      <c r="E288" s="711" t="s">
        <v>1175</v>
      </c>
      <c r="F288" s="1179" t="s">
        <v>581</v>
      </c>
      <c r="G288" s="711" t="s">
        <v>595</v>
      </c>
      <c r="H288" s="1180" t="s">
        <v>1765</v>
      </c>
      <c r="I288" s="1181" t="s">
        <v>1810</v>
      </c>
      <c r="J288" s="711" t="s">
        <v>497</v>
      </c>
      <c r="K288" s="711" t="s">
        <v>2084</v>
      </c>
      <c r="L288" s="714" t="s">
        <v>2281</v>
      </c>
      <c r="M288" s="1271">
        <v>45691</v>
      </c>
      <c r="N288" s="715">
        <v>46106</v>
      </c>
      <c r="O288" s="715"/>
      <c r="P288" s="712" t="s">
        <v>1</v>
      </c>
      <c r="Q288" s="730">
        <v>139.87</v>
      </c>
      <c r="R288" s="730">
        <v>0</v>
      </c>
      <c r="S288" s="730">
        <v>0</v>
      </c>
      <c r="T288" s="65">
        <f>SUM(mMAR[[#This Row],[PRINCIPAL]:[JUROS]])</f>
        <v>139.87</v>
      </c>
      <c r="V288" s="1310"/>
    </row>
    <row r="289" spans="2:22" ht="21" customHeight="1">
      <c r="B289" s="83" t="str">
        <f t="shared" si="4"/>
        <v>3/26</v>
      </c>
      <c r="C289" s="5" t="str">
        <f>VLOOKUP(mMAR[[#This Row],[CÓDIGO CONTABIL]],Contas_Gerencial[#All],3,FALSE)</f>
        <v>TRIBUTOS</v>
      </c>
      <c r="D289" s="16" t="str">
        <f>VLOOKUP(mMAR[[#This Row],[DESCRIÇÃO CONTABIL]],Contas_Gerencial[[#All],[DESCRIÇÃO DA CONTA - NÃO UTILIZAR]:[Código2]],2,FALSE)</f>
        <v>20.08.015</v>
      </c>
      <c r="E289" s="731" t="s">
        <v>1159</v>
      </c>
      <c r="F289" s="711" t="s">
        <v>581</v>
      </c>
      <c r="G289" s="713" t="s">
        <v>595</v>
      </c>
      <c r="H289" s="711" t="s">
        <v>2523</v>
      </c>
      <c r="I289" s="716" t="s">
        <v>2210</v>
      </c>
      <c r="J289" s="711" t="s">
        <v>2209</v>
      </c>
      <c r="K289" s="711" t="s">
        <v>2211</v>
      </c>
      <c r="L289" s="714" t="s">
        <v>2594</v>
      </c>
      <c r="M289" s="1271">
        <v>46044</v>
      </c>
      <c r="N289" s="715">
        <v>46108</v>
      </c>
      <c r="O289" s="715"/>
      <c r="P289" s="712" t="s">
        <v>1</v>
      </c>
      <c r="Q289" s="734">
        <v>1142.5899999999999</v>
      </c>
      <c r="R289" s="730">
        <v>53.33</v>
      </c>
      <c r="S289" s="730">
        <v>88.6</v>
      </c>
      <c r="T289" s="65">
        <f>SUM(mMAR[[#This Row],[PRINCIPAL]:[JUROS]])</f>
        <v>1284.5199999999998</v>
      </c>
      <c r="V289" s="1310"/>
    </row>
    <row r="290" spans="2:22" ht="21" customHeight="1">
      <c r="B290" s="83" t="str">
        <f t="shared" si="4"/>
        <v>3/26</v>
      </c>
      <c r="C290" s="5" t="str">
        <f>VLOOKUP(mMAR[[#This Row],[CÓDIGO CONTABIL]],Contas_Gerencial[#All],3,FALSE)</f>
        <v>TRIBUTOS</v>
      </c>
      <c r="D290" s="16" t="str">
        <f>VLOOKUP(mMAR[[#This Row],[DESCRIÇÃO CONTABIL]],Contas_Gerencial[[#All],[DESCRIÇÃO DA CONTA - NÃO UTILIZAR]:[Código2]],2,FALSE)</f>
        <v>20.08.015</v>
      </c>
      <c r="E290" s="731" t="s">
        <v>1159</v>
      </c>
      <c r="F290" s="711" t="s">
        <v>581</v>
      </c>
      <c r="G290" s="713" t="s">
        <v>595</v>
      </c>
      <c r="H290" s="711" t="s">
        <v>2523</v>
      </c>
      <c r="I290" s="716" t="s">
        <v>2214</v>
      </c>
      <c r="J290" s="711" t="s">
        <v>2209</v>
      </c>
      <c r="K290" s="711" t="s">
        <v>2215</v>
      </c>
      <c r="L290" s="714" t="s">
        <v>2595</v>
      </c>
      <c r="M290" s="1271">
        <v>46044</v>
      </c>
      <c r="N290" s="715">
        <v>46108</v>
      </c>
      <c r="O290" s="715"/>
      <c r="P290" s="712" t="s">
        <v>1</v>
      </c>
      <c r="Q290" s="734">
        <v>171.68</v>
      </c>
      <c r="R290" s="730">
        <v>34.31</v>
      </c>
      <c r="S290" s="730">
        <v>113.45</v>
      </c>
      <c r="T290" s="65">
        <f>SUM(mMAR[[#This Row],[PRINCIPAL]:[JUROS]])</f>
        <v>319.44</v>
      </c>
      <c r="V290" s="1310"/>
    </row>
    <row r="291" spans="2:22" ht="21" customHeight="1">
      <c r="B291" s="83" t="str">
        <f t="shared" si="4"/>
        <v>3/26</v>
      </c>
      <c r="C291" s="5" t="str">
        <f>VLOOKUP(mMAR[[#This Row],[CÓDIGO CONTABIL]],Contas_Gerencial[#All],3,FALSE)</f>
        <v>TRIBUTOS</v>
      </c>
      <c r="D291" s="16" t="str">
        <f>VLOOKUP(mMAR[[#This Row],[DESCRIÇÃO CONTABIL]],Contas_Gerencial[[#All],[DESCRIÇÃO DA CONTA - NÃO UTILIZAR]:[Código2]],2,FALSE)</f>
        <v>20.08.015</v>
      </c>
      <c r="E291" s="731" t="s">
        <v>1159</v>
      </c>
      <c r="F291" s="711" t="s">
        <v>581</v>
      </c>
      <c r="G291" s="713" t="s">
        <v>595</v>
      </c>
      <c r="H291" s="711" t="s">
        <v>2522</v>
      </c>
      <c r="I291" s="716" t="s">
        <v>2217</v>
      </c>
      <c r="J291" s="711" t="s">
        <v>2209</v>
      </c>
      <c r="K291" s="711" t="s">
        <v>2233</v>
      </c>
      <c r="L291" s="714" t="s">
        <v>2596</v>
      </c>
      <c r="M291" s="1271">
        <v>46044</v>
      </c>
      <c r="N291" s="715">
        <v>46108</v>
      </c>
      <c r="O291" s="715"/>
      <c r="P291" s="712" t="s">
        <v>1</v>
      </c>
      <c r="Q291" s="734">
        <v>339.46</v>
      </c>
      <c r="R291" s="730">
        <v>67.89</v>
      </c>
      <c r="S291" s="730">
        <v>103.26</v>
      </c>
      <c r="T291" s="65">
        <f>SUM(mMAR[[#This Row],[PRINCIPAL]:[JUROS]])</f>
        <v>510.60999999999996</v>
      </c>
      <c r="V291" s="1310"/>
    </row>
    <row r="292" spans="2:22" ht="21" customHeight="1">
      <c r="B292" s="83" t="str">
        <f t="shared" si="4"/>
        <v>3/26</v>
      </c>
      <c r="C292" s="5" t="str">
        <f>VLOOKUP(mMAR[[#This Row],[CÓDIGO CONTABIL]],Contas_Gerencial[#All],3,FALSE)</f>
        <v>TRIBUTOS</v>
      </c>
      <c r="D292" s="16" t="str">
        <f>VLOOKUP(mMAR[[#This Row],[DESCRIÇÃO CONTABIL]],Contas_Gerencial[[#All],[DESCRIÇÃO DA CONTA - NÃO UTILIZAR]:[Código2]],2,FALSE)</f>
        <v>20.08.015</v>
      </c>
      <c r="E292" s="731" t="s">
        <v>1159</v>
      </c>
      <c r="F292" s="711" t="s">
        <v>581</v>
      </c>
      <c r="G292" s="713" t="s">
        <v>595</v>
      </c>
      <c r="H292" s="711" t="s">
        <v>2517</v>
      </c>
      <c r="I292" s="711" t="s">
        <v>2206</v>
      </c>
      <c r="J292" s="711" t="s">
        <v>757</v>
      </c>
      <c r="K292" s="1182" t="s">
        <v>2519</v>
      </c>
      <c r="L292" s="714" t="s">
        <v>2597</v>
      </c>
      <c r="M292" s="1271">
        <v>46045</v>
      </c>
      <c r="N292" s="715">
        <v>46108</v>
      </c>
      <c r="O292" s="715"/>
      <c r="P292" s="712" t="s">
        <v>1</v>
      </c>
      <c r="Q292" s="734">
        <v>2272.39</v>
      </c>
      <c r="R292" s="730">
        <v>454.46</v>
      </c>
      <c r="S292" s="730">
        <v>654.89</v>
      </c>
      <c r="T292" s="65">
        <f>SUM(mMAR[[#This Row],[PRINCIPAL]:[JUROS]])</f>
        <v>3381.74</v>
      </c>
      <c r="V292" s="1310"/>
    </row>
    <row r="293" spans="2:22" ht="21" customHeight="1">
      <c r="B293" s="83" t="str">
        <f t="shared" si="4"/>
        <v>3/26</v>
      </c>
      <c r="C293" s="5" t="str">
        <f>VLOOKUP(mMAR[[#This Row],[CÓDIGO CONTABIL]],Contas_Gerencial[#All],3,FALSE)</f>
        <v>TRIBUTOS</v>
      </c>
      <c r="D293" s="16" t="str">
        <f>VLOOKUP(mMAR[[#This Row],[DESCRIÇÃO CONTABIL]],Contas_Gerencial[[#All],[DESCRIÇÃO DA CONTA - NÃO UTILIZAR]:[Código2]],2,FALSE)</f>
        <v>20.08.015</v>
      </c>
      <c r="E293" s="731" t="s">
        <v>1159</v>
      </c>
      <c r="F293" s="711" t="s">
        <v>582</v>
      </c>
      <c r="G293" s="713" t="s">
        <v>595</v>
      </c>
      <c r="H293" s="711" t="s">
        <v>2517</v>
      </c>
      <c r="I293" s="716" t="s">
        <v>2228</v>
      </c>
      <c r="J293" s="711" t="s">
        <v>757</v>
      </c>
      <c r="K293" s="1182" t="s">
        <v>2525</v>
      </c>
      <c r="L293" s="714" t="s">
        <v>2597</v>
      </c>
      <c r="M293" s="1271">
        <v>46052</v>
      </c>
      <c r="N293" s="715">
        <v>46108</v>
      </c>
      <c r="O293" s="715"/>
      <c r="P293" s="712" t="s">
        <v>1</v>
      </c>
      <c r="Q293" s="734">
        <v>1010.56</v>
      </c>
      <c r="R293" s="730">
        <v>202.11</v>
      </c>
      <c r="S293" s="730">
        <v>271.83999999999997</v>
      </c>
      <c r="T293" s="65">
        <f>SUM(mMAR[[#This Row],[PRINCIPAL]:[JUROS]])</f>
        <v>1484.51</v>
      </c>
      <c r="V293" s="1310"/>
    </row>
    <row r="294" spans="2:22" ht="21" customHeight="1">
      <c r="B294" s="83" t="str">
        <f t="shared" si="4"/>
        <v>3/26</v>
      </c>
      <c r="C294" s="5" t="str">
        <f>VLOOKUP(mMAR[[#This Row],[CÓDIGO CONTABIL]],Contas_Gerencial[#All],3,FALSE)</f>
        <v>TRIBUTOS</v>
      </c>
      <c r="D294" s="16" t="str">
        <f>VLOOKUP(mMAR[[#This Row],[DESCRIÇÃO CONTABIL]],Contas_Gerencial[[#All],[DESCRIÇÃO DA CONTA - NÃO UTILIZAR]:[Código2]],2,FALSE)</f>
        <v>20.08.015</v>
      </c>
      <c r="E294" s="731" t="s">
        <v>1159</v>
      </c>
      <c r="F294" s="711" t="s">
        <v>582</v>
      </c>
      <c r="G294" s="713" t="s">
        <v>595</v>
      </c>
      <c r="H294" s="711" t="s">
        <v>2522</v>
      </c>
      <c r="I294" s="716" t="s">
        <v>2524</v>
      </c>
      <c r="J294" s="711" t="s">
        <v>2209</v>
      </c>
      <c r="K294" s="711" t="s">
        <v>2218</v>
      </c>
      <c r="L294" s="714" t="s">
        <v>2595</v>
      </c>
      <c r="M294" s="1271">
        <v>46052</v>
      </c>
      <c r="N294" s="715">
        <v>46108</v>
      </c>
      <c r="O294" s="715"/>
      <c r="P294" s="712" t="s">
        <v>1</v>
      </c>
      <c r="Q294" s="734">
        <v>64.94</v>
      </c>
      <c r="R294" s="730">
        <v>12.98</v>
      </c>
      <c r="S294" s="730">
        <v>25.62</v>
      </c>
      <c r="T294" s="65">
        <f>SUM(mMAR[[#This Row],[PRINCIPAL]:[JUROS]])</f>
        <v>103.54</v>
      </c>
      <c r="V294" s="1310"/>
    </row>
    <row r="295" spans="2:22" ht="21" customHeight="1">
      <c r="B295" s="378" t="s">
        <v>197</v>
      </c>
      <c r="C295" s="79">
        <f>SUBTOTAL(103,mMAR[CONTA])</f>
        <v>288</v>
      </c>
      <c r="D295" s="76"/>
      <c r="E295" s="79">
        <f>SUBTOTAL(103,mMAR[DESCRIÇÃO CONTABIL])</f>
        <v>288</v>
      </c>
      <c r="F295" s="79">
        <f>SUBTOTAL(103,mMAR[EMPRESA])</f>
        <v>288</v>
      </c>
      <c r="G295" s="79">
        <f>SUBTOTAL(103,mMAR[CLIENTE])</f>
        <v>288</v>
      </c>
      <c r="H295" s="79"/>
      <c r="I295" s="79"/>
      <c r="J295" s="79"/>
      <c r="K295" s="79"/>
      <c r="L295" s="79"/>
      <c r="M295" s="80"/>
      <c r="N295" s="80"/>
      <c r="O295" s="80"/>
      <c r="P295" s="378"/>
      <c r="Q295" s="75">
        <f>SUBTOTAL(109,mMAR[PRINCIPAL])</f>
        <v>505678.41115660302</v>
      </c>
      <c r="R295" s="75">
        <f>SUBTOTAL(109,mMAR[MULTA])</f>
        <v>6231.83</v>
      </c>
      <c r="S295" s="75">
        <f>SUBTOTAL(109,mMAR[JUROS])</f>
        <v>1257.6599999999999</v>
      </c>
      <c r="T295" s="81">
        <f>SUBTOTAL(109,mMAR[TOTAL])</f>
        <v>513167.90115660295</v>
      </c>
    </row>
    <row r="296" spans="2:22" ht="21" customHeight="1"/>
    <row r="297" spans="2:22" ht="21" customHeight="1"/>
    <row r="298" spans="2:22" ht="21" customHeight="1"/>
    <row r="300" spans="2:22">
      <c r="F300" s="398"/>
    </row>
    <row r="301" spans="2:22">
      <c r="F301" s="398"/>
    </row>
  </sheetData>
  <conditionalFormatting sqref="P7:P29">
    <cfRule type="containsText" dxfId="94" priority="39" operator="containsText" text="A PAGAR">
      <formula>NOT(ISERROR(SEARCH("A PAGAR",P7)))</formula>
    </cfRule>
    <cfRule type="containsText" dxfId="93" priority="40" operator="containsText" text="A RECEBER">
      <formula>NOT(ISERROR(SEARCH("A RECEBER",P7)))</formula>
    </cfRule>
  </conditionalFormatting>
  <conditionalFormatting sqref="P32:P37">
    <cfRule type="containsText" dxfId="92" priority="27" operator="containsText" text="A PAGAR">
      <formula>NOT(ISERROR(SEARCH("A PAGAR",P32)))</formula>
    </cfRule>
    <cfRule type="containsText" dxfId="91" priority="34" operator="containsText" text="A RECEBER">
      <formula>NOT(ISERROR(SEARCH("A RECEBER",P32)))</formula>
    </cfRule>
  </conditionalFormatting>
  <conditionalFormatting sqref="P33:P43">
    <cfRule type="containsText" dxfId="90" priority="1" operator="containsText" text="A PAGAR">
      <formula>NOT(ISERROR(SEARCH("A PAGAR",P33)))</formula>
    </cfRule>
    <cfRule type="containsText" dxfId="89" priority="2" operator="containsText" text="A RECEBER">
      <formula>NOT(ISERROR(SEARCH("A RECEBER",P33)))</formula>
    </cfRule>
  </conditionalFormatting>
  <conditionalFormatting sqref="P41:P43">
    <cfRule type="containsText" dxfId="88" priority="9" operator="containsText" text="A PAGAR">
      <formula>NOT(ISERROR(SEARCH("A PAGAR",P41)))</formula>
    </cfRule>
    <cfRule type="containsText" dxfId="87" priority="10" operator="containsText" text="A RECEBER">
      <formula>NOT(ISERROR(SEARCH("A RECEBER",P41)))</formula>
    </cfRule>
  </conditionalFormatting>
  <conditionalFormatting sqref="P41:P244">
    <cfRule type="containsText" dxfId="86" priority="19" operator="containsText" text="A PAGAR">
      <formula>NOT(ISERROR(SEARCH("A PAGAR",P41)))</formula>
    </cfRule>
  </conditionalFormatting>
  <conditionalFormatting sqref="P44:P236">
    <cfRule type="containsText" dxfId="85" priority="33" operator="containsText" text="A RECEBER">
      <formula>NOT(ISERROR(SEARCH("A RECEBER",P44)))</formula>
    </cfRule>
  </conditionalFormatting>
  <conditionalFormatting sqref="P234:P236">
    <cfRule type="containsText" dxfId="84" priority="32" operator="containsText" text="A PAGAR">
      <formula>NOT(ISERROR(SEARCH("A PAGAR",P234)))</formula>
    </cfRule>
  </conditionalFormatting>
  <conditionalFormatting sqref="P234:P244">
    <cfRule type="containsText" dxfId="83" priority="20" operator="containsText" text="A RECEBER">
      <formula>NOT(ISERROR(SEARCH("A RECEBER",P234)))</formula>
    </cfRule>
  </conditionalFormatting>
  <conditionalFormatting sqref="P237">
    <cfRule type="containsText" dxfId="82" priority="17" operator="containsText" text="A PAGAR">
      <formula>NOT(ISERROR(SEARCH("A PAGAR",P237)))</formula>
    </cfRule>
    <cfRule type="containsText" dxfId="81" priority="18" operator="containsText" text="A RECEBER">
      <formula>NOT(ISERROR(SEARCH("A RECEBER",P237)))</formula>
    </cfRule>
  </conditionalFormatting>
  <conditionalFormatting sqref="P238:P244 P246:P256">
    <cfRule type="containsText" dxfId="80" priority="23" operator="containsText" text="A PAGAR">
      <formula>NOT(ISERROR(SEARCH("A PAGAR",P238)))</formula>
    </cfRule>
    <cfRule type="containsText" dxfId="79" priority="24" operator="containsText" text="A RECEBER">
      <formula>NOT(ISERROR(SEARCH("A RECEBER",P238)))</formula>
    </cfRule>
  </conditionalFormatting>
  <conditionalFormatting sqref="P245">
    <cfRule type="containsText" dxfId="78" priority="13" operator="containsText" text="A PAGAR">
      <formula>NOT(ISERROR(SEARCH("A PAGAR",P245)))</formula>
    </cfRule>
    <cfRule type="containsText" dxfId="77" priority="14" operator="containsText" text="A RECEBER">
      <formula>NOT(ISERROR(SEARCH("A RECEBER",P245)))</formula>
    </cfRule>
  </conditionalFormatting>
  <conditionalFormatting sqref="P245:P251">
    <cfRule type="containsText" dxfId="76" priority="15" operator="containsText" text="A PAGAR">
      <formula>NOT(ISERROR(SEARCH("A PAGAR",P245)))</formula>
    </cfRule>
    <cfRule type="containsText" dxfId="75" priority="16" operator="containsText" text="A RECEBER">
      <formula>NOT(ISERROR(SEARCH("A RECEBER",P245)))</formula>
    </cfRule>
  </conditionalFormatting>
  <conditionalFormatting sqref="P257:P294">
    <cfRule type="containsText" dxfId="74" priority="3" operator="containsText" text="A PAGAR">
      <formula>NOT(ISERROR(SEARCH("A PAGAR",P257)))</formula>
    </cfRule>
    <cfRule type="containsText" dxfId="73" priority="4" operator="containsText" text="A RECEBER">
      <formula>NOT(ISERROR(SEARCH("A RECEBER",P257)))</formula>
    </cfRule>
  </conditionalFormatting>
  <conditionalFormatting sqref="P267:P272">
    <cfRule type="containsText" dxfId="72" priority="28" operator="containsText" text="A PAGAR">
      <formula>NOT(ISERROR(SEARCH("A PAGAR",P267)))</formula>
    </cfRule>
    <cfRule type="containsText" dxfId="71" priority="29" operator="containsText" text="A RECEBER">
      <formula>NOT(ISERROR(SEARCH("A RECEBER",P267)))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8" fitToHeight="6" orientation="landscape" horizontalDpi="1200" verticalDpi="1200" r:id="rId1"/>
  <headerFooter>
    <oddHeader>&amp;L             &amp;G</oddHeader>
    <oddFooter>&amp;L&amp;7&amp;Z&amp;F</oddFooter>
  </headerFooter>
  <drawing r:id="rId2"/>
  <legacyDrawing r:id="rId3"/>
  <legacyDrawingHF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0FE4EF1E-F70B-4D86-98B3-591C71986F1B}">
          <x14:formula1>
            <xm:f>'TA Status'!$B$7:$B$11</xm:f>
          </x14:formula1>
          <xm:sqref>P7 P9:P29 P138:P142 P32:P136 P144:P294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T61"/>
  <sheetViews>
    <sheetView showGridLines="0" topLeftCell="B1" zoomScale="82" zoomScaleNormal="82" zoomScaleSheetLayoutView="79" workbookViewId="0">
      <pane xSplit="6" topLeftCell="P1" activePane="topRight" state="frozen"/>
      <selection activeCell="B6" sqref="B6"/>
      <selection pane="topRight" activeCell="E10" sqref="E10"/>
    </sheetView>
  </sheetViews>
  <sheetFormatPr defaultColWidth="9.109375" defaultRowHeight="14.4"/>
  <cols>
    <col min="1" max="1" width="2.109375" style="102" customWidth="1"/>
    <col min="2" max="2" width="19.5546875" style="105" customWidth="1"/>
    <col min="3" max="3" width="27.5546875" style="105" customWidth="1"/>
    <col min="4" max="4" width="28.44140625" style="105" hidden="1" customWidth="1"/>
    <col min="5" max="5" width="47.44140625" style="105" customWidth="1"/>
    <col min="6" max="6" width="20.5546875" style="105" customWidth="1"/>
    <col min="7" max="7" width="36" style="105" customWidth="1"/>
    <col min="8" max="8" width="26.44140625" style="105" bestFit="1" customWidth="1"/>
    <col min="9" max="9" width="23" style="105" bestFit="1" customWidth="1"/>
    <col min="10" max="10" width="55.5546875" style="102" customWidth="1"/>
    <col min="11" max="11" width="76.5546875" style="102" customWidth="1"/>
    <col min="12" max="12" width="11.6640625" style="105" bestFit="1" customWidth="1"/>
    <col min="13" max="14" width="15.88671875" style="558" customWidth="1"/>
    <col min="15" max="15" width="15.88671875" style="559" customWidth="1"/>
    <col min="16" max="16" width="15.88671875" style="139" customWidth="1"/>
    <col min="17" max="17" width="18.33203125" style="102" customWidth="1"/>
    <col min="18" max="18" width="15.88671875" style="139" customWidth="1"/>
    <col min="19" max="19" width="15.88671875" style="560" customWidth="1"/>
    <col min="20" max="20" width="24.5546875" style="579" bestFit="1" customWidth="1"/>
    <col min="21" max="21" width="9.109375" style="102"/>
    <col min="22" max="22" width="9.33203125" style="102" bestFit="1" customWidth="1"/>
    <col min="23" max="23" width="10.33203125" style="102" bestFit="1" customWidth="1"/>
    <col min="24" max="24" width="11.44140625" style="102" bestFit="1" customWidth="1"/>
    <col min="25" max="16384" width="9.109375" style="102"/>
  </cols>
  <sheetData>
    <row r="2" spans="2:20" ht="21">
      <c r="C2" s="444" t="s">
        <v>17</v>
      </c>
      <c r="D2" s="445">
        <f>'TA Gerencial'!F2</f>
        <v>2026</v>
      </c>
      <c r="E2" s="553" t="s">
        <v>8</v>
      </c>
      <c r="G2" s="553"/>
      <c r="H2" s="553"/>
      <c r="I2" s="553"/>
      <c r="J2" s="553"/>
      <c r="K2" s="553"/>
      <c r="L2" s="553"/>
      <c r="M2" s="554"/>
      <c r="N2" s="554"/>
      <c r="O2" s="446"/>
      <c r="P2" s="106"/>
      <c r="R2" s="106"/>
      <c r="S2" s="447"/>
    </row>
    <row r="3" spans="2:20" ht="32.25" customHeight="1">
      <c r="C3" s="444" t="s">
        <v>18</v>
      </c>
      <c r="D3" s="106" t="s">
        <v>70</v>
      </c>
      <c r="E3" s="553" t="s">
        <v>16</v>
      </c>
      <c r="G3" s="553"/>
      <c r="H3" s="553"/>
      <c r="I3" s="553"/>
      <c r="J3" s="553"/>
      <c r="K3" s="553"/>
      <c r="L3" s="553"/>
      <c r="M3" s="554"/>
      <c r="N3" s="554"/>
      <c r="O3" s="446"/>
      <c r="P3" s="106"/>
      <c r="R3" s="106"/>
      <c r="S3" s="447"/>
    </row>
    <row r="4" spans="2:20" ht="21">
      <c r="B4" s="556"/>
      <c r="C4" s="444" t="s">
        <v>19</v>
      </c>
      <c r="D4" s="448"/>
      <c r="E4" s="553" t="s">
        <v>42</v>
      </c>
      <c r="G4" s="553"/>
      <c r="H4" s="553"/>
      <c r="I4" s="553"/>
      <c r="J4" s="553" t="s">
        <v>1881</v>
      </c>
      <c r="K4" s="553"/>
      <c r="L4" s="553"/>
      <c r="M4" s="554"/>
      <c r="N4" s="554"/>
      <c r="O4" s="446"/>
      <c r="P4" s="106"/>
      <c r="R4" s="106"/>
      <c r="S4" s="447"/>
    </row>
    <row r="5" spans="2:20">
      <c r="M5" s="557"/>
    </row>
    <row r="6" spans="2:20" s="107" customFormat="1" ht="41.25" customHeight="1">
      <c r="B6" s="561" t="s">
        <v>192</v>
      </c>
      <c r="C6" s="562" t="s">
        <v>11</v>
      </c>
      <c r="D6" s="562" t="s">
        <v>193</v>
      </c>
      <c r="E6" s="580" t="s">
        <v>23</v>
      </c>
      <c r="F6" s="580" t="s">
        <v>40</v>
      </c>
      <c r="G6" s="580" t="s">
        <v>87</v>
      </c>
      <c r="H6" s="580" t="s">
        <v>12</v>
      </c>
      <c r="I6" s="581" t="s">
        <v>4</v>
      </c>
      <c r="J6" s="580" t="s">
        <v>245</v>
      </c>
      <c r="K6" s="580" t="s">
        <v>0</v>
      </c>
      <c r="L6" s="580" t="s">
        <v>7</v>
      </c>
      <c r="M6" s="582" t="s">
        <v>13</v>
      </c>
      <c r="N6" s="582" t="s">
        <v>14</v>
      </c>
      <c r="O6" s="582" t="s">
        <v>2</v>
      </c>
      <c r="P6" s="580" t="s">
        <v>212</v>
      </c>
      <c r="Q6" s="580" t="s">
        <v>285</v>
      </c>
      <c r="R6" s="580" t="s">
        <v>283</v>
      </c>
      <c r="S6" s="583" t="s">
        <v>55</v>
      </c>
      <c r="T6" s="584" t="s">
        <v>284</v>
      </c>
    </row>
    <row r="7" spans="2:20" s="121" customFormat="1" ht="21" customHeight="1">
      <c r="B7" s="585" t="str">
        <f>CONCATENATE('TA Gerencial'!K2,'TA Gerencial'!H4,'TA Gerencial'!H3)</f>
        <v>4/26</v>
      </c>
      <c r="C7" s="121" t="e">
        <f>VLOOKUP(mABR[[#This Row],[CÓDIGO CONTABIL]],Contas_Gerencial[#All],3,FALSE)</f>
        <v>#N/A</v>
      </c>
      <c r="D7" s="445" t="e">
        <f>VLOOKUP(mABR[[#This Row],[DESCRIÇÃO CONTABIL]],Contas_Gerencial[[#All],[DESCRIÇÃO DA CONTA - NÃO UTILIZAR]:[Código2]],2,FALSE)</f>
        <v>#N/A</v>
      </c>
      <c r="F7" s="453"/>
      <c r="G7" s="453"/>
      <c r="H7" s="453"/>
      <c r="I7" s="455"/>
      <c r="J7" s="453"/>
      <c r="K7" s="453"/>
      <c r="L7" s="456"/>
      <c r="M7" s="457"/>
      <c r="N7" s="457"/>
      <c r="O7" s="457"/>
      <c r="P7" s="453"/>
      <c r="Q7" s="467"/>
      <c r="R7" s="467"/>
      <c r="S7" s="467"/>
      <c r="T7" s="460">
        <f>SUM(mABR[[#This Row],[PRINCIPAL]:[JUROS]])</f>
        <v>0</v>
      </c>
    </row>
    <row r="8" spans="2:20" ht="21" customHeight="1">
      <c r="B8" s="451" t="str">
        <f>B7</f>
        <v>4/26</v>
      </c>
      <c r="C8" s="121" t="e">
        <f>VLOOKUP(mABR[[#This Row],[CÓDIGO CONTABIL]],Contas_Gerencial[#All],3,FALSE)</f>
        <v>#N/A</v>
      </c>
      <c r="D8" s="445" t="e">
        <f>VLOOKUP(mABR[[#This Row],[DESCRIÇÃO CONTABIL]],Contas_Gerencial[[#All],[DESCRIÇÃO DA CONTA - NÃO UTILIZAR]:[Código2]],2,FALSE)</f>
        <v>#N/A</v>
      </c>
      <c r="E8" s="121"/>
      <c r="F8" s="453"/>
      <c r="G8" s="453"/>
      <c r="H8" s="453"/>
      <c r="I8" s="455"/>
      <c r="J8" s="453"/>
      <c r="K8" s="453"/>
      <c r="L8" s="456"/>
      <c r="M8" s="457"/>
      <c r="N8" s="457"/>
      <c r="O8" s="457"/>
      <c r="P8" s="453"/>
      <c r="Q8" s="467"/>
      <c r="R8" s="467"/>
      <c r="S8" s="467"/>
      <c r="T8" s="460">
        <f>SUM(mABR[[#This Row],[PRINCIPAL]:[JUROS]])</f>
        <v>0</v>
      </c>
    </row>
    <row r="9" spans="2:20" ht="21" customHeight="1">
      <c r="B9" s="451" t="str">
        <f t="shared" ref="B9:B20" si="0">B8</f>
        <v>4/26</v>
      </c>
      <c r="C9" s="121" t="e">
        <f>VLOOKUP(mABR[[#This Row],[CÓDIGO CONTABIL]],Contas_Gerencial[#All],3,FALSE)</f>
        <v>#N/A</v>
      </c>
      <c r="D9" s="445" t="e">
        <f>VLOOKUP(mABR[[#This Row],[DESCRIÇÃO CONTABIL]],Contas_Gerencial[[#All],[DESCRIÇÃO DA CONTA - NÃO UTILIZAR]:[Código2]],2,FALSE)</f>
        <v>#N/A</v>
      </c>
      <c r="E9" s="121"/>
      <c r="F9" s="453"/>
      <c r="G9" s="453"/>
      <c r="H9" s="453"/>
      <c r="I9" s="455"/>
      <c r="J9" s="453"/>
      <c r="K9" s="453"/>
      <c r="L9" s="456"/>
      <c r="M9" s="457"/>
      <c r="N9" s="457"/>
      <c r="O9" s="457"/>
      <c r="P9" s="453"/>
      <c r="Q9" s="467"/>
      <c r="R9" s="467"/>
      <c r="S9" s="467"/>
      <c r="T9" s="460">
        <f>SUM(mABR[[#This Row],[PRINCIPAL]:[JUROS]])</f>
        <v>0</v>
      </c>
    </row>
    <row r="10" spans="2:20" ht="21" customHeight="1">
      <c r="B10" s="451" t="str">
        <f t="shared" si="0"/>
        <v>4/26</v>
      </c>
      <c r="C10" s="121" t="e">
        <f>VLOOKUP(mABR[[#This Row],[CÓDIGO CONTABIL]],Contas_Gerencial[#All],3,FALSE)</f>
        <v>#N/A</v>
      </c>
      <c r="D10" s="445" t="e">
        <f>VLOOKUP(mABR[[#This Row],[DESCRIÇÃO CONTABIL]],Contas_Gerencial[[#All],[DESCRIÇÃO DA CONTA - NÃO UTILIZAR]:[Código2]],2,FALSE)</f>
        <v>#N/A</v>
      </c>
      <c r="E10" s="121"/>
      <c r="F10" s="453"/>
      <c r="G10" s="453"/>
      <c r="H10" s="453"/>
      <c r="I10" s="455"/>
      <c r="J10" s="453"/>
      <c r="K10" s="453"/>
      <c r="L10" s="456"/>
      <c r="M10" s="457"/>
      <c r="N10" s="457"/>
      <c r="O10" s="457"/>
      <c r="P10" s="453"/>
      <c r="Q10" s="467"/>
      <c r="R10" s="467"/>
      <c r="S10" s="467"/>
      <c r="T10" s="460">
        <f>SUM(mABR[[#This Row],[PRINCIPAL]:[JUROS]])</f>
        <v>0</v>
      </c>
    </row>
    <row r="11" spans="2:20" ht="21" customHeight="1">
      <c r="B11" s="451" t="str">
        <f t="shared" si="0"/>
        <v>4/26</v>
      </c>
      <c r="C11" s="121" t="e">
        <f>VLOOKUP(mABR[[#This Row],[CÓDIGO CONTABIL]],Contas_Gerencial[#All],3,FALSE)</f>
        <v>#N/A</v>
      </c>
      <c r="D11" s="445" t="e">
        <f>VLOOKUP(mABR[[#This Row],[DESCRIÇÃO CONTABIL]],Contas_Gerencial[[#All],[DESCRIÇÃO DA CONTA - NÃO UTILIZAR]:[Código2]],2,FALSE)</f>
        <v>#N/A</v>
      </c>
      <c r="E11" s="121"/>
      <c r="F11" s="453"/>
      <c r="G11" s="453"/>
      <c r="H11" s="453"/>
      <c r="I11" s="455"/>
      <c r="J11" s="453"/>
      <c r="K11" s="453"/>
      <c r="L11" s="456"/>
      <c r="M11" s="457"/>
      <c r="N11" s="457"/>
      <c r="O11" s="457"/>
      <c r="P11" s="453"/>
      <c r="Q11" s="467"/>
      <c r="R11" s="467"/>
      <c r="S11" s="467"/>
      <c r="T11" s="460">
        <f>SUM(mABR[[#This Row],[PRINCIPAL]:[JUROS]])</f>
        <v>0</v>
      </c>
    </row>
    <row r="12" spans="2:20" ht="21" customHeight="1">
      <c r="B12" s="451" t="str">
        <f t="shared" si="0"/>
        <v>4/26</v>
      </c>
      <c r="C12" s="121" t="e">
        <f>VLOOKUP(mABR[[#This Row],[CÓDIGO CONTABIL]],Contas_Gerencial[#All],3,FALSE)</f>
        <v>#N/A</v>
      </c>
      <c r="D12" s="445" t="e">
        <f>VLOOKUP(mABR[[#This Row],[DESCRIÇÃO CONTABIL]],Contas_Gerencial[[#All],[DESCRIÇÃO DA CONTA - NÃO UTILIZAR]:[Código2]],2,FALSE)</f>
        <v>#N/A</v>
      </c>
      <c r="E12" s="107"/>
      <c r="F12" s="107"/>
      <c r="G12" s="107"/>
      <c r="H12" s="107"/>
      <c r="I12" s="121"/>
      <c r="J12" s="453"/>
      <c r="K12" s="107"/>
      <c r="L12" s="451"/>
      <c r="M12" s="490"/>
      <c r="N12" s="490"/>
      <c r="O12" s="490"/>
      <c r="P12" s="453"/>
      <c r="Q12" s="471"/>
      <c r="R12" s="471"/>
      <c r="S12" s="471"/>
      <c r="T12" s="460">
        <f>SUM(mABR[[#This Row],[PRINCIPAL]:[JUROS]])</f>
        <v>0</v>
      </c>
    </row>
    <row r="13" spans="2:20" ht="21" customHeight="1">
      <c r="B13" s="451" t="str">
        <f t="shared" si="0"/>
        <v>4/26</v>
      </c>
      <c r="C13" s="121" t="e">
        <f>VLOOKUP(mABR[[#This Row],[CÓDIGO CONTABIL]],Contas_Gerencial[#All],3,FALSE)</f>
        <v>#N/A</v>
      </c>
      <c r="D13" s="445" t="e">
        <f>VLOOKUP(mABR[[#This Row],[DESCRIÇÃO CONTABIL]],Contas_Gerencial[[#All],[DESCRIÇÃO DA CONTA - NÃO UTILIZAR]:[Código2]],2,FALSE)</f>
        <v>#N/A</v>
      </c>
      <c r="E13" s="452"/>
      <c r="F13" s="453"/>
      <c r="G13" s="454"/>
      <c r="H13" s="453"/>
      <c r="I13" s="455"/>
      <c r="J13" s="453"/>
      <c r="K13" s="453"/>
      <c r="L13" s="456"/>
      <c r="M13" s="457"/>
      <c r="N13" s="457"/>
      <c r="O13" s="457"/>
      <c r="P13" s="453"/>
      <c r="Q13" s="458"/>
      <c r="R13" s="459"/>
      <c r="S13" s="459"/>
      <c r="T13" s="460">
        <f>SUM(mABR[[#This Row],[PRINCIPAL]:[JUROS]])</f>
        <v>0</v>
      </c>
    </row>
    <row r="14" spans="2:20" ht="21" customHeight="1">
      <c r="B14" s="451" t="str">
        <f t="shared" si="0"/>
        <v>4/26</v>
      </c>
      <c r="C14" s="121" t="e">
        <f>VLOOKUP(mABR[[#This Row],[CÓDIGO CONTABIL]],Contas_Gerencial[#All],3,FALSE)</f>
        <v>#N/A</v>
      </c>
      <c r="D14" s="445" t="e">
        <f>VLOOKUP(mABR[[#This Row],[DESCRIÇÃO CONTABIL]],Contas_Gerencial[[#All],[DESCRIÇÃO DA CONTA - NÃO UTILIZAR]:[Código2]],2,FALSE)</f>
        <v>#N/A</v>
      </c>
      <c r="E14" s="107"/>
      <c r="F14" s="453"/>
      <c r="G14" s="454"/>
      <c r="H14" s="453"/>
      <c r="I14" s="455"/>
      <c r="J14" s="453"/>
      <c r="K14" s="453"/>
      <c r="L14" s="456"/>
      <c r="M14" s="457"/>
      <c r="N14" s="457"/>
      <c r="O14" s="457"/>
      <c r="P14" s="453"/>
      <c r="Q14" s="458"/>
      <c r="R14" s="459"/>
      <c r="S14" s="459"/>
      <c r="T14" s="460">
        <f>SUM(mABR[[#This Row],[PRINCIPAL]:[JUROS]])</f>
        <v>0</v>
      </c>
    </row>
    <row r="15" spans="2:20" ht="21" customHeight="1">
      <c r="B15" s="451" t="str">
        <f t="shared" si="0"/>
        <v>4/26</v>
      </c>
      <c r="C15" s="121" t="e">
        <f>VLOOKUP(mABR[[#This Row],[CÓDIGO CONTABIL]],Contas_Gerencial[#All],3,FALSE)</f>
        <v>#N/A</v>
      </c>
      <c r="D15" s="445" t="e">
        <f>VLOOKUP(mABR[[#This Row],[DESCRIÇÃO CONTABIL]],Contas_Gerencial[[#All],[DESCRIÇÃO DA CONTA - NÃO UTILIZAR]:[Código2]],2,FALSE)</f>
        <v>#N/A</v>
      </c>
      <c r="E15" s="452"/>
      <c r="F15" s="453"/>
      <c r="G15" s="121"/>
      <c r="H15" s="453"/>
      <c r="I15" s="455"/>
      <c r="J15" s="453"/>
      <c r="K15" s="453"/>
      <c r="L15" s="456"/>
      <c r="M15" s="457"/>
      <c r="N15" s="457"/>
      <c r="O15" s="457"/>
      <c r="P15" s="453"/>
      <c r="Q15" s="467"/>
      <c r="R15" s="467"/>
      <c r="S15" s="467"/>
      <c r="T15" s="460">
        <f>SUM(mABR[[#This Row],[PRINCIPAL]:[JUROS]])</f>
        <v>0</v>
      </c>
    </row>
    <row r="16" spans="2:20" ht="21" customHeight="1">
      <c r="B16" s="451" t="str">
        <f t="shared" si="0"/>
        <v>4/26</v>
      </c>
      <c r="C16" s="121" t="e">
        <f>VLOOKUP(mABR[[#This Row],[CÓDIGO CONTABIL]],Contas_Gerencial[#All],3,FALSE)</f>
        <v>#N/A</v>
      </c>
      <c r="D16" s="445" t="e">
        <f>VLOOKUP(mABR[[#This Row],[DESCRIÇÃO CONTABIL]],Contas_Gerencial[[#All],[DESCRIÇÃO DA CONTA - NÃO UTILIZAR]:[Código2]],2,FALSE)</f>
        <v>#N/A</v>
      </c>
      <c r="E16" s="107"/>
      <c r="F16" s="107"/>
      <c r="G16" s="107"/>
      <c r="H16" s="107"/>
      <c r="I16" s="121"/>
      <c r="J16" s="107"/>
      <c r="K16" s="107"/>
      <c r="L16" s="453"/>
      <c r="M16" s="457"/>
      <c r="N16" s="457"/>
      <c r="O16" s="457"/>
      <c r="P16" s="452"/>
      <c r="Q16" s="467"/>
      <c r="R16" s="467"/>
      <c r="S16" s="467"/>
      <c r="T16" s="460">
        <f>SUM(mABR[[#This Row],[PRINCIPAL]:[JUROS]])</f>
        <v>0</v>
      </c>
    </row>
    <row r="17" spans="2:20" ht="21" customHeight="1">
      <c r="B17" s="451" t="str">
        <f t="shared" si="0"/>
        <v>4/26</v>
      </c>
      <c r="C17" s="121" t="e">
        <f>VLOOKUP(mABR[[#This Row],[CÓDIGO CONTABIL]],Contas_Gerencial[#All],3,FALSE)</f>
        <v>#N/A</v>
      </c>
      <c r="D17" s="445" t="e">
        <f>VLOOKUP(mABR[[#This Row],[DESCRIÇÃO CONTABIL]],Contas_Gerencial[[#All],[DESCRIÇÃO DA CONTA - NÃO UTILIZAR]:[Código2]],2,FALSE)</f>
        <v>#N/A</v>
      </c>
      <c r="E17" s="452"/>
      <c r="F17" s="453"/>
      <c r="G17" s="453"/>
      <c r="H17" s="453"/>
      <c r="I17" s="455"/>
      <c r="J17" s="453"/>
      <c r="K17" s="453"/>
      <c r="L17" s="456"/>
      <c r="M17" s="457"/>
      <c r="N17" s="457"/>
      <c r="O17" s="457"/>
      <c r="P17" s="453"/>
      <c r="Q17" s="467"/>
      <c r="R17" s="467"/>
      <c r="S17" s="467"/>
      <c r="T17" s="460">
        <f>SUM(mABR[[#This Row],[PRINCIPAL]:[JUROS]])</f>
        <v>0</v>
      </c>
    </row>
    <row r="18" spans="2:20" ht="21" customHeight="1">
      <c r="B18" s="451" t="str">
        <f t="shared" si="0"/>
        <v>4/26</v>
      </c>
      <c r="C18" s="121" t="e">
        <f>VLOOKUP(mABR[[#This Row],[CÓDIGO CONTABIL]],Contas_Gerencial[#All],3,FALSE)</f>
        <v>#N/A</v>
      </c>
      <c r="D18" s="445" t="e">
        <f>VLOOKUP(mABR[[#This Row],[DESCRIÇÃO CONTABIL]],Contas_Gerencial[[#All],[DESCRIÇÃO DA CONTA - NÃO UTILIZAR]:[Código2]],2,FALSE)</f>
        <v>#N/A</v>
      </c>
      <c r="E18" s="121"/>
      <c r="F18" s="453"/>
      <c r="G18" s="454"/>
      <c r="H18" s="453"/>
      <c r="I18" s="455"/>
      <c r="J18" s="453"/>
      <c r="K18" s="453"/>
      <c r="L18" s="453"/>
      <c r="M18" s="457"/>
      <c r="N18" s="457"/>
      <c r="O18" s="457"/>
      <c r="P18" s="453"/>
      <c r="Q18" s="458"/>
      <c r="R18" s="467"/>
      <c r="S18" s="467"/>
      <c r="T18" s="460">
        <f>SUM(mABR[[#This Row],[PRINCIPAL]:[JUROS]])</f>
        <v>0</v>
      </c>
    </row>
    <row r="19" spans="2:20" ht="21" customHeight="1">
      <c r="B19" s="451" t="str">
        <f t="shared" si="0"/>
        <v>4/26</v>
      </c>
      <c r="C19" s="121" t="e">
        <f>VLOOKUP(mABR[[#This Row],[CÓDIGO CONTABIL]],Contas_Gerencial[#All],3,FALSE)</f>
        <v>#N/A</v>
      </c>
      <c r="D19" s="445" t="e">
        <f>VLOOKUP(mABR[[#This Row],[DESCRIÇÃO CONTABIL]],Contas_Gerencial[[#All],[DESCRIÇÃO DA CONTA - NÃO UTILIZAR]:[Código2]],2,FALSE)</f>
        <v>#N/A</v>
      </c>
      <c r="E19" s="121"/>
      <c r="F19" s="453"/>
      <c r="G19" s="454"/>
      <c r="H19" s="453"/>
      <c r="I19" s="455"/>
      <c r="J19" s="453"/>
      <c r="K19" s="453"/>
      <c r="L19" s="453"/>
      <c r="M19" s="457"/>
      <c r="N19" s="457"/>
      <c r="O19" s="457"/>
      <c r="P19" s="453"/>
      <c r="Q19" s="458"/>
      <c r="R19" s="467"/>
      <c r="S19" s="467"/>
      <c r="T19" s="460">
        <f>SUM(mABR[[#This Row],[PRINCIPAL]:[JUROS]])</f>
        <v>0</v>
      </c>
    </row>
    <row r="20" spans="2:20" ht="21" customHeight="1">
      <c r="B20" s="451" t="str">
        <f t="shared" si="0"/>
        <v>4/26</v>
      </c>
      <c r="C20" s="121" t="e">
        <f>VLOOKUP(mABR[[#This Row],[CÓDIGO CONTABIL]],Contas_Gerencial[#All],3,FALSE)</f>
        <v>#N/A</v>
      </c>
      <c r="D20" s="445" t="e">
        <f>VLOOKUP(mABR[[#This Row],[DESCRIÇÃO CONTABIL]],Contas_Gerencial[[#All],[DESCRIÇÃO DA CONTA - NÃO UTILIZAR]:[Código2]],2,FALSE)</f>
        <v>#N/A</v>
      </c>
      <c r="E20" s="121"/>
      <c r="F20" s="453"/>
      <c r="G20" s="454"/>
      <c r="H20" s="453"/>
      <c r="I20" s="455"/>
      <c r="J20" s="453"/>
      <c r="K20" s="453"/>
      <c r="L20" s="453"/>
      <c r="M20" s="457"/>
      <c r="N20" s="457"/>
      <c r="O20" s="457"/>
      <c r="P20" s="453"/>
      <c r="Q20" s="458"/>
      <c r="R20" s="467"/>
      <c r="S20" s="467"/>
      <c r="T20" s="460">
        <f>SUM(mABR[[#This Row],[PRINCIPAL]:[JUROS]])</f>
        <v>0</v>
      </c>
    </row>
    <row r="21" spans="2:20" ht="21" customHeight="1">
      <c r="B21" s="121" t="s">
        <v>197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588">
        <f>SUBTOTAL(109,mABR[PRINCIPAL])</f>
        <v>0</v>
      </c>
      <c r="R21" s="588">
        <f>SUBTOTAL(109,mABR[MULTA])</f>
        <v>0</v>
      </c>
      <c r="S21" s="588">
        <f>SUBTOTAL(109,mABR[JUROS])</f>
        <v>0</v>
      </c>
      <c r="T21" s="589">
        <f>SUBTOTAL(109,mABR[TOTAL])</f>
        <v>0</v>
      </c>
    </row>
    <row r="22" spans="2:20" ht="21" customHeight="1"/>
    <row r="23" spans="2:20" ht="21" customHeight="1"/>
    <row r="24" spans="2:20" ht="21" customHeight="1"/>
    <row r="25" spans="2:20" ht="21" customHeight="1"/>
    <row r="26" spans="2:20" ht="21" customHeight="1"/>
    <row r="27" spans="2:20" ht="21" customHeight="1">
      <c r="Q27" s="442"/>
    </row>
    <row r="28" spans="2:20" ht="21" customHeight="1">
      <c r="Q28" s="442"/>
    </row>
    <row r="29" spans="2:20" ht="21" customHeight="1">
      <c r="Q29" s="587"/>
    </row>
    <row r="30" spans="2:20" ht="21" customHeight="1">
      <c r="K30" s="590"/>
    </row>
    <row r="31" spans="2:20" ht="21" customHeight="1">
      <c r="K31" s="590"/>
    </row>
    <row r="32" spans="2:20" ht="21" customHeight="1">
      <c r="K32" s="590"/>
    </row>
    <row r="33" spans="11:11" ht="21" customHeight="1">
      <c r="K33" s="587"/>
    </row>
    <row r="34" spans="11:11" ht="21" customHeight="1"/>
    <row r="35" spans="11:11" ht="21" customHeight="1"/>
    <row r="36" spans="11:11" ht="21" customHeight="1"/>
    <row r="37" spans="11:11" ht="21" customHeight="1"/>
    <row r="38" spans="11:11" ht="21" customHeight="1"/>
    <row r="39" spans="11:11" ht="21" customHeight="1"/>
    <row r="40" spans="11:11" ht="21" customHeight="1"/>
    <row r="41" spans="11:11" ht="21" customHeight="1"/>
    <row r="42" spans="11:11" ht="21" customHeight="1"/>
    <row r="43" spans="11:11" ht="21" customHeight="1"/>
    <row r="44" spans="11:11" ht="21" customHeight="1"/>
    <row r="45" spans="11:11" ht="21" customHeight="1"/>
    <row r="46" spans="11:11" ht="21" customHeight="1"/>
    <row r="47" spans="11:11" ht="21" customHeight="1"/>
    <row r="48" spans="11:11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</sheetData>
  <conditionalFormatting sqref="P7:P15">
    <cfRule type="containsText" dxfId="70" priority="255" operator="containsText" text="A PAGAR">
      <formula>NOT(ISERROR(SEARCH("A PAGAR",P7)))</formula>
    </cfRule>
    <cfRule type="containsText" dxfId="69" priority="361" operator="containsText" text="A RECEBER">
      <formula>NOT(ISERROR(SEARCH("A RECEBER",P7)))</formula>
    </cfRule>
  </conditionalFormatting>
  <conditionalFormatting sqref="P17:P20">
    <cfRule type="containsText" dxfId="68" priority="345" operator="containsText" text="A PAGAR">
      <formula>NOT(ISERROR(SEARCH("A PAGAR",P17)))</formula>
    </cfRule>
    <cfRule type="containsText" dxfId="67" priority="346" operator="containsText" text="A RECEBER">
      <formula>NOT(ISERROR(SEARCH("A RECEBER",P17)))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9" fitToHeight="6" orientation="landscape" horizontalDpi="1200" verticalDpi="1200" r:id="rId1"/>
  <headerFooter>
    <oddHeader>&amp;L             &amp;G</oddHeader>
    <oddFooter>&amp;L&amp;7&amp;Z&amp;F</oddFooter>
  </headerFooter>
  <legacyDrawing r:id="rId2"/>
  <legacyDrawingHF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R" error="Verificar DIGITAÇÃO!" xr:uid="{71D49225-571B-4B98-83C0-125E5190ACA2}">
          <x14:formula1>
            <xm:f>'TA Status'!$B$7:$B$11</xm:f>
          </x14:formula1>
          <xm:sqref>P17:P20 P11:P15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Y32"/>
  <sheetViews>
    <sheetView showGridLines="0" topLeftCell="A7" zoomScale="80" zoomScaleNormal="80" zoomScaleSheetLayoutView="70" workbookViewId="0">
      <pane xSplit="7" topLeftCell="P1" activePane="topRight" state="frozen"/>
      <selection activeCell="A5" sqref="A5"/>
      <selection pane="topRight" activeCell="F15" sqref="F15"/>
    </sheetView>
  </sheetViews>
  <sheetFormatPr defaultColWidth="9.109375" defaultRowHeight="15.6"/>
  <cols>
    <col min="1" max="1" width="2.109375" style="107" customWidth="1"/>
    <col min="2" max="2" width="19.5546875" style="445" customWidth="1"/>
    <col min="3" max="3" width="27.5546875" style="445" customWidth="1"/>
    <col min="4" max="4" width="5.44140625" style="445" hidden="1" customWidth="1"/>
    <col min="5" max="5" width="47.44140625" style="445" customWidth="1"/>
    <col min="6" max="6" width="20.5546875" style="445" customWidth="1"/>
    <col min="7" max="7" width="27.5546875" style="445" customWidth="1"/>
    <col min="8" max="8" width="26.44140625" style="445" bestFit="1" customWidth="1"/>
    <col min="9" max="9" width="23.109375" style="445" customWidth="1"/>
    <col min="10" max="10" width="55.5546875" style="107" customWidth="1"/>
    <col min="11" max="11" width="58.44140625" style="107" customWidth="1"/>
    <col min="12" max="12" width="17.5546875" style="445" customWidth="1"/>
    <col min="13" max="13" width="15.88671875" style="490" customWidth="1"/>
    <col min="14" max="14" width="15.88671875" style="493" customWidth="1"/>
    <col min="15" max="15" width="15.88671875" style="494" customWidth="1"/>
    <col min="16" max="16" width="15.88671875" style="106" customWidth="1"/>
    <col min="17" max="17" width="24.5546875" style="107" bestFit="1" customWidth="1"/>
    <col min="18" max="18" width="15.88671875" style="106" customWidth="1"/>
    <col min="19" max="19" width="15.88671875" style="447" customWidth="1"/>
    <col min="20" max="20" width="24.5546875" style="107" bestFit="1" customWidth="1"/>
    <col min="21" max="21" width="9.109375" style="107"/>
    <col min="22" max="22" width="11.44140625" style="107" bestFit="1" customWidth="1"/>
    <col min="23" max="23" width="14.33203125" style="107" bestFit="1" customWidth="1"/>
    <col min="24" max="24" width="9.109375" style="107"/>
    <col min="25" max="25" width="14.33203125" style="443" bestFit="1" customWidth="1"/>
    <col min="26" max="26" width="9.109375" style="107"/>
    <col min="27" max="27" width="13" style="107" bestFit="1" customWidth="1"/>
    <col min="28" max="16384" width="9.109375" style="107"/>
  </cols>
  <sheetData>
    <row r="2" spans="2:25">
      <c r="C2" s="444" t="s">
        <v>17</v>
      </c>
      <c r="D2" s="445">
        <f>'TA Gerencial'!F2</f>
        <v>2026</v>
      </c>
      <c r="E2" s="489" t="s">
        <v>8</v>
      </c>
      <c r="G2" s="489"/>
      <c r="H2" s="489"/>
      <c r="I2" s="489"/>
      <c r="J2" s="489"/>
      <c r="K2" s="489"/>
      <c r="L2" s="489"/>
      <c r="N2" s="491"/>
      <c r="O2" s="446"/>
    </row>
    <row r="3" spans="2:25" ht="32.25" customHeight="1">
      <c r="C3" s="444" t="s">
        <v>18</v>
      </c>
      <c r="D3" s="106" t="s">
        <v>56</v>
      </c>
      <c r="E3" s="489" t="s">
        <v>16</v>
      </c>
      <c r="G3" s="489"/>
      <c r="H3" s="489"/>
      <c r="I3" s="489"/>
      <c r="J3" s="489"/>
      <c r="K3" s="489"/>
      <c r="L3" s="489"/>
      <c r="N3" s="491"/>
      <c r="O3" s="446"/>
    </row>
    <row r="4" spans="2:25">
      <c r="B4" s="492"/>
      <c r="C4" s="444" t="s">
        <v>19</v>
      </c>
      <c r="D4" s="448"/>
      <c r="E4" s="489" t="s">
        <v>42</v>
      </c>
      <c r="G4" s="489"/>
      <c r="H4" s="489"/>
      <c r="I4" s="489"/>
      <c r="J4" s="489"/>
      <c r="K4" s="489"/>
      <c r="L4" s="489"/>
      <c r="N4" s="491"/>
      <c r="O4" s="446"/>
    </row>
    <row r="6" spans="2:25" s="445" customFormat="1" ht="41.25" customHeight="1">
      <c r="B6" s="492" t="s">
        <v>192</v>
      </c>
      <c r="C6" s="495" t="s">
        <v>11</v>
      </c>
      <c r="D6" s="495" t="s">
        <v>193</v>
      </c>
      <c r="E6" s="496" t="s">
        <v>23</v>
      </c>
      <c r="F6" s="496" t="s">
        <v>40</v>
      </c>
      <c r="G6" s="496" t="s">
        <v>87</v>
      </c>
      <c r="H6" s="492" t="s">
        <v>12</v>
      </c>
      <c r="I6" s="445" t="s">
        <v>4</v>
      </c>
      <c r="J6" s="492" t="s">
        <v>245</v>
      </c>
      <c r="K6" s="492" t="s">
        <v>0</v>
      </c>
      <c r="L6" s="492" t="s">
        <v>7</v>
      </c>
      <c r="M6" s="493" t="s">
        <v>13</v>
      </c>
      <c r="N6" s="493" t="s">
        <v>14</v>
      </c>
      <c r="O6" s="493" t="s">
        <v>2</v>
      </c>
      <c r="P6" s="497" t="s">
        <v>212</v>
      </c>
      <c r="Q6" s="492" t="s">
        <v>285</v>
      </c>
      <c r="R6" s="498" t="s">
        <v>283</v>
      </c>
      <c r="S6" s="499" t="s">
        <v>55</v>
      </c>
      <c r="T6" s="492" t="s">
        <v>284</v>
      </c>
      <c r="W6" s="449"/>
      <c r="Y6" s="450"/>
    </row>
    <row r="7" spans="2:25" ht="21" customHeight="1">
      <c r="B7" s="451" t="str">
        <f>CONCATENATE('TA Gerencial'!L2,'TA Gerencial'!H4,'TA Gerencial'!H3)</f>
        <v>5/26</v>
      </c>
      <c r="C7" s="121" t="e">
        <f>VLOOKUP(mMAI[[#This Row],[CÓDIGO CONTABIL]],Contas_Gerencial[#All],3,FALSE)</f>
        <v>#N/A</v>
      </c>
      <c r="D7" s="121" t="e">
        <f>VLOOKUP(mMAI[[#This Row],[DESCRIÇÃO CONTABIL]],Contas_Gerencial[[#All],[DESCRIÇÃO DA CONTA - NÃO UTILIZAR]:[Código2]],2,FALSE)</f>
        <v>#N/A</v>
      </c>
      <c r="E7" s="121"/>
      <c r="F7" s="453"/>
      <c r="G7" s="453"/>
      <c r="H7" s="453"/>
      <c r="I7" s="455"/>
      <c r="J7" s="453"/>
      <c r="K7" s="453"/>
      <c r="L7" s="456"/>
      <c r="M7" s="457"/>
      <c r="N7" s="457"/>
      <c r="O7" s="457"/>
      <c r="P7" s="453"/>
      <c r="Q7" s="467"/>
      <c r="R7" s="467"/>
      <c r="S7" s="467"/>
      <c r="T7" s="460">
        <f>SUM(mMAI[[#This Row],[PRINCIPAL]:[JUROS]])</f>
        <v>0</v>
      </c>
      <c r="Y7" s="115"/>
    </row>
    <row r="8" spans="2:25" ht="21" customHeight="1">
      <c r="B8" s="451" t="str">
        <f>B7</f>
        <v>5/26</v>
      </c>
      <c r="C8" s="121" t="e">
        <f>VLOOKUP(mMAI[[#This Row],[CÓDIGO CONTABIL]],Contas_Gerencial[#All],3,FALSE)</f>
        <v>#N/A</v>
      </c>
      <c r="D8" s="121" t="e">
        <f>VLOOKUP(mMAI[[#This Row],[DESCRIÇÃO CONTABIL]],Contas_Gerencial[[#All],[DESCRIÇÃO DA CONTA - NÃO UTILIZAR]:[Código2]],2,FALSE)</f>
        <v>#N/A</v>
      </c>
      <c r="E8" s="121"/>
      <c r="F8" s="453"/>
      <c r="G8" s="453"/>
      <c r="H8" s="453"/>
      <c r="I8" s="455"/>
      <c r="J8" s="453"/>
      <c r="K8" s="453"/>
      <c r="L8" s="456"/>
      <c r="M8" s="457"/>
      <c r="N8" s="457"/>
      <c r="O8" s="457"/>
      <c r="P8" s="453"/>
      <c r="Q8" s="467"/>
      <c r="R8" s="467"/>
      <c r="S8" s="467"/>
      <c r="T8" s="460">
        <f>SUM(mMAI[[#This Row],[PRINCIPAL]:[JUROS]])</f>
        <v>0</v>
      </c>
      <c r="Y8" s="115"/>
    </row>
    <row r="9" spans="2:25" ht="21" customHeight="1">
      <c r="B9" s="451" t="str">
        <f t="shared" ref="B9:B20" si="0">B8</f>
        <v>5/26</v>
      </c>
      <c r="C9" s="121" t="e">
        <f>VLOOKUP(mMAI[[#This Row],[CÓDIGO CONTABIL]],Contas_Gerencial[#All],3,FALSE)</f>
        <v>#N/A</v>
      </c>
      <c r="D9" s="121" t="e">
        <f>VLOOKUP(mMAI[[#This Row],[DESCRIÇÃO CONTABIL]],Contas_Gerencial[[#All],[DESCRIÇÃO DA CONTA - NÃO UTILIZAR]:[Código2]],2,FALSE)</f>
        <v>#N/A</v>
      </c>
      <c r="E9" s="452"/>
      <c r="F9" s="453"/>
      <c r="G9" s="454"/>
      <c r="H9" s="452"/>
      <c r="I9" s="455"/>
      <c r="J9" s="453"/>
      <c r="K9" s="453"/>
      <c r="L9" s="456"/>
      <c r="M9" s="457"/>
      <c r="N9" s="457"/>
      <c r="O9" s="457"/>
      <c r="P9" s="452"/>
      <c r="Q9" s="458"/>
      <c r="R9" s="459"/>
      <c r="S9" s="459"/>
      <c r="T9" s="460">
        <f>SUM(mMAI[[#This Row],[PRINCIPAL]:[JUROS]])</f>
        <v>0</v>
      </c>
    </row>
    <row r="10" spans="2:25" ht="21" customHeight="1">
      <c r="B10" s="451" t="str">
        <f t="shared" si="0"/>
        <v>5/26</v>
      </c>
      <c r="C10" s="121" t="e">
        <f>VLOOKUP(mMAI[[#This Row],[CÓDIGO CONTABIL]],Contas_Gerencial[#All],3,FALSE)</f>
        <v>#N/A</v>
      </c>
      <c r="D10" s="121" t="e">
        <f>VLOOKUP(mMAI[[#This Row],[DESCRIÇÃO CONTABIL]],Contas_Gerencial[[#All],[DESCRIÇÃO DA CONTA - NÃO UTILIZAR]:[Código2]],2,FALSE)</f>
        <v>#N/A</v>
      </c>
      <c r="E10" s="121"/>
      <c r="F10" s="453"/>
      <c r="G10" s="454"/>
      <c r="H10" s="453"/>
      <c r="I10" s="455"/>
      <c r="J10" s="453"/>
      <c r="K10" s="453"/>
      <c r="L10" s="453"/>
      <c r="M10" s="457"/>
      <c r="N10" s="457"/>
      <c r="O10" s="457"/>
      <c r="P10" s="453"/>
      <c r="Q10" s="458"/>
      <c r="R10" s="467"/>
      <c r="S10" s="467"/>
      <c r="T10" s="460">
        <f>SUM(mMAI[[#This Row],[PRINCIPAL]:[JUROS]])</f>
        <v>0</v>
      </c>
      <c r="Y10" s="115"/>
    </row>
    <row r="11" spans="2:25" ht="21" customHeight="1">
      <c r="B11" s="451" t="str">
        <f t="shared" si="0"/>
        <v>5/26</v>
      </c>
      <c r="C11" s="121" t="e">
        <f>VLOOKUP(mMAI[[#This Row],[CÓDIGO CONTABIL]],Contas_Gerencial[#All],3,FALSE)</f>
        <v>#N/A</v>
      </c>
      <c r="D11" s="121" t="e">
        <f>VLOOKUP(mMAI[[#This Row],[DESCRIÇÃO CONTABIL]],Contas_Gerencial[[#All],[DESCRIÇÃO DA CONTA - NÃO UTILIZAR]:[Código2]],2,FALSE)</f>
        <v>#N/A</v>
      </c>
      <c r="E11" s="121"/>
      <c r="F11" s="453"/>
      <c r="G11" s="454"/>
      <c r="H11" s="453"/>
      <c r="I11" s="455"/>
      <c r="J11" s="453"/>
      <c r="K11" s="453"/>
      <c r="L11" s="453"/>
      <c r="M11" s="457"/>
      <c r="N11" s="457"/>
      <c r="O11" s="457"/>
      <c r="P11" s="453"/>
      <c r="Q11" s="458"/>
      <c r="R11" s="467"/>
      <c r="S11" s="467"/>
      <c r="T11" s="460">
        <f>SUM(mMAI[[#This Row],[PRINCIPAL]:[JUROS]])</f>
        <v>0</v>
      </c>
      <c r="Y11" s="115"/>
    </row>
    <row r="12" spans="2:25" ht="21" customHeight="1">
      <c r="B12" s="451" t="str">
        <f t="shared" si="0"/>
        <v>5/26</v>
      </c>
      <c r="C12" s="121" t="e">
        <f>VLOOKUP(mMAI[[#This Row],[CÓDIGO CONTABIL]],Contas_Gerencial[#All],3,FALSE)</f>
        <v>#N/A</v>
      </c>
      <c r="D12" s="121" t="e">
        <f>VLOOKUP(mMAI[[#This Row],[DESCRIÇÃO CONTABIL]],Contas_Gerencial[[#All],[DESCRIÇÃO DA CONTA - NÃO UTILIZAR]:[Código2]],2,FALSE)</f>
        <v>#N/A</v>
      </c>
      <c r="E12" s="121"/>
      <c r="F12" s="453"/>
      <c r="G12" s="454"/>
      <c r="H12" s="453"/>
      <c r="I12" s="455"/>
      <c r="J12" s="453"/>
      <c r="K12" s="453"/>
      <c r="L12" s="453"/>
      <c r="M12" s="457"/>
      <c r="N12" s="457"/>
      <c r="O12" s="457"/>
      <c r="P12" s="453"/>
      <c r="Q12" s="458"/>
      <c r="R12" s="467"/>
      <c r="S12" s="467"/>
      <c r="T12" s="460">
        <f>SUM(mMAI[[#This Row],[PRINCIPAL]:[JUROS]])</f>
        <v>0</v>
      </c>
      <c r="Y12" s="115"/>
    </row>
    <row r="13" spans="2:25" ht="21" customHeight="1">
      <c r="B13" s="451" t="str">
        <f t="shared" si="0"/>
        <v>5/26</v>
      </c>
      <c r="C13" s="121" t="e">
        <f>VLOOKUP(mMAI[[#This Row],[CÓDIGO CONTABIL]],Contas_Gerencial[#All],3,FALSE)</f>
        <v>#N/A</v>
      </c>
      <c r="D13" s="121" t="e">
        <f>VLOOKUP(mMAI[[#This Row],[DESCRIÇÃO CONTABIL]],Contas_Gerencial[[#All],[DESCRIÇÃO DA CONTA - NÃO UTILIZAR]:[Código2]],2,FALSE)</f>
        <v>#N/A</v>
      </c>
      <c r="E13" s="121"/>
      <c r="F13" s="453"/>
      <c r="G13" s="454"/>
      <c r="H13" s="453"/>
      <c r="I13" s="455"/>
      <c r="J13" s="453"/>
      <c r="K13" s="453"/>
      <c r="L13" s="453"/>
      <c r="M13" s="457"/>
      <c r="N13" s="457"/>
      <c r="O13" s="457"/>
      <c r="P13" s="453"/>
      <c r="Q13" s="458"/>
      <c r="R13" s="467"/>
      <c r="S13" s="467"/>
      <c r="T13" s="460">
        <f>SUM(mMAI[[#This Row],[PRINCIPAL]:[JUROS]])</f>
        <v>0</v>
      </c>
      <c r="Y13" s="115"/>
    </row>
    <row r="14" spans="2:25" ht="21" customHeight="1">
      <c r="B14" s="451" t="str">
        <f t="shared" si="0"/>
        <v>5/26</v>
      </c>
      <c r="C14" s="121" t="e">
        <f>VLOOKUP(mMAI[[#This Row],[CÓDIGO CONTABIL]],Contas_Gerencial[#All],3,FALSE)</f>
        <v>#N/A</v>
      </c>
      <c r="D14" s="121" t="e">
        <f>VLOOKUP(mMAI[[#This Row],[DESCRIÇÃO CONTABIL]],Contas_Gerencial[[#All],[DESCRIÇÃO DA CONTA - NÃO UTILIZAR]:[Código2]],2,FALSE)</f>
        <v>#N/A</v>
      </c>
      <c r="E14" s="121"/>
      <c r="F14" s="453"/>
      <c r="G14" s="454"/>
      <c r="H14" s="453"/>
      <c r="I14" s="455"/>
      <c r="J14" s="453"/>
      <c r="K14" s="453"/>
      <c r="L14" s="453"/>
      <c r="M14" s="457"/>
      <c r="N14" s="457"/>
      <c r="O14" s="457"/>
      <c r="P14" s="453"/>
      <c r="Q14" s="458"/>
      <c r="R14" s="467"/>
      <c r="S14" s="467"/>
      <c r="T14" s="460">
        <f>SUM(mMAI[[#This Row],[PRINCIPAL]:[JUROS]])</f>
        <v>0</v>
      </c>
      <c r="Y14" s="115"/>
    </row>
    <row r="15" spans="2:25" ht="21" customHeight="1">
      <c r="B15" s="451" t="str">
        <f t="shared" si="0"/>
        <v>5/26</v>
      </c>
      <c r="C15" s="121" t="e">
        <f>VLOOKUP(mMAI[[#This Row],[CÓDIGO CONTABIL]],Contas_Gerencial[#All],3,FALSE)</f>
        <v>#N/A</v>
      </c>
      <c r="D15" s="121" t="e">
        <f>VLOOKUP(mMAI[[#This Row],[DESCRIÇÃO CONTABIL]],Contas_Gerencial[[#All],[DESCRIÇÃO DA CONTA - NÃO UTILIZAR]:[Código2]],2,FALSE)</f>
        <v>#N/A</v>
      </c>
      <c r="E15" s="121"/>
      <c r="F15" s="453"/>
      <c r="G15" s="454"/>
      <c r="H15" s="453"/>
      <c r="I15" s="455"/>
      <c r="J15" s="453"/>
      <c r="K15" s="453"/>
      <c r="L15" s="453"/>
      <c r="M15" s="457"/>
      <c r="N15" s="457"/>
      <c r="O15" s="457"/>
      <c r="P15" s="453"/>
      <c r="Q15" s="458"/>
      <c r="R15" s="467"/>
      <c r="S15" s="467"/>
      <c r="T15" s="460">
        <f>SUM(mMAI[[#This Row],[PRINCIPAL]:[JUROS]])</f>
        <v>0</v>
      </c>
      <c r="Y15" s="115"/>
    </row>
    <row r="16" spans="2:25" ht="21" customHeight="1">
      <c r="B16" s="451" t="str">
        <f t="shared" si="0"/>
        <v>5/26</v>
      </c>
      <c r="C16" s="121" t="e">
        <f>VLOOKUP(mMAI[[#This Row],[CÓDIGO CONTABIL]],Contas_Gerencial[#All],3,FALSE)</f>
        <v>#N/A</v>
      </c>
      <c r="D16" s="121" t="e">
        <f>VLOOKUP(mMAI[[#This Row],[DESCRIÇÃO CONTABIL]],Contas_Gerencial[[#All],[DESCRIÇÃO DA CONTA - NÃO UTILIZAR]:[Código2]],2,FALSE)</f>
        <v>#N/A</v>
      </c>
      <c r="E16" s="121"/>
      <c r="F16" s="453"/>
      <c r="G16" s="454"/>
      <c r="H16" s="453"/>
      <c r="I16" s="455"/>
      <c r="J16" s="453"/>
      <c r="K16" s="453"/>
      <c r="L16" s="453"/>
      <c r="M16" s="457"/>
      <c r="N16" s="457"/>
      <c r="O16" s="457"/>
      <c r="P16" s="453"/>
      <c r="Q16" s="458"/>
      <c r="R16" s="467"/>
      <c r="S16" s="467"/>
      <c r="T16" s="460">
        <f>SUM(mMAI[[#This Row],[PRINCIPAL]:[JUROS]])</f>
        <v>0</v>
      </c>
      <c r="Y16" s="115"/>
    </row>
    <row r="17" spans="2:25" ht="21" customHeight="1">
      <c r="B17" s="451" t="str">
        <f t="shared" si="0"/>
        <v>5/26</v>
      </c>
      <c r="C17" s="121" t="e">
        <f>VLOOKUP(mMAI[[#This Row],[CÓDIGO CONTABIL]],Contas_Gerencial[#All],3,FALSE)</f>
        <v>#N/A</v>
      </c>
      <c r="D17" s="121" t="e">
        <f>VLOOKUP(mMAI[[#This Row],[DESCRIÇÃO CONTABIL]],Contas_Gerencial[[#All],[DESCRIÇÃO DA CONTA - NÃO UTILIZAR]:[Código2]],2,FALSE)</f>
        <v>#N/A</v>
      </c>
      <c r="E17" s="121"/>
      <c r="F17" s="453"/>
      <c r="G17" s="454"/>
      <c r="H17" s="453"/>
      <c r="I17" s="455"/>
      <c r="J17" s="453"/>
      <c r="K17" s="453"/>
      <c r="L17" s="453"/>
      <c r="M17" s="457"/>
      <c r="N17" s="457"/>
      <c r="O17" s="457"/>
      <c r="P17" s="453"/>
      <c r="Q17" s="458"/>
      <c r="R17" s="467"/>
      <c r="S17" s="467"/>
      <c r="T17" s="460">
        <f>SUM(mMAI[[#This Row],[PRINCIPAL]:[JUROS]])</f>
        <v>0</v>
      </c>
      <c r="Y17" s="115"/>
    </row>
    <row r="18" spans="2:25" ht="21" customHeight="1">
      <c r="B18" s="451" t="str">
        <f t="shared" si="0"/>
        <v>5/26</v>
      </c>
      <c r="C18" s="121" t="e">
        <f>VLOOKUP(mMAI[[#This Row],[CÓDIGO CONTABIL]],Contas_Gerencial[#All],3,FALSE)</f>
        <v>#N/A</v>
      </c>
      <c r="D18" s="121" t="e">
        <f>VLOOKUP(mMAI[[#This Row],[DESCRIÇÃO CONTABIL]],Contas_Gerencial[[#All],[DESCRIÇÃO DA CONTA - NÃO UTILIZAR]:[Código2]],2,FALSE)</f>
        <v>#N/A</v>
      </c>
      <c r="E18" s="121"/>
      <c r="F18" s="453"/>
      <c r="G18" s="454"/>
      <c r="H18" s="453"/>
      <c r="I18" s="455"/>
      <c r="J18" s="453"/>
      <c r="K18" s="453"/>
      <c r="L18" s="453"/>
      <c r="M18" s="457"/>
      <c r="N18" s="457"/>
      <c r="O18" s="457"/>
      <c r="P18" s="453"/>
      <c r="Q18" s="458"/>
      <c r="R18" s="467"/>
      <c r="S18" s="467"/>
      <c r="T18" s="460">
        <f>SUM(mMAI[[#This Row],[PRINCIPAL]:[JUROS]])</f>
        <v>0</v>
      </c>
      <c r="Y18" s="115"/>
    </row>
    <row r="19" spans="2:25" ht="21" customHeight="1">
      <c r="B19" s="451" t="str">
        <f t="shared" si="0"/>
        <v>5/26</v>
      </c>
      <c r="C19" s="121" t="e">
        <f>VLOOKUP(mMAI[[#This Row],[CÓDIGO CONTABIL]],Contas_Gerencial[#All],3,FALSE)</f>
        <v>#N/A</v>
      </c>
      <c r="D19" s="121" t="e">
        <f>VLOOKUP(mMAI[[#This Row],[DESCRIÇÃO CONTABIL]],Contas_Gerencial[[#All],[DESCRIÇÃO DA CONTA - NÃO UTILIZAR]:[Código2]],2,FALSE)</f>
        <v>#N/A</v>
      </c>
      <c r="E19" s="121"/>
      <c r="F19" s="453"/>
      <c r="G19" s="454"/>
      <c r="H19" s="453"/>
      <c r="I19" s="455"/>
      <c r="J19" s="453"/>
      <c r="K19" s="453"/>
      <c r="L19" s="453"/>
      <c r="M19" s="457"/>
      <c r="N19" s="457"/>
      <c r="O19" s="457"/>
      <c r="P19" s="453"/>
      <c r="Q19" s="458"/>
      <c r="R19" s="467"/>
      <c r="S19" s="467"/>
      <c r="T19" s="460">
        <f>SUM(mMAI[[#This Row],[PRINCIPAL]:[JUROS]])</f>
        <v>0</v>
      </c>
      <c r="Y19" s="115"/>
    </row>
    <row r="20" spans="2:25" ht="21" customHeight="1">
      <c r="B20" s="451" t="str">
        <f t="shared" si="0"/>
        <v>5/26</v>
      </c>
      <c r="C20" s="121" t="e">
        <f>VLOOKUP(mMAI[[#This Row],[CÓDIGO CONTABIL]],Contas_Gerencial[#All],3,FALSE)</f>
        <v>#N/A</v>
      </c>
      <c r="D20" s="121" t="e">
        <f>VLOOKUP(mMAI[[#This Row],[DESCRIÇÃO CONTABIL]],Contas_Gerencial[[#All],[DESCRIÇÃO DA CONTA - NÃO UTILIZAR]:[Código2]],2,FALSE)</f>
        <v>#N/A</v>
      </c>
      <c r="E20" s="121"/>
      <c r="F20" s="453"/>
      <c r="G20" s="454"/>
      <c r="H20" s="453"/>
      <c r="I20" s="455"/>
      <c r="J20" s="453"/>
      <c r="K20" s="453"/>
      <c r="L20" s="453"/>
      <c r="M20" s="457"/>
      <c r="N20" s="457"/>
      <c r="O20" s="457"/>
      <c r="P20" s="453"/>
      <c r="Q20" s="458"/>
      <c r="R20" s="467"/>
      <c r="S20" s="467"/>
      <c r="T20" s="460">
        <f>SUM(mMAI[[#This Row],[PRINCIPAL]:[JUROS]])</f>
        <v>0</v>
      </c>
      <c r="Y20" s="115"/>
    </row>
    <row r="21" spans="2:25" ht="21" customHeight="1">
      <c r="B21" s="107" t="s">
        <v>197</v>
      </c>
      <c r="C21" s="107"/>
      <c r="E21" s="500">
        <f>SUBTOTAL(103,mMAI[DESCRIÇÃO CONTABIL])</f>
        <v>0</v>
      </c>
      <c r="F21" s="107"/>
      <c r="G21" s="107"/>
      <c r="H21" s="107"/>
      <c r="I21" s="107"/>
      <c r="L21" s="107"/>
      <c r="M21" s="121"/>
      <c r="N21" s="107"/>
      <c r="O21" s="107"/>
      <c r="P21" s="445"/>
      <c r="Q21" s="501">
        <f>SUBTOTAL(109,mMAI[PRINCIPAL])</f>
        <v>0</v>
      </c>
      <c r="R21" s="501">
        <f>SUBTOTAL(109,mMAI[MULTA])</f>
        <v>0</v>
      </c>
      <c r="S21" s="501">
        <f>SUBTOTAL(109,mMAI[JUROS])</f>
        <v>0</v>
      </c>
      <c r="T21" s="502">
        <f>SUBTOTAL(109,mMAI[TOTAL])</f>
        <v>0</v>
      </c>
    </row>
    <row r="22" spans="2:25" ht="21" customHeight="1"/>
    <row r="23" spans="2:25" ht="21" customHeight="1">
      <c r="Q23" s="443"/>
    </row>
    <row r="24" spans="2:25" ht="21" customHeight="1">
      <c r="Q24" s="443"/>
    </row>
    <row r="25" spans="2:25" ht="21" customHeight="1">
      <c r="Q25" s="443"/>
    </row>
    <row r="26" spans="2:25" ht="21" customHeight="1">
      <c r="Q26" s="127"/>
    </row>
    <row r="27" spans="2:25" ht="21" customHeight="1">
      <c r="Q27" s="125"/>
    </row>
    <row r="29" spans="2:25">
      <c r="Q29" s="125"/>
    </row>
    <row r="32" spans="2:25">
      <c r="Q32" s="125"/>
    </row>
  </sheetData>
  <conditionalFormatting sqref="P7:P20">
    <cfRule type="containsText" dxfId="66" priority="279" operator="containsText" text="A PAGAR">
      <formula>NOT(ISERROR(SEARCH("A PAGAR",P7)))</formula>
    </cfRule>
    <cfRule type="containsText" dxfId="65" priority="280" operator="containsText" text="A RECEBER">
      <formula>NOT(ISERROR(SEARCH("A RECEBER",P7)))</formula>
    </cfRule>
  </conditionalFormatting>
  <conditionalFormatting sqref="P9">
    <cfRule type="containsText" dxfId="64" priority="144" operator="containsText" text="A PAGAR">
      <formula>NOT(ISERROR(SEARCH("A PAGAR",P9)))</formula>
    </cfRule>
    <cfRule type="containsText" dxfId="63" priority="145" operator="containsText" text="A RECEBER">
      <formula>NOT(ISERROR(SEARCH("A RECEBER",P9)))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30" fitToHeight="6" orientation="landscape" horizontalDpi="1200" verticalDpi="1200" r:id="rId1"/>
  <headerFooter>
    <oddHeader>&amp;L             &amp;G</oddHeader>
    <oddFooter>&amp;L&amp;7&amp;Z&amp;F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78EAF88E-B2C0-4D47-B637-F8B27CB995D6}">
          <x14:formula1>
            <xm:f>'TA Status'!$B$7:$B$11</xm:f>
          </x14:formula1>
          <xm:sqref>P9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T27"/>
  <sheetViews>
    <sheetView showGridLines="0" topLeftCell="B4" zoomScale="70" zoomScaleNormal="70" zoomScaleSheetLayoutView="79" workbookViewId="0">
      <pane xSplit="6" ySplit="3" topLeftCell="N7" activePane="bottomRight" state="frozen"/>
      <selection activeCell="B4" sqref="B4"/>
      <selection pane="topRight" activeCell="H4" sqref="H4"/>
      <selection pane="bottomLeft" activeCell="B7" sqref="B7"/>
      <selection pane="bottomRight" activeCell="F14" sqref="F14"/>
    </sheetView>
  </sheetViews>
  <sheetFormatPr defaultColWidth="9.109375" defaultRowHeight="14.4"/>
  <cols>
    <col min="1" max="1" width="2.109375" style="102" customWidth="1"/>
    <col min="2" max="2" width="19.5546875" style="105" customWidth="1"/>
    <col min="3" max="3" width="26.6640625" style="105" customWidth="1"/>
    <col min="4" max="4" width="22.44140625" style="105" hidden="1" customWidth="1"/>
    <col min="5" max="5" width="47.44140625" style="105" customWidth="1"/>
    <col min="6" max="6" width="20.5546875" style="105" customWidth="1"/>
    <col min="7" max="7" width="36.6640625" style="105" customWidth="1"/>
    <col min="8" max="8" width="26.44140625" style="105" customWidth="1"/>
    <col min="9" max="9" width="21.88671875" style="105" customWidth="1"/>
    <col min="10" max="10" width="55.5546875" style="102" customWidth="1"/>
    <col min="11" max="11" width="59" style="102" customWidth="1"/>
    <col min="12" max="12" width="8.88671875" style="105" customWidth="1"/>
    <col min="13" max="14" width="15.88671875" style="558" customWidth="1"/>
    <col min="15" max="15" width="15.88671875" style="559" customWidth="1"/>
    <col min="16" max="16" width="15.88671875" style="104" customWidth="1"/>
    <col min="17" max="17" width="24.44140625" style="102" customWidth="1"/>
    <col min="18" max="18" width="21.33203125" style="139" customWidth="1"/>
    <col min="19" max="19" width="18.33203125" style="560" bestFit="1" customWidth="1"/>
    <col min="20" max="20" width="22.109375" style="102" bestFit="1" customWidth="1"/>
    <col min="21" max="21" width="9.109375" style="102"/>
    <col min="22" max="22" width="17" style="102" customWidth="1"/>
    <col min="23" max="23" width="15.33203125" style="102" bestFit="1" customWidth="1"/>
    <col min="24" max="24" width="14.44140625" style="102" bestFit="1" customWidth="1"/>
    <col min="25" max="16384" width="9.109375" style="102"/>
  </cols>
  <sheetData>
    <row r="2" spans="2:20" ht="21">
      <c r="C2" s="444" t="s">
        <v>17</v>
      </c>
      <c r="D2" s="445">
        <f>'TA Gerencial'!F2</f>
        <v>2026</v>
      </c>
      <c r="E2" s="553" t="s">
        <v>8</v>
      </c>
      <c r="G2" s="553"/>
      <c r="H2" s="553"/>
      <c r="I2" s="553"/>
      <c r="J2" s="553"/>
      <c r="K2" s="553"/>
      <c r="L2" s="553"/>
      <c r="M2" s="554"/>
      <c r="N2" s="554"/>
      <c r="O2" s="446"/>
      <c r="P2" s="555"/>
      <c r="R2" s="106"/>
      <c r="S2" s="447"/>
    </row>
    <row r="3" spans="2:20" ht="32.25" customHeight="1">
      <c r="C3" s="444" t="s">
        <v>18</v>
      </c>
      <c r="D3" s="106" t="s">
        <v>68</v>
      </c>
      <c r="E3" s="553" t="s">
        <v>16</v>
      </c>
      <c r="G3" s="553"/>
      <c r="H3" s="553"/>
      <c r="I3" s="553"/>
      <c r="J3" s="553"/>
      <c r="K3" s="553"/>
      <c r="L3" s="553"/>
      <c r="M3" s="554"/>
      <c r="N3" s="554"/>
      <c r="O3" s="446"/>
      <c r="P3" s="555"/>
      <c r="R3" s="106"/>
      <c r="S3" s="447"/>
    </row>
    <row r="4" spans="2:20" ht="21">
      <c r="B4" s="556"/>
      <c r="C4" s="444" t="s">
        <v>19</v>
      </c>
      <c r="D4" s="448"/>
      <c r="E4" s="553" t="s">
        <v>42</v>
      </c>
      <c r="G4" s="553"/>
      <c r="H4" s="553"/>
      <c r="I4" s="553"/>
      <c r="J4" s="553"/>
      <c r="K4" s="553"/>
      <c r="L4" s="553"/>
      <c r="M4" s="554"/>
      <c r="N4" s="554"/>
      <c r="O4" s="446"/>
      <c r="P4" s="555"/>
      <c r="R4" s="106"/>
      <c r="S4" s="447"/>
    </row>
    <row r="5" spans="2:20">
      <c r="M5" s="557"/>
    </row>
    <row r="6" spans="2:20" s="107" customFormat="1" ht="41.25" customHeight="1">
      <c r="B6" s="561" t="s">
        <v>192</v>
      </c>
      <c r="C6" s="562" t="s">
        <v>11</v>
      </c>
      <c r="D6" s="562" t="s">
        <v>193</v>
      </c>
      <c r="E6" s="563" t="s">
        <v>23</v>
      </c>
      <c r="F6" s="563" t="s">
        <v>40</v>
      </c>
      <c r="G6" s="563" t="s">
        <v>87</v>
      </c>
      <c r="H6" s="561" t="s">
        <v>12</v>
      </c>
      <c r="I6" s="172" t="s">
        <v>4</v>
      </c>
      <c r="J6" s="561" t="s">
        <v>245</v>
      </c>
      <c r="K6" s="561" t="s">
        <v>0</v>
      </c>
      <c r="L6" s="561" t="s">
        <v>7</v>
      </c>
      <c r="M6" s="564" t="s">
        <v>13</v>
      </c>
      <c r="N6" s="564" t="s">
        <v>14</v>
      </c>
      <c r="O6" s="564" t="s">
        <v>2</v>
      </c>
      <c r="P6" s="565" t="s">
        <v>212</v>
      </c>
      <c r="Q6" s="561" t="s">
        <v>285</v>
      </c>
      <c r="R6" s="566" t="s">
        <v>283</v>
      </c>
      <c r="S6" s="567" t="s">
        <v>55</v>
      </c>
      <c r="T6" s="561" t="s">
        <v>284</v>
      </c>
    </row>
    <row r="7" spans="2:20" ht="21" customHeight="1">
      <c r="B7" s="568" t="str">
        <f>CONCATENATE('TA Gerencial'!M2,'TA Gerencial'!H4,'TA Gerencial'!H3)</f>
        <v>6/26</v>
      </c>
      <c r="C7" s="121" t="e">
        <f>VLOOKUP(mJUN[[#This Row],[CÓDIGO CONTABIL]],Contas_Gerencial[#All],3,FALSE)</f>
        <v>#N/A</v>
      </c>
      <c r="D7" s="445" t="e">
        <f>VLOOKUP(mJUN[[#This Row],[DESCRIÇÃO CONTABIL]],Contas_Gerencial[[#All],[DESCRIÇÃO DA CONTA - NÃO UTILIZAR]:[Código2]],2,FALSE)</f>
        <v>#N/A</v>
      </c>
      <c r="E7" s="121"/>
      <c r="F7" s="453"/>
      <c r="G7" s="453"/>
      <c r="H7" s="453"/>
      <c r="I7" s="455"/>
      <c r="J7" s="453"/>
      <c r="K7" s="453"/>
      <c r="L7" s="456"/>
      <c r="M7" s="457"/>
      <c r="N7" s="457"/>
      <c r="O7" s="457"/>
      <c r="P7" s="453"/>
      <c r="Q7" s="467"/>
      <c r="R7" s="467"/>
      <c r="S7" s="467"/>
      <c r="T7" s="569">
        <f>SUM(mJUN[[#This Row],[PRINCIPAL]:[JUROS]])</f>
        <v>0</v>
      </c>
    </row>
    <row r="8" spans="2:20" ht="21" customHeight="1">
      <c r="B8" s="451" t="str">
        <f>B7</f>
        <v>6/26</v>
      </c>
      <c r="C8" s="121" t="e">
        <f>VLOOKUP(mJUN[[#This Row],[CÓDIGO CONTABIL]],Contas_Gerencial[#All],3,FALSE)</f>
        <v>#N/A</v>
      </c>
      <c r="D8" s="445" t="e">
        <f>VLOOKUP(mJUN[[#This Row],[DESCRIÇÃO CONTABIL]],Contas_Gerencial[[#All],[DESCRIÇÃO DA CONTA - NÃO UTILIZAR]:[Código2]],2,FALSE)</f>
        <v>#N/A</v>
      </c>
      <c r="E8" s="107"/>
      <c r="F8" s="107"/>
      <c r="G8" s="107"/>
      <c r="H8" s="107"/>
      <c r="I8" s="481"/>
      <c r="J8" s="121"/>
      <c r="K8" s="121"/>
      <c r="L8" s="456"/>
      <c r="M8" s="457"/>
      <c r="N8" s="457"/>
      <c r="O8" s="457"/>
      <c r="P8" s="453"/>
      <c r="Q8" s="483"/>
      <c r="R8" s="482"/>
      <c r="S8" s="482"/>
      <c r="T8" s="569">
        <f>SUM(mJUN[[#This Row],[PRINCIPAL]:[JUROS]])</f>
        <v>0</v>
      </c>
    </row>
    <row r="9" spans="2:20" ht="21" customHeight="1">
      <c r="B9" s="451" t="str">
        <f t="shared" ref="B9:B20" si="0">B8</f>
        <v>6/26</v>
      </c>
      <c r="C9" s="121" t="e">
        <f>VLOOKUP(mJUN[[#This Row],[CÓDIGO CONTABIL]],Contas_Gerencial[#All],3,FALSE)</f>
        <v>#N/A</v>
      </c>
      <c r="D9" s="445" t="e">
        <f>VLOOKUP(mJUN[[#This Row],[DESCRIÇÃO CONTABIL]],Contas_Gerencial[[#All],[DESCRIÇÃO DA CONTA - NÃO UTILIZAR]:[Código2]],2,FALSE)</f>
        <v>#N/A</v>
      </c>
      <c r="E9" s="452"/>
      <c r="F9" s="107"/>
      <c r="G9" s="480"/>
      <c r="H9" s="107"/>
      <c r="I9" s="481"/>
      <c r="J9" s="453"/>
      <c r="K9" s="453"/>
      <c r="L9" s="456"/>
      <c r="M9" s="457"/>
      <c r="N9" s="457"/>
      <c r="O9" s="457"/>
      <c r="P9" s="453"/>
      <c r="Q9" s="482"/>
      <c r="R9" s="482"/>
      <c r="S9" s="482"/>
      <c r="T9" s="569">
        <f>SUM(mJUN[[#This Row],[PRINCIPAL]:[JUROS]])</f>
        <v>0</v>
      </c>
    </row>
    <row r="10" spans="2:20" ht="21" customHeight="1">
      <c r="B10" s="451" t="str">
        <f t="shared" si="0"/>
        <v>6/26</v>
      </c>
      <c r="C10" s="121" t="e">
        <f>VLOOKUP(mJUN[[#This Row],[CÓDIGO CONTABIL]],Contas_Gerencial[#All],3,FALSE)</f>
        <v>#N/A</v>
      </c>
      <c r="D10" s="445" t="e">
        <f>VLOOKUP(mJUN[[#This Row],[DESCRIÇÃO CONTABIL]],Contas_Gerencial[[#All],[DESCRIÇÃO DA CONTA - NÃO UTILIZAR]:[Código2]],2,FALSE)</f>
        <v>#N/A</v>
      </c>
      <c r="E10" s="452"/>
      <c r="F10" s="107"/>
      <c r="G10" s="480"/>
      <c r="H10" s="107"/>
      <c r="I10" s="481"/>
      <c r="J10" s="453"/>
      <c r="K10" s="453"/>
      <c r="L10" s="456"/>
      <c r="M10" s="457"/>
      <c r="N10" s="457"/>
      <c r="O10" s="457"/>
      <c r="P10" s="453"/>
      <c r="Q10" s="483"/>
      <c r="R10" s="482"/>
      <c r="S10" s="482"/>
      <c r="T10" s="569">
        <f>SUM(mJUN[[#This Row],[PRINCIPAL]:[JUROS]])</f>
        <v>0</v>
      </c>
    </row>
    <row r="11" spans="2:20" ht="21" customHeight="1">
      <c r="B11" s="451" t="str">
        <f t="shared" si="0"/>
        <v>6/26</v>
      </c>
      <c r="C11" s="121" t="e">
        <f>VLOOKUP(mJUN[[#This Row],[CÓDIGO CONTABIL]],Contas_Gerencial[#All],3,FALSE)</f>
        <v>#N/A</v>
      </c>
      <c r="D11" s="445" t="e">
        <f>VLOOKUP(mJUN[[#This Row],[DESCRIÇÃO CONTABIL]],Contas_Gerencial[[#All],[DESCRIÇÃO DA CONTA - NÃO UTILIZAR]:[Código2]],2,FALSE)</f>
        <v>#N/A</v>
      </c>
      <c r="E11" s="107"/>
      <c r="F11" s="452"/>
      <c r="G11" s="480"/>
      <c r="H11" s="107"/>
      <c r="I11" s="481"/>
      <c r="J11" s="453"/>
      <c r="K11" s="453"/>
      <c r="L11" s="456"/>
      <c r="M11" s="457"/>
      <c r="N11" s="457"/>
      <c r="O11" s="457"/>
      <c r="P11" s="453"/>
      <c r="Q11" s="467"/>
      <c r="R11" s="467"/>
      <c r="S11" s="467"/>
      <c r="T11" s="569">
        <f>SUM(mJUN[[#This Row],[PRINCIPAL]:[JUROS]])</f>
        <v>0</v>
      </c>
    </row>
    <row r="12" spans="2:20" ht="21" customHeight="1">
      <c r="B12" s="451" t="str">
        <f t="shared" si="0"/>
        <v>6/26</v>
      </c>
      <c r="C12" s="121" t="e">
        <f>VLOOKUP(mJUN[[#This Row],[CÓDIGO CONTABIL]],Contas_Gerencial[#All],3,FALSE)</f>
        <v>#N/A</v>
      </c>
      <c r="D12" s="445" t="e">
        <f>VLOOKUP(mJUN[[#This Row],[DESCRIÇÃO CONTABIL]],Contas_Gerencial[[#All],[DESCRIÇÃO DA CONTA - NÃO UTILIZAR]:[Código2]],2,FALSE)</f>
        <v>#N/A</v>
      </c>
      <c r="E12" s="452"/>
      <c r="F12" s="107"/>
      <c r="G12" s="480"/>
      <c r="H12" s="107"/>
      <c r="I12" s="481"/>
      <c r="J12" s="453"/>
      <c r="K12" s="453"/>
      <c r="L12" s="456"/>
      <c r="M12" s="457"/>
      <c r="N12" s="457"/>
      <c r="O12" s="457"/>
      <c r="P12" s="453"/>
      <c r="Q12" s="482"/>
      <c r="R12" s="482"/>
      <c r="S12" s="482"/>
      <c r="T12" s="569">
        <f>SUM(mJUN[[#This Row],[PRINCIPAL]:[JUROS]])</f>
        <v>0</v>
      </c>
    </row>
    <row r="13" spans="2:20" ht="21" customHeight="1">
      <c r="B13" s="451" t="str">
        <f t="shared" si="0"/>
        <v>6/26</v>
      </c>
      <c r="C13" s="121" t="e">
        <f>VLOOKUP(mJUN[[#This Row],[CÓDIGO CONTABIL]],Contas_Gerencial[#All],3,FALSE)</f>
        <v>#N/A</v>
      </c>
      <c r="D13" s="445" t="e">
        <f>VLOOKUP(mJUN[[#This Row],[DESCRIÇÃO CONTABIL]],Contas_Gerencial[[#All],[DESCRIÇÃO DA CONTA - NÃO UTILIZAR]:[Código2]],2,FALSE)</f>
        <v>#N/A</v>
      </c>
      <c r="E13" s="452"/>
      <c r="F13" s="452"/>
      <c r="G13" s="107"/>
      <c r="H13" s="452"/>
      <c r="I13" s="481"/>
      <c r="J13" s="453"/>
      <c r="K13" s="453"/>
      <c r="L13" s="456"/>
      <c r="M13" s="457"/>
      <c r="N13" s="457"/>
      <c r="O13" s="457"/>
      <c r="P13" s="453"/>
      <c r="Q13" s="483"/>
      <c r="R13" s="459"/>
      <c r="S13" s="459"/>
      <c r="T13" s="569">
        <f>SUM(mJUN[[#This Row],[PRINCIPAL]:[JUROS]])</f>
        <v>0</v>
      </c>
    </row>
    <row r="14" spans="2:20" ht="21" customHeight="1">
      <c r="B14" s="451" t="str">
        <f t="shared" si="0"/>
        <v>6/26</v>
      </c>
      <c r="C14" s="121" t="e">
        <f>VLOOKUP(mJUN[[#This Row],[CÓDIGO CONTABIL]],Contas_Gerencial[#All],3,FALSE)</f>
        <v>#N/A</v>
      </c>
      <c r="D14" s="445" t="e">
        <f>VLOOKUP(mJUN[[#This Row],[DESCRIÇÃO CONTABIL]],Contas_Gerencial[[#All],[DESCRIÇÃO DA CONTA - NÃO UTILIZAR]:[Código2]],2,FALSE)</f>
        <v>#N/A</v>
      </c>
      <c r="E14" s="452"/>
      <c r="F14" s="452"/>
      <c r="G14" s="480"/>
      <c r="H14" s="452"/>
      <c r="I14" s="481"/>
      <c r="J14" s="453"/>
      <c r="K14" s="453"/>
      <c r="L14" s="456"/>
      <c r="M14" s="457"/>
      <c r="N14" s="457"/>
      <c r="O14" s="457"/>
      <c r="P14" s="453"/>
      <c r="Q14" s="483"/>
      <c r="R14" s="459"/>
      <c r="S14" s="459"/>
      <c r="T14" s="569">
        <f>SUM(mJUN[[#This Row],[PRINCIPAL]:[JUROS]])</f>
        <v>0</v>
      </c>
    </row>
    <row r="15" spans="2:20" ht="21" customHeight="1">
      <c r="B15" s="451" t="str">
        <f t="shared" si="0"/>
        <v>6/26</v>
      </c>
      <c r="C15" s="121" t="e">
        <f>VLOOKUP(mJUN[[#This Row],[CÓDIGO CONTABIL]],Contas_Gerencial[#All],3,FALSE)</f>
        <v>#N/A</v>
      </c>
      <c r="D15" s="445" t="e">
        <f>VLOOKUP(mJUN[[#This Row],[DESCRIÇÃO CONTABIL]],Contas_Gerencial[[#All],[DESCRIÇÃO DA CONTA - NÃO UTILIZAR]:[Código2]],2,FALSE)</f>
        <v>#N/A</v>
      </c>
      <c r="E15" s="452"/>
      <c r="F15" s="107"/>
      <c r="G15" s="480"/>
      <c r="H15" s="107"/>
      <c r="I15" s="481"/>
      <c r="J15" s="453"/>
      <c r="K15" s="453"/>
      <c r="L15" s="456"/>
      <c r="M15" s="457"/>
      <c r="N15" s="457"/>
      <c r="O15" s="457"/>
      <c r="P15" s="453"/>
      <c r="Q15" s="483"/>
      <c r="R15" s="482"/>
      <c r="S15" s="482"/>
      <c r="T15" s="569">
        <f>SUM(mJUN[[#This Row],[PRINCIPAL]:[JUROS]])</f>
        <v>0</v>
      </c>
    </row>
    <row r="16" spans="2:20" ht="21" customHeight="1">
      <c r="B16" s="451" t="str">
        <f t="shared" si="0"/>
        <v>6/26</v>
      </c>
      <c r="C16" s="121" t="e">
        <f>VLOOKUP(mJUN[[#This Row],[CÓDIGO CONTABIL]],Contas_Gerencial[#All],3,FALSE)</f>
        <v>#N/A</v>
      </c>
      <c r="D16" s="445" t="e">
        <f>VLOOKUP(mJUN[[#This Row],[DESCRIÇÃO CONTABIL]],Contas_Gerencial[[#All],[DESCRIÇÃO DA CONTA - NÃO UTILIZAR]:[Código2]],2,FALSE)</f>
        <v>#N/A</v>
      </c>
      <c r="E16" s="107"/>
      <c r="F16" s="107"/>
      <c r="G16" s="107"/>
      <c r="H16" s="107"/>
      <c r="I16" s="481"/>
      <c r="J16" s="121"/>
      <c r="K16" s="555"/>
      <c r="L16" s="456"/>
      <c r="M16" s="457"/>
      <c r="N16" s="457"/>
      <c r="O16" s="457"/>
      <c r="P16" s="453"/>
      <c r="Q16" s="483"/>
      <c r="R16" s="482"/>
      <c r="S16" s="482"/>
      <c r="T16" s="569">
        <f>SUM(mJUN[[#This Row],[PRINCIPAL]:[JUROS]])</f>
        <v>0</v>
      </c>
    </row>
    <row r="17" spans="2:20" ht="21" customHeight="1">
      <c r="B17" s="451" t="str">
        <f t="shared" si="0"/>
        <v>6/26</v>
      </c>
      <c r="C17" s="121" t="e">
        <f>VLOOKUP(mJUN[[#This Row],[CÓDIGO CONTABIL]],Contas_Gerencial[#All],3,FALSE)</f>
        <v>#N/A</v>
      </c>
      <c r="D17" s="445" t="e">
        <f>VLOOKUP(mJUN[[#This Row],[DESCRIÇÃO CONTABIL]],Contas_Gerencial[[#All],[DESCRIÇÃO DA CONTA - NÃO UTILIZAR]:[Código2]],2,FALSE)</f>
        <v>#N/A</v>
      </c>
      <c r="E17" s="452"/>
      <c r="F17" s="107"/>
      <c r="G17" s="480"/>
      <c r="H17" s="107"/>
      <c r="I17" s="481"/>
      <c r="J17" s="453"/>
      <c r="K17" s="453"/>
      <c r="L17" s="456"/>
      <c r="M17" s="457"/>
      <c r="N17" s="457"/>
      <c r="O17" s="457"/>
      <c r="P17" s="453"/>
      <c r="Q17" s="482"/>
      <c r="R17" s="482"/>
      <c r="S17" s="482"/>
      <c r="T17" s="569">
        <f>SUM(mJUN[[#This Row],[PRINCIPAL]:[JUROS]])</f>
        <v>0</v>
      </c>
    </row>
    <row r="18" spans="2:20" ht="21" customHeight="1">
      <c r="B18" s="451" t="str">
        <f t="shared" si="0"/>
        <v>6/26</v>
      </c>
      <c r="C18" s="121" t="e">
        <f>VLOOKUP(mJUN[[#This Row],[CÓDIGO CONTABIL]],Contas_Gerencial[#All],3,FALSE)</f>
        <v>#N/A</v>
      </c>
      <c r="D18" s="445" t="e">
        <f>VLOOKUP(mJUN[[#This Row],[DESCRIÇÃO CONTABIL]],Contas_Gerencial[[#All],[DESCRIÇÃO DA CONTA - NÃO UTILIZAR]:[Código2]],2,FALSE)</f>
        <v>#N/A</v>
      </c>
      <c r="E18" s="452"/>
      <c r="F18" s="107"/>
      <c r="G18" s="480"/>
      <c r="H18" s="107"/>
      <c r="I18" s="481"/>
      <c r="J18" s="453"/>
      <c r="K18" s="453"/>
      <c r="L18" s="456"/>
      <c r="M18" s="457"/>
      <c r="N18" s="457"/>
      <c r="O18" s="457"/>
      <c r="P18" s="453"/>
      <c r="Q18" s="483"/>
      <c r="R18" s="482"/>
      <c r="S18" s="482"/>
      <c r="T18" s="569">
        <f>SUM(mJUN[[#This Row],[PRINCIPAL]:[JUROS]])</f>
        <v>0</v>
      </c>
    </row>
    <row r="19" spans="2:20" ht="21" customHeight="1">
      <c r="B19" s="451" t="str">
        <f t="shared" si="0"/>
        <v>6/26</v>
      </c>
      <c r="C19" s="121" t="e">
        <f>VLOOKUP(mJUN[[#This Row],[CÓDIGO CONTABIL]],Contas_Gerencial[#All],3,FALSE)</f>
        <v>#N/A</v>
      </c>
      <c r="D19" s="445" t="e">
        <f>VLOOKUP(mJUN[[#This Row],[DESCRIÇÃO CONTABIL]],Contas_Gerencial[[#All],[DESCRIÇÃO DA CONTA - NÃO UTILIZAR]:[Código2]],2,FALSE)</f>
        <v>#N/A</v>
      </c>
      <c r="E19" s="107"/>
      <c r="F19" s="452"/>
      <c r="G19" s="480"/>
      <c r="H19" s="107"/>
      <c r="I19" s="481"/>
      <c r="J19" s="453"/>
      <c r="K19" s="453"/>
      <c r="L19" s="456"/>
      <c r="M19" s="457"/>
      <c r="N19" s="457"/>
      <c r="O19" s="457"/>
      <c r="P19" s="453"/>
      <c r="Q19" s="467"/>
      <c r="R19" s="467"/>
      <c r="S19" s="467"/>
      <c r="T19" s="569">
        <f>SUM(mJUN[[#This Row],[PRINCIPAL]:[JUROS]])</f>
        <v>0</v>
      </c>
    </row>
    <row r="20" spans="2:20" ht="21" customHeight="1">
      <c r="B20" s="451" t="str">
        <f t="shared" si="0"/>
        <v>6/26</v>
      </c>
      <c r="C20" s="121" t="e">
        <f>VLOOKUP(mJUN[[#This Row],[CÓDIGO CONTABIL]],Contas_Gerencial[#All],3,FALSE)</f>
        <v>#N/A</v>
      </c>
      <c r="D20" s="445" t="e">
        <f>VLOOKUP(mJUN[[#This Row],[DESCRIÇÃO CONTABIL]],Contas_Gerencial[[#All],[DESCRIÇÃO DA CONTA - NÃO UTILIZAR]:[Código2]],2,FALSE)</f>
        <v>#N/A</v>
      </c>
      <c r="E20" s="452"/>
      <c r="F20" s="107"/>
      <c r="G20" s="480"/>
      <c r="H20" s="107"/>
      <c r="I20" s="481"/>
      <c r="J20" s="453"/>
      <c r="K20" s="453"/>
      <c r="L20" s="456"/>
      <c r="M20" s="457"/>
      <c r="N20" s="457"/>
      <c r="O20" s="457"/>
      <c r="P20" s="453"/>
      <c r="Q20" s="482"/>
      <c r="R20" s="482"/>
      <c r="S20" s="482"/>
      <c r="T20" s="569">
        <f>SUM(mJUN[[#This Row],[PRINCIPAL]:[JUROS]])</f>
        <v>0</v>
      </c>
    </row>
    <row r="21" spans="2:20" ht="21" customHeight="1">
      <c r="B21" s="553" t="s">
        <v>197</v>
      </c>
      <c r="C21" s="553"/>
      <c r="D21" s="571"/>
      <c r="E21" s="553"/>
      <c r="F21" s="553"/>
      <c r="G21" s="553"/>
      <c r="H21" s="553"/>
      <c r="I21" s="553"/>
      <c r="J21" s="553"/>
      <c r="K21" s="553"/>
      <c r="L21" s="553"/>
      <c r="M21" s="572"/>
      <c r="N21" s="572"/>
      <c r="O21" s="572"/>
      <c r="P21" s="573"/>
      <c r="Q21" s="574">
        <f>SUBTOTAL(109,mJUN[PRINCIPAL])</f>
        <v>0</v>
      </c>
      <c r="R21" s="574">
        <f>SUBTOTAL(109,mJUN[MULTA])</f>
        <v>0</v>
      </c>
      <c r="S21" s="574">
        <f>SUBTOTAL(109,mJUN[JUROS])</f>
        <v>0</v>
      </c>
      <c r="T21" s="612">
        <f>SUBTOTAL(109,mJUN[TOTAL])</f>
        <v>0</v>
      </c>
    </row>
    <row r="22" spans="2:20" ht="21" customHeight="1">
      <c r="E22" s="105" t="s">
        <v>537</v>
      </c>
    </row>
    <row r="23" spans="2:20" ht="21" customHeight="1">
      <c r="Q23" s="575"/>
    </row>
    <row r="24" spans="2:20" ht="21" customHeight="1">
      <c r="Q24" s="576"/>
    </row>
    <row r="25" spans="2:20" ht="21" customHeight="1">
      <c r="I25" s="577"/>
      <c r="Q25" s="576"/>
    </row>
    <row r="26" spans="2:20" ht="21" customHeight="1">
      <c r="I26" s="577"/>
      <c r="Q26" s="576"/>
    </row>
    <row r="27" spans="2:20">
      <c r="I27" s="138"/>
      <c r="Q27" s="576"/>
    </row>
  </sheetData>
  <conditionalFormatting sqref="P7:P20">
    <cfRule type="containsText" dxfId="62" priority="7" operator="containsText" text="A PAGAR">
      <formula>NOT(ISERROR(SEARCH("A PAGAR",P7)))</formula>
    </cfRule>
    <cfRule type="containsText" dxfId="61" priority="8" operator="containsText" text="A RECEBER">
      <formula>NOT(ISERROR(SEARCH("A RECEBER",P7)))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9" fitToHeight="6" orientation="landscape" horizontalDpi="1200" verticalDpi="1200" r:id="rId1"/>
  <headerFooter>
    <oddHeader>&amp;L             &amp;G</oddHeader>
    <oddFooter>&amp;L&amp;7&amp;Z&amp;F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03328376-70B0-47BE-804A-EA89757E1DA8}">
          <x14:formula1>
            <xm:f>'TA Status'!$B$7:$B$11</xm:f>
          </x14:formula1>
          <xm:sqref>P8:P20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W30"/>
  <sheetViews>
    <sheetView showGridLines="0" zoomScale="70" zoomScaleNormal="70" zoomScaleSheetLayoutView="79" workbookViewId="0">
      <pane xSplit="7" topLeftCell="O1" activePane="topRight" state="frozen"/>
      <selection activeCell="A4" sqref="A4"/>
      <selection pane="topRight" activeCell="E15" sqref="E15"/>
    </sheetView>
  </sheetViews>
  <sheetFormatPr defaultColWidth="9.109375" defaultRowHeight="15.6"/>
  <cols>
    <col min="1" max="1" width="2.109375" style="107" customWidth="1"/>
    <col min="2" max="2" width="19.5546875" style="121" customWidth="1"/>
    <col min="3" max="3" width="24" style="445" customWidth="1"/>
    <col min="4" max="4" width="22.44140625" style="445" hidden="1" customWidth="1"/>
    <col min="5" max="5" width="55.5546875" style="445" customWidth="1"/>
    <col min="6" max="6" width="20.5546875" style="445" customWidth="1"/>
    <col min="7" max="7" width="44.88671875" style="445" customWidth="1"/>
    <col min="8" max="8" width="26.44140625" style="445" customWidth="1"/>
    <col min="9" max="9" width="23.109375" style="121" customWidth="1"/>
    <col min="10" max="10" width="47.88671875" style="107" customWidth="1"/>
    <col min="11" max="11" width="70.33203125" style="107" customWidth="1"/>
    <col min="12" max="12" width="8.88671875" style="121" customWidth="1"/>
    <col min="13" max="14" width="15.88671875" style="493" customWidth="1"/>
    <col min="15" max="15" width="15.88671875" style="494" customWidth="1"/>
    <col min="16" max="16" width="15.88671875" style="106" customWidth="1"/>
    <col min="17" max="17" width="24.5546875" style="107" customWidth="1"/>
    <col min="18" max="18" width="21.6640625" style="106" customWidth="1"/>
    <col min="19" max="19" width="20.109375" style="447" customWidth="1"/>
    <col min="20" max="20" width="24.5546875" style="107" bestFit="1" customWidth="1"/>
    <col min="21" max="21" width="9.109375" style="107"/>
    <col min="22" max="23" width="14.33203125" style="107" bestFit="1" customWidth="1"/>
    <col min="24" max="24" width="9.109375" style="107"/>
    <col min="25" max="25" width="11.44140625" style="107" bestFit="1" customWidth="1"/>
    <col min="26" max="26" width="9.44140625" style="107" bestFit="1" customWidth="1"/>
    <col min="27" max="16384" width="9.109375" style="107"/>
  </cols>
  <sheetData>
    <row r="2" spans="2:20">
      <c r="C2" s="444" t="s">
        <v>17</v>
      </c>
      <c r="D2" s="445">
        <f>'TA Gerencial'!F2</f>
        <v>2026</v>
      </c>
      <c r="E2" s="489" t="s">
        <v>8</v>
      </c>
      <c r="G2" s="489"/>
      <c r="H2" s="489"/>
      <c r="I2" s="500"/>
      <c r="J2" s="489"/>
      <c r="K2" s="489"/>
      <c r="L2" s="500"/>
      <c r="M2" s="491"/>
      <c r="N2" s="491"/>
      <c r="O2" s="446"/>
    </row>
    <row r="3" spans="2:20" ht="32.25" customHeight="1">
      <c r="C3" s="444" t="s">
        <v>18</v>
      </c>
      <c r="D3" s="106" t="s">
        <v>62</v>
      </c>
      <c r="E3" s="489" t="s">
        <v>16</v>
      </c>
      <c r="G3" s="489"/>
      <c r="H3" s="489"/>
      <c r="I3" s="500"/>
      <c r="J3" s="489"/>
      <c r="K3" s="489"/>
      <c r="L3" s="500"/>
      <c r="M3" s="491"/>
      <c r="N3" s="491"/>
      <c r="O3" s="446"/>
    </row>
    <row r="4" spans="2:20">
      <c r="B4" s="454"/>
      <c r="C4" s="444" t="s">
        <v>19</v>
      </c>
      <c r="D4" s="448"/>
      <c r="E4" s="489" t="s">
        <v>42</v>
      </c>
      <c r="G4" s="489"/>
      <c r="H4" s="489"/>
      <c r="I4" s="500"/>
      <c r="J4" s="489"/>
      <c r="K4" s="489"/>
      <c r="L4" s="500"/>
      <c r="M4" s="491"/>
      <c r="N4" s="491"/>
      <c r="O4" s="446"/>
    </row>
    <row r="6" spans="2:20" ht="41.25" customHeight="1">
      <c r="B6" s="492" t="s">
        <v>192</v>
      </c>
      <c r="C6" s="495" t="s">
        <v>11</v>
      </c>
      <c r="D6" s="495" t="s">
        <v>193</v>
      </c>
      <c r="E6" s="496" t="s">
        <v>23</v>
      </c>
      <c r="F6" s="496" t="s">
        <v>40</v>
      </c>
      <c r="G6" s="496" t="s">
        <v>87</v>
      </c>
      <c r="H6" s="492" t="s">
        <v>12</v>
      </c>
      <c r="I6" s="445" t="s">
        <v>4</v>
      </c>
      <c r="J6" s="492" t="s">
        <v>245</v>
      </c>
      <c r="K6" s="492" t="s">
        <v>0</v>
      </c>
      <c r="L6" s="454" t="s">
        <v>7</v>
      </c>
      <c r="M6" s="493" t="s">
        <v>13</v>
      </c>
      <c r="N6" s="493" t="s">
        <v>14</v>
      </c>
      <c r="O6" s="493" t="s">
        <v>2</v>
      </c>
      <c r="P6" s="497" t="s">
        <v>212</v>
      </c>
      <c r="Q6" s="492" t="s">
        <v>285</v>
      </c>
      <c r="R6" s="498" t="s">
        <v>283</v>
      </c>
      <c r="S6" s="499" t="s">
        <v>55</v>
      </c>
      <c r="T6" s="492" t="s">
        <v>284</v>
      </c>
    </row>
    <row r="7" spans="2:20" ht="21" customHeight="1">
      <c r="B7" s="568" t="str">
        <f>CONCATENATE('TA Gerencial'!N2,'TA Gerencial'!H4,'TA Gerencial'!H3)</f>
        <v>7/26</v>
      </c>
      <c r="C7" s="555" t="e">
        <f>VLOOKUP(mJUL[[#This Row],[CÓDIGO CONTABIL]],Contas_Gerencial[#All],3,FALSE)</f>
        <v>#N/A</v>
      </c>
      <c r="D7" s="445" t="e">
        <f>VLOOKUP(mJUL[[#This Row],[DESCRIÇÃO CONTABIL]],Contas_Gerencial[[#All],[DESCRIÇÃO DA CONTA - NÃO UTILIZAR]:[Código2]],2,FALSE)</f>
        <v>#N/A</v>
      </c>
      <c r="E7" s="453"/>
      <c r="F7" s="452"/>
      <c r="G7" s="107"/>
      <c r="H7" s="466"/>
      <c r="I7" s="466"/>
      <c r="K7" s="503"/>
      <c r="L7" s="456"/>
      <c r="M7" s="457"/>
      <c r="N7" s="457"/>
      <c r="O7" s="457"/>
      <c r="P7" s="452"/>
      <c r="Q7" s="467"/>
      <c r="R7" s="467"/>
      <c r="S7" s="467"/>
      <c r="T7" s="569">
        <f>SUM(mJUL[[#This Row],[PRINCIPAL]:[JUROS]])</f>
        <v>0</v>
      </c>
    </row>
    <row r="8" spans="2:20" ht="21" customHeight="1">
      <c r="B8" s="451" t="str">
        <f>B7</f>
        <v>7/26</v>
      </c>
      <c r="C8" s="555" t="e">
        <f>VLOOKUP(mJUL[[#This Row],[CÓDIGO CONTABIL]],Contas_Gerencial[#All],3,FALSE)</f>
        <v>#N/A</v>
      </c>
      <c r="D8" s="445" t="e">
        <f>VLOOKUP(mJUL[[#This Row],[DESCRIÇÃO CONTABIL]],Contas_Gerencial[[#All],[DESCRIÇÃO DA CONTA - NÃO UTILIZAR]:[Código2]],2,FALSE)</f>
        <v>#N/A</v>
      </c>
      <c r="E8" s="107"/>
      <c r="F8" s="452"/>
      <c r="G8" s="107"/>
      <c r="H8" s="466"/>
      <c r="I8" s="481"/>
      <c r="K8" s="121"/>
      <c r="L8" s="456"/>
      <c r="M8" s="457"/>
      <c r="N8" s="457"/>
      <c r="O8" s="457"/>
      <c r="P8" s="452"/>
      <c r="Q8" s="483"/>
      <c r="R8" s="467"/>
      <c r="S8" s="467"/>
      <c r="T8" s="569">
        <f>SUM(mJUL[[#This Row],[PRINCIPAL]:[JUROS]])</f>
        <v>0</v>
      </c>
    </row>
    <row r="9" spans="2:20" ht="21" customHeight="1">
      <c r="B9" s="451" t="str">
        <f t="shared" ref="B9:B20" si="0">B8</f>
        <v>7/26</v>
      </c>
      <c r="C9" s="555" t="e">
        <f>VLOOKUP(mJUL[[#This Row],[CÓDIGO CONTABIL]],Contas_Gerencial[#All],3,FALSE)</f>
        <v>#N/A</v>
      </c>
      <c r="D9" s="445" t="e">
        <f>VLOOKUP(mJUL[[#This Row],[DESCRIÇÃO CONTABIL]],Contas_Gerencial[[#All],[DESCRIÇÃO DA CONTA - NÃO UTILIZAR]:[Código2]],2,FALSE)</f>
        <v>#N/A</v>
      </c>
      <c r="E9" s="453"/>
      <c r="F9" s="452"/>
      <c r="G9" s="107"/>
      <c r="H9" s="466"/>
      <c r="I9" s="481"/>
      <c r="K9" s="453"/>
      <c r="L9" s="456"/>
      <c r="M9" s="457"/>
      <c r="N9" s="457"/>
      <c r="O9" s="457"/>
      <c r="P9" s="452"/>
      <c r="Q9" s="468"/>
      <c r="R9" s="467"/>
      <c r="S9" s="467"/>
      <c r="T9" s="569">
        <f>SUM(mJUL[[#This Row],[PRINCIPAL]:[JUROS]])</f>
        <v>0</v>
      </c>
    </row>
    <row r="10" spans="2:20" ht="21" customHeight="1">
      <c r="B10" s="451" t="str">
        <f t="shared" si="0"/>
        <v>7/26</v>
      </c>
      <c r="C10" s="555" t="e">
        <f>VLOOKUP(mJUL[[#This Row],[CÓDIGO CONTABIL]],Contas_Gerencial[#All],3,FALSE)</f>
        <v>#N/A</v>
      </c>
      <c r="D10" s="445" t="e">
        <f>VLOOKUP(mJUL[[#This Row],[DESCRIÇÃO CONTABIL]],Contas_Gerencial[[#All],[DESCRIÇÃO DA CONTA - NÃO UTILIZAR]:[Código2]],2,FALSE)</f>
        <v>#N/A</v>
      </c>
      <c r="E10" s="453"/>
      <c r="F10" s="452"/>
      <c r="G10" s="107"/>
      <c r="H10" s="466"/>
      <c r="I10" s="481"/>
      <c r="K10" s="503"/>
      <c r="L10" s="456"/>
      <c r="M10" s="457"/>
      <c r="N10" s="457"/>
      <c r="O10" s="457"/>
      <c r="P10" s="452"/>
      <c r="Q10" s="468"/>
      <c r="R10" s="467"/>
      <c r="S10" s="467"/>
      <c r="T10" s="569">
        <f>SUM(mJUL[[#This Row],[PRINCIPAL]:[JUROS]])</f>
        <v>0</v>
      </c>
    </row>
    <row r="11" spans="2:20" ht="21" customHeight="1">
      <c r="B11" s="451" t="str">
        <f t="shared" si="0"/>
        <v>7/26</v>
      </c>
      <c r="C11" s="555" t="e">
        <f>VLOOKUP(mJUL[[#This Row],[CÓDIGO CONTABIL]],Contas_Gerencial[#All],3,FALSE)</f>
        <v>#N/A</v>
      </c>
      <c r="D11" s="445" t="e">
        <f>VLOOKUP(mJUL[[#This Row],[DESCRIÇÃO CONTABIL]],Contas_Gerencial[[#All],[DESCRIÇÃO DA CONTA - NÃO UTILIZAR]:[Código2]],2,FALSE)</f>
        <v>#N/A</v>
      </c>
      <c r="E11" s="453"/>
      <c r="F11" s="452"/>
      <c r="G11" s="107"/>
      <c r="H11" s="466"/>
      <c r="I11" s="481"/>
      <c r="K11" s="503"/>
      <c r="L11" s="456"/>
      <c r="M11" s="457"/>
      <c r="N11" s="457"/>
      <c r="O11" s="457"/>
      <c r="P11" s="452"/>
      <c r="Q11" s="468"/>
      <c r="R11" s="467"/>
      <c r="S11" s="467"/>
      <c r="T11" s="569">
        <f>SUM(mJUL[[#This Row],[PRINCIPAL]:[JUROS]])</f>
        <v>0</v>
      </c>
    </row>
    <row r="12" spans="2:20" ht="21" customHeight="1">
      <c r="B12" s="451" t="str">
        <f t="shared" si="0"/>
        <v>7/26</v>
      </c>
      <c r="C12" s="555" t="e">
        <f>VLOOKUP(mJUL[[#This Row],[CÓDIGO CONTABIL]],Contas_Gerencial[#All],3,FALSE)</f>
        <v>#N/A</v>
      </c>
      <c r="D12" s="445" t="e">
        <f>VLOOKUP(mJUL[[#This Row],[DESCRIÇÃO CONTABIL]],Contas_Gerencial[[#All],[DESCRIÇÃO DA CONTA - NÃO UTILIZAR]:[Código2]],2,FALSE)</f>
        <v>#N/A</v>
      </c>
      <c r="E12" s="453"/>
      <c r="F12" s="452"/>
      <c r="G12" s="107"/>
      <c r="H12" s="466"/>
      <c r="I12" s="481"/>
      <c r="K12" s="453"/>
      <c r="L12" s="456"/>
      <c r="M12" s="457"/>
      <c r="N12" s="457"/>
      <c r="O12" s="457"/>
      <c r="P12" s="452"/>
      <c r="Q12" s="468"/>
      <c r="R12" s="467"/>
      <c r="S12" s="467"/>
      <c r="T12" s="569">
        <f>SUM(mJUL[[#This Row],[PRINCIPAL]:[JUROS]])</f>
        <v>0</v>
      </c>
    </row>
    <row r="13" spans="2:20" ht="21" customHeight="1">
      <c r="B13" s="451" t="str">
        <f t="shared" si="0"/>
        <v>7/26</v>
      </c>
      <c r="C13" s="555" t="e">
        <f>VLOOKUP(mJUL[[#This Row],[CÓDIGO CONTABIL]],Contas_Gerencial[#All],3,FALSE)</f>
        <v>#N/A</v>
      </c>
      <c r="D13" s="445" t="e">
        <f>VLOOKUP(mJUL[[#This Row],[DESCRIÇÃO CONTABIL]],Contas_Gerencial[[#All],[DESCRIÇÃO DA CONTA - NÃO UTILIZAR]:[Código2]],2,FALSE)</f>
        <v>#N/A</v>
      </c>
      <c r="E13" s="453"/>
      <c r="F13" s="452"/>
      <c r="G13" s="107"/>
      <c r="H13" s="466"/>
      <c r="I13" s="481"/>
      <c r="K13" s="453"/>
      <c r="L13" s="456"/>
      <c r="M13" s="457"/>
      <c r="N13" s="457"/>
      <c r="O13" s="457"/>
      <c r="P13" s="452"/>
      <c r="Q13" s="468"/>
      <c r="R13" s="467"/>
      <c r="S13" s="467"/>
      <c r="T13" s="569">
        <f>SUM(mJUL[[#This Row],[PRINCIPAL]:[JUROS]])</f>
        <v>0</v>
      </c>
    </row>
    <row r="14" spans="2:20" ht="21" customHeight="1">
      <c r="B14" s="451" t="str">
        <f t="shared" si="0"/>
        <v>7/26</v>
      </c>
      <c r="C14" s="555" t="e">
        <f>VLOOKUP(mJUL[[#This Row],[CÓDIGO CONTABIL]],Contas_Gerencial[#All],3,FALSE)</f>
        <v>#N/A</v>
      </c>
      <c r="D14" s="445" t="e">
        <f>VLOOKUP(mJUL[[#This Row],[DESCRIÇÃO CONTABIL]],Contas_Gerencial[[#All],[DESCRIÇÃO DA CONTA - NÃO UTILIZAR]:[Código2]],2,FALSE)</f>
        <v>#N/A</v>
      </c>
      <c r="E14" s="453"/>
      <c r="F14" s="452"/>
      <c r="G14" s="107"/>
      <c r="H14" s="466"/>
      <c r="I14" s="481"/>
      <c r="K14" s="453"/>
      <c r="L14" s="456"/>
      <c r="M14" s="457"/>
      <c r="N14" s="457"/>
      <c r="O14" s="457"/>
      <c r="P14" s="452"/>
      <c r="Q14" s="468"/>
      <c r="R14" s="467"/>
      <c r="S14" s="467"/>
      <c r="T14" s="569">
        <f>SUM(mJUL[[#This Row],[PRINCIPAL]:[JUROS]])</f>
        <v>0</v>
      </c>
    </row>
    <row r="15" spans="2:20" ht="21" customHeight="1">
      <c r="B15" s="451" t="str">
        <f t="shared" si="0"/>
        <v>7/26</v>
      </c>
      <c r="C15" s="555" t="e">
        <f>VLOOKUP(mJUL[[#This Row],[CÓDIGO CONTABIL]],Contas_Gerencial[#All],3,FALSE)</f>
        <v>#N/A</v>
      </c>
      <c r="D15" s="445" t="e">
        <f>VLOOKUP(mJUL[[#This Row],[DESCRIÇÃO CONTABIL]],Contas_Gerencial[[#All],[DESCRIÇÃO DA CONTA - NÃO UTILIZAR]:[Código2]],2,FALSE)</f>
        <v>#N/A</v>
      </c>
      <c r="E15" s="453"/>
      <c r="F15" s="452"/>
      <c r="G15" s="107"/>
      <c r="H15" s="466"/>
      <c r="I15" s="481"/>
      <c r="K15" s="453"/>
      <c r="L15" s="456"/>
      <c r="M15" s="457"/>
      <c r="N15" s="457"/>
      <c r="O15" s="457"/>
      <c r="P15" s="452"/>
      <c r="Q15" s="468"/>
      <c r="R15" s="467"/>
      <c r="S15" s="467"/>
      <c r="T15" s="569">
        <f>SUM(mJUL[[#This Row],[PRINCIPAL]:[JUROS]])</f>
        <v>0</v>
      </c>
    </row>
    <row r="16" spans="2:20" ht="21" customHeight="1">
      <c r="B16" s="451" t="str">
        <f t="shared" si="0"/>
        <v>7/26</v>
      </c>
      <c r="C16" s="555" t="e">
        <f>VLOOKUP(mJUL[[#This Row],[CÓDIGO CONTABIL]],Contas_Gerencial[#All],3,FALSE)</f>
        <v>#N/A</v>
      </c>
      <c r="D16" s="445" t="e">
        <f>VLOOKUP(mJUL[[#This Row],[DESCRIÇÃO CONTABIL]],Contas_Gerencial[[#All],[DESCRIÇÃO DA CONTA - NÃO UTILIZAR]:[Código2]],2,FALSE)</f>
        <v>#N/A</v>
      </c>
      <c r="E16" s="453"/>
      <c r="F16" s="452"/>
      <c r="G16" s="107"/>
      <c r="H16" s="466"/>
      <c r="I16" s="481"/>
      <c r="K16" s="453"/>
      <c r="L16" s="456"/>
      <c r="M16" s="457"/>
      <c r="N16" s="457"/>
      <c r="O16" s="457"/>
      <c r="P16" s="452"/>
      <c r="Q16" s="468"/>
      <c r="R16" s="467"/>
      <c r="S16" s="467"/>
      <c r="T16" s="569">
        <f>SUM(mJUL[[#This Row],[PRINCIPAL]:[JUROS]])</f>
        <v>0</v>
      </c>
    </row>
    <row r="17" spans="2:23" ht="21" customHeight="1">
      <c r="B17" s="451" t="str">
        <f t="shared" si="0"/>
        <v>7/26</v>
      </c>
      <c r="C17" s="555" t="e">
        <f>VLOOKUP(mJUL[[#This Row],[CÓDIGO CONTABIL]],Contas_Gerencial[#All],3,FALSE)</f>
        <v>#N/A</v>
      </c>
      <c r="D17" s="445" t="e">
        <f>VLOOKUP(mJUL[[#This Row],[DESCRIÇÃO CONTABIL]],Contas_Gerencial[[#All],[DESCRIÇÃO DA CONTA - NÃO UTILIZAR]:[Código2]],2,FALSE)</f>
        <v>#N/A</v>
      </c>
      <c r="E17" s="453"/>
      <c r="F17" s="452"/>
      <c r="G17" s="107"/>
      <c r="H17" s="466"/>
      <c r="I17" s="481"/>
      <c r="K17" s="453"/>
      <c r="L17" s="456"/>
      <c r="M17" s="457"/>
      <c r="N17" s="457"/>
      <c r="O17" s="457"/>
      <c r="P17" s="452"/>
      <c r="Q17" s="468"/>
      <c r="R17" s="467"/>
      <c r="S17" s="467"/>
      <c r="T17" s="569">
        <f>SUM(mJUL[[#This Row],[PRINCIPAL]:[JUROS]])</f>
        <v>0</v>
      </c>
    </row>
    <row r="18" spans="2:23" ht="21" customHeight="1">
      <c r="B18" s="451" t="str">
        <f t="shared" si="0"/>
        <v>7/26</v>
      </c>
      <c r="C18" s="555" t="e">
        <f>VLOOKUP(mJUL[[#This Row],[CÓDIGO CONTABIL]],Contas_Gerencial[#All],3,FALSE)</f>
        <v>#N/A</v>
      </c>
      <c r="D18" s="445" t="e">
        <f>VLOOKUP(mJUL[[#This Row],[DESCRIÇÃO CONTABIL]],Contas_Gerencial[[#All],[DESCRIÇÃO DA CONTA - NÃO UTILIZAR]:[Código2]],2,FALSE)</f>
        <v>#N/A</v>
      </c>
      <c r="E18" s="453"/>
      <c r="F18" s="452"/>
      <c r="G18" s="107"/>
      <c r="H18" s="466"/>
      <c r="I18" s="481"/>
      <c r="K18" s="453"/>
      <c r="L18" s="456"/>
      <c r="M18" s="457"/>
      <c r="N18" s="457"/>
      <c r="O18" s="457"/>
      <c r="P18" s="452"/>
      <c r="Q18" s="468"/>
      <c r="R18" s="467"/>
      <c r="S18" s="467"/>
      <c r="T18" s="569">
        <f>SUM(mJUL[[#This Row],[PRINCIPAL]:[JUROS]])</f>
        <v>0</v>
      </c>
    </row>
    <row r="19" spans="2:23" ht="21" customHeight="1">
      <c r="B19" s="451" t="str">
        <f>B17</f>
        <v>7/26</v>
      </c>
      <c r="C19" s="555" t="e">
        <f>VLOOKUP(mJUL[[#This Row],[CÓDIGO CONTABIL]],Contas_Gerencial[#All],3,FALSE)</f>
        <v>#N/A</v>
      </c>
      <c r="D19" s="445" t="e">
        <f>VLOOKUP(mJUL[[#This Row],[DESCRIÇÃO CONTABIL]],Contas_Gerencial[[#All],[DESCRIÇÃO DA CONTA - NÃO UTILIZAR]:[Código2]],2,FALSE)</f>
        <v>#N/A</v>
      </c>
      <c r="E19" s="453"/>
      <c r="F19" s="452"/>
      <c r="G19" s="107"/>
      <c r="H19" s="466"/>
      <c r="I19" s="481"/>
      <c r="K19" s="453"/>
      <c r="L19" s="456"/>
      <c r="M19" s="457"/>
      <c r="N19" s="457"/>
      <c r="O19" s="457"/>
      <c r="P19" s="452"/>
      <c r="Q19" s="468"/>
      <c r="R19" s="467"/>
      <c r="S19" s="467"/>
      <c r="T19" s="569">
        <f>SUM(mJUL[[#This Row],[PRINCIPAL]:[JUROS]])</f>
        <v>0</v>
      </c>
    </row>
    <row r="20" spans="2:23" ht="21" customHeight="1">
      <c r="B20" s="451" t="str">
        <f t="shared" si="0"/>
        <v>7/26</v>
      </c>
      <c r="C20" s="555" t="e">
        <f>VLOOKUP(mJUL[[#This Row],[CÓDIGO CONTABIL]],Contas_Gerencial[#All],3,FALSE)</f>
        <v>#N/A</v>
      </c>
      <c r="D20" s="445" t="e">
        <f>VLOOKUP(mJUL[[#This Row],[DESCRIÇÃO CONTABIL]],Contas_Gerencial[[#All],[DESCRIÇÃO DA CONTA - NÃO UTILIZAR]:[Código2]],2,FALSE)</f>
        <v>#N/A</v>
      </c>
      <c r="E20" s="453"/>
      <c r="F20" s="452"/>
      <c r="G20" s="107"/>
      <c r="H20" s="466"/>
      <c r="I20" s="481"/>
      <c r="K20" s="453"/>
      <c r="L20" s="456"/>
      <c r="M20" s="457"/>
      <c r="N20" s="457"/>
      <c r="O20" s="457"/>
      <c r="P20" s="452"/>
      <c r="Q20" s="468"/>
      <c r="R20" s="467"/>
      <c r="S20" s="467"/>
      <c r="T20" s="569">
        <f>SUM(mJUL[[#This Row],[PRINCIPAL]:[JUROS]])</f>
        <v>0</v>
      </c>
    </row>
    <row r="21" spans="2:23" ht="21" customHeight="1">
      <c r="B21" s="121" t="s">
        <v>197</v>
      </c>
      <c r="C21" s="555">
        <f>SUBTOTAL(103,mJUL[CONTA])</f>
        <v>14</v>
      </c>
      <c r="D21" s="445">
        <f>SUBTOTAL(103,mJUL[CÓDIGO CONTABIL])</f>
        <v>14</v>
      </c>
      <c r="E21" s="453">
        <f>SUBTOTAL(103,mJUL[DESCRIÇÃO CONTABIL])</f>
        <v>0</v>
      </c>
      <c r="F21" s="454">
        <f>SUBTOTAL(103,mJUL[EMPRESA])</f>
        <v>0</v>
      </c>
      <c r="G21" s="454">
        <f>SUBTOTAL(103,mJUL[CLIENTE])</f>
        <v>0</v>
      </c>
      <c r="H21" s="453">
        <f>SUBTOTAL(103,mJUL[TIPO DE DOCUMENTO])</f>
        <v>0</v>
      </c>
      <c r="I21" s="455">
        <f>SUBTOTAL(103,mJUL[Nº])</f>
        <v>0</v>
      </c>
      <c r="J21" s="453">
        <f>SUBTOTAL(103,mJUL[FORNECEDOR])</f>
        <v>0</v>
      </c>
      <c r="K21" s="453">
        <f>SUBTOTAL(103,mJUL[DESCRIÇÃO])</f>
        <v>0</v>
      </c>
      <c r="L21" s="622">
        <f>SUBTOTAL(103,mJUL[PARC])</f>
        <v>0</v>
      </c>
      <c r="M21" s="457">
        <f>SUBTOTAL(103,mJUL[EMISSÃO])</f>
        <v>0</v>
      </c>
      <c r="N21" s="457">
        <f>SUBTOTAL(103,mJUL[VENC.])</f>
        <v>0</v>
      </c>
      <c r="O21" s="457">
        <f>SUBTOTAL(103,mJUL[PAGAMENTO])</f>
        <v>0</v>
      </c>
      <c r="P21" s="536">
        <f>SUBTOTAL(103,mJUL[STATUS])</f>
        <v>0</v>
      </c>
      <c r="Q21" s="467">
        <f>SUBTOTAL(109,mJUL[PRINCIPAL])</f>
        <v>0</v>
      </c>
      <c r="R21" s="467">
        <f>SUBTOTAL(109,mJUL[MULTA])</f>
        <v>0</v>
      </c>
      <c r="S21" s="467">
        <f>SUBTOTAL(109,mJUL[JUROS])</f>
        <v>0</v>
      </c>
      <c r="T21" s="569">
        <f>SUBTOTAL(109,mJUL[TOTAL])</f>
        <v>0</v>
      </c>
    </row>
    <row r="22" spans="2:23" ht="21" customHeight="1" thickBot="1">
      <c r="O22" s="493"/>
      <c r="T22" s="443"/>
    </row>
    <row r="23" spans="2:23" ht="21" customHeight="1">
      <c r="E23" s="756" t="s">
        <v>2018</v>
      </c>
      <c r="F23" s="757"/>
      <c r="R23" s="876"/>
    </row>
    <row r="24" spans="2:23" ht="21" customHeight="1">
      <c r="E24" s="758" t="s">
        <v>90</v>
      </c>
      <c r="F24" s="759"/>
      <c r="N24" s="710"/>
      <c r="T24" s="443"/>
    </row>
    <row r="25" spans="2:23" ht="21" customHeight="1">
      <c r="E25" s="760" t="s">
        <v>2016</v>
      </c>
      <c r="F25" s="761"/>
      <c r="N25" s="710"/>
    </row>
    <row r="26" spans="2:23" ht="21" customHeight="1" thickBot="1">
      <c r="E26" s="762" t="s">
        <v>2017</v>
      </c>
      <c r="F26" s="763">
        <f>F24-F25</f>
        <v>0</v>
      </c>
      <c r="N26" s="450"/>
    </row>
    <row r="27" spans="2:23" ht="21" customHeight="1"/>
    <row r="28" spans="2:23" ht="18.600000000000001" thickBot="1">
      <c r="E28" s="765"/>
      <c r="F28" s="521"/>
      <c r="M28" s="745"/>
      <c r="N28" s="745"/>
      <c r="O28" s="745"/>
      <c r="P28" s="744"/>
      <c r="Q28" s="623"/>
    </row>
    <row r="29" spans="2:23" s="102" customFormat="1" ht="18.600000000000001" thickBot="1">
      <c r="B29" s="105"/>
      <c r="C29" s="105"/>
      <c r="D29" s="105"/>
      <c r="E29" s="767" t="s">
        <v>2019</v>
      </c>
      <c r="F29" s="768">
        <f>F24+F25</f>
        <v>0</v>
      </c>
      <c r="G29" s="105"/>
      <c r="H29" s="105"/>
      <c r="I29" s="105"/>
      <c r="L29" s="105"/>
      <c r="M29" s="577"/>
      <c r="N29" s="558"/>
      <c r="O29" s="559"/>
      <c r="P29" s="139"/>
      <c r="Q29" s="576"/>
      <c r="R29" s="139"/>
      <c r="S29" s="560"/>
      <c r="V29" s="442"/>
      <c r="W29" s="442"/>
    </row>
    <row r="30" spans="2:23" s="102" customFormat="1">
      <c r="B30" s="121"/>
      <c r="C30" s="445"/>
      <c r="D30" s="445"/>
      <c r="E30" s="445"/>
      <c r="F30" s="445"/>
      <c r="G30" s="445"/>
      <c r="H30" s="445"/>
      <c r="I30" s="121"/>
      <c r="J30" s="107"/>
      <c r="K30" s="107"/>
      <c r="L30" s="121"/>
      <c r="M30" s="493"/>
      <c r="N30" s="493"/>
      <c r="O30" s="494"/>
      <c r="P30" s="106"/>
      <c r="Q30" s="107"/>
      <c r="R30" s="106"/>
      <c r="S30" s="447"/>
      <c r="T30" s="107"/>
      <c r="V30" s="442"/>
      <c r="W30" s="442"/>
    </row>
  </sheetData>
  <conditionalFormatting sqref="P7:P20">
    <cfRule type="containsText" dxfId="60" priority="224" operator="containsText" text="A PAGAR">
      <formula>NOT(ISERROR(SEARCH("A PAGAR",P7)))</formula>
    </cfRule>
    <cfRule type="containsText" dxfId="59" priority="225" operator="containsText" text="A RECEBER">
      <formula>NOT(ISERROR(SEARCH("A RECEBER",P7)))</formula>
    </cfRule>
    <cfRule type="containsText" dxfId="58" priority="248" operator="containsText" text="A PAGAR">
      <formula>NOT(ISERROR(SEARCH("A PAGAR",P7)))</formula>
    </cfRule>
    <cfRule type="containsText" dxfId="57" priority="249" operator="containsText" text="A RECEBER">
      <formula>NOT(ISERROR(SEARCH("A RECEBER",P7)))</formula>
    </cfRule>
    <cfRule type="containsText" dxfId="56" priority="250" operator="containsText" text="A PAGAR">
      <formula>NOT(ISERROR(SEARCH("A PAGAR",P7)))</formula>
    </cfRule>
    <cfRule type="containsText" dxfId="55" priority="251" operator="containsText" text="A RECEBER">
      <formula>NOT(ISERROR(SEARCH("A RECEBER",P7)))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8" fitToHeight="6" orientation="landscape" horizontalDpi="1200" verticalDpi="1200" r:id="rId1"/>
  <headerFooter>
    <oddHeader>&amp;L             &amp;G</oddHeader>
    <oddFooter>&amp;L&amp;7&amp;Z&amp;F</oddFooter>
  </headerFooter>
  <legacyDrawing r:id="rId2"/>
  <legacyDrawingHF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DD9ABF93-225E-4AB3-8297-560CB80E7A78}">
          <x14:formula1>
            <xm:f>'TA Status'!$B$7:$B$11</xm:f>
          </x14:formula1>
          <xm:sqref>P7:P20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W36"/>
  <sheetViews>
    <sheetView showGridLines="0" topLeftCell="A12" zoomScale="70" zoomScaleNormal="70" zoomScaleSheetLayoutView="79" workbookViewId="0">
      <pane xSplit="7" topLeftCell="L1" activePane="topRight" state="frozen"/>
      <selection pane="topRight" activeCell="G33" sqref="G33"/>
    </sheetView>
  </sheetViews>
  <sheetFormatPr defaultColWidth="9.109375" defaultRowHeight="14.4"/>
  <cols>
    <col min="1" max="1" width="2.109375" style="102" customWidth="1"/>
    <col min="2" max="2" width="19.5546875" style="105" customWidth="1"/>
    <col min="3" max="3" width="30.88671875" style="105" customWidth="1"/>
    <col min="4" max="4" width="30.6640625" style="105" hidden="1" customWidth="1"/>
    <col min="5" max="5" width="47.44140625" style="105" customWidth="1"/>
    <col min="6" max="6" width="20.5546875" style="105" customWidth="1"/>
    <col min="7" max="7" width="40.5546875" style="105" customWidth="1"/>
    <col min="8" max="8" width="26.44140625" style="105" customWidth="1"/>
    <col min="9" max="9" width="22.6640625" style="105" customWidth="1"/>
    <col min="10" max="10" width="46.5546875" style="102" customWidth="1"/>
    <col min="11" max="11" width="76.109375" style="102" customWidth="1"/>
    <col min="12" max="12" width="9.44140625" style="105" customWidth="1"/>
    <col min="13" max="14" width="15.88671875" style="558" customWidth="1"/>
    <col min="15" max="15" width="15.88671875" style="559" customWidth="1"/>
    <col min="16" max="16" width="15.88671875" style="139" customWidth="1"/>
    <col min="17" max="17" width="24.5546875" style="102" bestFit="1" customWidth="1"/>
    <col min="18" max="18" width="15.88671875" style="139" customWidth="1"/>
    <col min="19" max="19" width="15.88671875" style="560" customWidth="1"/>
    <col min="20" max="20" width="24.5546875" style="102" bestFit="1" customWidth="1"/>
    <col min="21" max="21" width="11.33203125" style="102" bestFit="1" customWidth="1"/>
    <col min="22" max="22" width="11.44140625" style="442" bestFit="1" customWidth="1"/>
    <col min="23" max="23" width="13.109375" style="442" bestFit="1" customWidth="1"/>
    <col min="24" max="25" width="11.44140625" style="102" bestFit="1" customWidth="1"/>
    <col min="26" max="31" width="9.109375" style="102"/>
    <col min="32" max="32" width="27.88671875" style="102" customWidth="1"/>
    <col min="33" max="16384" width="9.109375" style="102"/>
  </cols>
  <sheetData>
    <row r="2" spans="2:23" ht="21">
      <c r="C2" s="444" t="s">
        <v>17</v>
      </c>
      <c r="D2" s="445">
        <f>'TA Gerencial'!F2</f>
        <v>2026</v>
      </c>
      <c r="E2" s="553" t="s">
        <v>8</v>
      </c>
      <c r="G2" s="553"/>
      <c r="H2" s="553"/>
      <c r="I2" s="553"/>
      <c r="J2" s="553"/>
      <c r="K2" s="553"/>
      <c r="L2" s="571"/>
      <c r="M2" s="742"/>
      <c r="N2" s="742"/>
      <c r="O2" s="446"/>
      <c r="P2" s="106"/>
      <c r="R2" s="106"/>
      <c r="S2" s="447"/>
    </row>
    <row r="3" spans="2:23" ht="32.25" customHeight="1">
      <c r="C3" s="444" t="s">
        <v>18</v>
      </c>
      <c r="D3" s="106" t="s">
        <v>66</v>
      </c>
      <c r="E3" s="553" t="s">
        <v>16</v>
      </c>
      <c r="F3" s="103"/>
      <c r="G3" s="553"/>
      <c r="H3" s="553"/>
      <c r="I3" s="553"/>
      <c r="J3" s="553"/>
      <c r="K3" s="553"/>
      <c r="L3" s="571"/>
      <c r="M3" s="742"/>
      <c r="N3" s="742"/>
      <c r="O3" s="446"/>
      <c r="P3" s="106"/>
      <c r="R3" s="106"/>
      <c r="S3" s="447"/>
    </row>
    <row r="4" spans="2:23" ht="21">
      <c r="B4" s="556"/>
      <c r="C4" s="444" t="s">
        <v>19</v>
      </c>
      <c r="D4" s="448"/>
      <c r="E4" s="553" t="s">
        <v>42</v>
      </c>
      <c r="G4" s="553"/>
      <c r="H4" s="553"/>
      <c r="I4" s="553"/>
      <c r="J4" s="553"/>
      <c r="K4" s="553"/>
      <c r="L4" s="571"/>
      <c r="M4" s="742"/>
      <c r="N4" s="742"/>
      <c r="O4" s="446"/>
      <c r="P4" s="106"/>
      <c r="R4" s="106"/>
      <c r="S4" s="447"/>
    </row>
    <row r="5" spans="2:23">
      <c r="M5" s="557"/>
    </row>
    <row r="6" spans="2:23" s="107" customFormat="1" ht="41.25" customHeight="1">
      <c r="B6" s="561" t="s">
        <v>192</v>
      </c>
      <c r="C6" s="562" t="s">
        <v>11</v>
      </c>
      <c r="D6" s="562" t="s">
        <v>193</v>
      </c>
      <c r="E6" s="563" t="s">
        <v>23</v>
      </c>
      <c r="F6" s="563" t="s">
        <v>40</v>
      </c>
      <c r="G6" s="563" t="s">
        <v>87</v>
      </c>
      <c r="H6" s="561" t="s">
        <v>12</v>
      </c>
      <c r="I6" s="172" t="s">
        <v>4</v>
      </c>
      <c r="J6" s="561" t="s">
        <v>245</v>
      </c>
      <c r="K6" s="561" t="s">
        <v>0</v>
      </c>
      <c r="L6" s="561" t="s">
        <v>7</v>
      </c>
      <c r="M6" s="564" t="s">
        <v>13</v>
      </c>
      <c r="N6" s="564" t="s">
        <v>14</v>
      </c>
      <c r="O6" s="564" t="s">
        <v>2</v>
      </c>
      <c r="P6" s="565" t="s">
        <v>212</v>
      </c>
      <c r="Q6" s="561" t="s">
        <v>285</v>
      </c>
      <c r="R6" s="566" t="s">
        <v>283</v>
      </c>
      <c r="S6" s="567" t="s">
        <v>55</v>
      </c>
      <c r="T6" s="561" t="s">
        <v>284</v>
      </c>
      <c r="V6" s="743"/>
      <c r="W6" s="743"/>
    </row>
    <row r="7" spans="2:23" ht="21" customHeight="1">
      <c r="B7" s="451" t="str">
        <f>CONCATENATE('TA Gerencial'!O2,'TA Gerencial'!H4,'TA Gerencial'!H3)</f>
        <v>8/26</v>
      </c>
      <c r="C7" s="121" t="e">
        <f>VLOOKUP(mAGO[[#This Row],[CÓDIGO CONTABIL]],Contas_Gerencial[#All],3,FALSE)</f>
        <v>#N/A</v>
      </c>
      <c r="D7" s="445" t="e">
        <f>VLOOKUP(mAGO[[#This Row],[DESCRIÇÃO CONTABIL]],Contas_Gerencial[[#All],[DESCRIÇÃO DA CONTA - NÃO UTILIZAR]:[Código2]],2,FALSE)</f>
        <v>#N/A</v>
      </c>
      <c r="E7" s="453"/>
      <c r="F7" s="452"/>
      <c r="G7" s="107"/>
      <c r="H7" s="466"/>
      <c r="I7" s="466"/>
      <c r="J7" s="453"/>
      <c r="K7" s="503"/>
      <c r="L7" s="456"/>
      <c r="M7" s="457"/>
      <c r="N7" s="457"/>
      <c r="O7" s="457"/>
      <c r="P7" s="452"/>
      <c r="Q7" s="467"/>
      <c r="R7" s="467"/>
      <c r="S7" s="467"/>
      <c r="T7" s="569">
        <f>SUM(mAGO[[#This Row],[PRINCIPAL]:[JUROS]])</f>
        <v>0</v>
      </c>
      <c r="V7" s="586"/>
      <c r="W7" s="586"/>
    </row>
    <row r="8" spans="2:23" ht="21" customHeight="1">
      <c r="B8" s="451" t="str">
        <f>B7</f>
        <v>8/26</v>
      </c>
      <c r="C8" s="121" t="e">
        <f>VLOOKUP(mAGO[[#This Row],[CÓDIGO CONTABIL]],Contas_Gerencial[#All],3,FALSE)</f>
        <v>#N/A</v>
      </c>
      <c r="D8" s="445" t="e">
        <f>VLOOKUP(mAGO[[#This Row],[DESCRIÇÃO CONTABIL]],Contas_Gerencial[[#All],[DESCRIÇÃO DA CONTA - NÃO UTILIZAR]:[Código2]],2,FALSE)</f>
        <v>#N/A</v>
      </c>
      <c r="E8" s="453"/>
      <c r="F8" s="454"/>
      <c r="G8" s="454"/>
      <c r="H8" s="453"/>
      <c r="I8" s="455"/>
      <c r="J8" s="453"/>
      <c r="K8" s="503"/>
      <c r="L8" s="452"/>
      <c r="M8" s="457"/>
      <c r="N8" s="457"/>
      <c r="O8" s="457"/>
      <c r="P8" s="452"/>
      <c r="Q8" s="467"/>
      <c r="R8" s="459"/>
      <c r="S8" s="459"/>
      <c r="T8" s="569">
        <f>SUM(mAGO[[#This Row],[PRINCIPAL]:[JUROS]])</f>
        <v>0</v>
      </c>
      <c r="V8" s="586"/>
      <c r="W8" s="586"/>
    </row>
    <row r="9" spans="2:23" ht="21" customHeight="1">
      <c r="B9" s="451" t="str">
        <f t="shared" ref="B9:B20" si="0">B8</f>
        <v>8/26</v>
      </c>
      <c r="C9" s="121" t="e">
        <f>VLOOKUP(mAGO[[#This Row],[CÓDIGO CONTABIL]],Contas_Gerencial[#All],3,FALSE)</f>
        <v>#N/A</v>
      </c>
      <c r="D9" s="445" t="e">
        <f>VLOOKUP(mAGO[[#This Row],[DESCRIÇÃO CONTABIL]],Contas_Gerencial[[#All],[DESCRIÇÃO DA CONTA - NÃO UTILIZAR]:[Código2]],2,FALSE)</f>
        <v>#N/A</v>
      </c>
      <c r="E9" s="453"/>
      <c r="F9" s="454"/>
      <c r="G9" s="454"/>
      <c r="H9" s="453"/>
      <c r="I9" s="455"/>
      <c r="J9" s="453"/>
      <c r="K9" s="453"/>
      <c r="L9" s="452"/>
      <c r="M9" s="457"/>
      <c r="N9" s="457"/>
      <c r="O9" s="457"/>
      <c r="P9" s="452"/>
      <c r="Q9" s="467"/>
      <c r="R9" s="459"/>
      <c r="S9" s="459"/>
      <c r="T9" s="569">
        <f>SUM(mAGO[[#This Row],[PRINCIPAL]:[JUROS]])</f>
        <v>0</v>
      </c>
    </row>
    <row r="10" spans="2:23" ht="21" customHeight="1">
      <c r="B10" s="451" t="str">
        <f t="shared" si="0"/>
        <v>8/26</v>
      </c>
      <c r="C10" s="121" t="e">
        <f>VLOOKUP(mAGO[[#This Row],[CÓDIGO CONTABIL]],Contas_Gerencial[#All],3,FALSE)</f>
        <v>#N/A</v>
      </c>
      <c r="D10" s="445" t="e">
        <f>VLOOKUP(mAGO[[#This Row],[DESCRIÇÃO CONTABIL]],Contas_Gerencial[[#All],[DESCRIÇÃO DA CONTA - NÃO UTILIZAR]:[Código2]],2,FALSE)</f>
        <v>#N/A</v>
      </c>
      <c r="E10" s="453"/>
      <c r="F10" s="454"/>
      <c r="G10" s="454"/>
      <c r="H10" s="453"/>
      <c r="I10" s="455"/>
      <c r="J10" s="453"/>
      <c r="K10" s="453"/>
      <c r="L10" s="452"/>
      <c r="M10" s="457"/>
      <c r="N10" s="457"/>
      <c r="O10" s="457"/>
      <c r="P10" s="452"/>
      <c r="Q10" s="467"/>
      <c r="R10" s="459"/>
      <c r="S10" s="459"/>
      <c r="T10" s="569">
        <f>SUM(mAGO[[#This Row],[PRINCIPAL]:[JUROS]])</f>
        <v>0</v>
      </c>
    </row>
    <row r="11" spans="2:23" ht="21" customHeight="1">
      <c r="B11" s="451" t="str">
        <f t="shared" si="0"/>
        <v>8/26</v>
      </c>
      <c r="C11" s="121" t="e">
        <f>VLOOKUP(mAGO[[#This Row],[CÓDIGO CONTABIL]],Contas_Gerencial[#All],3,FALSE)</f>
        <v>#N/A</v>
      </c>
      <c r="D11" s="445" t="e">
        <f>VLOOKUP(mAGO[[#This Row],[DESCRIÇÃO CONTABIL]],Contas_Gerencial[[#All],[DESCRIÇÃO DA CONTA - NÃO UTILIZAR]:[Código2]],2,FALSE)</f>
        <v>#N/A</v>
      </c>
      <c r="E11" s="453"/>
      <c r="F11" s="454"/>
      <c r="G11" s="454"/>
      <c r="H11" s="453"/>
      <c r="I11" s="455"/>
      <c r="J11" s="453"/>
      <c r="K11" s="453"/>
      <c r="L11" s="452"/>
      <c r="M11" s="457"/>
      <c r="N11" s="457"/>
      <c r="O11" s="457"/>
      <c r="P11" s="452"/>
      <c r="Q11" s="458"/>
      <c r="R11" s="459"/>
      <c r="S11" s="459"/>
      <c r="T11" s="569">
        <f>SUM(mAGO[[#This Row],[PRINCIPAL]:[JUROS]])</f>
        <v>0</v>
      </c>
    </row>
    <row r="12" spans="2:23" ht="21" customHeight="1">
      <c r="B12" s="451" t="str">
        <f t="shared" si="0"/>
        <v>8/26</v>
      </c>
      <c r="C12" s="121" t="e">
        <f>VLOOKUP(mAGO[[#This Row],[CÓDIGO CONTABIL]],Contas_Gerencial[#All],3,FALSE)</f>
        <v>#N/A</v>
      </c>
      <c r="D12" s="445" t="e">
        <f>VLOOKUP(mAGO[[#This Row],[DESCRIÇÃO CONTABIL]],Contas_Gerencial[[#All],[DESCRIÇÃO DA CONTA - NÃO UTILIZAR]:[Código2]],2,FALSE)</f>
        <v>#N/A</v>
      </c>
      <c r="E12" s="453"/>
      <c r="F12" s="454"/>
      <c r="G12" s="454"/>
      <c r="H12" s="453"/>
      <c r="I12" s="455"/>
      <c r="J12" s="453"/>
      <c r="K12" s="453"/>
      <c r="L12" s="452"/>
      <c r="M12" s="457"/>
      <c r="N12" s="457"/>
      <c r="O12" s="457"/>
      <c r="P12" s="452"/>
      <c r="Q12" s="467"/>
      <c r="R12" s="459"/>
      <c r="S12" s="459"/>
      <c r="T12" s="569">
        <f>SUM(mAGO[[#This Row],[PRINCIPAL]:[JUROS]])</f>
        <v>0</v>
      </c>
    </row>
    <row r="13" spans="2:23" ht="21" customHeight="1">
      <c r="B13" s="451" t="str">
        <f t="shared" si="0"/>
        <v>8/26</v>
      </c>
      <c r="C13" s="121" t="e">
        <f>VLOOKUP(mAGO[[#This Row],[CÓDIGO CONTABIL]],Contas_Gerencial[#All],3,FALSE)</f>
        <v>#N/A</v>
      </c>
      <c r="D13" s="445" t="e">
        <f>VLOOKUP(mAGO[[#This Row],[DESCRIÇÃO CONTABIL]],Contas_Gerencial[[#All],[DESCRIÇÃO DA CONTA - NÃO UTILIZAR]:[Código2]],2,FALSE)</f>
        <v>#N/A</v>
      </c>
      <c r="E13" s="453"/>
      <c r="F13" s="454"/>
      <c r="G13" s="454"/>
      <c r="H13" s="453"/>
      <c r="I13" s="455"/>
      <c r="J13" s="453"/>
      <c r="K13" s="453"/>
      <c r="L13" s="452"/>
      <c r="M13" s="457"/>
      <c r="N13" s="457"/>
      <c r="O13" s="457"/>
      <c r="P13" s="452"/>
      <c r="Q13" s="458"/>
      <c r="R13" s="459"/>
      <c r="S13" s="459"/>
      <c r="T13" s="569">
        <f>SUM(mAGO[[#This Row],[PRINCIPAL]:[JUROS]])</f>
        <v>0</v>
      </c>
    </row>
    <row r="14" spans="2:23" ht="21" customHeight="1">
      <c r="B14" s="451" t="str">
        <f t="shared" si="0"/>
        <v>8/26</v>
      </c>
      <c r="C14" s="121" t="e">
        <f>VLOOKUP(mAGO[[#This Row],[CÓDIGO CONTABIL]],Contas_Gerencial[#All],3,FALSE)</f>
        <v>#N/A</v>
      </c>
      <c r="D14" s="445" t="e">
        <f>VLOOKUP(mAGO[[#This Row],[DESCRIÇÃO CONTABIL]],Contas_Gerencial[[#All],[DESCRIÇÃO DA CONTA - NÃO UTILIZAR]:[Código2]],2,FALSE)</f>
        <v>#N/A</v>
      </c>
      <c r="E14" s="453"/>
      <c r="F14" s="453"/>
      <c r="G14" s="453"/>
      <c r="H14" s="453"/>
      <c r="I14" s="455"/>
      <c r="J14" s="453"/>
      <c r="K14" s="453"/>
      <c r="L14" s="452"/>
      <c r="M14" s="457"/>
      <c r="N14" s="457"/>
      <c r="O14" s="457"/>
      <c r="P14" s="452"/>
      <c r="Q14" s="458"/>
      <c r="R14" s="459"/>
      <c r="S14" s="459"/>
      <c r="T14" s="569">
        <f>SUM(mAGO[[#This Row],[PRINCIPAL]:[JUROS]])</f>
        <v>0</v>
      </c>
    </row>
    <row r="15" spans="2:23" ht="21" customHeight="1">
      <c r="B15" s="451" t="str">
        <f t="shared" si="0"/>
        <v>8/26</v>
      </c>
      <c r="C15" s="121" t="e">
        <f>VLOOKUP(mAGO[[#This Row],[CÓDIGO CONTABIL]],Contas_Gerencial[#All],3,FALSE)</f>
        <v>#N/A</v>
      </c>
      <c r="D15" s="445" t="e">
        <f>VLOOKUP(mAGO[[#This Row],[DESCRIÇÃO CONTABIL]],Contas_Gerencial[[#All],[DESCRIÇÃO DA CONTA - NÃO UTILIZAR]:[Código2]],2,FALSE)</f>
        <v>#N/A</v>
      </c>
      <c r="E15" s="453"/>
      <c r="F15" s="454"/>
      <c r="G15" s="454"/>
      <c r="H15" s="453"/>
      <c r="I15" s="455"/>
      <c r="J15" s="453"/>
      <c r="K15" s="453"/>
      <c r="L15" s="452"/>
      <c r="M15" s="457"/>
      <c r="N15" s="457"/>
      <c r="O15" s="457"/>
      <c r="P15" s="452"/>
      <c r="Q15" s="458"/>
      <c r="R15" s="459"/>
      <c r="S15" s="459"/>
      <c r="T15" s="569">
        <f>SUM(mAGO[[#This Row],[PRINCIPAL]:[JUROS]])</f>
        <v>0</v>
      </c>
    </row>
    <row r="16" spans="2:23" ht="21" customHeight="1">
      <c r="B16" s="451" t="str">
        <f t="shared" si="0"/>
        <v>8/26</v>
      </c>
      <c r="C16" s="121" t="e">
        <f>VLOOKUP(mAGO[[#This Row],[CÓDIGO CONTABIL]],Contas_Gerencial[#All],3,FALSE)</f>
        <v>#N/A</v>
      </c>
      <c r="D16" s="445" t="e">
        <f>VLOOKUP(mAGO[[#This Row],[DESCRIÇÃO CONTABIL]],Contas_Gerencial[[#All],[DESCRIÇÃO DA CONTA - NÃO UTILIZAR]:[Código2]],2,FALSE)</f>
        <v>#N/A</v>
      </c>
      <c r="E16" s="453"/>
      <c r="F16" s="454"/>
      <c r="G16" s="454"/>
      <c r="H16" s="453"/>
      <c r="I16" s="455"/>
      <c r="J16" s="453"/>
      <c r="K16" s="453"/>
      <c r="L16" s="452"/>
      <c r="M16" s="457"/>
      <c r="N16" s="457"/>
      <c r="O16" s="457"/>
      <c r="P16" s="452"/>
      <c r="Q16" s="458"/>
      <c r="R16" s="459"/>
      <c r="S16" s="459"/>
      <c r="T16" s="569">
        <f>SUM(mAGO[[#This Row],[PRINCIPAL]:[JUROS]])</f>
        <v>0</v>
      </c>
    </row>
    <row r="17" spans="2:23" ht="21" customHeight="1">
      <c r="B17" s="451" t="str">
        <f t="shared" si="0"/>
        <v>8/26</v>
      </c>
      <c r="C17" s="121" t="e">
        <f>VLOOKUP(mAGO[[#This Row],[CÓDIGO CONTABIL]],Contas_Gerencial[#All],3,FALSE)</f>
        <v>#N/A</v>
      </c>
      <c r="D17" s="445" t="e">
        <f>VLOOKUP(mAGO[[#This Row],[DESCRIÇÃO CONTABIL]],Contas_Gerencial[[#All],[DESCRIÇÃO DA CONTA - NÃO UTILIZAR]:[Código2]],2,FALSE)</f>
        <v>#N/A</v>
      </c>
      <c r="E17" s="453"/>
      <c r="F17" s="466"/>
      <c r="G17" s="503"/>
      <c r="H17" s="453"/>
      <c r="I17" s="481"/>
      <c r="J17" s="453"/>
      <c r="K17" s="466"/>
      <c r="L17" s="469"/>
      <c r="M17" s="457"/>
      <c r="N17" s="457"/>
      <c r="O17" s="457"/>
      <c r="P17" s="470"/>
      <c r="Q17" s="471"/>
      <c r="R17" s="471"/>
      <c r="S17" s="471"/>
      <c r="T17" s="569">
        <f>SUM(mAGO[[#This Row],[PRINCIPAL]:[JUROS]])</f>
        <v>0</v>
      </c>
    </row>
    <row r="18" spans="2:23" ht="21" customHeight="1">
      <c r="B18" s="451" t="str">
        <f t="shared" si="0"/>
        <v>8/26</v>
      </c>
      <c r="C18" s="121" t="e">
        <f>VLOOKUP(mAGO[[#This Row],[CÓDIGO CONTABIL]],Contas_Gerencial[#All],3,FALSE)</f>
        <v>#N/A</v>
      </c>
      <c r="D18" s="445" t="e">
        <f>VLOOKUP(mAGO[[#This Row],[DESCRIÇÃO CONTABIL]],Contas_Gerencial[[#All],[DESCRIÇÃO DA CONTA - NÃO UTILIZAR]:[Código2]],2,FALSE)</f>
        <v>#N/A</v>
      </c>
      <c r="E18" s="453"/>
      <c r="F18" s="452"/>
      <c r="G18" s="107"/>
      <c r="H18" s="466"/>
      <c r="I18" s="520"/>
      <c r="J18" s="107"/>
      <c r="K18" s="503"/>
      <c r="L18" s="456"/>
      <c r="M18" s="457"/>
      <c r="N18" s="457"/>
      <c r="O18" s="457"/>
      <c r="P18" s="452"/>
      <c r="Q18" s="467"/>
      <c r="R18" s="467"/>
      <c r="S18" s="467"/>
      <c r="T18" s="569">
        <f>SUM(mAGO[[#This Row],[PRINCIPAL]:[JUROS]])</f>
        <v>0</v>
      </c>
      <c r="V18" s="586"/>
      <c r="W18" s="586"/>
    </row>
    <row r="19" spans="2:23" ht="21" customHeight="1">
      <c r="B19" s="451" t="str">
        <f t="shared" si="0"/>
        <v>8/26</v>
      </c>
      <c r="C19" s="121" t="e">
        <f>VLOOKUP(mAGO[[#This Row],[CÓDIGO CONTABIL]],Contas_Gerencial[#All],3,FALSE)</f>
        <v>#N/A</v>
      </c>
      <c r="D19" s="445" t="e">
        <f>VLOOKUP(mAGO[[#This Row],[DESCRIÇÃO CONTABIL]],Contas_Gerencial[[#All],[DESCRIÇÃO DA CONTA - NÃO UTILIZAR]:[Código2]],2,FALSE)</f>
        <v>#N/A</v>
      </c>
      <c r="E19" s="107"/>
      <c r="F19" s="452"/>
      <c r="G19" s="107"/>
      <c r="H19" s="466"/>
      <c r="I19" s="481"/>
      <c r="J19" s="107"/>
      <c r="K19" s="121"/>
      <c r="L19" s="456"/>
      <c r="M19" s="457"/>
      <c r="N19" s="457"/>
      <c r="O19" s="457"/>
      <c r="P19" s="452"/>
      <c r="Q19" s="483"/>
      <c r="R19" s="482"/>
      <c r="S19" s="482"/>
      <c r="T19" s="569">
        <f>SUM(mAGO[[#This Row],[PRINCIPAL]:[JUROS]])</f>
        <v>0</v>
      </c>
      <c r="V19" s="586"/>
      <c r="W19" s="586"/>
    </row>
    <row r="20" spans="2:23" ht="21" customHeight="1">
      <c r="B20" s="451" t="str">
        <f t="shared" si="0"/>
        <v>8/26</v>
      </c>
      <c r="C20" s="121" t="e">
        <f>VLOOKUP(mAGO[[#This Row],[CÓDIGO CONTABIL]],Contas_Gerencial[#All],3,FALSE)</f>
        <v>#N/A</v>
      </c>
      <c r="D20" s="445" t="e">
        <f>VLOOKUP(mAGO[[#This Row],[DESCRIÇÃO CONTABIL]],Contas_Gerencial[[#All],[DESCRIÇÃO DA CONTA - NÃO UTILIZAR]:[Código2]],2,FALSE)</f>
        <v>#N/A</v>
      </c>
      <c r="E20" s="453"/>
      <c r="F20" s="452"/>
      <c r="G20" s="107"/>
      <c r="H20" s="466"/>
      <c r="I20" s="481"/>
      <c r="J20" s="107"/>
      <c r="K20" s="453"/>
      <c r="L20" s="456"/>
      <c r="M20" s="457"/>
      <c r="N20" s="457"/>
      <c r="O20" s="457"/>
      <c r="P20" s="452"/>
      <c r="Q20" s="468"/>
      <c r="R20" s="482"/>
      <c r="S20" s="482"/>
      <c r="T20" s="569">
        <f>SUM(mAGO[[#This Row],[PRINCIPAL]:[JUROS]])</f>
        <v>0</v>
      </c>
      <c r="V20" s="586"/>
      <c r="W20" s="586"/>
    </row>
    <row r="21" spans="2:23" ht="21" customHeight="1">
      <c r="B21" s="489" t="s">
        <v>197</v>
      </c>
      <c r="C21" s="489"/>
      <c r="D21" s="744"/>
      <c r="E21" s="489"/>
      <c r="F21" s="489"/>
      <c r="G21" s="489"/>
      <c r="H21" s="489"/>
      <c r="I21" s="489"/>
      <c r="J21" s="489"/>
      <c r="K21" s="489"/>
      <c r="L21" s="489"/>
      <c r="M21" s="745"/>
      <c r="N21" s="745"/>
      <c r="O21" s="745"/>
      <c r="P21" s="744"/>
      <c r="Q21" s="623">
        <f>SUBTOTAL(109,mAGO[PRINCIPAL])</f>
        <v>0</v>
      </c>
      <c r="R21" s="623">
        <f>SUBTOTAL(109,mAGO[MULTA])</f>
        <v>0</v>
      </c>
      <c r="S21" s="458">
        <f>SUBTOTAL(109,mAGO[JUROS])</f>
        <v>0</v>
      </c>
      <c r="T21" s="624">
        <f>SUBTOTAL(109,mAGO[TOTAL])</f>
        <v>0</v>
      </c>
    </row>
    <row r="22" spans="2:23" ht="21" customHeight="1">
      <c r="B22" s="489"/>
      <c r="C22" s="489"/>
      <c r="D22" s="744"/>
      <c r="E22" s="489"/>
      <c r="F22" s="489"/>
      <c r="G22" s="489"/>
      <c r="H22" s="489"/>
      <c r="I22" s="489"/>
      <c r="J22" s="489"/>
      <c r="K22" s="489"/>
      <c r="L22" s="489"/>
      <c r="M22" s="745"/>
      <c r="N22" s="745"/>
      <c r="O22" s="745"/>
      <c r="P22" s="744"/>
      <c r="Q22" s="623"/>
      <c r="R22" s="623"/>
      <c r="S22" s="458"/>
      <c r="T22" s="624"/>
    </row>
    <row r="23" spans="2:23" ht="21" customHeight="1">
      <c r="B23" s="489"/>
      <c r="C23" s="489"/>
      <c r="D23" s="744"/>
      <c r="E23" s="489"/>
      <c r="F23" s="489"/>
      <c r="G23" s="489"/>
      <c r="H23" s="489"/>
      <c r="I23" s="489"/>
      <c r="J23" s="489"/>
      <c r="K23" s="489"/>
      <c r="L23" s="489"/>
      <c r="M23" s="745"/>
      <c r="N23" s="745"/>
      <c r="O23" s="745"/>
      <c r="P23" s="744"/>
      <c r="Q23" s="623"/>
      <c r="R23" s="623"/>
      <c r="S23" s="458"/>
      <c r="T23" s="624"/>
    </row>
    <row r="24" spans="2:23" ht="21" customHeight="1" thickBot="1">
      <c r="B24" s="489"/>
      <c r="C24" s="489"/>
      <c r="D24" s="744"/>
      <c r="E24" s="489"/>
      <c r="F24" s="489"/>
      <c r="G24" s="489"/>
      <c r="H24" s="489"/>
      <c r="I24" s="489"/>
      <c r="J24" s="489"/>
      <c r="K24" s="489"/>
      <c r="L24" s="489"/>
      <c r="M24" s="745"/>
      <c r="N24" s="745"/>
      <c r="O24" s="745"/>
      <c r="P24" s="744"/>
      <c r="Q24" s="623"/>
      <c r="R24" s="623"/>
      <c r="S24" s="458"/>
      <c r="T24" s="624"/>
    </row>
    <row r="25" spans="2:23" ht="15.6">
      <c r="B25" s="121"/>
      <c r="C25" s="445"/>
      <c r="D25" s="445"/>
      <c r="E25" s="756" t="s">
        <v>2018</v>
      </c>
      <c r="F25" s="757"/>
      <c r="G25" s="445"/>
      <c r="H25" s="445"/>
      <c r="I25" s="121"/>
      <c r="J25" s="107"/>
      <c r="K25" s="107"/>
      <c r="L25" s="121"/>
      <c r="M25" s="745"/>
      <c r="N25" s="745"/>
      <c r="O25" s="745"/>
      <c r="P25" s="744"/>
      <c r="Q25" s="623"/>
      <c r="R25" s="106"/>
      <c r="S25" s="447"/>
      <c r="T25" s="107"/>
      <c r="V25" s="766"/>
      <c r="W25" s="766"/>
    </row>
    <row r="26" spans="2:23" ht="24" customHeight="1">
      <c r="B26" s="121"/>
      <c r="C26" s="445"/>
      <c r="D26" s="445"/>
      <c r="E26" s="758" t="s">
        <v>90</v>
      </c>
      <c r="F26" s="759"/>
      <c r="G26" s="445"/>
      <c r="H26" s="445"/>
      <c r="I26" s="121"/>
      <c r="J26" s="107"/>
      <c r="K26" s="107"/>
      <c r="L26" s="121"/>
      <c r="M26" s="745"/>
      <c r="N26" s="745"/>
      <c r="O26" s="745"/>
      <c r="P26" s="744"/>
      <c r="Q26" s="623"/>
      <c r="R26" s="106"/>
      <c r="S26" s="447"/>
      <c r="T26" s="107"/>
    </row>
    <row r="27" spans="2:23" ht="18">
      <c r="B27" s="121"/>
      <c r="C27" s="445"/>
      <c r="D27" s="445"/>
      <c r="E27" s="760" t="s">
        <v>2016</v>
      </c>
      <c r="F27" s="761"/>
      <c r="G27" s="445"/>
      <c r="H27" s="445"/>
      <c r="I27" s="121"/>
      <c r="J27" s="107"/>
      <c r="K27" s="107"/>
      <c r="L27" s="121"/>
      <c r="M27" s="745"/>
      <c r="N27" s="745"/>
      <c r="O27" s="745"/>
      <c r="P27" s="744"/>
      <c r="Q27" s="623"/>
      <c r="R27" s="106"/>
      <c r="S27" s="447"/>
      <c r="T27" s="107"/>
    </row>
    <row r="28" spans="2:23" ht="18.600000000000001" thickBot="1">
      <c r="B28" s="121"/>
      <c r="C28" s="445"/>
      <c r="D28" s="445"/>
      <c r="E28" s="762" t="s">
        <v>2017</v>
      </c>
      <c r="F28" s="763">
        <f>F26-F27</f>
        <v>0</v>
      </c>
      <c r="G28" s="445"/>
      <c r="H28" s="445"/>
      <c r="I28" s="121"/>
      <c r="J28" s="107"/>
      <c r="K28" s="107"/>
      <c r="L28" s="121"/>
      <c r="M28" s="745"/>
      <c r="N28" s="745"/>
      <c r="O28" s="745"/>
      <c r="P28" s="744"/>
      <c r="Q28" s="623"/>
      <c r="R28" s="106"/>
      <c r="S28" s="447"/>
      <c r="T28" s="107"/>
    </row>
    <row r="29" spans="2:23" ht="18.600000000000001" thickBot="1">
      <c r="B29" s="121"/>
      <c r="C29" s="445"/>
      <c r="D29" s="445"/>
      <c r="E29" s="765"/>
      <c r="F29" s="521"/>
      <c r="G29" s="445"/>
      <c r="H29" s="445"/>
      <c r="I29" s="121"/>
      <c r="J29" s="107"/>
      <c r="K29" s="107"/>
      <c r="L29" s="121"/>
      <c r="M29" s="745"/>
      <c r="N29" s="745"/>
      <c r="O29" s="745"/>
      <c r="P29" s="744"/>
      <c r="Q29" s="623"/>
      <c r="R29" s="106"/>
      <c r="S29" s="447"/>
      <c r="T29" s="107"/>
    </row>
    <row r="30" spans="2:23" ht="18.600000000000001" thickBot="1">
      <c r="E30" s="767" t="s">
        <v>2019</v>
      </c>
      <c r="F30" s="768">
        <f>F26+F27</f>
        <v>0</v>
      </c>
      <c r="M30" s="577"/>
      <c r="Q30" s="576"/>
    </row>
    <row r="32" spans="2:23">
      <c r="Q32" s="576"/>
    </row>
    <row r="33" spans="5:17">
      <c r="E33" s="764"/>
      <c r="F33" s="577"/>
    </row>
    <row r="34" spans="5:17">
      <c r="E34" s="764"/>
      <c r="F34" s="577"/>
    </row>
    <row r="35" spans="5:17">
      <c r="F35" s="667"/>
    </row>
    <row r="36" spans="5:17">
      <c r="Q36" s="576"/>
    </row>
  </sheetData>
  <conditionalFormatting sqref="P7:P8">
    <cfRule type="containsText" dxfId="54" priority="157" operator="containsText" text="A PAGAR">
      <formula>NOT(ISERROR(SEARCH("A PAGAR",P7)))</formula>
    </cfRule>
    <cfRule type="containsText" dxfId="53" priority="158" operator="containsText" text="A RECEBER">
      <formula>NOT(ISERROR(SEARCH("A RECEBER",P7)))</formula>
    </cfRule>
    <cfRule type="containsText" dxfId="52" priority="159" operator="containsText" text="A PAGAR">
      <formula>NOT(ISERROR(SEARCH("A PAGAR",P7)))</formula>
    </cfRule>
    <cfRule type="containsText" dxfId="51" priority="160" operator="containsText" text="A RECEBER">
      <formula>NOT(ISERROR(SEARCH("A RECEBER",P7)))</formula>
    </cfRule>
    <cfRule type="containsText" dxfId="50" priority="161" operator="containsText" text="A PAGAR">
      <formula>NOT(ISERROR(SEARCH("A PAGAR",P7)))</formula>
    </cfRule>
    <cfRule type="containsText" dxfId="49" priority="162" operator="containsText" text="A RECEBER">
      <formula>NOT(ISERROR(SEARCH("A RECEBER",P7)))</formula>
    </cfRule>
  </conditionalFormatting>
  <conditionalFormatting sqref="P8:P16">
    <cfRule type="containsText" dxfId="48" priority="149" operator="containsText" text="A PAGAR">
      <formula>NOT(ISERROR(SEARCH("A PAGAR",P8)))</formula>
    </cfRule>
    <cfRule type="containsText" dxfId="47" priority="150" operator="containsText" text="A RECEBER">
      <formula>NOT(ISERROR(SEARCH("A RECEBER",P8)))</formula>
    </cfRule>
  </conditionalFormatting>
  <conditionalFormatting sqref="P18:P20">
    <cfRule type="containsText" dxfId="46" priority="115" operator="containsText" text="A PAGAR">
      <formula>NOT(ISERROR(SEARCH("A PAGAR",P18)))</formula>
    </cfRule>
    <cfRule type="containsText" dxfId="45" priority="116" operator="containsText" text="A RECEBER">
      <formula>NOT(ISERROR(SEARCH("A RECEBER",P18)))</formula>
    </cfRule>
    <cfRule type="containsText" dxfId="44" priority="139" operator="containsText" text="A PAGAR">
      <formula>NOT(ISERROR(SEARCH("A PAGAR",P18)))</formula>
    </cfRule>
    <cfRule type="containsText" dxfId="43" priority="140" operator="containsText" text="A RECEBER">
      <formula>NOT(ISERROR(SEARCH("A RECEBER",P18)))</formula>
    </cfRule>
    <cfRule type="containsText" dxfId="42" priority="141" operator="containsText" text="A PAGAR">
      <formula>NOT(ISERROR(SEARCH("A PAGAR",P18)))</formula>
    </cfRule>
    <cfRule type="containsText" dxfId="41" priority="142" operator="containsText" text="A RECEBER">
      <formula>NOT(ISERROR(SEARCH("A RECEBER",P18)))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8" fitToHeight="6" orientation="landscape" horizontalDpi="1200" verticalDpi="1200" r:id="rId1"/>
  <headerFooter>
    <oddHeader>&amp;L             &amp;G</oddHeader>
    <oddFooter>&amp;L&amp;7&amp;Z&amp;F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3C9ADC0A-2880-42C2-A3F1-8DAA74E36120}">
          <x14:formula1>
            <xm:f>'TA Status'!$B$7:$B$11</xm:f>
          </x14:formula1>
          <xm:sqref>P7 P18:P20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AC37"/>
  <sheetViews>
    <sheetView showGridLines="0" zoomScale="70" zoomScaleNormal="70" zoomScaleSheetLayoutView="79" workbookViewId="0">
      <pane xSplit="7" topLeftCell="O1" activePane="topRight" state="frozen"/>
      <selection activeCell="A2" sqref="A2"/>
      <selection pane="topRight" activeCell="R16" sqref="R16"/>
    </sheetView>
  </sheetViews>
  <sheetFormatPr defaultColWidth="9.109375" defaultRowHeight="21" customHeight="1"/>
  <cols>
    <col min="1" max="1" width="2.109375" style="102" customWidth="1"/>
    <col min="2" max="2" width="19.5546875" style="103" customWidth="1"/>
    <col min="3" max="3" width="28.6640625" style="105" customWidth="1"/>
    <col min="4" max="4" width="7" style="105" hidden="1" customWidth="1"/>
    <col min="5" max="5" width="47.44140625" style="105" customWidth="1"/>
    <col min="6" max="6" width="20.5546875" style="105" customWidth="1"/>
    <col min="7" max="7" width="50.44140625" style="105" customWidth="1"/>
    <col min="8" max="8" width="26.44140625" style="105" customWidth="1"/>
    <col min="9" max="9" width="22.88671875" style="105" customWidth="1"/>
    <col min="10" max="10" width="60.6640625" style="102" customWidth="1"/>
    <col min="11" max="11" width="81.6640625" style="102" customWidth="1"/>
    <col min="12" max="12" width="8.88671875" style="105" customWidth="1"/>
    <col min="13" max="14" width="15.88671875" style="558" customWidth="1"/>
    <col min="15" max="15" width="15.88671875" style="559" customWidth="1"/>
    <col min="16" max="16" width="15.88671875" style="139" customWidth="1"/>
    <col min="17" max="17" width="24.5546875" style="102" bestFit="1" customWidth="1"/>
    <col min="18" max="18" width="20.6640625" style="139" customWidth="1"/>
    <col min="19" max="19" width="15.88671875" style="560" customWidth="1"/>
    <col min="20" max="20" width="24.5546875" style="102" bestFit="1" customWidth="1"/>
    <col min="21" max="21" width="9.109375" style="102"/>
    <col min="22" max="22" width="22.33203125" style="102" customWidth="1"/>
    <col min="23" max="23" width="9.6640625" style="102" bestFit="1" customWidth="1"/>
    <col min="24" max="28" width="9.109375" style="102"/>
    <col min="29" max="29" width="11.88671875" style="442" bestFit="1" customWidth="1"/>
    <col min="30" max="16384" width="9.109375" style="102"/>
  </cols>
  <sheetData>
    <row r="2" spans="2:29" ht="21" customHeight="1">
      <c r="C2" s="444" t="s">
        <v>17</v>
      </c>
      <c r="D2" s="445">
        <f>'TA Gerencial'!F2</f>
        <v>2026</v>
      </c>
      <c r="E2" s="553" t="s">
        <v>8</v>
      </c>
      <c r="G2" s="553"/>
      <c r="H2" s="553"/>
      <c r="I2" s="553"/>
      <c r="J2" s="553"/>
      <c r="K2" s="553"/>
      <c r="L2" s="553"/>
      <c r="M2" s="554"/>
      <c r="N2" s="554"/>
      <c r="O2" s="446"/>
      <c r="P2" s="106"/>
      <c r="R2" s="106"/>
      <c r="S2" s="447"/>
    </row>
    <row r="3" spans="2:29" ht="21" customHeight="1">
      <c r="C3" s="444" t="s">
        <v>18</v>
      </c>
      <c r="D3" s="106" t="s">
        <v>67</v>
      </c>
      <c r="E3" s="553" t="s">
        <v>16</v>
      </c>
      <c r="G3" s="740"/>
      <c r="H3" s="553"/>
      <c r="I3" s="553"/>
      <c r="J3" s="553"/>
      <c r="K3" s="553"/>
      <c r="L3" s="553"/>
      <c r="M3" s="554"/>
      <c r="N3" s="554"/>
      <c r="O3" s="446"/>
      <c r="P3" s="106"/>
      <c r="R3" s="106"/>
      <c r="S3" s="447"/>
    </row>
    <row r="4" spans="2:29" ht="21" customHeight="1">
      <c r="B4" s="831"/>
      <c r="C4" s="444" t="s">
        <v>19</v>
      </c>
      <c r="D4" s="448"/>
      <c r="E4" s="553" t="s">
        <v>42</v>
      </c>
      <c r="G4" s="553"/>
      <c r="H4" s="553"/>
      <c r="I4" s="553"/>
      <c r="J4" s="553"/>
      <c r="K4" s="553"/>
      <c r="L4" s="553"/>
      <c r="M4" s="554"/>
      <c r="N4" s="554"/>
      <c r="O4" s="446"/>
      <c r="P4" s="106"/>
      <c r="R4" s="106"/>
      <c r="S4" s="447"/>
    </row>
    <row r="5" spans="2:29" ht="21" customHeight="1">
      <c r="M5" s="557"/>
    </row>
    <row r="6" spans="2:29" s="107" customFormat="1" ht="21" customHeight="1">
      <c r="B6" s="832" t="s">
        <v>192</v>
      </c>
      <c r="C6" s="562" t="s">
        <v>11</v>
      </c>
      <c r="D6" s="562" t="s">
        <v>193</v>
      </c>
      <c r="E6" s="563" t="s">
        <v>23</v>
      </c>
      <c r="F6" s="563" t="s">
        <v>40</v>
      </c>
      <c r="G6" s="563" t="s">
        <v>87</v>
      </c>
      <c r="H6" s="561" t="s">
        <v>12</v>
      </c>
      <c r="I6" s="172" t="s">
        <v>4</v>
      </c>
      <c r="J6" s="561" t="s">
        <v>245</v>
      </c>
      <c r="K6" s="561" t="s">
        <v>0</v>
      </c>
      <c r="L6" s="561" t="s">
        <v>7</v>
      </c>
      <c r="M6" s="564" t="s">
        <v>13</v>
      </c>
      <c r="N6" s="564" t="s">
        <v>14</v>
      </c>
      <c r="O6" s="564" t="s">
        <v>2</v>
      </c>
      <c r="P6" s="565" t="s">
        <v>212</v>
      </c>
      <c r="Q6" s="561" t="s">
        <v>285</v>
      </c>
      <c r="R6" s="566" t="s">
        <v>283</v>
      </c>
      <c r="S6" s="567" t="s">
        <v>55</v>
      </c>
      <c r="T6" s="561" t="s">
        <v>284</v>
      </c>
      <c r="AC6" s="443"/>
    </row>
    <row r="7" spans="2:29" s="107" customFormat="1" ht="21" customHeight="1">
      <c r="B7" s="451" t="str">
        <f>CONCATENATE('TA Gerencial'!P2,'TA Gerencial'!H4,'TA Gerencial'!H3)</f>
        <v>9/26</v>
      </c>
      <c r="C7" s="121" t="e">
        <f>VLOOKUP(mSET[[#This Row],[CÓDIGO CONTABIL]],Contas_Gerencial[#All],3,FALSE)</f>
        <v>#N/A</v>
      </c>
      <c r="D7" s="445" t="e">
        <f>VLOOKUP(mSET[[#This Row],[DESCRIÇÃO CONTABIL]],Contas_Gerencial[[#All],[DESCRIÇÃO DA CONTA - NÃO UTILIZAR]:[Código2]],2,FALSE)</f>
        <v>#N/A</v>
      </c>
      <c r="E7" s="453"/>
      <c r="F7" s="452"/>
      <c r="H7" s="466"/>
      <c r="I7" s="466"/>
      <c r="J7" s="453"/>
      <c r="K7" s="503"/>
      <c r="L7" s="456"/>
      <c r="M7" s="457"/>
      <c r="N7" s="457"/>
      <c r="O7" s="457"/>
      <c r="P7" s="452"/>
      <c r="Q7" s="467"/>
      <c r="R7" s="467"/>
      <c r="S7" s="467"/>
      <c r="T7" s="569">
        <f>SUM(mSET[[#This Row],[PRINCIPAL]:[JUROS]])</f>
        <v>0</v>
      </c>
      <c r="AC7" s="115"/>
    </row>
    <row r="8" spans="2:29" s="107" customFormat="1" ht="21" customHeight="1">
      <c r="B8" s="121" t="str">
        <f>B7</f>
        <v>9/26</v>
      </c>
      <c r="C8" s="121" t="e">
        <f>VLOOKUP(mSET[[#This Row],[CÓDIGO CONTABIL]],Contas_Gerencial[#All],3,FALSE)</f>
        <v>#N/A</v>
      </c>
      <c r="D8" s="445" t="e">
        <f>VLOOKUP(mSET[[#This Row],[DESCRIÇÃO CONTABIL]],Contas_Gerencial[[#All],[DESCRIÇÃO DA CONTA - NÃO UTILIZAR]:[Código2]],2,FALSE)</f>
        <v>#N/A</v>
      </c>
      <c r="F8" s="452"/>
      <c r="I8" s="481"/>
      <c r="J8" s="121"/>
      <c r="K8" s="121"/>
      <c r="L8" s="456"/>
      <c r="M8" s="457"/>
      <c r="N8" s="457"/>
      <c r="O8" s="457"/>
      <c r="P8" s="453"/>
      <c r="Q8" s="482"/>
      <c r="R8" s="482"/>
      <c r="S8" s="482"/>
      <c r="T8" s="569">
        <f>SUM(mSET[[#This Row],[PRINCIPAL]:[JUROS]])</f>
        <v>0</v>
      </c>
      <c r="AC8" s="115"/>
    </row>
    <row r="9" spans="2:29" ht="21" customHeight="1">
      <c r="B9" s="121" t="str">
        <f t="shared" ref="B9:B20" si="0">B8</f>
        <v>9/26</v>
      </c>
      <c r="C9" s="121" t="e">
        <f>VLOOKUP(mSET[[#This Row],[CÓDIGO CONTABIL]],Contas_Gerencial[#All],3,FALSE)</f>
        <v>#N/A</v>
      </c>
      <c r="D9" s="445" t="e">
        <f>VLOOKUP(mSET[[#This Row],[DESCRIÇÃO CONTABIL]],Contas_Gerencial[[#All],[DESCRIÇÃO DA CONTA - NÃO UTILIZAR]:[Código2]],2,FALSE)</f>
        <v>#N/A</v>
      </c>
      <c r="E9" s="107"/>
      <c r="F9" s="107"/>
      <c r="G9" s="107"/>
      <c r="H9" s="107"/>
      <c r="I9" s="481"/>
      <c r="J9" s="121"/>
      <c r="K9" s="121"/>
      <c r="L9" s="456"/>
      <c r="M9" s="457"/>
      <c r="N9" s="457"/>
      <c r="O9" s="457"/>
      <c r="P9" s="453"/>
      <c r="Q9" s="483"/>
      <c r="R9" s="482"/>
      <c r="S9" s="482"/>
      <c r="T9" s="569">
        <f>SUM(mSET[[#This Row],[PRINCIPAL]:[JUROS]])</f>
        <v>0</v>
      </c>
      <c r="AC9" s="586"/>
    </row>
    <row r="10" spans="2:29" ht="21" customHeight="1">
      <c r="B10" s="121" t="str">
        <f t="shared" si="0"/>
        <v>9/26</v>
      </c>
      <c r="C10" s="121" t="e">
        <f>VLOOKUP(mSET[[#This Row],[CÓDIGO CONTABIL]],Contas_Gerencial[#All],3,FALSE)</f>
        <v>#N/A</v>
      </c>
      <c r="D10" s="445" t="e">
        <f>VLOOKUP(mSET[[#This Row],[DESCRIÇÃO CONTABIL]],Contas_Gerencial[[#All],[DESCRIÇÃO DA CONTA - NÃO UTILIZAR]:[Código2]],2,FALSE)</f>
        <v>#N/A</v>
      </c>
      <c r="E10" s="452"/>
      <c r="F10" s="107"/>
      <c r="G10" s="480"/>
      <c r="H10" s="107"/>
      <c r="I10" s="481"/>
      <c r="J10" s="453"/>
      <c r="K10" s="453"/>
      <c r="L10" s="456"/>
      <c r="M10" s="457"/>
      <c r="N10" s="457"/>
      <c r="O10" s="457"/>
      <c r="P10" s="453"/>
      <c r="Q10" s="482"/>
      <c r="R10" s="482"/>
      <c r="S10" s="482"/>
      <c r="T10" s="569">
        <f>SUM(mSET[[#This Row],[PRINCIPAL]:[JUROS]])</f>
        <v>0</v>
      </c>
      <c r="AC10" s="586"/>
    </row>
    <row r="11" spans="2:29" ht="21" customHeight="1">
      <c r="B11" s="121" t="str">
        <f t="shared" si="0"/>
        <v>9/26</v>
      </c>
      <c r="C11" s="121" t="e">
        <f>VLOOKUP(mSET[[#This Row],[CÓDIGO CONTABIL]],Contas_Gerencial[#All],3,FALSE)</f>
        <v>#N/A</v>
      </c>
      <c r="D11" s="445" t="e">
        <f>VLOOKUP(mSET[[#This Row],[DESCRIÇÃO CONTABIL]],Contas_Gerencial[[#All],[DESCRIÇÃO DA CONTA - NÃO UTILIZAR]:[Código2]],2,FALSE)</f>
        <v>#N/A</v>
      </c>
      <c r="E11" s="452"/>
      <c r="F11" s="107"/>
      <c r="G11" s="480"/>
      <c r="H11" s="107"/>
      <c r="I11" s="481"/>
      <c r="J11" s="453"/>
      <c r="K11" s="453"/>
      <c r="L11" s="456"/>
      <c r="M11" s="457"/>
      <c r="N11" s="457"/>
      <c r="O11" s="457"/>
      <c r="P11" s="453"/>
      <c r="Q11" s="483"/>
      <c r="R11" s="482"/>
      <c r="S11" s="482"/>
      <c r="T11" s="569">
        <f>SUM(mSET[[#This Row],[PRINCIPAL]:[JUROS]])</f>
        <v>0</v>
      </c>
      <c r="AC11" s="586"/>
    </row>
    <row r="12" spans="2:29" ht="21" customHeight="1">
      <c r="B12" s="121" t="str">
        <f t="shared" si="0"/>
        <v>9/26</v>
      </c>
      <c r="C12" s="121" t="e">
        <f>VLOOKUP(mSET[[#This Row],[CÓDIGO CONTABIL]],Contas_Gerencial[#All],3,FALSE)</f>
        <v>#N/A</v>
      </c>
      <c r="D12" s="445" t="e">
        <f>VLOOKUP(mSET[[#This Row],[DESCRIÇÃO CONTABIL]],Contas_Gerencial[[#All],[DESCRIÇÃO DA CONTA - NÃO UTILIZAR]:[Código2]],2,FALSE)</f>
        <v>#N/A</v>
      </c>
      <c r="E12" s="107"/>
      <c r="F12" s="452"/>
      <c r="G12" s="480"/>
      <c r="H12" s="107"/>
      <c r="I12" s="481"/>
      <c r="J12" s="453"/>
      <c r="K12" s="453"/>
      <c r="L12" s="456"/>
      <c r="M12" s="457"/>
      <c r="N12" s="457"/>
      <c r="O12" s="457"/>
      <c r="P12" s="453"/>
      <c r="Q12" s="467"/>
      <c r="R12" s="467"/>
      <c r="S12" s="467"/>
      <c r="T12" s="569">
        <f>SUM(mSET[[#This Row],[PRINCIPAL]:[JUROS]])</f>
        <v>0</v>
      </c>
      <c r="AC12" s="586"/>
    </row>
    <row r="13" spans="2:29" ht="21" customHeight="1">
      <c r="B13" s="121" t="str">
        <f t="shared" si="0"/>
        <v>9/26</v>
      </c>
      <c r="C13" s="121" t="e">
        <f>VLOOKUP(mSET[[#This Row],[CÓDIGO CONTABIL]],Contas_Gerencial[#All],3,FALSE)</f>
        <v>#N/A</v>
      </c>
      <c r="D13" s="445" t="e">
        <f>VLOOKUP(mSET[[#This Row],[DESCRIÇÃO CONTABIL]],Contas_Gerencial[[#All],[DESCRIÇÃO DA CONTA - NÃO UTILIZAR]:[Código2]],2,FALSE)</f>
        <v>#N/A</v>
      </c>
      <c r="E13" s="452"/>
      <c r="F13" s="107"/>
      <c r="G13" s="480"/>
      <c r="H13" s="107"/>
      <c r="I13" s="481"/>
      <c r="J13" s="453"/>
      <c r="K13" s="453"/>
      <c r="L13" s="456"/>
      <c r="M13" s="457"/>
      <c r="N13" s="457"/>
      <c r="O13" s="457"/>
      <c r="P13" s="453"/>
      <c r="Q13" s="482"/>
      <c r="R13" s="482"/>
      <c r="S13" s="482"/>
      <c r="T13" s="569">
        <f>SUM(mSET[[#This Row],[PRINCIPAL]:[JUROS]])</f>
        <v>0</v>
      </c>
      <c r="AC13" s="586"/>
    </row>
    <row r="14" spans="2:29" ht="21" customHeight="1">
      <c r="B14" s="121" t="str">
        <f t="shared" si="0"/>
        <v>9/26</v>
      </c>
      <c r="C14" s="121" t="e">
        <f>VLOOKUP(mSET[[#This Row],[CÓDIGO CONTABIL]],Contas_Gerencial[#All],3,FALSE)</f>
        <v>#N/A</v>
      </c>
      <c r="D14" s="445" t="e">
        <f>VLOOKUP(mSET[[#This Row],[DESCRIÇÃO CONTABIL]],Contas_Gerencial[[#All],[DESCRIÇÃO DA CONTA - NÃO UTILIZAR]:[Código2]],2,FALSE)</f>
        <v>#N/A</v>
      </c>
      <c r="E14" s="452"/>
      <c r="F14" s="452"/>
      <c r="G14" s="107"/>
      <c r="H14" s="452"/>
      <c r="I14" s="481"/>
      <c r="J14" s="453"/>
      <c r="K14" s="453"/>
      <c r="L14" s="456"/>
      <c r="M14" s="457"/>
      <c r="N14" s="457"/>
      <c r="O14" s="457"/>
      <c r="P14" s="453"/>
      <c r="Q14" s="483"/>
      <c r="R14" s="459"/>
      <c r="S14" s="459"/>
      <c r="T14" s="569">
        <f>SUM(mSET[[#This Row],[PRINCIPAL]:[JUROS]])</f>
        <v>0</v>
      </c>
      <c r="AC14" s="586"/>
    </row>
    <row r="15" spans="2:29" ht="21" customHeight="1">
      <c r="B15" s="121" t="str">
        <f t="shared" si="0"/>
        <v>9/26</v>
      </c>
      <c r="C15" s="121" t="e">
        <f>VLOOKUP(mSET[[#This Row],[CÓDIGO CONTABIL]],Contas_Gerencial[#All],3,FALSE)</f>
        <v>#N/A</v>
      </c>
      <c r="D15" s="445" t="e">
        <f>VLOOKUP(mSET[[#This Row],[DESCRIÇÃO CONTABIL]],Contas_Gerencial[[#All],[DESCRIÇÃO DA CONTA - NÃO UTILIZAR]:[Código2]],2,FALSE)</f>
        <v>#N/A</v>
      </c>
      <c r="E15" s="452"/>
      <c r="F15" s="452"/>
      <c r="G15" s="480"/>
      <c r="H15" s="452"/>
      <c r="I15" s="481"/>
      <c r="J15" s="453"/>
      <c r="K15" s="453"/>
      <c r="L15" s="456"/>
      <c r="M15" s="457"/>
      <c r="N15" s="457"/>
      <c r="O15" s="457"/>
      <c r="P15" s="452"/>
      <c r="Q15" s="483"/>
      <c r="R15" s="459"/>
      <c r="S15" s="459"/>
      <c r="T15" s="569">
        <f>SUM(mSET[[#This Row],[PRINCIPAL]:[JUROS]])</f>
        <v>0</v>
      </c>
      <c r="AC15" s="586"/>
    </row>
    <row r="16" spans="2:29" ht="21" customHeight="1">
      <c r="B16" s="121" t="str">
        <f t="shared" si="0"/>
        <v>9/26</v>
      </c>
      <c r="C16" s="121" t="e">
        <f>VLOOKUP(mSET[[#This Row],[CÓDIGO CONTABIL]],Contas_Gerencial[#All],3,FALSE)</f>
        <v>#N/A</v>
      </c>
      <c r="D16" s="445" t="e">
        <f>VLOOKUP(mSET[[#This Row],[DESCRIÇÃO CONTABIL]],Contas_Gerencial[[#All],[DESCRIÇÃO DA CONTA - NÃO UTILIZAR]:[Código2]],2,FALSE)</f>
        <v>#N/A</v>
      </c>
      <c r="E16" s="452"/>
      <c r="F16" s="452"/>
      <c r="G16" s="480"/>
      <c r="H16" s="107"/>
      <c r="I16" s="481"/>
      <c r="J16" s="453"/>
      <c r="K16" s="453"/>
      <c r="L16" s="456"/>
      <c r="M16" s="457"/>
      <c r="N16" s="457"/>
      <c r="O16" s="457"/>
      <c r="P16" s="453"/>
      <c r="Q16" s="483"/>
      <c r="R16" s="482"/>
      <c r="S16" s="482"/>
      <c r="T16" s="569">
        <f>SUM(mSET[[#This Row],[PRINCIPAL]:[JUROS]])</f>
        <v>0</v>
      </c>
      <c r="AC16" s="586"/>
    </row>
    <row r="17" spans="2:29" ht="21" customHeight="1">
      <c r="B17" s="121" t="str">
        <f t="shared" si="0"/>
        <v>9/26</v>
      </c>
      <c r="C17" s="121" t="e">
        <f>VLOOKUP(mSET[[#This Row],[CÓDIGO CONTABIL]],Contas_Gerencial[#All],3,FALSE)</f>
        <v>#N/A</v>
      </c>
      <c r="D17" s="445" t="e">
        <f>VLOOKUP(mSET[[#This Row],[DESCRIÇÃO CONTABIL]],Contas_Gerencial[[#All],[DESCRIÇÃO DA CONTA - NÃO UTILIZAR]:[Código2]],2,FALSE)</f>
        <v>#N/A</v>
      </c>
      <c r="E17" s="107"/>
      <c r="F17" s="107"/>
      <c r="G17" s="107"/>
      <c r="H17" s="107"/>
      <c r="I17" s="481"/>
      <c r="J17" s="121"/>
      <c r="K17" s="121"/>
      <c r="L17" s="456"/>
      <c r="M17" s="457"/>
      <c r="N17" s="457"/>
      <c r="O17" s="457"/>
      <c r="P17" s="453"/>
      <c r="Q17" s="483"/>
      <c r="R17" s="482"/>
      <c r="S17" s="482"/>
      <c r="T17" s="569">
        <f>SUM(mSET[[#This Row],[PRINCIPAL]:[JUROS]])</f>
        <v>0</v>
      </c>
      <c r="AC17" s="586"/>
    </row>
    <row r="18" spans="2:29" ht="21" customHeight="1">
      <c r="B18" s="121" t="str">
        <f t="shared" si="0"/>
        <v>9/26</v>
      </c>
      <c r="C18" s="121" t="e">
        <f>VLOOKUP(mSET[[#This Row],[CÓDIGO CONTABIL]],Contas_Gerencial[#All],3,FALSE)</f>
        <v>#N/A</v>
      </c>
      <c r="D18" s="445" t="e">
        <f>VLOOKUP(mSET[[#This Row],[DESCRIÇÃO CONTABIL]],Contas_Gerencial[[#All],[DESCRIÇÃO DA CONTA - NÃO UTILIZAR]:[Código2]],2,FALSE)</f>
        <v>#N/A</v>
      </c>
      <c r="E18" s="452"/>
      <c r="F18" s="107"/>
      <c r="G18" s="480"/>
      <c r="H18" s="107"/>
      <c r="I18" s="481"/>
      <c r="J18" s="453"/>
      <c r="K18" s="453"/>
      <c r="L18" s="456"/>
      <c r="M18" s="457"/>
      <c r="N18" s="457"/>
      <c r="O18" s="457"/>
      <c r="P18" s="453"/>
      <c r="Q18" s="482"/>
      <c r="R18" s="482"/>
      <c r="S18" s="482"/>
      <c r="T18" s="569">
        <f>SUM(mSET[[#This Row],[PRINCIPAL]:[JUROS]])</f>
        <v>0</v>
      </c>
      <c r="AC18" s="586"/>
    </row>
    <row r="19" spans="2:29" ht="21" customHeight="1">
      <c r="B19" s="121" t="str">
        <f t="shared" si="0"/>
        <v>9/26</v>
      </c>
      <c r="C19" s="121" t="e">
        <f>VLOOKUP(mSET[[#This Row],[CÓDIGO CONTABIL]],Contas_Gerencial[#All],3,FALSE)</f>
        <v>#N/A</v>
      </c>
      <c r="D19" s="445" t="e">
        <f>VLOOKUP(mSET[[#This Row],[DESCRIÇÃO CONTABIL]],Contas_Gerencial[[#All],[DESCRIÇÃO DA CONTA - NÃO UTILIZAR]:[Código2]],2,FALSE)</f>
        <v>#N/A</v>
      </c>
      <c r="E19" s="452"/>
      <c r="F19" s="107"/>
      <c r="G19" s="480"/>
      <c r="H19" s="107"/>
      <c r="I19" s="481"/>
      <c r="J19" s="453"/>
      <c r="K19" s="453"/>
      <c r="L19" s="456"/>
      <c r="M19" s="457"/>
      <c r="N19" s="457"/>
      <c r="O19" s="457"/>
      <c r="P19" s="453"/>
      <c r="Q19" s="483"/>
      <c r="R19" s="482"/>
      <c r="S19" s="482"/>
      <c r="T19" s="569">
        <f>SUM(mSET[[#This Row],[PRINCIPAL]:[JUROS]])</f>
        <v>0</v>
      </c>
      <c r="AC19" s="586"/>
    </row>
    <row r="20" spans="2:29" ht="21" customHeight="1">
      <c r="B20" s="121" t="str">
        <f t="shared" si="0"/>
        <v>9/26</v>
      </c>
      <c r="C20" s="121" t="e">
        <f>VLOOKUP(mSET[[#This Row],[CÓDIGO CONTABIL]],Contas_Gerencial[#All],3,FALSE)</f>
        <v>#N/A</v>
      </c>
      <c r="D20" s="445" t="e">
        <f>VLOOKUP(mSET[[#This Row],[DESCRIÇÃO CONTABIL]],Contas_Gerencial[[#All],[DESCRIÇÃO DA CONTA - NÃO UTILIZAR]:[Código2]],2,FALSE)</f>
        <v>#N/A</v>
      </c>
      <c r="E20" s="107"/>
      <c r="F20" s="452"/>
      <c r="G20" s="480"/>
      <c r="H20" s="107"/>
      <c r="I20" s="481"/>
      <c r="J20" s="453"/>
      <c r="K20" s="453"/>
      <c r="L20" s="456"/>
      <c r="M20" s="457"/>
      <c r="N20" s="457"/>
      <c r="O20" s="457"/>
      <c r="P20" s="453"/>
      <c r="Q20" s="467"/>
      <c r="R20" s="467"/>
      <c r="S20" s="467"/>
      <c r="T20" s="569">
        <f>SUM(mSET[[#This Row],[PRINCIPAL]:[JUROS]])</f>
        <v>0</v>
      </c>
      <c r="AC20" s="586"/>
    </row>
    <row r="21" spans="2:29" ht="21" customHeight="1">
      <c r="B21" s="573" t="s">
        <v>197</v>
      </c>
      <c r="C21" s="553"/>
      <c r="D21" s="571"/>
      <c r="E21" s="553"/>
      <c r="F21" s="553"/>
      <c r="G21" s="553"/>
      <c r="H21" s="553"/>
      <c r="I21" s="553"/>
      <c r="J21" s="553"/>
      <c r="K21" s="553"/>
      <c r="L21" s="553"/>
      <c r="M21" s="572"/>
      <c r="N21" s="572"/>
      <c r="O21" s="572"/>
      <c r="P21" s="571"/>
      <c r="Q21" s="574">
        <f>SUBTOTAL(109,mSET[PRINCIPAL])</f>
        <v>0</v>
      </c>
      <c r="R21" s="574">
        <f>SUBTOTAL(109,mSET[MULTA])</f>
        <v>0</v>
      </c>
      <c r="S21" s="574">
        <f>SUBTOTAL(109,mSET[JUROS])</f>
        <v>0</v>
      </c>
      <c r="T21" s="864">
        <f>SUBTOTAL(109,mSET[TOTAL])</f>
        <v>0</v>
      </c>
    </row>
    <row r="24" spans="2:29" ht="21" customHeight="1" thickBot="1">
      <c r="M24" s="577"/>
      <c r="Q24" s="576"/>
    </row>
    <row r="25" spans="2:29" ht="15.6">
      <c r="B25" s="121"/>
      <c r="C25" s="445"/>
      <c r="D25" s="445"/>
      <c r="E25" s="756" t="s">
        <v>2018</v>
      </c>
      <c r="F25" s="757">
        <v>45939</v>
      </c>
      <c r="G25" s="445"/>
      <c r="H25" s="445"/>
      <c r="I25" s="121"/>
      <c r="J25" s="107"/>
      <c r="K25" s="107"/>
      <c r="L25" s="121"/>
      <c r="M25" s="743"/>
      <c r="N25" s="745"/>
      <c r="O25" s="745"/>
      <c r="P25" s="744"/>
      <c r="Q25" s="623"/>
      <c r="R25" s="106"/>
      <c r="S25" s="447"/>
      <c r="T25" s="107"/>
      <c r="V25" s="766"/>
      <c r="W25" s="766"/>
      <c r="AC25" s="102"/>
    </row>
    <row r="26" spans="2:29" ht="24" customHeight="1">
      <c r="B26" s="121"/>
      <c r="C26" s="445"/>
      <c r="D26" s="445"/>
      <c r="E26" s="758" t="s">
        <v>90</v>
      </c>
      <c r="F26" s="759">
        <v>258782.10666666666</v>
      </c>
      <c r="G26" s="445"/>
      <c r="H26" s="445"/>
      <c r="I26" s="121"/>
      <c r="J26" s="107"/>
      <c r="K26" s="107"/>
      <c r="L26" s="121"/>
      <c r="M26" s="743"/>
      <c r="N26" s="745"/>
      <c r="O26" s="745"/>
      <c r="P26" s="744"/>
      <c r="Q26" s="623"/>
      <c r="R26" s="106"/>
      <c r="S26" s="447"/>
      <c r="T26" s="107"/>
      <c r="V26" s="442"/>
      <c r="W26" s="442"/>
      <c r="AC26" s="102"/>
    </row>
    <row r="27" spans="2:29" ht="18">
      <c r="B27" s="121"/>
      <c r="C27" s="445"/>
      <c r="D27" s="445"/>
      <c r="E27" s="760" t="s">
        <v>2016</v>
      </c>
      <c r="F27" s="761">
        <v>287402.37348996638</v>
      </c>
      <c r="G27" s="445"/>
      <c r="H27" s="445"/>
      <c r="I27" s="121"/>
      <c r="J27" s="107"/>
      <c r="K27" s="107"/>
      <c r="L27" s="121"/>
      <c r="M27" s="745"/>
      <c r="N27" s="745"/>
      <c r="O27" s="745"/>
      <c r="P27" s="744"/>
      <c r="Q27" s="623"/>
      <c r="R27" s="106"/>
      <c r="S27" s="447"/>
      <c r="T27" s="107"/>
      <c r="V27" s="442"/>
      <c r="W27" s="442"/>
      <c r="AC27" s="102"/>
    </row>
    <row r="28" spans="2:29" ht="18.600000000000001" thickBot="1">
      <c r="B28" s="121"/>
      <c r="C28" s="445"/>
      <c r="D28" s="445"/>
      <c r="E28" s="762" t="s">
        <v>2017</v>
      </c>
      <c r="F28" s="763">
        <f>F26-F27</f>
        <v>-28620.266823299724</v>
      </c>
      <c r="G28" s="445"/>
      <c r="H28" s="445"/>
      <c r="I28" s="121"/>
      <c r="J28" s="107"/>
      <c r="K28" s="107"/>
      <c r="L28" s="121"/>
      <c r="M28" s="745"/>
      <c r="N28" s="745"/>
      <c r="O28" s="745"/>
      <c r="P28" s="744"/>
      <c r="Q28" s="623"/>
      <c r="R28" s="106"/>
      <c r="S28" s="447"/>
      <c r="T28" s="107"/>
      <c r="V28" s="442"/>
      <c r="W28" s="442"/>
      <c r="AC28" s="102"/>
    </row>
    <row r="29" spans="2:29" ht="18.600000000000001" thickBot="1">
      <c r="B29" s="121"/>
      <c r="C29" s="445"/>
      <c r="D29" s="445"/>
      <c r="E29" s="765"/>
      <c r="F29" s="521"/>
      <c r="G29" s="445"/>
      <c r="H29" s="445"/>
      <c r="I29" s="121"/>
      <c r="J29" s="107"/>
      <c r="K29" s="107"/>
      <c r="L29" s="121"/>
      <c r="M29" s="745"/>
      <c r="N29" s="745"/>
      <c r="O29" s="745"/>
      <c r="P29" s="744"/>
      <c r="Q29" s="623"/>
      <c r="R29" s="106"/>
      <c r="S29" s="447"/>
      <c r="T29" s="107"/>
      <c r="V29" s="442"/>
      <c r="W29" s="442"/>
      <c r="AC29" s="102"/>
    </row>
    <row r="30" spans="2:29" ht="18.600000000000001" thickBot="1">
      <c r="B30" s="105"/>
      <c r="E30" s="767" t="s">
        <v>2019</v>
      </c>
      <c r="F30" s="768">
        <f>F26+F27</f>
        <v>546184.48015663307</v>
      </c>
      <c r="G30" s="932"/>
      <c r="M30" s="577"/>
      <c r="Q30" s="576"/>
      <c r="V30" s="442"/>
      <c r="W30" s="442"/>
      <c r="AC30" s="102"/>
    </row>
    <row r="31" spans="2:29" ht="14.4">
      <c r="B31" s="105"/>
      <c r="V31" s="442"/>
      <c r="W31" s="442"/>
      <c r="AC31" s="102"/>
    </row>
    <row r="32" spans="2:29" ht="15" thickBot="1">
      <c r="B32" s="105"/>
      <c r="Q32" s="576"/>
      <c r="R32" s="912"/>
      <c r="V32" s="442"/>
      <c r="W32" s="442"/>
      <c r="AC32" s="102"/>
    </row>
    <row r="33" spans="2:29" ht="14.4">
      <c r="B33" s="105"/>
      <c r="E33" s="877" t="s">
        <v>2067</v>
      </c>
      <c r="F33" s="881">
        <v>45901</v>
      </c>
      <c r="G33" s="882"/>
      <c r="H33" s="882"/>
      <c r="I33" s="883"/>
      <c r="AC33" s="102"/>
    </row>
    <row r="34" spans="2:29" ht="14.4">
      <c r="B34" s="105"/>
      <c r="E34" s="891" t="s">
        <v>2071</v>
      </c>
      <c r="F34" s="888" t="s">
        <v>41</v>
      </c>
      <c r="G34" s="889" t="s">
        <v>582</v>
      </c>
      <c r="H34" s="889" t="s">
        <v>581</v>
      </c>
      <c r="I34" s="890" t="s">
        <v>284</v>
      </c>
      <c r="AC34" s="102"/>
    </row>
    <row r="35" spans="2:29" ht="14.4">
      <c r="B35" s="105"/>
      <c r="E35" s="878" t="s">
        <v>2068</v>
      </c>
      <c r="F35" s="880">
        <v>5643.3600000000006</v>
      </c>
      <c r="G35" s="880">
        <v>3103.01</v>
      </c>
      <c r="H35" s="880">
        <v>4564.2699999999995</v>
      </c>
      <c r="I35" s="884">
        <f>SUM(F35:H35)</f>
        <v>13310.64</v>
      </c>
      <c r="V35" s="442"/>
      <c r="W35" s="442"/>
      <c r="AC35" s="102"/>
    </row>
    <row r="36" spans="2:29" ht="14.4">
      <c r="B36" s="105"/>
      <c r="E36" s="878" t="s">
        <v>2069</v>
      </c>
      <c r="F36" s="880">
        <v>8949.74</v>
      </c>
      <c r="G36" s="880">
        <v>1144.24</v>
      </c>
      <c r="H36" s="880">
        <v>1479.0500000000002</v>
      </c>
      <c r="I36" s="884">
        <f>SUM(F36:H36)</f>
        <v>11573.029999999999</v>
      </c>
      <c r="V36" s="442"/>
      <c r="W36" s="442"/>
      <c r="AC36" s="102"/>
    </row>
    <row r="37" spans="2:29" ht="15" thickBot="1">
      <c r="B37" s="105"/>
      <c r="E37" s="879" t="s">
        <v>2070</v>
      </c>
      <c r="F37" s="885">
        <f>F35-F36</f>
        <v>-3306.3799999999992</v>
      </c>
      <c r="G37" s="886">
        <f t="shared" ref="G37:I37" si="1">G35-G36</f>
        <v>1958.7700000000002</v>
      </c>
      <c r="H37" s="886">
        <f t="shared" si="1"/>
        <v>3085.2199999999993</v>
      </c>
      <c r="I37" s="887">
        <f t="shared" si="1"/>
        <v>1737.6100000000006</v>
      </c>
      <c r="V37" s="442"/>
      <c r="W37" s="442"/>
      <c r="AC37" s="102"/>
    </row>
  </sheetData>
  <phoneticPr fontId="26" type="noConversion"/>
  <conditionalFormatting sqref="P7">
    <cfRule type="containsText" dxfId="40" priority="205" operator="containsText" text="A PAGAR">
      <formula>NOT(ISERROR(SEARCH("A PAGAR",P7)))</formula>
    </cfRule>
    <cfRule type="containsText" dxfId="39" priority="206" operator="containsText" text="A RECEBER">
      <formula>NOT(ISERROR(SEARCH("A RECEBER",P7)))</formula>
    </cfRule>
    <cfRule type="containsText" dxfId="38" priority="207" operator="containsText" text="A PAGAR">
      <formula>NOT(ISERROR(SEARCH("A PAGAR",P7)))</formula>
    </cfRule>
    <cfRule type="containsText" dxfId="37" priority="208" operator="containsText" text="A RECEBER">
      <formula>NOT(ISERROR(SEARCH("A RECEBER",P7)))</formula>
    </cfRule>
  </conditionalFormatting>
  <conditionalFormatting sqref="P7:P20">
    <cfRule type="containsText" dxfId="36" priority="113" operator="containsText" text="A PAGAR">
      <formula>NOT(ISERROR(SEARCH("A PAGAR",P7)))</formula>
    </cfRule>
    <cfRule type="containsText" dxfId="35" priority="114" operator="containsText" text="A RECEBER">
      <formula>NOT(ISERROR(SEARCH("A RECEBER",P7)))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7" fitToHeight="6" orientation="landscape" horizontalDpi="1200" verticalDpi="1200" r:id="rId1"/>
  <headerFooter>
    <oddHeader>&amp;L             &amp;G</oddHeader>
    <oddFooter>&amp;L&amp;7&amp;Z&amp;F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C75B860B-5EE4-40FA-9458-FAC49F35AC8A}">
          <x14:formula1>
            <xm:f>'TA Status'!$B$7:$B$11</xm:f>
          </x14:formula1>
          <xm:sqref>P7:P20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W38"/>
  <sheetViews>
    <sheetView showGridLines="0" topLeftCell="A8" zoomScale="70" zoomScaleNormal="70" zoomScaleSheetLayoutView="79" workbookViewId="0">
      <pane xSplit="7" topLeftCell="L1" activePane="topRight" state="frozen"/>
      <selection pane="topRight" activeCell="G15" sqref="G15"/>
    </sheetView>
  </sheetViews>
  <sheetFormatPr defaultColWidth="9.109375" defaultRowHeight="14.4"/>
  <cols>
    <col min="1" max="1" width="2.109375" style="102" customWidth="1"/>
    <col min="2" max="2" width="19.5546875" style="105" customWidth="1"/>
    <col min="3" max="3" width="24" style="105" bestFit="1" customWidth="1"/>
    <col min="4" max="4" width="26.6640625" style="105" hidden="1" customWidth="1"/>
    <col min="5" max="5" width="47.44140625" style="105" customWidth="1"/>
    <col min="6" max="6" width="20.5546875" style="105" customWidth="1"/>
    <col min="7" max="7" width="36.88671875" style="105" customWidth="1"/>
    <col min="8" max="8" width="26.44140625" style="105" customWidth="1"/>
    <col min="9" max="9" width="24.88671875" style="105" customWidth="1"/>
    <col min="10" max="10" width="55.5546875" style="102" customWidth="1"/>
    <col min="11" max="11" width="61" style="102" customWidth="1"/>
    <col min="12" max="12" width="8.88671875" style="105" customWidth="1"/>
    <col min="13" max="14" width="15.88671875" style="558" customWidth="1"/>
    <col min="15" max="15" width="15.88671875" style="559" customWidth="1"/>
    <col min="16" max="16" width="15.88671875" style="139" customWidth="1"/>
    <col min="17" max="17" width="24.5546875" style="102" bestFit="1" customWidth="1"/>
    <col min="18" max="18" width="15.88671875" style="139" customWidth="1"/>
    <col min="19" max="19" width="18.33203125" style="560" bestFit="1" customWidth="1"/>
    <col min="20" max="20" width="24.5546875" style="102" bestFit="1" customWidth="1"/>
    <col min="21" max="21" width="15" style="102" customWidth="1"/>
    <col min="22" max="22" width="11.5546875" style="102" bestFit="1" customWidth="1"/>
    <col min="23" max="23" width="13.109375" style="102" bestFit="1" customWidth="1"/>
    <col min="24" max="16384" width="9.109375" style="102"/>
  </cols>
  <sheetData>
    <row r="2" spans="2:20" ht="21">
      <c r="C2" s="444" t="s">
        <v>17</v>
      </c>
      <c r="D2" s="445">
        <f>'TA Gerencial'!F2</f>
        <v>2026</v>
      </c>
      <c r="E2" s="553" t="s">
        <v>8</v>
      </c>
      <c r="G2" s="553"/>
      <c r="H2" s="553"/>
      <c r="I2" s="553"/>
      <c r="J2" s="553"/>
      <c r="K2" s="553"/>
      <c r="L2" s="571"/>
      <c r="M2" s="554"/>
      <c r="N2" s="554"/>
      <c r="O2" s="446"/>
      <c r="P2" s="106"/>
      <c r="R2" s="106"/>
      <c r="S2" s="447"/>
    </row>
    <row r="3" spans="2:20" ht="32.25" customHeight="1">
      <c r="C3" s="444" t="s">
        <v>18</v>
      </c>
      <c r="D3" s="106" t="s">
        <v>86</v>
      </c>
      <c r="E3" s="553" t="s">
        <v>16</v>
      </c>
      <c r="G3" s="553"/>
      <c r="H3" s="553"/>
      <c r="I3" s="553"/>
      <c r="J3" s="553"/>
      <c r="K3" s="553"/>
      <c r="L3" s="571"/>
      <c r="M3" s="554"/>
      <c r="N3" s="554"/>
      <c r="O3" s="446"/>
      <c r="P3" s="106"/>
      <c r="R3" s="106"/>
      <c r="S3" s="447"/>
    </row>
    <row r="4" spans="2:20" ht="21">
      <c r="B4" s="556"/>
      <c r="C4" s="444" t="s">
        <v>19</v>
      </c>
      <c r="D4" s="448"/>
      <c r="E4" s="553" t="s">
        <v>42</v>
      </c>
      <c r="G4" s="553"/>
      <c r="H4" s="553"/>
      <c r="I4" s="553"/>
      <c r="J4" s="553"/>
      <c r="K4" s="553"/>
      <c r="L4" s="571"/>
      <c r="M4" s="554"/>
      <c r="N4" s="554"/>
      <c r="O4" s="446"/>
      <c r="P4" s="106"/>
      <c r="R4" s="106"/>
      <c r="S4" s="447"/>
    </row>
    <row r="5" spans="2:20">
      <c r="M5" s="557"/>
    </row>
    <row r="6" spans="2:20" s="107" customFormat="1" ht="41.25" customHeight="1">
      <c r="B6" s="561" t="s">
        <v>192</v>
      </c>
      <c r="C6" s="562" t="s">
        <v>11</v>
      </c>
      <c r="D6" s="562" t="s">
        <v>193</v>
      </c>
      <c r="E6" s="563" t="s">
        <v>23</v>
      </c>
      <c r="F6" s="563" t="s">
        <v>40</v>
      </c>
      <c r="G6" s="563" t="s">
        <v>87</v>
      </c>
      <c r="H6" s="561" t="s">
        <v>12</v>
      </c>
      <c r="I6" s="172" t="s">
        <v>4</v>
      </c>
      <c r="J6" s="561" t="s">
        <v>245</v>
      </c>
      <c r="K6" s="561" t="s">
        <v>0</v>
      </c>
      <c r="L6" s="561" t="s">
        <v>7</v>
      </c>
      <c r="M6" s="564" t="s">
        <v>13</v>
      </c>
      <c r="N6" s="564" t="s">
        <v>14</v>
      </c>
      <c r="O6" s="564" t="s">
        <v>2</v>
      </c>
      <c r="P6" s="565" t="s">
        <v>212</v>
      </c>
      <c r="Q6" s="561" t="s">
        <v>285</v>
      </c>
      <c r="R6" s="566" t="s">
        <v>283</v>
      </c>
      <c r="S6" s="567" t="s">
        <v>55</v>
      </c>
      <c r="T6" s="561" t="s">
        <v>284</v>
      </c>
    </row>
    <row r="7" spans="2:20" s="107" customFormat="1" ht="21" customHeight="1">
      <c r="B7" s="866" t="str">
        <f>CONCATENATE('TA Gerencial'!Q2,'TA Gerencial'!H4,'TA Gerencial'!H3)</f>
        <v>10/26</v>
      </c>
      <c r="C7" s="121" t="e">
        <f>VLOOKUP(mOUT[[#This Row],[CÓDIGO CONTABIL]],Contas_Gerencial[#All],3,FALSE)</f>
        <v>#N/A</v>
      </c>
      <c r="D7" s="121" t="e">
        <f>VLOOKUP(mOUT[[#This Row],[DESCRIÇÃO CONTABIL]],Contas_Gerencial[[#All],[DESCRIÇÃO DA CONTA - NÃO UTILIZAR]:[Código2]],2,FALSE)</f>
        <v>#N/A</v>
      </c>
      <c r="E7" s="453"/>
      <c r="F7" s="454"/>
      <c r="G7" s="454"/>
      <c r="H7" s="453"/>
      <c r="I7" s="455"/>
      <c r="J7" s="453"/>
      <c r="K7" s="453"/>
      <c r="L7" s="456"/>
      <c r="M7" s="457"/>
      <c r="N7" s="457"/>
      <c r="O7" s="457"/>
      <c r="P7" s="453"/>
      <c r="Q7" s="458"/>
      <c r="R7" s="459"/>
      <c r="S7" s="459"/>
      <c r="T7" s="569">
        <f>SUM(mOUT[[#This Row],[PRINCIPAL]:[JUROS]])</f>
        <v>0</v>
      </c>
    </row>
    <row r="8" spans="2:20" s="107" customFormat="1" ht="21" customHeight="1">
      <c r="B8" s="866" t="str">
        <f>B7</f>
        <v>10/26</v>
      </c>
      <c r="C8" s="121" t="e">
        <f>VLOOKUP(mOUT[[#This Row],[CÓDIGO CONTABIL]],Contas_Gerencial[#All],3,FALSE)</f>
        <v>#N/A</v>
      </c>
      <c r="D8" s="121" t="e">
        <f>VLOOKUP(mOUT[[#This Row],[DESCRIÇÃO CONTABIL]],Contas_Gerencial[[#All],[DESCRIÇÃO DA CONTA - NÃO UTILIZAR]:[Código2]],2,FALSE)</f>
        <v>#N/A</v>
      </c>
      <c r="E8" s="121"/>
      <c r="F8" s="121"/>
      <c r="G8" s="121"/>
      <c r="H8" s="121"/>
      <c r="I8" s="121"/>
      <c r="J8" s="121"/>
      <c r="K8" s="453"/>
      <c r="L8" s="451"/>
      <c r="M8" s="490"/>
      <c r="N8" s="490"/>
      <c r="O8" s="457"/>
      <c r="P8" s="453"/>
      <c r="Q8" s="471"/>
      <c r="R8" s="471"/>
      <c r="S8" s="471"/>
      <c r="T8" s="569">
        <f>SUM(mOUT[[#This Row],[PRINCIPAL]:[JUROS]])</f>
        <v>0</v>
      </c>
    </row>
    <row r="9" spans="2:20" ht="21" customHeight="1">
      <c r="B9" s="866" t="str">
        <f t="shared" ref="B9:B20" si="0">B8</f>
        <v>10/26</v>
      </c>
      <c r="C9" s="121" t="e">
        <f>VLOOKUP(mOUT[[#This Row],[CÓDIGO CONTABIL]],Contas_Gerencial[#All],3,FALSE)</f>
        <v>#N/A</v>
      </c>
      <c r="D9" s="121" t="e">
        <f>VLOOKUP(mOUT[[#This Row],[DESCRIÇÃO CONTABIL]],Contas_Gerencial[[#All],[DESCRIÇÃO DA CONTA - NÃO UTILIZAR]:[Código2]],2,FALSE)</f>
        <v>#N/A</v>
      </c>
      <c r="E9" s="453"/>
      <c r="F9" s="453"/>
      <c r="G9" s="453"/>
      <c r="H9" s="453"/>
      <c r="I9" s="455"/>
      <c r="J9" s="453"/>
      <c r="K9" s="121"/>
      <c r="L9" s="121"/>
      <c r="M9" s="490"/>
      <c r="N9" s="490"/>
      <c r="O9" s="490"/>
      <c r="P9" s="453"/>
      <c r="Q9" s="467"/>
      <c r="R9" s="467"/>
      <c r="S9" s="467"/>
      <c r="T9" s="569">
        <f>SUM(mOUT[[#This Row],[PRINCIPAL]:[JUROS]])</f>
        <v>0</v>
      </c>
    </row>
    <row r="10" spans="2:20" ht="21" customHeight="1">
      <c r="B10" s="866" t="str">
        <f t="shared" si="0"/>
        <v>10/26</v>
      </c>
      <c r="C10" s="121" t="e">
        <f>VLOOKUP(mOUT[[#This Row],[CÓDIGO CONTABIL]],Contas_Gerencial[#All],3,FALSE)</f>
        <v>#N/A</v>
      </c>
      <c r="D10" s="121" t="e">
        <f>VLOOKUP(mOUT[[#This Row],[DESCRIÇÃO CONTABIL]],Contas_Gerencial[[#All],[DESCRIÇÃO DA CONTA - NÃO UTILIZAR]:[Código2]],2,FALSE)</f>
        <v>#N/A</v>
      </c>
      <c r="E10" s="453"/>
      <c r="F10" s="453"/>
      <c r="G10" s="453"/>
      <c r="H10" s="453"/>
      <c r="I10" s="455"/>
      <c r="J10" s="453"/>
      <c r="K10" s="453"/>
      <c r="L10" s="469"/>
      <c r="M10" s="457"/>
      <c r="N10" s="457"/>
      <c r="O10" s="457"/>
      <c r="P10" s="453"/>
      <c r="Q10" s="471"/>
      <c r="R10" s="471"/>
      <c r="S10" s="471"/>
      <c r="T10" s="569">
        <f>SUM(mOUT[[#This Row],[PRINCIPAL]:[JUROS]])</f>
        <v>0</v>
      </c>
    </row>
    <row r="11" spans="2:20" ht="21" customHeight="1">
      <c r="B11" s="866" t="str">
        <f t="shared" si="0"/>
        <v>10/26</v>
      </c>
      <c r="C11" s="121" t="e">
        <f>VLOOKUP(mOUT[[#This Row],[CÓDIGO CONTABIL]],Contas_Gerencial[#All],3,FALSE)</f>
        <v>#N/A</v>
      </c>
      <c r="D11" s="121" t="e">
        <f>VLOOKUP(mOUT[[#This Row],[DESCRIÇÃO CONTABIL]],Contas_Gerencial[[#All],[DESCRIÇÃO DA CONTA - NÃO UTILIZAR]:[Código2]],2,FALSE)</f>
        <v>#N/A</v>
      </c>
      <c r="E11" s="453"/>
      <c r="F11" s="453"/>
      <c r="G11" s="453"/>
      <c r="H11" s="453"/>
      <c r="I11" s="481"/>
      <c r="J11" s="453"/>
      <c r="K11" s="453"/>
      <c r="L11" s="469"/>
      <c r="M11" s="457"/>
      <c r="N11" s="457"/>
      <c r="O11" s="457"/>
      <c r="P11" s="453"/>
      <c r="Q11" s="471"/>
      <c r="R11" s="471"/>
      <c r="S11" s="471"/>
      <c r="T11" s="569">
        <f>SUM(mOUT[[#This Row],[PRINCIPAL]:[JUROS]])</f>
        <v>0</v>
      </c>
    </row>
    <row r="12" spans="2:20" ht="21" customHeight="1">
      <c r="B12" s="866" t="str">
        <f t="shared" si="0"/>
        <v>10/26</v>
      </c>
      <c r="C12" s="121" t="e">
        <f>VLOOKUP(mOUT[[#This Row],[CÓDIGO CONTABIL]],Contas_Gerencial[#All],3,FALSE)</f>
        <v>#N/A</v>
      </c>
      <c r="D12" s="121" t="e">
        <f>VLOOKUP(mOUT[[#This Row],[DESCRIÇÃO CONTABIL]],Contas_Gerencial[[#All],[DESCRIÇÃO DA CONTA - NÃO UTILIZAR]:[Código2]],2,FALSE)</f>
        <v>#N/A</v>
      </c>
      <c r="E12" s="453"/>
      <c r="F12" s="453"/>
      <c r="G12" s="453"/>
      <c r="H12" s="453"/>
      <c r="I12" s="455"/>
      <c r="J12" s="453"/>
      <c r="K12" s="453"/>
      <c r="L12" s="456"/>
      <c r="M12" s="457"/>
      <c r="N12" s="457"/>
      <c r="O12" s="457"/>
      <c r="P12" s="453"/>
      <c r="Q12" s="519"/>
      <c r="R12" s="459"/>
      <c r="S12" s="459"/>
      <c r="T12" s="569">
        <f>SUM(mOUT[[#This Row],[PRINCIPAL]:[JUROS]])</f>
        <v>0</v>
      </c>
    </row>
    <row r="13" spans="2:20" ht="21" customHeight="1">
      <c r="B13" s="866" t="str">
        <f t="shared" si="0"/>
        <v>10/26</v>
      </c>
      <c r="C13" s="121" t="e">
        <f>VLOOKUP(mOUT[[#This Row],[CÓDIGO CONTABIL]],Contas_Gerencial[#All],3,FALSE)</f>
        <v>#N/A</v>
      </c>
      <c r="D13" s="121" t="e">
        <f>VLOOKUP(mOUT[[#This Row],[DESCRIÇÃO CONTABIL]],Contas_Gerencial[[#All],[DESCRIÇÃO DA CONTA - NÃO UTILIZAR]:[Código2]],2,FALSE)</f>
        <v>#N/A</v>
      </c>
      <c r="E13" s="453"/>
      <c r="F13" s="454"/>
      <c r="G13" s="454"/>
      <c r="H13" s="453"/>
      <c r="I13" s="616"/>
      <c r="J13" s="453"/>
      <c r="K13" s="453"/>
      <c r="L13" s="453"/>
      <c r="M13" s="457"/>
      <c r="N13" s="457"/>
      <c r="O13" s="457"/>
      <c r="P13" s="453"/>
      <c r="Q13" s="458"/>
      <c r="R13" s="459"/>
      <c r="S13" s="459"/>
      <c r="T13" s="569">
        <f>SUM(mOUT[[#This Row],[PRINCIPAL]:[JUROS]])</f>
        <v>0</v>
      </c>
    </row>
    <row r="14" spans="2:20" ht="21" customHeight="1">
      <c r="B14" s="866" t="str">
        <f t="shared" si="0"/>
        <v>10/26</v>
      </c>
      <c r="C14" s="121" t="e">
        <f>VLOOKUP(mOUT[[#This Row],[CÓDIGO CONTABIL]],Contas_Gerencial[#All],3,FALSE)</f>
        <v>#N/A</v>
      </c>
      <c r="D14" s="121" t="e">
        <f>VLOOKUP(mOUT[[#This Row],[DESCRIÇÃO CONTABIL]],Contas_Gerencial[[#All],[DESCRIÇÃO DA CONTA - NÃO UTILIZAR]:[Código2]],2,FALSE)</f>
        <v>#N/A</v>
      </c>
      <c r="E14" s="453"/>
      <c r="F14" s="453"/>
      <c r="G14" s="453"/>
      <c r="H14" s="453"/>
      <c r="I14" s="455"/>
      <c r="J14" s="453"/>
      <c r="K14" s="453"/>
      <c r="L14" s="453"/>
      <c r="M14" s="457"/>
      <c r="N14" s="457"/>
      <c r="O14" s="457"/>
      <c r="P14" s="453"/>
      <c r="Q14" s="458"/>
      <c r="R14" s="459"/>
      <c r="S14" s="459"/>
      <c r="T14" s="569">
        <f>SUM(mOUT[[#This Row],[PRINCIPAL]:[JUROS]])</f>
        <v>0</v>
      </c>
    </row>
    <row r="15" spans="2:20" ht="21" customHeight="1">
      <c r="B15" s="866" t="str">
        <f t="shared" si="0"/>
        <v>10/26</v>
      </c>
      <c r="C15" s="121" t="e">
        <f>VLOOKUP(mOUT[[#This Row],[CÓDIGO CONTABIL]],Contas_Gerencial[#All],3,FALSE)</f>
        <v>#N/A</v>
      </c>
      <c r="D15" s="121" t="e">
        <f>VLOOKUP(mOUT[[#This Row],[DESCRIÇÃO CONTABIL]],Contas_Gerencial[[#All],[DESCRIÇÃO DA CONTA - NÃO UTILIZAR]:[Código2]],2,FALSE)</f>
        <v>#N/A</v>
      </c>
      <c r="E15" s="453"/>
      <c r="F15" s="453"/>
      <c r="G15" s="453"/>
      <c r="H15" s="453"/>
      <c r="I15" s="455"/>
      <c r="J15" s="453"/>
      <c r="K15" s="453"/>
      <c r="L15" s="453"/>
      <c r="M15" s="457"/>
      <c r="N15" s="457"/>
      <c r="O15" s="457"/>
      <c r="P15" s="453"/>
      <c r="Q15" s="458"/>
      <c r="R15" s="459"/>
      <c r="S15" s="459"/>
      <c r="T15" s="569">
        <f>SUM(mOUT[[#This Row],[PRINCIPAL]:[JUROS]])</f>
        <v>0</v>
      </c>
    </row>
    <row r="16" spans="2:20" ht="21" customHeight="1">
      <c r="B16" s="866" t="str">
        <f t="shared" si="0"/>
        <v>10/26</v>
      </c>
      <c r="C16" s="121" t="e">
        <f>VLOOKUP(mOUT[[#This Row],[CÓDIGO CONTABIL]],Contas_Gerencial[#All],3,FALSE)</f>
        <v>#N/A</v>
      </c>
      <c r="D16" s="121" t="e">
        <f>VLOOKUP(mOUT[[#This Row],[DESCRIÇÃO CONTABIL]],Contas_Gerencial[[#All],[DESCRIÇÃO DA CONTA - NÃO UTILIZAR]:[Código2]],2,FALSE)</f>
        <v>#N/A</v>
      </c>
      <c r="E16" s="121"/>
      <c r="F16" s="121"/>
      <c r="G16" s="121"/>
      <c r="H16" s="453"/>
      <c r="I16" s="121"/>
      <c r="J16" s="121"/>
      <c r="K16" s="121"/>
      <c r="L16" s="456"/>
      <c r="M16" s="457"/>
      <c r="N16" s="457"/>
      <c r="O16" s="457"/>
      <c r="P16" s="453"/>
      <c r="Q16" s="467"/>
      <c r="R16" s="467"/>
      <c r="S16" s="467"/>
      <c r="T16" s="569">
        <f>SUM(mOUT[[#This Row],[PRINCIPAL]:[JUROS]])</f>
        <v>0</v>
      </c>
    </row>
    <row r="17" spans="2:23" ht="21" customHeight="1">
      <c r="B17" s="866" t="str">
        <f t="shared" si="0"/>
        <v>10/26</v>
      </c>
      <c r="C17" s="121" t="e">
        <f>VLOOKUP(mOUT[[#This Row],[CÓDIGO CONTABIL]],Contas_Gerencial[#All],3,FALSE)</f>
        <v>#N/A</v>
      </c>
      <c r="D17" s="121" t="e">
        <f>VLOOKUP(mOUT[[#This Row],[DESCRIÇÃO CONTABIL]],Contas_Gerencial[[#All],[DESCRIÇÃO DA CONTA - NÃO UTILIZAR]:[Código2]],2,FALSE)</f>
        <v>#N/A</v>
      </c>
      <c r="E17" s="453"/>
      <c r="F17" s="453"/>
      <c r="G17" s="453"/>
      <c r="H17" s="453"/>
      <c r="I17" s="455"/>
      <c r="J17" s="453"/>
      <c r="K17" s="453"/>
      <c r="L17" s="456"/>
      <c r="M17" s="457"/>
      <c r="N17" s="457"/>
      <c r="O17" s="457"/>
      <c r="P17" s="453"/>
      <c r="Q17" s="467"/>
      <c r="R17" s="467"/>
      <c r="S17" s="467"/>
      <c r="T17" s="569">
        <f>SUM(mOUT[[#This Row],[PRINCIPAL]:[JUROS]])</f>
        <v>0</v>
      </c>
    </row>
    <row r="18" spans="2:23" ht="21" customHeight="1">
      <c r="B18" s="866" t="str">
        <f t="shared" si="0"/>
        <v>10/26</v>
      </c>
      <c r="C18" s="121" t="e">
        <f>VLOOKUP(mOUT[[#This Row],[CÓDIGO CONTABIL]],Contas_Gerencial[#All],3,FALSE)</f>
        <v>#N/A</v>
      </c>
      <c r="D18" s="121" t="e">
        <f>VLOOKUP(mOUT[[#This Row],[DESCRIÇÃO CONTABIL]],Contas_Gerencial[[#All],[DESCRIÇÃO DA CONTA - NÃO UTILIZAR]:[Código2]],2,FALSE)</f>
        <v>#N/A</v>
      </c>
      <c r="E18" s="453"/>
      <c r="F18" s="453"/>
      <c r="G18" s="453"/>
      <c r="H18" s="453"/>
      <c r="I18" s="616"/>
      <c r="J18" s="453"/>
      <c r="K18" s="453"/>
      <c r="L18" s="453"/>
      <c r="M18" s="457"/>
      <c r="N18" s="457"/>
      <c r="O18" s="457"/>
      <c r="P18" s="453"/>
      <c r="Q18" s="458"/>
      <c r="R18" s="459"/>
      <c r="S18" s="459"/>
      <c r="T18" s="569">
        <f>SUM(mOUT[[#This Row],[PRINCIPAL]:[JUROS]])</f>
        <v>0</v>
      </c>
    </row>
    <row r="19" spans="2:23" ht="21" customHeight="1">
      <c r="B19" s="866" t="str">
        <f t="shared" si="0"/>
        <v>10/26</v>
      </c>
      <c r="C19" s="121" t="e">
        <f>VLOOKUP(mOUT[[#This Row],[CÓDIGO CONTABIL]],Contas_Gerencial[#All],3,FALSE)</f>
        <v>#N/A</v>
      </c>
      <c r="D19" s="121" t="e">
        <f>VLOOKUP(mOUT[[#This Row],[DESCRIÇÃO CONTABIL]],Contas_Gerencial[[#All],[DESCRIÇÃO DA CONTA - NÃO UTILIZAR]:[Código2]],2,FALSE)</f>
        <v>#N/A</v>
      </c>
      <c r="E19" s="453"/>
      <c r="F19" s="453"/>
      <c r="G19" s="453"/>
      <c r="H19" s="453"/>
      <c r="I19" s="455"/>
      <c r="J19" s="453"/>
      <c r="K19" s="453"/>
      <c r="L19" s="451"/>
      <c r="M19" s="457"/>
      <c r="N19" s="457"/>
      <c r="O19" s="457"/>
      <c r="P19" s="453"/>
      <c r="Q19" s="468"/>
      <c r="R19" s="467"/>
      <c r="S19" s="467"/>
      <c r="T19" s="569">
        <f>SUM(mOUT[[#This Row],[PRINCIPAL]:[JUROS]])</f>
        <v>0</v>
      </c>
    </row>
    <row r="20" spans="2:23" ht="21" customHeight="1">
      <c r="B20" s="866" t="str">
        <f t="shared" si="0"/>
        <v>10/26</v>
      </c>
      <c r="C20" s="121" t="e">
        <f>VLOOKUP(mOUT[[#This Row],[CÓDIGO CONTABIL]],Contas_Gerencial[#All],3,FALSE)</f>
        <v>#N/A</v>
      </c>
      <c r="D20" s="121" t="e">
        <f>VLOOKUP(mOUT[[#This Row],[DESCRIÇÃO CONTABIL]],Contas_Gerencial[[#All],[DESCRIÇÃO DA CONTA - NÃO UTILIZAR]:[Código2]],2,FALSE)</f>
        <v>#N/A</v>
      </c>
      <c r="E20" s="121"/>
      <c r="F20" s="121"/>
      <c r="G20" s="121"/>
      <c r="H20" s="121"/>
      <c r="I20" s="121"/>
      <c r="J20" s="121"/>
      <c r="K20" s="121"/>
      <c r="L20" s="451"/>
      <c r="M20" s="457"/>
      <c r="N20" s="457"/>
      <c r="O20" s="457"/>
      <c r="P20" s="453"/>
      <c r="Q20" s="471"/>
      <c r="R20" s="471"/>
      <c r="S20" s="471"/>
      <c r="T20" s="569">
        <f>SUM(mOUT[[#This Row],[PRINCIPAL]:[JUROS]])</f>
        <v>0</v>
      </c>
    </row>
    <row r="21" spans="2:23" ht="21" customHeight="1">
      <c r="B21" s="489" t="s">
        <v>197</v>
      </c>
      <c r="C21" s="489"/>
      <c r="D21" s="744"/>
      <c r="E21" s="489"/>
      <c r="F21" s="489"/>
      <c r="G21" s="489"/>
      <c r="H21" s="489"/>
      <c r="I21" s="489"/>
      <c r="J21" s="489"/>
      <c r="K21" s="489"/>
      <c r="L21" s="744"/>
      <c r="M21" s="745"/>
      <c r="N21" s="745"/>
      <c r="O21" s="745"/>
      <c r="P21" s="744"/>
      <c r="Q21" s="623">
        <f>SUBTOTAL(109,mOUT[PRINCIPAL])</f>
        <v>0</v>
      </c>
      <c r="R21" s="623">
        <f>SUBTOTAL(109,mOUT[MULTA])</f>
        <v>0</v>
      </c>
      <c r="S21" s="623">
        <f>SUBTOTAL(109,mOUT[JUROS])</f>
        <v>0</v>
      </c>
      <c r="T21" s="624">
        <f>SUBTOTAL(109,mOUT[TOTAL])</f>
        <v>0</v>
      </c>
    </row>
    <row r="22" spans="2:23" ht="21" customHeight="1">
      <c r="B22" s="489"/>
      <c r="C22" s="489"/>
      <c r="D22" s="744"/>
      <c r="E22" s="489"/>
      <c r="F22" s="489"/>
      <c r="G22" s="489"/>
      <c r="H22" s="489"/>
      <c r="I22" s="489"/>
      <c r="J22" s="489"/>
      <c r="K22" s="489"/>
      <c r="L22" s="744"/>
      <c r="M22" s="745"/>
      <c r="N22" s="745"/>
      <c r="O22" s="745"/>
      <c r="P22" s="744"/>
      <c r="Q22" s="623"/>
      <c r="R22" s="623"/>
      <c r="S22" s="623"/>
      <c r="T22" s="624"/>
    </row>
    <row r="23" spans="2:23" ht="15.6">
      <c r="B23" s="489"/>
      <c r="C23" s="489"/>
      <c r="D23" s="744"/>
      <c r="E23" s="489"/>
      <c r="F23" s="489"/>
      <c r="G23" s="489"/>
      <c r="H23" s="489"/>
      <c r="I23" s="489"/>
      <c r="J23" s="489"/>
      <c r="K23" s="489"/>
      <c r="L23" s="744"/>
      <c r="M23" s="745"/>
      <c r="N23" s="745"/>
      <c r="O23" s="745"/>
      <c r="P23" s="744"/>
      <c r="Q23" s="900"/>
      <c r="R23" s="623"/>
      <c r="S23" s="623"/>
      <c r="T23" s="624"/>
    </row>
    <row r="24" spans="2:23" ht="16.2" thickBot="1">
      <c r="B24" s="489"/>
      <c r="C24" s="489"/>
      <c r="D24" s="744"/>
      <c r="E24" s="489"/>
      <c r="F24" s="489"/>
      <c r="G24" s="489"/>
      <c r="H24" s="489"/>
      <c r="I24" s="489"/>
      <c r="J24" s="489"/>
      <c r="K24" s="489"/>
      <c r="L24" s="744"/>
      <c r="M24" s="745"/>
      <c r="N24" s="745"/>
      <c r="O24" s="745"/>
      <c r="P24" s="744"/>
      <c r="Q24" s="623"/>
      <c r="R24" s="623"/>
      <c r="S24" s="623"/>
      <c r="T24" s="624"/>
    </row>
    <row r="25" spans="2:23" ht="15.6">
      <c r="B25" s="121"/>
      <c r="C25" s="445"/>
      <c r="D25" s="445"/>
      <c r="E25" s="756" t="s">
        <v>2018</v>
      </c>
      <c r="F25" s="757"/>
      <c r="G25" s="445"/>
      <c r="H25" s="445"/>
      <c r="I25" s="121"/>
      <c r="J25" s="107"/>
      <c r="K25" s="107"/>
      <c r="L25" s="121"/>
      <c r="M25" s="745"/>
      <c r="N25" s="745"/>
      <c r="O25" s="745"/>
      <c r="P25" s="744"/>
      <c r="Q25" s="623"/>
      <c r="R25" s="106"/>
      <c r="S25" s="447"/>
      <c r="T25" s="107"/>
    </row>
    <row r="26" spans="2:23" ht="18">
      <c r="B26" s="121"/>
      <c r="C26" s="445"/>
      <c r="D26" s="445"/>
      <c r="E26" s="758" t="s">
        <v>90</v>
      </c>
      <c r="F26" s="759"/>
      <c r="G26" s="445"/>
      <c r="H26" s="445"/>
      <c r="I26" s="121"/>
      <c r="J26" s="107"/>
      <c r="K26" s="107"/>
      <c r="L26" s="121"/>
      <c r="M26" s="745"/>
      <c r="N26" s="745"/>
      <c r="O26" s="745"/>
      <c r="P26" s="744"/>
      <c r="Q26" s="623"/>
      <c r="R26" s="106"/>
      <c r="S26" s="447"/>
      <c r="T26" s="107"/>
    </row>
    <row r="27" spans="2:23" ht="18">
      <c r="B27" s="121"/>
      <c r="C27" s="445"/>
      <c r="D27" s="445"/>
      <c r="E27" s="760" t="s">
        <v>2016</v>
      </c>
      <c r="F27" s="761"/>
      <c r="H27" s="445"/>
      <c r="I27" s="121"/>
      <c r="J27" s="107"/>
      <c r="K27" s="107"/>
      <c r="L27" s="121"/>
      <c r="M27" s="745"/>
      <c r="N27" s="745"/>
      <c r="O27" s="745"/>
      <c r="P27" s="744"/>
      <c r="Q27" s="623"/>
      <c r="R27" s="106"/>
      <c r="S27" s="447"/>
      <c r="T27" s="107"/>
    </row>
    <row r="28" spans="2:23" ht="18.600000000000001" thickBot="1">
      <c r="B28" s="121"/>
      <c r="C28" s="445"/>
      <c r="D28" s="445"/>
      <c r="E28" s="762" t="s">
        <v>2017</v>
      </c>
      <c r="F28" s="763">
        <f>F26-F27</f>
        <v>0</v>
      </c>
      <c r="G28" s="445"/>
      <c r="H28" s="445"/>
      <c r="I28" s="121"/>
      <c r="J28" s="107"/>
      <c r="K28" s="107"/>
      <c r="L28" s="121"/>
      <c r="M28" s="745"/>
      <c r="N28" s="745"/>
      <c r="O28" s="745"/>
      <c r="P28" s="744"/>
      <c r="Q28" s="623"/>
      <c r="R28" s="106"/>
      <c r="S28" s="447"/>
      <c r="T28" s="107"/>
      <c r="V28" s="442"/>
      <c r="W28" s="442"/>
    </row>
    <row r="29" spans="2:23" ht="18.600000000000001" thickBot="1">
      <c r="B29" s="121"/>
      <c r="C29" s="445"/>
      <c r="D29" s="445"/>
      <c r="E29" s="765"/>
      <c r="F29" s="521"/>
      <c r="G29" s="445"/>
      <c r="H29" s="445"/>
      <c r="I29" s="121"/>
      <c r="J29" s="107"/>
      <c r="K29" s="107"/>
      <c r="L29" s="121"/>
      <c r="M29" s="745"/>
      <c r="N29" s="745"/>
      <c r="O29" s="745"/>
      <c r="P29" s="744"/>
      <c r="Q29" s="623"/>
      <c r="R29" s="106"/>
      <c r="S29" s="447"/>
      <c r="T29" s="107"/>
      <c r="V29" s="442"/>
      <c r="W29" s="442"/>
    </row>
    <row r="30" spans="2:23" ht="18.600000000000001" thickBot="1">
      <c r="E30" s="767" t="s">
        <v>2019</v>
      </c>
      <c r="F30" s="768">
        <f>F26+F27</f>
        <v>0</v>
      </c>
      <c r="G30" s="932"/>
      <c r="M30" s="577"/>
      <c r="Q30" s="576"/>
      <c r="V30" s="442"/>
      <c r="W30" s="442"/>
    </row>
    <row r="32" spans="2:23" ht="15" thickBot="1"/>
    <row r="33" spans="5:9">
      <c r="E33" s="877" t="s">
        <v>2067</v>
      </c>
      <c r="F33" s="881">
        <v>45931</v>
      </c>
      <c r="G33" s="882"/>
      <c r="H33" s="882"/>
      <c r="I33" s="883"/>
    </row>
    <row r="34" spans="5:9">
      <c r="E34" s="891" t="s">
        <v>2071</v>
      </c>
      <c r="F34" s="888" t="s">
        <v>41</v>
      </c>
      <c r="G34" s="889" t="s">
        <v>582</v>
      </c>
      <c r="H34" s="889" t="s">
        <v>581</v>
      </c>
      <c r="I34" s="890" t="s">
        <v>284</v>
      </c>
    </row>
    <row r="35" spans="5:9">
      <c r="E35" s="878" t="s">
        <v>330</v>
      </c>
      <c r="F35" s="880">
        <v>5643.3600000000006</v>
      </c>
      <c r="G35" s="880">
        <v>3103.01</v>
      </c>
      <c r="H35" s="880">
        <v>4212.66</v>
      </c>
      <c r="I35" s="884">
        <f>SUM(F35:H35)</f>
        <v>12959.03</v>
      </c>
    </row>
    <row r="36" spans="5:9">
      <c r="E36" s="878" t="s">
        <v>69</v>
      </c>
      <c r="F36" s="880">
        <v>9649.3700000000008</v>
      </c>
      <c r="G36" s="880">
        <v>0</v>
      </c>
      <c r="H36" s="880">
        <v>0</v>
      </c>
      <c r="I36" s="884">
        <f t="shared" ref="I36:I37" si="1">SUM(F36:H36)</f>
        <v>9649.3700000000008</v>
      </c>
    </row>
    <row r="37" spans="5:9">
      <c r="E37" s="878" t="s">
        <v>331</v>
      </c>
      <c r="F37" s="880">
        <v>0</v>
      </c>
      <c r="G37" s="880">
        <v>1071.53</v>
      </c>
      <c r="H37" s="880">
        <v>2221.2199999999998</v>
      </c>
      <c r="I37" s="884">
        <f t="shared" si="1"/>
        <v>3292.75</v>
      </c>
    </row>
    <row r="38" spans="5:9" ht="15" thickBot="1">
      <c r="E38" s="879" t="s">
        <v>2095</v>
      </c>
      <c r="F38" s="885">
        <f>F35-F36</f>
        <v>-4006.01</v>
      </c>
      <c r="G38" s="886">
        <f t="shared" ref="G38:I38" si="2">G35-G36</f>
        <v>3103.01</v>
      </c>
      <c r="H38" s="886">
        <f t="shared" si="2"/>
        <v>4212.66</v>
      </c>
      <c r="I38" s="887">
        <f t="shared" si="2"/>
        <v>3309.66</v>
      </c>
    </row>
  </sheetData>
  <conditionalFormatting sqref="P7:P9">
    <cfRule type="containsText" dxfId="34" priority="59" operator="containsText" text="A PAGAR">
      <formula>NOT(ISERROR(SEARCH("A PAGAR",P7)))</formula>
    </cfRule>
    <cfRule type="containsText" dxfId="33" priority="60" operator="containsText" text="A RECEBER">
      <formula>NOT(ISERROR(SEARCH("A RECEBER",P7)))</formula>
    </cfRule>
  </conditionalFormatting>
  <conditionalFormatting sqref="P13:P20">
    <cfRule type="containsText" dxfId="32" priority="95" operator="containsText" text="A PAGAR">
      <formula>NOT(ISERROR(SEARCH("A PAGAR",P13)))</formula>
    </cfRule>
    <cfRule type="containsText" dxfId="31" priority="96" operator="containsText" text="A RECEBER">
      <formula>NOT(ISERROR(SEARCH("A RECEBER",P13)))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9" fitToHeight="6" orientation="landscape" horizontalDpi="1200" verticalDpi="1200" r:id="rId1"/>
  <headerFooter>
    <oddHeader>&amp;L             &amp;G</oddHeader>
    <oddFooter>&amp;L&amp;7&amp;Z&amp;F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A1A7207C-6AF9-42E7-B51E-E2914C5C4F44}">
          <x14:formula1>
            <xm:f>'TA Status'!$B$7:$B$11</xm:f>
          </x14:formula1>
          <xm:sqref>P16:P17 P7:P12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W38"/>
  <sheetViews>
    <sheetView showGridLines="0" topLeftCell="A4" zoomScale="70" zoomScaleNormal="70" zoomScaleSheetLayoutView="79" workbookViewId="0">
      <pane xSplit="7" topLeftCell="N1" activePane="topRight" state="frozen"/>
      <selection pane="topRight" activeCell="F16" sqref="F16"/>
    </sheetView>
  </sheetViews>
  <sheetFormatPr defaultColWidth="9.109375" defaultRowHeight="14.4"/>
  <cols>
    <col min="1" max="1" width="2.109375" style="102" customWidth="1"/>
    <col min="2" max="2" width="19.5546875" style="105" customWidth="1"/>
    <col min="3" max="3" width="24" style="105" bestFit="1" customWidth="1"/>
    <col min="4" max="4" width="22.44140625" style="105" hidden="1" customWidth="1"/>
    <col min="5" max="5" width="47.44140625" style="105" customWidth="1"/>
    <col min="6" max="6" width="20.5546875" style="105" customWidth="1"/>
    <col min="7" max="7" width="45.44140625" style="105" customWidth="1"/>
    <col min="8" max="8" width="26.44140625" style="105" bestFit="1" customWidth="1"/>
    <col min="9" max="9" width="22.88671875" style="105" bestFit="1" customWidth="1"/>
    <col min="10" max="10" width="55.5546875" style="102" customWidth="1"/>
    <col min="11" max="11" width="81.6640625" style="102" customWidth="1"/>
    <col min="12" max="12" width="8.88671875" style="105" bestFit="1" customWidth="1"/>
    <col min="13" max="14" width="15.88671875" style="558" customWidth="1"/>
    <col min="15" max="15" width="15.88671875" style="913" customWidth="1"/>
    <col min="16" max="16" width="15.88671875" style="672" customWidth="1"/>
    <col min="17" max="17" width="24.5546875" style="102" bestFit="1" customWidth="1"/>
    <col min="18" max="18" width="20" style="139" customWidth="1"/>
    <col min="19" max="19" width="15.88671875" style="560" customWidth="1"/>
    <col min="20" max="20" width="24.5546875" style="102" bestFit="1" customWidth="1"/>
    <col min="21" max="21" width="9.109375" style="102"/>
    <col min="22" max="22" width="9.44140625" style="102" bestFit="1" customWidth="1"/>
    <col min="23" max="16384" width="9.109375" style="102"/>
  </cols>
  <sheetData>
    <row r="2" spans="2:20" ht="21">
      <c r="C2" s="444" t="s">
        <v>17</v>
      </c>
      <c r="D2" s="445">
        <f>'TA Gerencial'!F2</f>
        <v>2026</v>
      </c>
      <c r="E2" s="553" t="s">
        <v>8</v>
      </c>
      <c r="G2" s="553"/>
      <c r="H2" s="553"/>
      <c r="I2" s="553"/>
      <c r="J2" s="553"/>
      <c r="K2" s="553"/>
      <c r="L2" s="571"/>
      <c r="M2" s="554"/>
      <c r="N2" s="554"/>
      <c r="O2" s="446"/>
      <c r="P2" s="470"/>
      <c r="R2" s="106"/>
      <c r="S2" s="447"/>
    </row>
    <row r="3" spans="2:20" ht="32.25" customHeight="1">
      <c r="C3" s="444" t="s">
        <v>18</v>
      </c>
      <c r="D3" s="106" t="s">
        <v>195</v>
      </c>
      <c r="E3" s="553" t="s">
        <v>16</v>
      </c>
      <c r="G3" s="553"/>
      <c r="H3" s="553"/>
      <c r="I3" s="553"/>
      <c r="J3" s="553"/>
      <c r="K3" s="553"/>
      <c r="L3" s="571"/>
      <c r="M3" s="554"/>
      <c r="N3" s="554"/>
      <c r="O3" s="446"/>
      <c r="P3" s="470"/>
      <c r="R3" s="106"/>
      <c r="S3" s="447"/>
    </row>
    <row r="4" spans="2:20" ht="21">
      <c r="B4" s="556"/>
      <c r="C4" s="444" t="s">
        <v>19</v>
      </c>
      <c r="D4" s="448"/>
      <c r="E4" s="553" t="s">
        <v>42</v>
      </c>
      <c r="G4" s="553"/>
      <c r="H4" s="553"/>
      <c r="I4" s="553"/>
      <c r="J4" s="553"/>
      <c r="K4" s="553"/>
      <c r="L4" s="571"/>
      <c r="M4" s="554"/>
      <c r="N4" s="554"/>
      <c r="O4" s="446"/>
      <c r="P4" s="470"/>
      <c r="R4" s="106"/>
      <c r="S4" s="447"/>
    </row>
    <row r="5" spans="2:20">
      <c r="M5" s="557"/>
    </row>
    <row r="6" spans="2:20" s="107" customFormat="1" ht="41.25" customHeight="1">
      <c r="B6" s="561" t="s">
        <v>192</v>
      </c>
      <c r="C6" s="562" t="s">
        <v>11</v>
      </c>
      <c r="D6" s="562" t="s">
        <v>193</v>
      </c>
      <c r="E6" s="563" t="s">
        <v>23</v>
      </c>
      <c r="F6" s="563" t="s">
        <v>40</v>
      </c>
      <c r="G6" s="563" t="s">
        <v>87</v>
      </c>
      <c r="H6" s="561" t="s">
        <v>12</v>
      </c>
      <c r="I6" s="172" t="s">
        <v>4</v>
      </c>
      <c r="J6" s="561" t="s">
        <v>245</v>
      </c>
      <c r="K6" s="561" t="s">
        <v>0</v>
      </c>
      <c r="L6" s="561" t="s">
        <v>7</v>
      </c>
      <c r="M6" s="564" t="s">
        <v>13</v>
      </c>
      <c r="N6" s="564" t="s">
        <v>14</v>
      </c>
      <c r="O6" s="948" t="s">
        <v>2</v>
      </c>
      <c r="P6" s="949" t="s">
        <v>212</v>
      </c>
      <c r="Q6" s="561" t="s">
        <v>285</v>
      </c>
      <c r="R6" s="566" t="s">
        <v>283</v>
      </c>
      <c r="S6" s="567" t="s">
        <v>55</v>
      </c>
      <c r="T6" s="561" t="s">
        <v>284</v>
      </c>
    </row>
    <row r="7" spans="2:20" ht="21" customHeight="1">
      <c r="B7" s="866" t="str">
        <f>CONCATENATE('TA Gerencial'!R2,'TA Gerencial'!H4,'TA Gerencial'!H3)</f>
        <v>11/26</v>
      </c>
      <c r="C7" s="121" t="e">
        <f>VLOOKUP(mNOV[[#This Row],[CÓDIGO CONTABIL]],Contas_Gerencial[#All],3,FALSE)</f>
        <v>#N/A</v>
      </c>
      <c r="D7" s="445" t="e">
        <f>VLOOKUP(mNOV[[#This Row],[DESCRIÇÃO CONTABIL]],Contas_Gerencial[[#All],[DESCRIÇÃO DA CONTA - NÃO UTILIZAR]:[Código2]],2,FALSE)</f>
        <v>#N/A</v>
      </c>
      <c r="E7" s="453"/>
      <c r="F7" s="454"/>
      <c r="G7" s="454"/>
      <c r="H7" s="453"/>
      <c r="I7" s="455"/>
      <c r="J7" s="453"/>
      <c r="K7" s="453"/>
      <c r="L7" s="570"/>
      <c r="M7" s="457"/>
      <c r="N7" s="457"/>
      <c r="O7" s="457"/>
      <c r="P7" s="452"/>
      <c r="Q7" s="458"/>
      <c r="R7" s="459"/>
      <c r="S7" s="459"/>
      <c r="T7" s="569">
        <f>SUM(mNOV[[#This Row],[PRINCIPAL]:[JUROS]])</f>
        <v>0</v>
      </c>
    </row>
    <row r="8" spans="2:20" ht="21" customHeight="1">
      <c r="B8" s="866" t="str">
        <f>B7</f>
        <v>11/26</v>
      </c>
      <c r="C8" s="121" t="e">
        <f>VLOOKUP(mNOV[[#This Row],[CÓDIGO CONTABIL]],Contas_Gerencial[#All],3,FALSE)</f>
        <v>#N/A</v>
      </c>
      <c r="D8" s="445" t="e">
        <f>VLOOKUP(mNOV[[#This Row],[DESCRIÇÃO CONTABIL]],Contas_Gerencial[[#All],[DESCRIÇÃO DA CONTA - NÃO UTILIZAR]:[Código2]],2,FALSE)</f>
        <v>#N/A</v>
      </c>
      <c r="E8" s="103"/>
      <c r="F8" s="103"/>
      <c r="G8" s="103"/>
      <c r="H8" s="103"/>
      <c r="I8" s="103"/>
      <c r="J8" s="103"/>
      <c r="K8" s="103"/>
      <c r="L8" s="456"/>
      <c r="M8" s="136"/>
      <c r="N8" s="136"/>
      <c r="O8" s="136"/>
      <c r="P8" s="453"/>
      <c r="Q8" s="586"/>
      <c r="R8" s="467"/>
      <c r="S8" s="467"/>
      <c r="T8" s="569">
        <f>SUM(mNOV[[#This Row],[PRINCIPAL]:[JUROS]])</f>
        <v>0</v>
      </c>
    </row>
    <row r="9" spans="2:20" ht="21" customHeight="1">
      <c r="B9" s="866" t="str">
        <f t="shared" ref="B9:B20" si="0">B8</f>
        <v>11/26</v>
      </c>
      <c r="C9" s="121" t="e">
        <f>VLOOKUP(mNOV[[#This Row],[CÓDIGO CONTABIL]],Contas_Gerencial[#All],3,FALSE)</f>
        <v>#N/A</v>
      </c>
      <c r="D9" s="445" t="e">
        <f>VLOOKUP(mNOV[[#This Row],[DESCRIÇÃO CONTABIL]],Contas_Gerencial[[#All],[DESCRIÇÃO DA CONTA - NÃO UTILIZAR]:[Código2]],2,FALSE)</f>
        <v>#N/A</v>
      </c>
      <c r="E9" s="121"/>
      <c r="F9" s="121"/>
      <c r="G9" s="103"/>
      <c r="H9" s="121"/>
      <c r="I9" s="555"/>
      <c r="J9" s="121"/>
      <c r="K9" s="103"/>
      <c r="L9" s="456"/>
      <c r="M9" s="490"/>
      <c r="N9" s="490"/>
      <c r="O9" s="490"/>
      <c r="P9" s="453"/>
      <c r="Q9" s="934"/>
      <c r="R9" s="467"/>
      <c r="S9" s="467"/>
      <c r="T9" s="569">
        <f>SUM(mNOV[[#This Row],[PRINCIPAL]:[JUROS]])</f>
        <v>0</v>
      </c>
    </row>
    <row r="10" spans="2:20" ht="21" customHeight="1">
      <c r="B10" s="866" t="str">
        <f t="shared" si="0"/>
        <v>11/26</v>
      </c>
      <c r="C10" s="121" t="e">
        <f>VLOOKUP(mNOV[[#This Row],[CÓDIGO CONTABIL]],Contas_Gerencial[#All],3,FALSE)</f>
        <v>#N/A</v>
      </c>
      <c r="D10" s="445" t="e">
        <f>VLOOKUP(mNOV[[#This Row],[DESCRIÇÃO CONTABIL]],Contas_Gerencial[[#All],[DESCRIÇÃO DA CONTA - NÃO UTILIZAR]:[Código2]],2,FALSE)</f>
        <v>#N/A</v>
      </c>
      <c r="E10" s="453"/>
      <c r="F10" s="453"/>
      <c r="G10" s="453"/>
      <c r="H10" s="453"/>
      <c r="I10" s="481"/>
      <c r="J10" s="453"/>
      <c r="K10" s="453"/>
      <c r="L10" s="451"/>
      <c r="M10" s="457"/>
      <c r="N10" s="457"/>
      <c r="O10" s="457"/>
      <c r="P10" s="452"/>
      <c r="Q10" s="468"/>
      <c r="R10" s="467"/>
      <c r="S10" s="467"/>
      <c r="T10" s="569">
        <f>SUM(mNOV[[#This Row],[PRINCIPAL]:[JUROS]])</f>
        <v>0</v>
      </c>
    </row>
    <row r="11" spans="2:20" ht="21" customHeight="1">
      <c r="B11" s="866" t="str">
        <f t="shared" si="0"/>
        <v>11/26</v>
      </c>
      <c r="C11" s="121" t="e">
        <f>VLOOKUP(mNOV[[#This Row],[CÓDIGO CONTABIL]],Contas_Gerencial[#All],3,FALSE)</f>
        <v>#N/A</v>
      </c>
      <c r="D11" s="445" t="e">
        <f>VLOOKUP(mNOV[[#This Row],[DESCRIÇÃO CONTABIL]],Contas_Gerencial[[#All],[DESCRIÇÃO DA CONTA - NÃO UTILIZAR]:[Código2]],2,FALSE)</f>
        <v>#N/A</v>
      </c>
      <c r="E11" s="107"/>
      <c r="F11" s="107"/>
      <c r="G11" s="107"/>
      <c r="H11" s="107"/>
      <c r="I11" s="481"/>
      <c r="J11" s="107"/>
      <c r="K11" s="107"/>
      <c r="L11" s="451"/>
      <c r="M11" s="457"/>
      <c r="N11" s="457"/>
      <c r="O11" s="457"/>
      <c r="P11" s="452"/>
      <c r="Q11" s="471"/>
      <c r="R11" s="471"/>
      <c r="S11" s="471"/>
      <c r="T11" s="569">
        <f>SUM(mNOV[[#This Row],[PRINCIPAL]:[JUROS]])</f>
        <v>0</v>
      </c>
    </row>
    <row r="12" spans="2:20" ht="21" customHeight="1">
      <c r="B12" s="866" t="str">
        <f t="shared" si="0"/>
        <v>11/26</v>
      </c>
      <c r="C12" s="121" t="e">
        <f>VLOOKUP(mNOV[[#This Row],[CÓDIGO CONTABIL]],Contas_Gerencial[#All],3,FALSE)</f>
        <v>#N/A</v>
      </c>
      <c r="D12" s="445" t="e">
        <f>VLOOKUP(mNOV[[#This Row],[DESCRIÇÃO CONTABIL]],Contas_Gerencial[[#All],[DESCRIÇÃO DA CONTA - NÃO UTILIZAR]:[Código2]],2,FALSE)</f>
        <v>#N/A</v>
      </c>
      <c r="E12" s="452"/>
      <c r="F12" s="452"/>
      <c r="G12" s="480"/>
      <c r="H12" s="452"/>
      <c r="I12" s="481"/>
      <c r="J12" s="453"/>
      <c r="K12" s="453"/>
      <c r="L12" s="451"/>
      <c r="M12" s="457"/>
      <c r="N12" s="457"/>
      <c r="O12" s="457"/>
      <c r="P12" s="452"/>
      <c r="Q12" s="458"/>
      <c r="R12" s="459"/>
      <c r="S12" s="459"/>
      <c r="T12" s="569">
        <f>SUM(mNOV[[#This Row],[PRINCIPAL]:[JUROS]])</f>
        <v>0</v>
      </c>
    </row>
    <row r="13" spans="2:20" ht="21" customHeight="1">
      <c r="B13" s="866" t="str">
        <f t="shared" si="0"/>
        <v>11/26</v>
      </c>
      <c r="C13" s="121" t="e">
        <f>VLOOKUP(mNOV[[#This Row],[CÓDIGO CONTABIL]],Contas_Gerencial[#All],3,FALSE)</f>
        <v>#N/A</v>
      </c>
      <c r="D13" s="445" t="e">
        <f>VLOOKUP(mNOV[[#This Row],[DESCRIÇÃO CONTABIL]],Contas_Gerencial[[#All],[DESCRIÇÃO DA CONTA - NÃO UTILIZAR]:[Código2]],2,FALSE)</f>
        <v>#N/A</v>
      </c>
      <c r="E13" s="452"/>
      <c r="F13" s="452"/>
      <c r="G13" s="480"/>
      <c r="H13" s="452"/>
      <c r="I13" s="481"/>
      <c r="J13" s="453"/>
      <c r="K13" s="453"/>
      <c r="L13" s="451"/>
      <c r="M13" s="457"/>
      <c r="N13" s="457"/>
      <c r="O13" s="457"/>
      <c r="P13" s="452"/>
      <c r="Q13" s="458"/>
      <c r="R13" s="459"/>
      <c r="S13" s="459"/>
      <c r="T13" s="569">
        <f>SUM(mNOV[[#This Row],[PRINCIPAL]:[JUROS]])</f>
        <v>0</v>
      </c>
    </row>
    <row r="14" spans="2:20" ht="21" customHeight="1">
      <c r="B14" s="866" t="str">
        <f t="shared" si="0"/>
        <v>11/26</v>
      </c>
      <c r="C14" s="121" t="e">
        <f>VLOOKUP(mNOV[[#This Row],[CÓDIGO CONTABIL]],Contas_Gerencial[#All],3,FALSE)</f>
        <v>#N/A</v>
      </c>
      <c r="D14" s="445" t="e">
        <f>VLOOKUP(mNOV[[#This Row],[DESCRIÇÃO CONTABIL]],Contas_Gerencial[[#All],[DESCRIÇÃO DA CONTA - NÃO UTILIZAR]:[Código2]],2,FALSE)</f>
        <v>#N/A</v>
      </c>
      <c r="E14" s="453"/>
      <c r="F14" s="453"/>
      <c r="G14" s="453"/>
      <c r="H14" s="453"/>
      <c r="I14" s="481"/>
      <c r="J14" s="453"/>
      <c r="K14" s="453"/>
      <c r="L14" s="451"/>
      <c r="M14" s="457"/>
      <c r="N14" s="457"/>
      <c r="O14" s="457"/>
      <c r="P14" s="452"/>
      <c r="Q14" s="468"/>
      <c r="R14" s="467"/>
      <c r="S14" s="467"/>
      <c r="T14" s="569">
        <f>SUM(mNOV[[#This Row],[PRINCIPAL]:[JUROS]])</f>
        <v>0</v>
      </c>
    </row>
    <row r="15" spans="2:20" ht="21" customHeight="1">
      <c r="B15" s="866" t="str">
        <f t="shared" si="0"/>
        <v>11/26</v>
      </c>
      <c r="C15" s="121" t="e">
        <f>VLOOKUP(mNOV[[#This Row],[CÓDIGO CONTABIL]],Contas_Gerencial[#All],3,FALSE)</f>
        <v>#N/A</v>
      </c>
      <c r="D15" s="445" t="e">
        <f>VLOOKUP(mNOV[[#This Row],[DESCRIÇÃO CONTABIL]],Contas_Gerencial[[#All],[DESCRIÇÃO DA CONTA - NÃO UTILIZAR]:[Código2]],2,FALSE)</f>
        <v>#N/A</v>
      </c>
      <c r="E15" s="453"/>
      <c r="F15" s="453"/>
      <c r="G15" s="453"/>
      <c r="H15" s="453"/>
      <c r="I15" s="481"/>
      <c r="J15" s="453"/>
      <c r="K15" s="453"/>
      <c r="L15" s="451"/>
      <c r="M15" s="457"/>
      <c r="N15" s="457"/>
      <c r="O15" s="457"/>
      <c r="P15" s="452"/>
      <c r="Q15" s="468"/>
      <c r="R15" s="467"/>
      <c r="S15" s="467"/>
      <c r="T15" s="569">
        <f>SUM(mNOV[[#This Row],[PRINCIPAL]:[JUROS]])</f>
        <v>0</v>
      </c>
    </row>
    <row r="16" spans="2:20" ht="21" customHeight="1">
      <c r="B16" s="866" t="str">
        <f t="shared" si="0"/>
        <v>11/26</v>
      </c>
      <c r="C16" s="121" t="e">
        <f>VLOOKUP(mNOV[[#This Row],[CÓDIGO CONTABIL]],Contas_Gerencial[#All],3,FALSE)</f>
        <v>#N/A</v>
      </c>
      <c r="D16" s="445" t="e">
        <f>VLOOKUP(mNOV[[#This Row],[DESCRIÇÃO CONTABIL]],Contas_Gerencial[[#All],[DESCRIÇÃO DA CONTA - NÃO UTILIZAR]:[Código2]],2,FALSE)</f>
        <v>#N/A</v>
      </c>
      <c r="E16" s="107"/>
      <c r="F16" s="107"/>
      <c r="G16" s="107"/>
      <c r="H16" s="107"/>
      <c r="I16" s="481"/>
      <c r="J16" s="121"/>
      <c r="K16" s="121"/>
      <c r="L16" s="456"/>
      <c r="M16" s="457"/>
      <c r="N16" s="457"/>
      <c r="O16" s="457"/>
      <c r="P16" s="452"/>
      <c r="Q16" s="483"/>
      <c r="R16" s="482"/>
      <c r="S16" s="482"/>
      <c r="T16" s="569">
        <f>SUM(mNOV[[#This Row],[PRINCIPAL]:[JUROS]])</f>
        <v>0</v>
      </c>
    </row>
    <row r="17" spans="2:23" ht="21" customHeight="1">
      <c r="B17" s="866" t="str">
        <f t="shared" si="0"/>
        <v>11/26</v>
      </c>
      <c r="C17" s="121" t="e">
        <f>VLOOKUP(mNOV[[#This Row],[CÓDIGO CONTABIL]],Contas_Gerencial[#All],3,FALSE)</f>
        <v>#N/A</v>
      </c>
      <c r="D17" s="445" t="e">
        <f>VLOOKUP(mNOV[[#This Row],[DESCRIÇÃO CONTABIL]],Contas_Gerencial[[#All],[DESCRIÇÃO DA CONTA - NÃO UTILIZAR]:[Código2]],2,FALSE)</f>
        <v>#N/A</v>
      </c>
      <c r="E17" s="452"/>
      <c r="F17" s="107"/>
      <c r="G17" s="480"/>
      <c r="H17" s="107"/>
      <c r="I17" s="481"/>
      <c r="J17" s="453"/>
      <c r="K17" s="453"/>
      <c r="L17" s="456"/>
      <c r="M17" s="457"/>
      <c r="N17" s="457"/>
      <c r="O17" s="457"/>
      <c r="P17" s="453"/>
      <c r="Q17" s="482"/>
      <c r="R17" s="482"/>
      <c r="S17" s="482"/>
      <c r="T17" s="569">
        <f>SUM(mNOV[[#This Row],[PRINCIPAL]:[JUROS]])</f>
        <v>0</v>
      </c>
    </row>
    <row r="18" spans="2:23" ht="21" customHeight="1">
      <c r="B18" s="866" t="str">
        <f t="shared" si="0"/>
        <v>11/26</v>
      </c>
      <c r="C18" s="121" t="e">
        <f>VLOOKUP(mNOV[[#This Row],[CÓDIGO CONTABIL]],Contas_Gerencial[#All],3,FALSE)</f>
        <v>#N/A</v>
      </c>
      <c r="D18" s="445" t="e">
        <f>VLOOKUP(mNOV[[#This Row],[DESCRIÇÃO CONTABIL]],Contas_Gerencial[[#All],[DESCRIÇÃO DA CONTA - NÃO UTILIZAR]:[Código2]],2,FALSE)</f>
        <v>#N/A</v>
      </c>
      <c r="E18" s="452"/>
      <c r="F18" s="107"/>
      <c r="G18" s="480"/>
      <c r="H18" s="107"/>
      <c r="I18" s="481"/>
      <c r="J18" s="453"/>
      <c r="K18" s="453"/>
      <c r="L18" s="456"/>
      <c r="M18" s="457"/>
      <c r="N18" s="457"/>
      <c r="O18" s="457"/>
      <c r="P18" s="453"/>
      <c r="Q18" s="483"/>
      <c r="R18" s="482"/>
      <c r="S18" s="482"/>
      <c r="T18" s="569">
        <f>SUM(mNOV[[#This Row],[PRINCIPAL]:[JUROS]])</f>
        <v>0</v>
      </c>
    </row>
    <row r="19" spans="2:23" ht="21" customHeight="1">
      <c r="B19" s="866" t="str">
        <f t="shared" si="0"/>
        <v>11/26</v>
      </c>
      <c r="C19" s="121" t="e">
        <f>VLOOKUP(mNOV[[#This Row],[CÓDIGO CONTABIL]],Contas_Gerencial[#All],3,FALSE)</f>
        <v>#N/A</v>
      </c>
      <c r="D19" s="445" t="e">
        <f>VLOOKUP(mNOV[[#This Row],[DESCRIÇÃO CONTABIL]],Contas_Gerencial[[#All],[DESCRIÇÃO DA CONTA - NÃO UTILIZAR]:[Código2]],2,FALSE)</f>
        <v>#N/A</v>
      </c>
      <c r="E19" s="107"/>
      <c r="F19" s="452"/>
      <c r="G19" s="480"/>
      <c r="H19" s="107"/>
      <c r="I19" s="481"/>
      <c r="J19" s="453"/>
      <c r="K19" s="453"/>
      <c r="L19" s="456"/>
      <c r="M19" s="457"/>
      <c r="N19" s="457"/>
      <c r="O19" s="457"/>
      <c r="P19" s="453"/>
      <c r="Q19" s="467"/>
      <c r="R19" s="467"/>
      <c r="S19" s="467"/>
      <c r="T19" s="569">
        <f>SUM(mNOV[[#This Row],[PRINCIPAL]:[JUROS]])</f>
        <v>0</v>
      </c>
    </row>
    <row r="20" spans="2:23" ht="21" customHeight="1">
      <c r="B20" s="866" t="str">
        <f t="shared" si="0"/>
        <v>11/26</v>
      </c>
      <c r="C20" s="121" t="e">
        <f>VLOOKUP(mNOV[[#This Row],[CÓDIGO CONTABIL]],Contas_Gerencial[#All],3,FALSE)</f>
        <v>#N/A</v>
      </c>
      <c r="D20" s="445" t="e">
        <f>VLOOKUP(mNOV[[#This Row],[DESCRIÇÃO CONTABIL]],Contas_Gerencial[[#All],[DESCRIÇÃO DA CONTA - NÃO UTILIZAR]:[Código2]],2,FALSE)</f>
        <v>#N/A</v>
      </c>
      <c r="E20" s="452"/>
      <c r="F20" s="107"/>
      <c r="G20" s="480"/>
      <c r="H20" s="107"/>
      <c r="I20" s="481"/>
      <c r="J20" s="453"/>
      <c r="K20" s="453"/>
      <c r="L20" s="456"/>
      <c r="M20" s="457"/>
      <c r="N20" s="457"/>
      <c r="O20" s="457"/>
      <c r="P20" s="453"/>
      <c r="Q20" s="482"/>
      <c r="R20" s="482"/>
      <c r="S20" s="482"/>
      <c r="T20" s="569">
        <f>SUM(mNOV[[#This Row],[PRINCIPAL]:[JUROS]])</f>
        <v>0</v>
      </c>
    </row>
    <row r="21" spans="2:23" ht="21" customHeight="1">
      <c r="B21" s="553" t="s">
        <v>197</v>
      </c>
      <c r="C21" s="553"/>
      <c r="D21" s="571"/>
      <c r="E21" s="553"/>
      <c r="F21" s="553"/>
      <c r="G21" s="553"/>
      <c r="H21" s="553"/>
      <c r="I21" s="553"/>
      <c r="J21" s="553"/>
      <c r="K21" s="553"/>
      <c r="L21" s="571"/>
      <c r="M21" s="572"/>
      <c r="N21" s="572"/>
      <c r="O21" s="950"/>
      <c r="P21" s="553"/>
      <c r="Q21" s="574">
        <f>SUBTOTAL(109,mNOV[PRINCIPAL])</f>
        <v>0</v>
      </c>
      <c r="R21" s="574">
        <f>SUBTOTAL(109,mNOV[MULTA])</f>
        <v>0</v>
      </c>
      <c r="S21" s="574">
        <f>SUBTOTAL(109,mNOV[JUROS])</f>
        <v>0</v>
      </c>
      <c r="T21" s="864">
        <f>SUBTOTAL(109,mNOV[TOTAL])</f>
        <v>0</v>
      </c>
    </row>
    <row r="22" spans="2:23" ht="21" customHeight="1"/>
    <row r="23" spans="2:23" ht="21" customHeight="1">
      <c r="Q23" s="576"/>
      <c r="R23" s="951"/>
    </row>
    <row r="24" spans="2:23" ht="21" customHeight="1" thickBot="1">
      <c r="R24" s="952"/>
    </row>
    <row r="25" spans="2:23" ht="15.6">
      <c r="B25" s="121"/>
      <c r="C25" s="445"/>
      <c r="D25" s="445"/>
      <c r="E25" s="756" t="s">
        <v>2018</v>
      </c>
      <c r="F25" s="757"/>
      <c r="G25" s="445"/>
      <c r="H25" s="445"/>
      <c r="I25" s="121"/>
      <c r="J25" s="107"/>
      <c r="K25" s="107"/>
      <c r="L25" s="121"/>
      <c r="M25" s="745"/>
      <c r="N25" s="745"/>
      <c r="O25" s="745"/>
      <c r="P25" s="744"/>
      <c r="Q25" s="623"/>
      <c r="R25" s="106"/>
      <c r="S25" s="447"/>
      <c r="T25" s="107"/>
    </row>
    <row r="26" spans="2:23" ht="18">
      <c r="B26" s="121"/>
      <c r="C26" s="445"/>
      <c r="D26" s="445"/>
      <c r="E26" s="758" t="s">
        <v>90</v>
      </c>
      <c r="F26" s="759"/>
      <c r="G26" s="445"/>
      <c r="H26" s="445"/>
      <c r="I26" s="121"/>
      <c r="J26" s="107"/>
      <c r="K26" s="107"/>
      <c r="L26" s="121"/>
      <c r="M26" s="745"/>
      <c r="N26" s="745"/>
      <c r="O26" s="745"/>
      <c r="P26" s="744"/>
      <c r="Q26" s="623"/>
      <c r="R26" s="106"/>
      <c r="S26" s="447"/>
      <c r="T26" s="107"/>
    </row>
    <row r="27" spans="2:23" ht="18">
      <c r="B27" s="121"/>
      <c r="C27" s="445"/>
      <c r="D27" s="445"/>
      <c r="E27" s="760" t="s">
        <v>2016</v>
      </c>
      <c r="F27" s="761"/>
      <c r="H27" s="445"/>
      <c r="I27" s="121"/>
      <c r="J27" s="107"/>
      <c r="K27" s="107"/>
      <c r="L27" s="121"/>
      <c r="M27" s="745"/>
      <c r="N27" s="745"/>
      <c r="O27" s="745"/>
      <c r="P27" s="744"/>
      <c r="Q27" s="623"/>
      <c r="R27" s="106"/>
      <c r="S27" s="447"/>
      <c r="T27" s="107"/>
    </row>
    <row r="28" spans="2:23" ht="18.600000000000001" thickBot="1">
      <c r="B28" s="121"/>
      <c r="C28" s="445"/>
      <c r="D28" s="445"/>
      <c r="E28" s="953" t="s">
        <v>2017</v>
      </c>
      <c r="F28" s="954">
        <f>F26-F27</f>
        <v>0</v>
      </c>
      <c r="G28" s="445"/>
      <c r="H28" s="445"/>
      <c r="I28" s="121"/>
      <c r="J28" s="107"/>
      <c r="K28" s="107"/>
      <c r="L28" s="121"/>
      <c r="M28" s="745"/>
      <c r="N28" s="745"/>
      <c r="O28" s="745"/>
      <c r="P28" s="744"/>
      <c r="Q28" s="623"/>
      <c r="R28" s="106"/>
      <c r="S28" s="447"/>
      <c r="T28" s="107"/>
      <c r="V28" s="442"/>
      <c r="W28" s="442"/>
    </row>
    <row r="29" spans="2:23" ht="18.600000000000001" thickBot="1">
      <c r="B29" s="121"/>
      <c r="C29" s="445"/>
      <c r="D29" s="445"/>
      <c r="E29" s="765"/>
      <c r="F29" s="521"/>
      <c r="G29" s="445"/>
      <c r="H29" s="445"/>
      <c r="I29" s="121"/>
      <c r="J29" s="107"/>
      <c r="K29" s="107"/>
      <c r="L29" s="121"/>
      <c r="M29" s="745"/>
      <c r="N29" s="745"/>
      <c r="O29" s="745"/>
      <c r="P29" s="744"/>
      <c r="Q29" s="623"/>
      <c r="R29" s="106"/>
      <c r="S29" s="447"/>
      <c r="T29" s="107"/>
      <c r="V29" s="442"/>
      <c r="W29" s="442"/>
    </row>
    <row r="30" spans="2:23" ht="18.600000000000001" thickBot="1">
      <c r="E30" s="767" t="s">
        <v>2019</v>
      </c>
      <c r="F30" s="768">
        <f>F26+F27</f>
        <v>0</v>
      </c>
      <c r="G30" s="932"/>
      <c r="M30" s="577"/>
      <c r="O30" s="559"/>
      <c r="P30" s="139"/>
      <c r="Q30" s="576"/>
      <c r="V30" s="442"/>
      <c r="W30" s="442"/>
    </row>
    <row r="31" spans="2:23">
      <c r="O31" s="559"/>
      <c r="P31" s="139"/>
    </row>
    <row r="32" spans="2:23" ht="15" thickBot="1">
      <c r="O32" s="559"/>
      <c r="P32" s="139"/>
    </row>
    <row r="33" spans="5:16">
      <c r="E33" s="877" t="s">
        <v>2067</v>
      </c>
      <c r="F33" s="881">
        <v>45931</v>
      </c>
      <c r="G33" s="882"/>
      <c r="H33" s="882"/>
      <c r="I33" s="883"/>
      <c r="O33" s="559"/>
      <c r="P33" s="139"/>
    </row>
    <row r="34" spans="5:16">
      <c r="E34" s="891" t="s">
        <v>2071</v>
      </c>
      <c r="F34" s="888" t="s">
        <v>41</v>
      </c>
      <c r="G34" s="889" t="s">
        <v>582</v>
      </c>
      <c r="H34" s="889" t="s">
        <v>581</v>
      </c>
      <c r="I34" s="890" t="s">
        <v>284</v>
      </c>
      <c r="O34" s="559"/>
      <c r="P34" s="139"/>
    </row>
    <row r="35" spans="5:16">
      <c r="E35" s="878" t="s">
        <v>330</v>
      </c>
      <c r="F35" s="880">
        <v>5382.5599999999995</v>
      </c>
      <c r="G35" s="880">
        <v>2486.65</v>
      </c>
      <c r="H35" s="880">
        <v>4511.2900000000009</v>
      </c>
      <c r="I35" s="884">
        <f>SUM(F35:H35)</f>
        <v>12380.5</v>
      </c>
      <c r="O35" s="559"/>
      <c r="P35" s="139"/>
    </row>
    <row r="36" spans="5:16">
      <c r="E36" s="878" t="s">
        <v>69</v>
      </c>
      <c r="F36" s="880">
        <v>9820.18</v>
      </c>
      <c r="G36" s="880">
        <v>0</v>
      </c>
      <c r="H36" s="880">
        <v>0</v>
      </c>
      <c r="I36" s="884">
        <f t="shared" ref="I36:I37" si="1">SUM(F36:H36)</f>
        <v>9820.18</v>
      </c>
      <c r="O36" s="559"/>
      <c r="P36" s="139"/>
    </row>
    <row r="37" spans="5:16">
      <c r="E37" s="878" t="s">
        <v>331</v>
      </c>
      <c r="F37" s="880">
        <v>0</v>
      </c>
      <c r="G37" s="880">
        <v>1071.53</v>
      </c>
      <c r="H37" s="880">
        <v>2221.2199999999998</v>
      </c>
      <c r="I37" s="884">
        <f t="shared" si="1"/>
        <v>3292.75</v>
      </c>
      <c r="O37" s="559"/>
      <c r="P37" s="139"/>
    </row>
    <row r="38" spans="5:16" ht="15" thickBot="1">
      <c r="E38" s="879" t="s">
        <v>2095</v>
      </c>
      <c r="F38" s="885">
        <f>F35-F36</f>
        <v>-4437.6200000000008</v>
      </c>
      <c r="G38" s="886">
        <f t="shared" ref="G38:I38" si="2">G35-G36</f>
        <v>2486.65</v>
      </c>
      <c r="H38" s="886">
        <f t="shared" si="2"/>
        <v>4511.2900000000009</v>
      </c>
      <c r="I38" s="887">
        <f t="shared" si="2"/>
        <v>2560.3199999999997</v>
      </c>
      <c r="O38" s="559"/>
      <c r="P38" s="139"/>
    </row>
  </sheetData>
  <conditionalFormatting sqref="P7:P13 P16:P20">
    <cfRule type="containsText" dxfId="30" priority="7" operator="containsText" text="A PAGAR">
      <formula>NOT(ISERROR(SEARCH("A PAGAR",P7)))</formula>
    </cfRule>
    <cfRule type="containsText" dxfId="29" priority="8" operator="containsText" text="A RECEBER">
      <formula>NOT(ISERROR(SEARCH("A RECEBER",P7)))</formula>
    </cfRule>
  </conditionalFormatting>
  <conditionalFormatting sqref="P10:P15">
    <cfRule type="containsText" dxfId="28" priority="39" operator="containsText" text="A PAGAR">
      <formula>NOT(ISERROR(SEARCH("A PAGAR",P10)))</formula>
    </cfRule>
    <cfRule type="containsText" dxfId="27" priority="40" operator="containsText" text="A RECEBER">
      <formula>NOT(ISERROR(SEARCH("A RECEBER",P10)))</formula>
    </cfRule>
  </conditionalFormatting>
  <conditionalFormatting sqref="P13">
    <cfRule type="containsText" dxfId="26" priority="37" operator="containsText" text="A PAGAR">
      <formula>NOT(ISERROR(SEARCH("A PAGAR",P13)))</formula>
    </cfRule>
    <cfRule type="containsText" dxfId="25" priority="38" operator="containsText" text="A RECEBER">
      <formula>NOT(ISERROR(SEARCH("A RECEBER",P13)))</formula>
    </cfRule>
  </conditionalFormatting>
  <printOptions horizontalCentered="1"/>
  <pageMargins left="0.31496062992125984" right="0.31496062992125984" top="0.3" bottom="0.46" header="0.31496062992125984" footer="0.31496062992125984"/>
  <pageSetup paperSize="9" scale="28" fitToHeight="6" orientation="landscape" horizontalDpi="1200" verticalDpi="1200" r:id="rId1"/>
  <headerFooter>
    <oddHeader>&amp;L             &amp;G</oddHeader>
    <oddFooter>&amp;L&amp;7&amp;Z&amp;F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DC23C7BE-E238-4153-AC91-9C76F90DBA74}">
          <x14:formula1>
            <xm:f>'TA Status'!$B$7:$B$11</xm:f>
          </x14:formula1>
          <xm:sqref>P7:P20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">
    <pageSetUpPr fitToPage="1"/>
  </sheetPr>
  <dimension ref="B2:T33"/>
  <sheetViews>
    <sheetView showGridLines="0" topLeftCell="B6" zoomScale="80" zoomScaleNormal="80" zoomScaleSheetLayoutView="79" workbookViewId="0">
      <pane xSplit="6" ySplit="1" topLeftCell="H13" activePane="bottomRight" state="frozen"/>
      <selection activeCell="F19" sqref="F19"/>
      <selection pane="topRight" activeCell="F19" sqref="F19"/>
      <selection pane="bottomLeft" activeCell="F19" sqref="F19"/>
      <selection pane="bottomRight" activeCell="E17" sqref="E17"/>
    </sheetView>
  </sheetViews>
  <sheetFormatPr defaultColWidth="9.109375" defaultRowHeight="14.4"/>
  <cols>
    <col min="1" max="1" width="2.109375" style="102" customWidth="1"/>
    <col min="2" max="2" width="19.5546875" style="105" customWidth="1"/>
    <col min="3" max="3" width="24" style="105" bestFit="1" customWidth="1"/>
    <col min="4" max="4" width="22.44140625" style="1" hidden="1" customWidth="1"/>
    <col min="5" max="5" width="47.44140625" style="105" customWidth="1"/>
    <col min="6" max="6" width="20.5546875" style="105" customWidth="1"/>
    <col min="7" max="7" width="42" style="105" customWidth="1"/>
    <col min="8" max="8" width="26.44140625" style="105" customWidth="1"/>
    <col min="9" max="9" width="20.5546875" style="105" bestFit="1" customWidth="1"/>
    <col min="10" max="10" width="55.5546875" style="102" customWidth="1"/>
    <col min="11" max="11" width="73.5546875" style="102" bestFit="1" customWidth="1"/>
    <col min="12" max="12" width="8.88671875" style="105" customWidth="1"/>
    <col min="13" max="14" width="15.88671875" style="558" customWidth="1"/>
    <col min="15" max="15" width="15.88671875" style="913" customWidth="1"/>
    <col min="16" max="16" width="15.88671875" style="139" customWidth="1"/>
    <col min="17" max="17" width="24.5546875" style="102" bestFit="1" customWidth="1"/>
    <col min="18" max="18" width="19.6640625" style="139" customWidth="1"/>
    <col min="19" max="19" width="22.33203125" style="560" customWidth="1"/>
    <col min="20" max="20" width="24.5546875" style="102" bestFit="1" customWidth="1"/>
    <col min="21" max="16384" width="9.109375" style="102"/>
  </cols>
  <sheetData>
    <row r="2" spans="2:20" ht="21">
      <c r="C2" s="444" t="s">
        <v>17</v>
      </c>
      <c r="D2" s="16">
        <f>'TA Gerencial'!F2</f>
        <v>2026</v>
      </c>
      <c r="E2" s="553" t="s">
        <v>8</v>
      </c>
      <c r="G2" s="553"/>
      <c r="H2" s="553"/>
      <c r="I2" s="553"/>
      <c r="J2" s="553"/>
      <c r="K2" s="553"/>
      <c r="L2" s="571"/>
      <c r="M2" s="554"/>
      <c r="N2" s="554"/>
      <c r="O2" s="446"/>
      <c r="P2" s="106"/>
      <c r="R2" s="106"/>
      <c r="S2" s="447"/>
    </row>
    <row r="3" spans="2:20" ht="32.25" customHeight="1">
      <c r="C3" s="444" t="s">
        <v>18</v>
      </c>
      <c r="D3" s="17" t="s">
        <v>194</v>
      </c>
      <c r="E3" s="553" t="s">
        <v>16</v>
      </c>
      <c r="G3" s="553"/>
      <c r="H3" s="553"/>
      <c r="I3" s="553"/>
      <c r="J3" s="553"/>
      <c r="K3" s="553"/>
      <c r="L3" s="571"/>
      <c r="M3" s="554"/>
      <c r="N3" s="554"/>
      <c r="O3" s="446"/>
      <c r="P3" s="106"/>
      <c r="R3" s="106"/>
      <c r="S3" s="447"/>
    </row>
    <row r="4" spans="2:20" ht="21">
      <c r="B4" s="556"/>
      <c r="C4" s="444" t="s">
        <v>19</v>
      </c>
      <c r="D4" s="18"/>
      <c r="E4" s="553" t="s">
        <v>42</v>
      </c>
      <c r="G4" s="553"/>
      <c r="H4" s="553"/>
      <c r="I4" s="553"/>
      <c r="J4" s="553"/>
      <c r="K4" s="553"/>
      <c r="L4" s="571"/>
      <c r="M4" s="554"/>
      <c r="N4" s="554"/>
      <c r="O4" s="446"/>
      <c r="P4" s="106"/>
      <c r="R4" s="106"/>
      <c r="S4" s="447"/>
    </row>
    <row r="5" spans="2:20">
      <c r="M5" s="557"/>
    </row>
    <row r="6" spans="2:20" s="107" customFormat="1" ht="41.25" customHeight="1">
      <c r="B6" s="561" t="s">
        <v>192</v>
      </c>
      <c r="C6" s="562" t="s">
        <v>11</v>
      </c>
      <c r="D6" s="11" t="s">
        <v>193</v>
      </c>
      <c r="E6" s="563" t="s">
        <v>23</v>
      </c>
      <c r="F6" s="563" t="s">
        <v>40</v>
      </c>
      <c r="G6" s="563" t="s">
        <v>87</v>
      </c>
      <c r="H6" s="561" t="s">
        <v>12</v>
      </c>
      <c r="I6" s="172" t="s">
        <v>4</v>
      </c>
      <c r="J6" s="561" t="s">
        <v>245</v>
      </c>
      <c r="K6" s="561" t="s">
        <v>0</v>
      </c>
      <c r="L6" s="561" t="s">
        <v>7</v>
      </c>
      <c r="M6" s="564" t="s">
        <v>13</v>
      </c>
      <c r="N6" s="564" t="s">
        <v>14</v>
      </c>
      <c r="O6" s="948" t="s">
        <v>2</v>
      </c>
      <c r="P6" s="565" t="s">
        <v>212</v>
      </c>
      <c r="Q6" s="561" t="s">
        <v>285</v>
      </c>
      <c r="R6" s="566" t="s">
        <v>283</v>
      </c>
      <c r="S6" s="567" t="s">
        <v>55</v>
      </c>
      <c r="T6" s="561" t="s">
        <v>284</v>
      </c>
    </row>
    <row r="7" spans="2:20" s="2" customFormat="1" ht="24.9" customHeight="1">
      <c r="B7" s="946" t="str">
        <f>CONCATENATE('TA Gerencial'!S2,'TA Gerencial'!H4,'TA Gerencial'!H3)</f>
        <v>12/26</v>
      </c>
      <c r="C7" s="82" t="e">
        <f>VLOOKUP(mDEZ[[#This Row],[CÓDIGO CONTABIL]],Contas_Gerencial[#All],3,FALSE)</f>
        <v>#N/A</v>
      </c>
      <c r="D7" s="91" t="e">
        <f>VLOOKUP(mDEZ[[#This Row],[DESCRIÇÃO CONTABIL]],Contas_Gerencial[[#All],[DESCRIÇÃO DA CONTA - NÃO UTILIZAR]:[Código2]],2,FALSE)</f>
        <v>#N/A</v>
      </c>
      <c r="E7" s="739" t="s">
        <v>38</v>
      </c>
      <c r="F7" s="739" t="s">
        <v>38</v>
      </c>
      <c r="G7" s="739" t="s">
        <v>38</v>
      </c>
      <c r="H7" s="739" t="s">
        <v>38</v>
      </c>
      <c r="I7" s="739" t="s">
        <v>38</v>
      </c>
      <c r="J7" s="739" t="s">
        <v>38</v>
      </c>
      <c r="K7" s="739" t="s">
        <v>38</v>
      </c>
      <c r="L7" s="739" t="s">
        <v>38</v>
      </c>
      <c r="M7" s="739" t="s">
        <v>38</v>
      </c>
      <c r="N7" s="739" t="s">
        <v>38</v>
      </c>
      <c r="O7" s="739" t="s">
        <v>38</v>
      </c>
      <c r="P7" s="739" t="s">
        <v>38</v>
      </c>
      <c r="Q7" s="739" t="s">
        <v>38</v>
      </c>
      <c r="R7" s="739" t="s">
        <v>38</v>
      </c>
      <c r="S7" s="739" t="s">
        <v>38</v>
      </c>
      <c r="T7" s="84">
        <f>SUM(mDEZ[[#This Row],[PRINCIPAL]:[JUROS]])</f>
        <v>0</v>
      </c>
    </row>
    <row r="8" spans="2:20" s="2" customFormat="1" ht="24.9" customHeight="1">
      <c r="B8" s="947" t="str">
        <f>B7</f>
        <v>12/26</v>
      </c>
      <c r="C8" s="943" t="str">
        <f>VLOOKUP(mDEZ[[#This Row],[CÓDIGO CONTABIL]],Contas_Gerencial[#All],3,FALSE)</f>
        <v>DESPESAS FIXAS</v>
      </c>
      <c r="D8" s="944" t="str">
        <f>VLOOKUP(mDEZ[[#This Row],[DESCRIÇÃO CONTABIL]],Contas_Gerencial[[#All],[DESCRIÇÃO DA CONTA - NÃO UTILIZAR]:[Código2]],2,FALSE)</f>
        <v>20.02.001</v>
      </c>
      <c r="E8" s="453" t="s">
        <v>28</v>
      </c>
      <c r="F8" s="453" t="s">
        <v>41</v>
      </c>
      <c r="G8" s="453" t="s">
        <v>595</v>
      </c>
      <c r="H8" s="453" t="s">
        <v>1803</v>
      </c>
      <c r="I8" s="481">
        <v>38496</v>
      </c>
      <c r="J8" s="453" t="s">
        <v>372</v>
      </c>
      <c r="K8" s="453" t="s">
        <v>1806</v>
      </c>
      <c r="L8" s="451" t="s">
        <v>2104</v>
      </c>
      <c r="M8" s="457">
        <v>45980</v>
      </c>
      <c r="N8" s="457">
        <v>46001</v>
      </c>
      <c r="O8" s="457">
        <v>46001</v>
      </c>
      <c r="P8" s="452" t="s">
        <v>214</v>
      </c>
      <c r="Q8" s="468">
        <v>1808.57</v>
      </c>
      <c r="R8" s="467">
        <v>0</v>
      </c>
      <c r="S8" s="467">
        <v>0</v>
      </c>
      <c r="T8" s="945">
        <f>SUM(mDEZ[[#This Row],[PRINCIPAL]:[JUROS]])</f>
        <v>1808.57</v>
      </c>
    </row>
    <row r="9" spans="2:20" s="2" customFormat="1" ht="24.9" customHeight="1">
      <c r="B9" s="947" t="str">
        <f t="shared" ref="B9:B20" si="0">B8</f>
        <v>12/26</v>
      </c>
      <c r="C9" s="943" t="str">
        <f>VLOOKUP(mDEZ[[#This Row],[CÓDIGO CONTABIL]],Contas_Gerencial[#All],3,FALSE)</f>
        <v>DESPESAS FIXAS</v>
      </c>
      <c r="D9" s="944" t="str">
        <f>VLOOKUP(mDEZ[[#This Row],[DESCRIÇÃO CONTABIL]],Contas_Gerencial[[#All],[DESCRIÇÃO DA CONTA - NÃO UTILIZAR]:[Código2]],2,FALSE)</f>
        <v>20.02.003</v>
      </c>
      <c r="E9" s="107" t="s">
        <v>27</v>
      </c>
      <c r="F9" s="107" t="s">
        <v>41</v>
      </c>
      <c r="G9" s="107" t="s">
        <v>595</v>
      </c>
      <c r="H9" s="107" t="s">
        <v>1803</v>
      </c>
      <c r="I9" s="481">
        <v>5129694</v>
      </c>
      <c r="J9" s="107" t="s">
        <v>1506</v>
      </c>
      <c r="K9" s="107" t="s">
        <v>1809</v>
      </c>
      <c r="L9" s="451" t="s">
        <v>2104</v>
      </c>
      <c r="M9" s="457">
        <v>45992</v>
      </c>
      <c r="N9" s="457">
        <v>46001</v>
      </c>
      <c r="O9" s="457">
        <v>46001</v>
      </c>
      <c r="P9" s="452" t="s">
        <v>214</v>
      </c>
      <c r="Q9" s="471">
        <v>699.4</v>
      </c>
      <c r="R9" s="471">
        <v>0</v>
      </c>
      <c r="S9" s="471">
        <v>0</v>
      </c>
      <c r="T9" s="945">
        <f>SUM(mDEZ[[#This Row],[PRINCIPAL]:[JUROS]])</f>
        <v>699.4</v>
      </c>
    </row>
    <row r="10" spans="2:20" s="2" customFormat="1" ht="24.9" customHeight="1">
      <c r="B10" s="947" t="str">
        <f t="shared" si="0"/>
        <v>12/26</v>
      </c>
      <c r="C10" s="943" t="str">
        <f>VLOOKUP(mDEZ[[#This Row],[CÓDIGO CONTABIL]],Contas_Gerencial[#All],3,FALSE)</f>
        <v>DESPESAS FIXAS</v>
      </c>
      <c r="D10" s="944" t="str">
        <f>VLOOKUP(mDEZ[[#This Row],[DESCRIÇÃO CONTABIL]],Contas_Gerencial[[#All],[DESCRIÇÃO DA CONTA - NÃO UTILIZAR]:[Código2]],2,FALSE)</f>
        <v>20.02.007</v>
      </c>
      <c r="E10" s="452" t="s">
        <v>26</v>
      </c>
      <c r="F10" s="452" t="s">
        <v>41</v>
      </c>
      <c r="G10" s="480" t="s">
        <v>595</v>
      </c>
      <c r="H10" s="452" t="s">
        <v>1807</v>
      </c>
      <c r="I10" s="481">
        <v>121103</v>
      </c>
      <c r="J10" s="453" t="s">
        <v>374</v>
      </c>
      <c r="K10" s="453" t="s">
        <v>1808</v>
      </c>
      <c r="L10" s="451" t="s">
        <v>2104</v>
      </c>
      <c r="M10" s="457">
        <v>46002</v>
      </c>
      <c r="N10" s="457">
        <v>46001</v>
      </c>
      <c r="O10" s="457">
        <v>46002</v>
      </c>
      <c r="P10" s="452" t="s">
        <v>214</v>
      </c>
      <c r="Q10" s="458">
        <v>97.41</v>
      </c>
      <c r="R10" s="459">
        <v>0</v>
      </c>
      <c r="S10" s="459">
        <v>0</v>
      </c>
      <c r="T10" s="945">
        <f>SUM(mDEZ[[#This Row],[PRINCIPAL]:[JUROS]])</f>
        <v>97.41</v>
      </c>
    </row>
    <row r="11" spans="2:20" s="2" customFormat="1" ht="24.9" customHeight="1">
      <c r="B11" s="947" t="str">
        <f t="shared" si="0"/>
        <v>12/26</v>
      </c>
      <c r="C11" s="943" t="str">
        <f>VLOOKUP(mDEZ[[#This Row],[CÓDIGO CONTABIL]],Contas_Gerencial[#All],3,FALSE)</f>
        <v>DESPESAS FIXAS</v>
      </c>
      <c r="D11" s="944" t="str">
        <f>VLOOKUP(mDEZ[[#This Row],[DESCRIÇÃO CONTABIL]],Contas_Gerencial[[#All],[DESCRIÇÃO DA CONTA - NÃO UTILIZAR]:[Código2]],2,FALSE)</f>
        <v>20.02.007</v>
      </c>
      <c r="E11" s="452" t="s">
        <v>26</v>
      </c>
      <c r="F11" s="452" t="s">
        <v>41</v>
      </c>
      <c r="G11" s="480" t="s">
        <v>595</v>
      </c>
      <c r="H11" s="452" t="s">
        <v>1807</v>
      </c>
      <c r="I11" s="481">
        <v>91225</v>
      </c>
      <c r="J11" s="453" t="s">
        <v>405</v>
      </c>
      <c r="K11" s="453" t="s">
        <v>1861</v>
      </c>
      <c r="L11" s="451" t="s">
        <v>2080</v>
      </c>
      <c r="M11" s="457">
        <v>46000</v>
      </c>
      <c r="N11" s="457">
        <v>46001</v>
      </c>
      <c r="O11" s="457">
        <v>46000</v>
      </c>
      <c r="P11" s="452" t="s">
        <v>214</v>
      </c>
      <c r="Q11" s="458">
        <v>139.94999999999999</v>
      </c>
      <c r="R11" s="459">
        <v>0</v>
      </c>
      <c r="S11" s="459">
        <v>0</v>
      </c>
      <c r="T11" s="945">
        <f>SUM(mDEZ[[#This Row],[PRINCIPAL]:[JUROS]])</f>
        <v>139.94999999999999</v>
      </c>
    </row>
    <row r="12" spans="2:20" s="2" customFormat="1" ht="24.9" customHeight="1">
      <c r="B12" s="947" t="str">
        <f t="shared" si="0"/>
        <v>12/26</v>
      </c>
      <c r="C12" s="943" t="str">
        <f>VLOOKUP(mDEZ[[#This Row],[CÓDIGO CONTABIL]],Contas_Gerencial[#All],3,FALSE)</f>
        <v>DESPESAS FIXAS</v>
      </c>
      <c r="D12" s="944" t="str">
        <f>VLOOKUP(mDEZ[[#This Row],[DESCRIÇÃO CONTABIL]],Contas_Gerencial[[#All],[DESCRIÇÃO DA CONTA - NÃO UTILIZAR]:[Código2]],2,FALSE)</f>
        <v>20.02.004</v>
      </c>
      <c r="E12" s="453" t="s">
        <v>404</v>
      </c>
      <c r="F12" s="453" t="s">
        <v>41</v>
      </c>
      <c r="G12" s="453" t="s">
        <v>595</v>
      </c>
      <c r="H12" s="453" t="s">
        <v>1807</v>
      </c>
      <c r="I12" s="481">
        <v>106363684</v>
      </c>
      <c r="J12" s="453" t="s">
        <v>1160</v>
      </c>
      <c r="K12" s="453" t="s">
        <v>2110</v>
      </c>
      <c r="L12" s="451" t="s">
        <v>2072</v>
      </c>
      <c r="M12" s="457">
        <v>45957</v>
      </c>
      <c r="N12" s="457">
        <v>45999</v>
      </c>
      <c r="O12" s="457">
        <v>46000</v>
      </c>
      <c r="P12" s="452" t="s">
        <v>214</v>
      </c>
      <c r="Q12" s="468">
        <v>244.62</v>
      </c>
      <c r="R12" s="467">
        <v>0</v>
      </c>
      <c r="S12" s="467">
        <v>0</v>
      </c>
      <c r="T12" s="945">
        <f>SUM(mDEZ[[#This Row],[PRINCIPAL]:[JUROS]])</f>
        <v>244.62</v>
      </c>
    </row>
    <row r="13" spans="2:20" s="2" customFormat="1" ht="24.9" customHeight="1">
      <c r="B13" s="947" t="str">
        <f t="shared" si="0"/>
        <v>12/26</v>
      </c>
      <c r="C13" s="943" t="e">
        <f>VLOOKUP(mDEZ[[#This Row],[CÓDIGO CONTABIL]],Contas_Gerencial[#All],3,FALSE)</f>
        <v>#N/A</v>
      </c>
      <c r="D13" s="944" t="e">
        <f>VLOOKUP(mDEZ[[#This Row],[DESCRIÇÃO CONTABIL]],Contas_Gerencial[[#All],[DESCRIÇÃO DA CONTA - NÃO UTILIZAR]:[Código2]],2,FALSE)</f>
        <v>#N/A</v>
      </c>
      <c r="E13" s="453"/>
      <c r="F13" s="453"/>
      <c r="G13" s="453"/>
      <c r="H13" s="453"/>
      <c r="I13" s="481"/>
      <c r="J13" s="453"/>
      <c r="K13" s="453"/>
      <c r="L13" s="451"/>
      <c r="M13" s="457"/>
      <c r="N13" s="457"/>
      <c r="O13" s="457"/>
      <c r="P13" s="452"/>
      <c r="Q13" s="468"/>
      <c r="R13" s="467"/>
      <c r="S13" s="467"/>
      <c r="T13" s="945">
        <f>SUM(mDEZ[[#This Row],[PRINCIPAL]:[JUROS]])</f>
        <v>0</v>
      </c>
    </row>
    <row r="14" spans="2:20" s="2" customFormat="1" ht="24.9" customHeight="1">
      <c r="B14" s="947" t="str">
        <f t="shared" si="0"/>
        <v>12/26</v>
      </c>
      <c r="C14" s="943" t="e">
        <f>VLOOKUP(mDEZ[[#This Row],[CÓDIGO CONTABIL]],Contas_Gerencial[#All],3,FALSE)</f>
        <v>#N/A</v>
      </c>
      <c r="D14" s="944" t="e">
        <f>VLOOKUP(mDEZ[[#This Row],[DESCRIÇÃO CONTABIL]],Contas_Gerencial[[#All],[DESCRIÇÃO DA CONTA - NÃO UTILIZAR]:[Código2]],2,FALSE)</f>
        <v>#N/A</v>
      </c>
      <c r="E14" s="980"/>
      <c r="F14" s="980"/>
      <c r="G14" s="980"/>
      <c r="H14" s="980"/>
      <c r="I14" s="980"/>
      <c r="J14" s="980"/>
      <c r="K14" s="980"/>
      <c r="L14" s="980"/>
      <c r="M14" s="980"/>
      <c r="N14" s="980"/>
      <c r="O14" s="980"/>
      <c r="P14" s="980"/>
      <c r="Q14" s="980"/>
      <c r="R14" s="980"/>
      <c r="S14" s="980"/>
      <c r="T14" s="945">
        <f>SUM(mDEZ[[#This Row],[PRINCIPAL]:[JUROS]])</f>
        <v>0</v>
      </c>
    </row>
    <row r="15" spans="2:20" ht="24.9" customHeight="1">
      <c r="B15" s="947" t="str">
        <f t="shared" si="0"/>
        <v>12/26</v>
      </c>
      <c r="C15" s="121" t="e">
        <f>VLOOKUP(mDEZ[[#This Row],[CÓDIGO CONTABIL]],Contas_Gerencial[#All],3,FALSE)</f>
        <v>#N/A</v>
      </c>
      <c r="D15" s="944" t="e">
        <f>VLOOKUP(mDEZ[[#This Row],[DESCRIÇÃO CONTABIL]],Contas_Gerencial[[#All],[DESCRIÇÃO DA CONTA - NÃO UTILIZAR]:[Código2]],2,FALSE)</f>
        <v>#N/A</v>
      </c>
      <c r="E15" s="107"/>
      <c r="F15" s="107"/>
      <c r="G15" s="107"/>
      <c r="H15" s="107"/>
      <c r="I15" s="481"/>
      <c r="J15" s="121"/>
      <c r="K15" s="121"/>
      <c r="L15" s="456"/>
      <c r="M15" s="457"/>
      <c r="N15" s="457"/>
      <c r="O15" s="457"/>
      <c r="P15" s="452"/>
      <c r="Q15" s="483"/>
      <c r="R15" s="482"/>
      <c r="S15" s="482"/>
      <c r="T15" s="569">
        <f>SUM(mDEZ[[#This Row],[PRINCIPAL]:[JUROS]])</f>
        <v>0</v>
      </c>
    </row>
    <row r="16" spans="2:20" ht="24.9" customHeight="1">
      <c r="B16" s="947" t="str">
        <f t="shared" si="0"/>
        <v>12/26</v>
      </c>
      <c r="C16" s="121" t="e">
        <f>VLOOKUP(mDEZ[[#This Row],[CÓDIGO CONTABIL]],Contas_Gerencial[#All],3,FALSE)</f>
        <v>#N/A</v>
      </c>
      <c r="D16" s="944" t="e">
        <f>VLOOKUP(mDEZ[[#This Row],[DESCRIÇÃO CONTABIL]],Contas_Gerencial[[#All],[DESCRIÇÃO DA CONTA - NÃO UTILIZAR]:[Código2]],2,FALSE)</f>
        <v>#N/A</v>
      </c>
      <c r="E16" s="452"/>
      <c r="F16" s="107"/>
      <c r="G16" s="480"/>
      <c r="H16" s="107"/>
      <c r="I16" s="481"/>
      <c r="J16" s="453"/>
      <c r="K16" s="453"/>
      <c r="L16" s="456"/>
      <c r="M16" s="457"/>
      <c r="N16" s="457"/>
      <c r="O16" s="457"/>
      <c r="P16" s="453"/>
      <c r="Q16" s="482"/>
      <c r="R16" s="482"/>
      <c r="S16" s="482"/>
      <c r="T16" s="569">
        <f>SUM(mDEZ[[#This Row],[PRINCIPAL]:[JUROS]])</f>
        <v>0</v>
      </c>
    </row>
    <row r="17" spans="2:20" ht="24.9" customHeight="1">
      <c r="B17" s="947" t="str">
        <f t="shared" si="0"/>
        <v>12/26</v>
      </c>
      <c r="C17" s="121" t="e">
        <f>VLOOKUP(mDEZ[[#This Row],[CÓDIGO CONTABIL]],Contas_Gerencial[#All],3,FALSE)</f>
        <v>#N/A</v>
      </c>
      <c r="D17" s="944" t="e">
        <f>VLOOKUP(mDEZ[[#This Row],[DESCRIÇÃO CONTABIL]],Contas_Gerencial[[#All],[DESCRIÇÃO DA CONTA - NÃO UTILIZAR]:[Código2]],2,FALSE)</f>
        <v>#N/A</v>
      </c>
      <c r="E17" s="452"/>
      <c r="F17" s="107"/>
      <c r="G17" s="480"/>
      <c r="H17" s="107"/>
      <c r="I17" s="481"/>
      <c r="J17" s="453"/>
      <c r="K17" s="453"/>
      <c r="L17" s="456"/>
      <c r="M17" s="457"/>
      <c r="N17" s="457"/>
      <c r="O17" s="457"/>
      <c r="P17" s="453"/>
      <c r="Q17" s="483"/>
      <c r="R17" s="482"/>
      <c r="S17" s="482"/>
      <c r="T17" s="569">
        <f>SUM(mDEZ[[#This Row],[PRINCIPAL]:[JUROS]])</f>
        <v>0</v>
      </c>
    </row>
    <row r="18" spans="2:20" ht="24.9" customHeight="1">
      <c r="B18" s="947" t="str">
        <f t="shared" si="0"/>
        <v>12/26</v>
      </c>
      <c r="C18" s="121" t="e">
        <f>VLOOKUP(mDEZ[[#This Row],[CÓDIGO CONTABIL]],Contas_Gerencial[#All],3,FALSE)</f>
        <v>#N/A</v>
      </c>
      <c r="D18" s="944" t="e">
        <f>VLOOKUP(mDEZ[[#This Row],[DESCRIÇÃO CONTABIL]],Contas_Gerencial[[#All],[DESCRIÇÃO DA CONTA - NÃO UTILIZAR]:[Código2]],2,FALSE)</f>
        <v>#N/A</v>
      </c>
      <c r="E18" s="107"/>
      <c r="F18" s="452"/>
      <c r="G18" s="480"/>
      <c r="H18" s="107"/>
      <c r="I18" s="481"/>
      <c r="J18" s="453"/>
      <c r="K18" s="453"/>
      <c r="L18" s="456"/>
      <c r="M18" s="457"/>
      <c r="N18" s="457"/>
      <c r="O18" s="457"/>
      <c r="P18" s="453"/>
      <c r="Q18" s="467"/>
      <c r="R18" s="467"/>
      <c r="S18" s="467"/>
      <c r="T18" s="569">
        <f>SUM(mDEZ[[#This Row],[PRINCIPAL]:[JUROS]])</f>
        <v>0</v>
      </c>
    </row>
    <row r="19" spans="2:20" ht="24.9" customHeight="1">
      <c r="B19" s="947" t="str">
        <f t="shared" si="0"/>
        <v>12/26</v>
      </c>
      <c r="C19" s="121" t="e">
        <f>VLOOKUP(mDEZ[[#This Row],[CÓDIGO CONTABIL]],Contas_Gerencial[#All],3,FALSE)</f>
        <v>#N/A</v>
      </c>
      <c r="D19" s="944" t="e">
        <f>VLOOKUP(mDEZ[[#This Row],[DESCRIÇÃO CONTABIL]],Contas_Gerencial[[#All],[DESCRIÇÃO DA CONTA - NÃO UTILIZAR]:[Código2]],2,FALSE)</f>
        <v>#N/A</v>
      </c>
      <c r="E19" s="452"/>
      <c r="F19" s="107"/>
      <c r="G19" s="480"/>
      <c r="H19" s="107"/>
      <c r="I19" s="481"/>
      <c r="J19" s="453"/>
      <c r="K19" s="453"/>
      <c r="L19" s="456"/>
      <c r="M19" s="457"/>
      <c r="N19" s="457"/>
      <c r="O19" s="457"/>
      <c r="P19" s="453"/>
      <c r="Q19" s="482"/>
      <c r="R19" s="482"/>
      <c r="S19" s="482"/>
      <c r="T19" s="569">
        <f>SUM(mDEZ[[#This Row],[PRINCIPAL]:[JUROS]])</f>
        <v>0</v>
      </c>
    </row>
    <row r="20" spans="2:20" s="2" customFormat="1" ht="24.9" customHeight="1">
      <c r="B20" s="947" t="str">
        <f t="shared" si="0"/>
        <v>12/26</v>
      </c>
      <c r="C20" s="943" t="e">
        <f>VLOOKUP(mDEZ[[#This Row],[CÓDIGO CONTABIL]],Contas_Gerencial[#All],3,FALSE)</f>
        <v>#N/A</v>
      </c>
      <c r="D20" s="944" t="e">
        <f>VLOOKUP(mDEZ[[#This Row],[DESCRIÇÃO CONTABIL]],Contas_Gerencial[[#All],[DESCRIÇÃO DA CONTA - NÃO UTILIZAR]:[Código2]],2,FALSE)</f>
        <v>#N/A</v>
      </c>
      <c r="E20" s="452"/>
      <c r="F20" s="452"/>
      <c r="G20" s="107"/>
      <c r="H20" s="452"/>
      <c r="I20" s="481"/>
      <c r="J20" s="453"/>
      <c r="K20" s="453"/>
      <c r="L20" s="456"/>
      <c r="M20" s="457"/>
      <c r="N20" s="457"/>
      <c r="O20" s="457"/>
      <c r="P20" s="453"/>
      <c r="Q20" s="483"/>
      <c r="R20" s="459"/>
      <c r="S20" s="459"/>
      <c r="T20" s="945">
        <f>SUM(mDEZ[[#This Row],[PRINCIPAL]:[JUROS]])</f>
        <v>0</v>
      </c>
    </row>
    <row r="21" spans="2:20" ht="21" customHeight="1">
      <c r="B21" s="553" t="s">
        <v>197</v>
      </c>
      <c r="C21" s="553"/>
      <c r="D21" s="977"/>
      <c r="E21" s="553"/>
      <c r="F21" s="553"/>
      <c r="G21" s="553"/>
      <c r="H21" s="553"/>
      <c r="I21" s="553"/>
      <c r="J21" s="553"/>
      <c r="K21" s="553"/>
      <c r="L21" s="571"/>
      <c r="M21" s="572"/>
      <c r="N21" s="572"/>
      <c r="O21" s="950"/>
      <c r="P21" s="571"/>
      <c r="Q21" s="574">
        <f>SUBTOTAL(109,mDEZ[PRINCIPAL])</f>
        <v>2989.9499999999994</v>
      </c>
      <c r="R21" s="574">
        <f>SUBTOTAL(109,mDEZ[MULTA])</f>
        <v>0</v>
      </c>
      <c r="S21" s="574">
        <f>SUBTOTAL(109,mDEZ[JUROS])</f>
        <v>0</v>
      </c>
      <c r="T21" s="864">
        <f>SUBTOTAL(109,mDEZ[TOTAL])</f>
        <v>2989.9499999999994</v>
      </c>
    </row>
    <row r="22" spans="2:20" ht="21" customHeight="1"/>
    <row r="23" spans="2:20" ht="21" customHeight="1"/>
    <row r="24" spans="2:20" ht="21" customHeight="1"/>
    <row r="25" spans="2:20" ht="21" customHeight="1">
      <c r="Q25" s="576"/>
      <c r="R25" s="978"/>
    </row>
    <row r="26" spans="2:20" ht="21" customHeight="1"/>
    <row r="27" spans="2:20" ht="21" customHeight="1"/>
    <row r="28" spans="2:20" ht="21" customHeight="1"/>
    <row r="29" spans="2:20" ht="21" customHeight="1"/>
    <row r="30" spans="2:20" ht="21" customHeight="1"/>
    <row r="31" spans="2:20" ht="21" customHeight="1"/>
    <row r="32" spans="2:20" ht="21" customHeight="1"/>
    <row r="33" ht="21" customHeight="1"/>
  </sheetData>
  <conditionalFormatting sqref="P8:P11 P15:P20">
    <cfRule type="containsText" dxfId="24" priority="127" operator="containsText" text="A PAGAR">
      <formula>NOT(ISERROR(SEARCH("A PAGAR",P8)))</formula>
    </cfRule>
    <cfRule type="containsText" dxfId="23" priority="128" operator="containsText" text="A RECEBER">
      <formula>NOT(ISERROR(SEARCH("A RECEBER",P8)))</formula>
    </cfRule>
  </conditionalFormatting>
  <conditionalFormatting sqref="P8:P13">
    <cfRule type="containsText" dxfId="22" priority="131" operator="containsText" text="A PAGAR">
      <formula>NOT(ISERROR(SEARCH("A PAGAR",P8)))</formula>
    </cfRule>
    <cfRule type="containsText" dxfId="21" priority="132" operator="containsText" text="A RECEBER">
      <formula>NOT(ISERROR(SEARCH("A RECEBER",P8)))</formula>
    </cfRule>
  </conditionalFormatting>
  <conditionalFormatting sqref="P9:P11">
    <cfRule type="containsText" dxfId="20" priority="129" operator="containsText" text="A PAGAR">
      <formula>NOT(ISERROR(SEARCH("A PAGAR",P9)))</formula>
    </cfRule>
    <cfRule type="containsText" dxfId="19" priority="130" operator="containsText" text="A RECEBER">
      <formula>NOT(ISERROR(SEARCH("A RECEBER",P9)))</formula>
    </cfRule>
  </conditionalFormatting>
  <hyperlinks>
    <hyperlink ref="P22" r:id="rId1" display="https://internet4.itau.com.br/banklinepj/GRIPNET/bklcom.dll" xr:uid="{B90DEEEB-8109-43C6-900E-A8B296C1DF05}"/>
    <hyperlink ref="P23" r:id="rId2" display="https://internet4.itau.com.br/banklinepj/GRIPNET/bklcom.dll" xr:uid="{AE1D2ADC-5240-4AB0-BFD9-0E31BC8E92B6}"/>
    <hyperlink ref="P24" r:id="rId3" display="https://internet4.itau.com.br/banklinepj/GRIPNET/bklcom.dll" xr:uid="{1CDADAF4-2F22-48D9-9399-2BC63D48DE7A}"/>
    <hyperlink ref="P25" r:id="rId4" display="https://internet4.itau.com.br/banklinepj/GRIPNET/bklcom.dll" xr:uid="{E52E9AA0-E063-454D-9EC8-EA85B9000819}"/>
    <hyperlink ref="P26" r:id="rId5" display="https://internet4.itau.com.br/banklinepj/GRIPNET/bklcom.dll" xr:uid="{729C4401-C258-46E0-A870-D6B06BBB3D73}"/>
    <hyperlink ref="P27" r:id="rId6" display="https://internet4.itau.com.br/banklinepj/GRIPNET/bklcom.dll" xr:uid="{2007A448-99CE-487A-8C70-6E7D7032970A}"/>
    <hyperlink ref="P28" r:id="rId7" display="https://internet4.itau.com.br/banklinepj/GRIPNET/bklcom.dll" xr:uid="{5A8D1192-F64F-4F69-980B-1F94EB67E830}"/>
  </hyperlinks>
  <printOptions horizontalCentered="1"/>
  <pageMargins left="0.31496062992125984" right="0.31496062992125984" top="0.3" bottom="0.46" header="0.31496062992125984" footer="0.31496062992125984"/>
  <pageSetup paperSize="9" scale="29" fitToHeight="6" orientation="landscape" horizontalDpi="1200" verticalDpi="1200" r:id="rId8"/>
  <headerFooter>
    <oddHeader>&amp;L             &amp;G</oddHeader>
    <oddFooter>&amp;L&amp;7&amp;Z&amp;F</oddFooter>
  </headerFooter>
  <legacyDrawingHF r:id="rId9"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Verificar DIGITAÇÃO!" xr:uid="{7FFDB489-7817-4432-87B1-871C8833448A}">
          <x14:formula1>
            <xm:f>'TA Status'!$B$7:$B$11</xm:f>
          </x14:formula1>
          <xm:sqref>P15:P20 P8:P13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E2B9-91F6-4D20-8D05-96AEEF25F915}">
  <dimension ref="K7:L12"/>
  <sheetViews>
    <sheetView workbookViewId="0">
      <selection activeCell="F23" sqref="F23"/>
    </sheetView>
  </sheetViews>
  <sheetFormatPr defaultRowHeight="14.4"/>
  <cols>
    <col min="11" max="11" width="13.33203125" bestFit="1" customWidth="1"/>
  </cols>
  <sheetData>
    <row r="7" spans="11:12">
      <c r="K7" s="77"/>
      <c r="L7" s="14"/>
    </row>
    <row r="8" spans="11:12">
      <c r="K8" s="58"/>
      <c r="L8" s="14"/>
    </row>
    <row r="9" spans="11:12">
      <c r="K9" s="58"/>
      <c r="L9" s="14"/>
    </row>
    <row r="10" spans="11:12">
      <c r="K10" s="98"/>
      <c r="L10" s="14"/>
    </row>
    <row r="11" spans="11:12">
      <c r="K11" s="58"/>
      <c r="L11" s="14"/>
    </row>
    <row r="12" spans="11:12">
      <c r="K12" s="98"/>
      <c r="L12" s="1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CEF59CC49D08458EC817FCC6371FD9" ma:contentTypeVersion="6" ma:contentTypeDescription="Crie um novo documento." ma:contentTypeScope="" ma:versionID="769bcfe460bea577baf1943cb963d322">
  <xsd:schema xmlns:xsd="http://www.w3.org/2001/XMLSchema" xmlns:xs="http://www.w3.org/2001/XMLSchema" xmlns:p="http://schemas.microsoft.com/office/2006/metadata/properties" xmlns:ns2="47037b0d-ba63-493d-8988-435073a17d73" targetNamespace="http://schemas.microsoft.com/office/2006/metadata/properties" ma:root="true" ma:fieldsID="a8d0e7ddb3c7748f385cf04a729e9360" ns2:_="">
    <xsd:import namespace="47037b0d-ba63-493d-8988-435073a17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37b0d-ba63-493d-8988-435073a17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63E21E6-B178-4D7C-B360-8CA75B5A1F96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7037b0d-ba63-493d-8988-435073a17d7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E91EBCE-8759-4C09-B968-90775134C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11E83-3F64-4209-B405-68E3E4DF4D5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7037b0d-ba63-493d-8988-435073a17d7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7153B3-028D-41E5-8CE4-85E4294FA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25</vt:i4>
      </vt:variant>
    </vt:vector>
  </HeadingPairs>
  <TitlesOfParts>
    <vt:vector size="47" baseType="lpstr">
      <vt:lpstr>2026_RECEITA_BRASANTOS</vt:lpstr>
      <vt:lpstr>2026_RECEITA _JJB SERV</vt:lpstr>
      <vt:lpstr>2026_RECEITA_JJB ADM</vt:lpstr>
      <vt:lpstr>TA Empresa</vt:lpstr>
      <vt:lpstr>TA Cliente </vt:lpstr>
      <vt:lpstr>TA Fornecedor</vt:lpstr>
      <vt:lpstr>TA Gerencial</vt:lpstr>
      <vt:lpstr>TA Status</vt:lpstr>
      <vt:lpstr>2026_MATRIZ_DESPESAS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RESUMO</vt:lpstr>
      <vt:lpstr>'2026_MATRIZ_DESPESAS'!Print_Area</vt:lpstr>
      <vt:lpstr>'2026_RECEITA _JJB SERV'!Print_Area</vt:lpstr>
      <vt:lpstr>'2026_RECEITA_JJB ADM'!Print_Area</vt:lpstr>
      <vt:lpstr>FEV!Print_Area</vt:lpstr>
      <vt:lpstr>JAN!Print_Area</vt:lpstr>
      <vt:lpstr>JUL!Print_Area</vt:lpstr>
      <vt:lpstr>JUN!Print_Area</vt:lpstr>
      <vt:lpstr>MAI!Print_Area</vt:lpstr>
      <vt:lpstr>MAR!Print_Area</vt:lpstr>
      <vt:lpstr>NOV!Print_Area</vt:lpstr>
      <vt:lpstr>'TA Cliente '!Print_Area</vt:lpstr>
      <vt:lpstr>'TA Gerencial'!Print_Area</vt:lpstr>
      <vt:lpstr>'2026_MATRIZ_DESPESAS'!Print_Titles</vt:lpstr>
      <vt:lpstr>ABR!Print_Titles</vt:lpstr>
      <vt:lpstr>AGO!Print_Titles</vt:lpstr>
      <vt:lpstr>DEZ!Print_Titles</vt:lpstr>
      <vt:lpstr>FEV!Print_Titles</vt:lpstr>
      <vt:lpstr>JAN!Print_Titles</vt:lpstr>
      <vt:lpstr>JUL!Print_Titles</vt:lpstr>
      <vt:lpstr>JUN!Print_Titles</vt:lpstr>
      <vt:lpstr>MAI!Print_Titles</vt:lpstr>
      <vt:lpstr>MAR!Print_Titles</vt:lpstr>
      <vt:lpstr>NOV!Print_Titles</vt:lpstr>
      <vt:lpstr>OUT!Print_Titles</vt:lpstr>
      <vt:lpstr>SET!Print_Titles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SHEYLA ARAUJO</dc:creator>
  <cp:lastModifiedBy>Christophe Desseaux</cp:lastModifiedBy>
  <cp:lastPrinted>2025-10-01T03:16:03Z</cp:lastPrinted>
  <dcterms:created xsi:type="dcterms:W3CDTF">2016-06-13T13:50:17Z</dcterms:created>
  <dcterms:modified xsi:type="dcterms:W3CDTF">2026-03-19T19:09:15Z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0x01010053CEF59CC49D08458EC817FCC6371FD9</vt:lpwstr>
  </property>
</Properties>
</file>